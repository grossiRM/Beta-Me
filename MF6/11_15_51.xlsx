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MF6\"/>
    </mc:Choice>
  </mc:AlternateContent>
  <xr:revisionPtr revIDLastSave="0" documentId="8_{5B6D329A-1F3F-49FA-8444-729EA141CCDA}" xr6:coauthVersionLast="47" xr6:coauthVersionMax="47" xr10:uidLastSave="{00000000-0000-0000-0000-000000000000}"/>
  <bookViews>
    <workbookView xWindow="-120" yWindow="-120" windowWidth="29040" windowHeight="16440" xr2:uid="{491A12DA-674F-4952-99DC-A1AFD938782B}"/>
  </bookViews>
  <sheets>
    <sheet name="ALL" sheetId="1" r:id="rId1"/>
  </sheets>
  <externalReferences>
    <externalReference r:id="rId2"/>
  </externalReference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M1" i="1"/>
  <c r="Q1" i="1"/>
  <c r="AO1" i="1"/>
  <c r="BA1" i="1"/>
  <c r="BF1" i="1"/>
  <c r="N3" i="1"/>
  <c r="O3" i="1"/>
  <c r="AP3" i="1"/>
  <c r="AQ3" i="1"/>
  <c r="AR3" i="1"/>
  <c r="AS3" i="1"/>
  <c r="AT3" i="1"/>
  <c r="AU3" i="1"/>
  <c r="B4" i="1"/>
  <c r="E4" i="1"/>
  <c r="S4" i="1"/>
  <c r="T4" i="1"/>
  <c r="U4" i="1" s="1"/>
  <c r="V4" i="1" s="1"/>
  <c r="W4" i="1" s="1"/>
  <c r="X4" i="1" s="1"/>
  <c r="AA4" i="1"/>
  <c r="AB4" i="1"/>
  <c r="AC4" i="1" s="1"/>
  <c r="AD4" i="1" s="1"/>
  <c r="AE4" i="1" s="1"/>
  <c r="AF4" i="1" s="1"/>
  <c r="BD4" i="1"/>
  <c r="BE4" i="1"/>
  <c r="BG4" i="1"/>
  <c r="BH4" i="1"/>
  <c r="BI4" i="1"/>
  <c r="BJ4" i="1"/>
  <c r="BK4" i="1"/>
  <c r="BL4" i="1"/>
  <c r="B5" i="1"/>
  <c r="C5" i="1" s="1"/>
  <c r="M5" i="1"/>
  <c r="BB5" i="1"/>
  <c r="BC5" i="1"/>
  <c r="BE5" i="1"/>
  <c r="B6" i="1"/>
  <c r="C6" i="1" s="1"/>
  <c r="M6" i="1"/>
  <c r="BB6" i="1"/>
  <c r="BC6" i="1"/>
  <c r="BD6" i="1" s="1"/>
  <c r="BE6" i="1"/>
  <c r="B7" i="1"/>
  <c r="M7" i="1"/>
  <c r="AN7" i="1"/>
  <c r="BB7" i="1"/>
  <c r="BC7" i="1"/>
  <c r="BD7" i="1"/>
  <c r="BE7" i="1"/>
  <c r="B8" i="1"/>
  <c r="M8" i="1"/>
  <c r="BB8" i="1"/>
  <c r="BC8" i="1"/>
  <c r="BD8" i="1" s="1"/>
  <c r="BE8" i="1"/>
  <c r="B9" i="1"/>
  <c r="C9" i="1" s="1"/>
  <c r="M9" i="1"/>
  <c r="BB9" i="1"/>
  <c r="BC9" i="1"/>
  <c r="BD9" i="1" s="1"/>
  <c r="BE9" i="1"/>
  <c r="B10" i="1"/>
  <c r="C10" i="1" s="1"/>
  <c r="M10" i="1"/>
  <c r="AN10" i="1"/>
  <c r="BB10" i="1"/>
  <c r="BC10" i="1"/>
  <c r="BD10" i="1"/>
  <c r="BE10" i="1"/>
  <c r="B11" i="1"/>
  <c r="C11" i="1" s="1"/>
  <c r="M11" i="1"/>
  <c r="BB11" i="1"/>
  <c r="BC11" i="1"/>
  <c r="BD11" i="1" s="1"/>
  <c r="BE11" i="1"/>
  <c r="B12" i="1"/>
  <c r="M12" i="1"/>
  <c r="BB12" i="1"/>
  <c r="BC12" i="1"/>
  <c r="BD12" i="1" s="1"/>
  <c r="BE12" i="1"/>
  <c r="AK12" i="1" s="1"/>
  <c r="B13" i="1"/>
  <c r="M13" i="1"/>
  <c r="AN13" i="1"/>
  <c r="BB13" i="1"/>
  <c r="BC13" i="1"/>
  <c r="BD13" i="1"/>
  <c r="BE13" i="1"/>
  <c r="B14" i="1"/>
  <c r="M14" i="1"/>
  <c r="BB14" i="1"/>
  <c r="BC14" i="1"/>
  <c r="BD14" i="1" s="1"/>
  <c r="BE14" i="1"/>
  <c r="B15" i="1"/>
  <c r="M15" i="1"/>
  <c r="BB15" i="1"/>
  <c r="BC15" i="1"/>
  <c r="BD15" i="1" s="1"/>
  <c r="BE15" i="1"/>
  <c r="AK15" i="1" s="1"/>
  <c r="B16" i="1"/>
  <c r="M16" i="1"/>
  <c r="AJ16" i="1"/>
  <c r="AN16" i="1"/>
  <c r="BB16" i="1"/>
  <c r="BC16" i="1"/>
  <c r="BD16" i="1"/>
  <c r="BE16" i="1"/>
  <c r="B17" i="1"/>
  <c r="C17" i="1" s="1"/>
  <c r="M17" i="1"/>
  <c r="BB17" i="1"/>
  <c r="BC17" i="1"/>
  <c r="BD17" i="1" s="1"/>
  <c r="BE17" i="1"/>
  <c r="B18" i="1"/>
  <c r="M18" i="1"/>
  <c r="BB18" i="1"/>
  <c r="BC18" i="1"/>
  <c r="BD18" i="1" s="1"/>
  <c r="BE18" i="1"/>
  <c r="B19" i="1"/>
  <c r="M19" i="1"/>
  <c r="AJ19" i="1"/>
  <c r="AN19" i="1"/>
  <c r="BB19" i="1"/>
  <c r="BC19" i="1"/>
  <c r="BD19" i="1"/>
  <c r="BE19" i="1"/>
  <c r="B20" i="1"/>
  <c r="M20" i="1"/>
  <c r="BB20" i="1"/>
  <c r="BC20" i="1"/>
  <c r="BD20" i="1" s="1"/>
  <c r="BE20" i="1"/>
  <c r="B21" i="1"/>
  <c r="M21" i="1"/>
  <c r="AJ21" i="1"/>
  <c r="BB21" i="1"/>
  <c r="BC21" i="1"/>
  <c r="BD21" i="1" s="1"/>
  <c r="BE21" i="1"/>
  <c r="AK21" i="1" s="1"/>
  <c r="B22" i="1"/>
  <c r="M22" i="1"/>
  <c r="AN22" i="1"/>
  <c r="BB22" i="1"/>
  <c r="BC22" i="1"/>
  <c r="BD22" i="1"/>
  <c r="BE22" i="1"/>
  <c r="B23" i="1"/>
  <c r="M23" i="1"/>
  <c r="BB23" i="1"/>
  <c r="BC23" i="1"/>
  <c r="BD23" i="1" s="1"/>
  <c r="BE23" i="1"/>
  <c r="B24" i="1"/>
  <c r="M24" i="1"/>
  <c r="BB24" i="1"/>
  <c r="BC24" i="1"/>
  <c r="BD24" i="1" s="1"/>
  <c r="BE24" i="1"/>
  <c r="AK24" i="1" s="1"/>
  <c r="B25" i="1"/>
  <c r="M25" i="1"/>
  <c r="AN25" i="1"/>
  <c r="BB25" i="1"/>
  <c r="BC25" i="1"/>
  <c r="BD25" i="1"/>
  <c r="BE25" i="1"/>
  <c r="B26" i="1"/>
  <c r="M26" i="1"/>
  <c r="BB26" i="1"/>
  <c r="BC26" i="1"/>
  <c r="BD26" i="1" s="1"/>
  <c r="BE26" i="1"/>
  <c r="B27" i="1"/>
  <c r="M27" i="1"/>
  <c r="BB27" i="1"/>
  <c r="BC27" i="1"/>
  <c r="BD27" i="1"/>
  <c r="BE27" i="1"/>
  <c r="B28" i="1"/>
  <c r="M28" i="1"/>
  <c r="AN28" i="1"/>
  <c r="BB28" i="1"/>
  <c r="BC28" i="1"/>
  <c r="BD28" i="1"/>
  <c r="BE28" i="1"/>
  <c r="B29" i="1"/>
  <c r="M29" i="1"/>
  <c r="BB29" i="1"/>
  <c r="BC29" i="1"/>
  <c r="BD29" i="1"/>
  <c r="BE29" i="1"/>
  <c r="B30" i="1"/>
  <c r="C30" i="1" s="1"/>
  <c r="M30" i="1"/>
  <c r="BB30" i="1"/>
  <c r="BC30" i="1"/>
  <c r="BD30" i="1"/>
  <c r="BE30" i="1"/>
  <c r="B31" i="1"/>
  <c r="M31" i="1"/>
  <c r="BB31" i="1"/>
  <c r="BC31" i="1"/>
  <c r="BD31" i="1"/>
  <c r="BE31" i="1"/>
  <c r="B32" i="1"/>
  <c r="M32" i="1"/>
  <c r="BB32" i="1"/>
  <c r="BC32" i="1"/>
  <c r="BD32" i="1"/>
  <c r="BE32" i="1"/>
  <c r="AN32" i="1" s="1"/>
  <c r="B33" i="1"/>
  <c r="C33" i="1"/>
  <c r="M33" i="1"/>
  <c r="BB33" i="1"/>
  <c r="BC33" i="1"/>
  <c r="BD33" i="1"/>
  <c r="BE33" i="1"/>
  <c r="B34" i="1"/>
  <c r="M34" i="1"/>
  <c r="BB34" i="1"/>
  <c r="BC34" i="1"/>
  <c r="B35" i="1"/>
  <c r="M35" i="1"/>
  <c r="AH35" i="1"/>
  <c r="AJ35" i="1"/>
  <c r="AM35" i="1"/>
  <c r="AN35" i="1"/>
  <c r="BB35" i="1"/>
  <c r="BC35" i="1"/>
  <c r="BD35" i="1"/>
  <c r="BE35" i="1"/>
  <c r="AI35" i="1" s="1"/>
  <c r="B36" i="1"/>
  <c r="M36" i="1"/>
  <c r="AN36" i="1"/>
  <c r="BB36" i="1"/>
  <c r="BC36" i="1"/>
  <c r="BD36" i="1"/>
  <c r="BE36" i="1"/>
  <c r="B37" i="1"/>
  <c r="H37" i="1"/>
  <c r="I37" i="1"/>
  <c r="M37" i="1"/>
  <c r="BB37" i="1"/>
  <c r="BC37" i="1"/>
  <c r="BD37" i="1" s="1"/>
  <c r="BE37" i="1"/>
  <c r="B38" i="1"/>
  <c r="C38" i="1"/>
  <c r="H38" i="1"/>
  <c r="I38" i="1"/>
  <c r="M38" i="1"/>
  <c r="AN38" i="1"/>
  <c r="BB38" i="1"/>
  <c r="BC38" i="1"/>
  <c r="BD38" i="1"/>
  <c r="BE38" i="1"/>
  <c r="AI38" i="1" s="1"/>
  <c r="B39" i="1"/>
  <c r="H39" i="1"/>
  <c r="I39" i="1"/>
  <c r="M39" i="1"/>
  <c r="AK39" i="1"/>
  <c r="AL39" i="1"/>
  <c r="BB39" i="1"/>
  <c r="BC39" i="1"/>
  <c r="BD39" i="1"/>
  <c r="BE39" i="1"/>
  <c r="B40" i="1"/>
  <c r="H40" i="1"/>
  <c r="I40" i="1"/>
  <c r="M40" i="1"/>
  <c r="BB40" i="1"/>
  <c r="BC40" i="1"/>
  <c r="BD40" i="1" s="1"/>
  <c r="B41" i="1"/>
  <c r="C41" i="1"/>
  <c r="G41" i="1" s="1"/>
  <c r="H41" i="1"/>
  <c r="I41" i="1"/>
  <c r="M41" i="1"/>
  <c r="AH41" i="1"/>
  <c r="BB41" i="1"/>
  <c r="BC41" i="1"/>
  <c r="BD41" i="1"/>
  <c r="BE41" i="1"/>
  <c r="B42" i="1"/>
  <c r="H42" i="1"/>
  <c r="I42" i="1"/>
  <c r="M42" i="1"/>
  <c r="BC42" i="1"/>
  <c r="B43" i="1"/>
  <c r="H43" i="1"/>
  <c r="I43" i="1"/>
  <c r="M43" i="1"/>
  <c r="BC43" i="1"/>
  <c r="B44" i="1"/>
  <c r="C44" i="1" s="1"/>
  <c r="G44" i="1" s="1"/>
  <c r="H44" i="1"/>
  <c r="I44" i="1"/>
  <c r="M44" i="1"/>
  <c r="BC44" i="1"/>
  <c r="B45" i="1"/>
  <c r="H45" i="1"/>
  <c r="I45" i="1"/>
  <c r="M45" i="1"/>
  <c r="BC45" i="1"/>
  <c r="B46" i="1"/>
  <c r="H46" i="1"/>
  <c r="I46" i="1"/>
  <c r="M46" i="1"/>
  <c r="BC46" i="1"/>
  <c r="B47" i="1"/>
  <c r="H47" i="1"/>
  <c r="I47" i="1"/>
  <c r="M47" i="1"/>
  <c r="BC47" i="1"/>
  <c r="B48" i="1"/>
  <c r="H48" i="1"/>
  <c r="I48" i="1"/>
  <c r="M48" i="1"/>
  <c r="BC48" i="1"/>
  <c r="B49" i="1"/>
  <c r="H49" i="1"/>
  <c r="I49" i="1"/>
  <c r="M49" i="1"/>
  <c r="BC49" i="1"/>
  <c r="B50" i="1"/>
  <c r="C50" i="1"/>
  <c r="G50" i="1" s="1"/>
  <c r="H50" i="1"/>
  <c r="I50" i="1"/>
  <c r="M50" i="1"/>
  <c r="BC50" i="1"/>
  <c r="B51" i="1"/>
  <c r="C51" i="1"/>
  <c r="G51" i="1" s="1"/>
  <c r="H51" i="1"/>
  <c r="I51" i="1"/>
  <c r="M51" i="1"/>
  <c r="AH51" i="1"/>
  <c r="AI51" i="1"/>
  <c r="AJ51" i="1"/>
  <c r="AK51" i="1"/>
  <c r="AL51" i="1"/>
  <c r="AM51" i="1"/>
  <c r="AN51" i="1"/>
  <c r="BB51" i="1"/>
  <c r="BC51" i="1"/>
  <c r="B52" i="1"/>
  <c r="C52" i="1"/>
  <c r="G52" i="1"/>
  <c r="H52" i="1"/>
  <c r="I52" i="1"/>
  <c r="M52" i="1"/>
  <c r="AH52" i="1"/>
  <c r="AI52" i="1"/>
  <c r="AJ52" i="1"/>
  <c r="AK52" i="1"/>
  <c r="AL52" i="1"/>
  <c r="AM52" i="1"/>
  <c r="AN52" i="1"/>
  <c r="BB52" i="1"/>
  <c r="BC52" i="1"/>
  <c r="B53" i="1"/>
  <c r="C53" i="1"/>
  <c r="G53" i="1" s="1"/>
  <c r="H53" i="1"/>
  <c r="I53" i="1"/>
  <c r="M53" i="1"/>
  <c r="AH53" i="1"/>
  <c r="AI53" i="1"/>
  <c r="AJ53" i="1"/>
  <c r="AK53" i="1"/>
  <c r="AL53" i="1"/>
  <c r="AM53" i="1"/>
  <c r="AN53" i="1"/>
  <c r="BB53" i="1"/>
  <c r="BC53" i="1"/>
  <c r="B54" i="1"/>
  <c r="C54" i="1"/>
  <c r="G54" i="1" s="1"/>
  <c r="H54" i="1"/>
  <c r="I54" i="1"/>
  <c r="M54" i="1"/>
  <c r="AH54" i="1"/>
  <c r="AI54" i="1"/>
  <c r="AJ54" i="1"/>
  <c r="AK54" i="1"/>
  <c r="AL54" i="1"/>
  <c r="AM54" i="1"/>
  <c r="AN54" i="1"/>
  <c r="BB54" i="1"/>
  <c r="BC54" i="1"/>
  <c r="B55" i="1"/>
  <c r="C55" i="1"/>
  <c r="G55" i="1" s="1"/>
  <c r="H55" i="1"/>
  <c r="I55" i="1"/>
  <c r="M55" i="1"/>
  <c r="AH55" i="1"/>
  <c r="AI55" i="1"/>
  <c r="AJ55" i="1"/>
  <c r="AK55" i="1"/>
  <c r="AL55" i="1"/>
  <c r="AM55" i="1"/>
  <c r="AN55" i="1"/>
  <c r="BB55" i="1"/>
  <c r="BC55" i="1"/>
  <c r="B56" i="1"/>
  <c r="H56" i="1"/>
  <c r="I56" i="1"/>
  <c r="M56" i="1"/>
  <c r="AH56" i="1"/>
  <c r="AI56" i="1"/>
  <c r="AJ56" i="1"/>
  <c r="AK56" i="1"/>
  <c r="AL56" i="1"/>
  <c r="AM56" i="1"/>
  <c r="AN56" i="1"/>
  <c r="BB56" i="1"/>
  <c r="BC56" i="1"/>
  <c r="B57" i="1"/>
  <c r="C57" i="1"/>
  <c r="G57" i="1"/>
  <c r="H57" i="1"/>
  <c r="I57" i="1"/>
  <c r="M57" i="1"/>
  <c r="AH57" i="1"/>
  <c r="AI57" i="1"/>
  <c r="AJ57" i="1"/>
  <c r="AK57" i="1"/>
  <c r="AL57" i="1"/>
  <c r="AM57" i="1"/>
  <c r="AN57" i="1"/>
  <c r="BB57" i="1"/>
  <c r="BC57" i="1"/>
  <c r="B58" i="1"/>
  <c r="C58" i="1"/>
  <c r="G58" i="1" s="1"/>
  <c r="H58" i="1"/>
  <c r="I58" i="1"/>
  <c r="M58" i="1"/>
  <c r="AH58" i="1"/>
  <c r="AI58" i="1"/>
  <c r="AJ58" i="1"/>
  <c r="AK58" i="1"/>
  <c r="AL58" i="1"/>
  <c r="AM58" i="1"/>
  <c r="AN58" i="1"/>
  <c r="BB58" i="1"/>
  <c r="BC58" i="1"/>
  <c r="B59" i="1"/>
  <c r="C59" i="1" s="1"/>
  <c r="G59" i="1" s="1"/>
  <c r="H59" i="1"/>
  <c r="I59" i="1"/>
  <c r="M59" i="1"/>
  <c r="AH59" i="1"/>
  <c r="AI59" i="1"/>
  <c r="AJ59" i="1"/>
  <c r="AK59" i="1"/>
  <c r="AL59" i="1"/>
  <c r="AM59" i="1"/>
  <c r="AN59" i="1"/>
  <c r="BB59" i="1"/>
  <c r="BC59" i="1"/>
  <c r="B60" i="1"/>
  <c r="C60" i="1"/>
  <c r="G60" i="1"/>
  <c r="H60" i="1"/>
  <c r="I60" i="1"/>
  <c r="M60" i="1"/>
  <c r="AH60" i="1"/>
  <c r="AI60" i="1"/>
  <c r="AJ60" i="1"/>
  <c r="AK60" i="1"/>
  <c r="AL60" i="1"/>
  <c r="AM60" i="1"/>
  <c r="AN60" i="1"/>
  <c r="BB60" i="1"/>
  <c r="BC60" i="1"/>
  <c r="B61" i="1"/>
  <c r="C61" i="1"/>
  <c r="G61" i="1" s="1"/>
  <c r="H61" i="1"/>
  <c r="I61" i="1"/>
  <c r="M61" i="1"/>
  <c r="AH61" i="1"/>
  <c r="AI61" i="1"/>
  <c r="AJ61" i="1"/>
  <c r="AK61" i="1"/>
  <c r="AL61" i="1"/>
  <c r="AM61" i="1"/>
  <c r="AN61" i="1"/>
  <c r="BB61" i="1"/>
  <c r="BC61" i="1"/>
  <c r="B62" i="1"/>
  <c r="C62" i="1"/>
  <c r="G62" i="1"/>
  <c r="H62" i="1"/>
  <c r="I62" i="1"/>
  <c r="M62" i="1"/>
  <c r="AH62" i="1"/>
  <c r="AI62" i="1"/>
  <c r="AJ62" i="1"/>
  <c r="AK62" i="1"/>
  <c r="AL62" i="1"/>
  <c r="AM62" i="1"/>
  <c r="AN62" i="1"/>
  <c r="BB62" i="1"/>
  <c r="BC62" i="1"/>
  <c r="B63" i="1"/>
  <c r="C63" i="1"/>
  <c r="G63" i="1" s="1"/>
  <c r="H63" i="1"/>
  <c r="I63" i="1"/>
  <c r="M63" i="1"/>
  <c r="AH63" i="1"/>
  <c r="AI63" i="1"/>
  <c r="AJ63" i="1"/>
  <c r="AK63" i="1"/>
  <c r="AL63" i="1"/>
  <c r="AM63" i="1"/>
  <c r="AN63" i="1"/>
  <c r="BB63" i="1"/>
  <c r="BC63" i="1"/>
  <c r="B64" i="1"/>
  <c r="C64" i="1"/>
  <c r="G64" i="1"/>
  <c r="H64" i="1"/>
  <c r="I64" i="1"/>
  <c r="M64" i="1"/>
  <c r="AH64" i="1"/>
  <c r="AI64" i="1"/>
  <c r="AJ64" i="1"/>
  <c r="AK64" i="1"/>
  <c r="AL64" i="1"/>
  <c r="AM64" i="1"/>
  <c r="AN64" i="1"/>
  <c r="BB64" i="1"/>
  <c r="BC64" i="1"/>
  <c r="B65" i="1"/>
  <c r="C65" i="1"/>
  <c r="G65" i="1" s="1"/>
  <c r="H65" i="1"/>
  <c r="I65" i="1"/>
  <c r="M65" i="1"/>
  <c r="AH65" i="1"/>
  <c r="AI65" i="1"/>
  <c r="AJ65" i="1"/>
  <c r="AK65" i="1"/>
  <c r="AL65" i="1"/>
  <c r="AM65" i="1"/>
  <c r="AN65" i="1"/>
  <c r="BB65" i="1"/>
  <c r="BC65" i="1"/>
  <c r="B66" i="1"/>
  <c r="C66" i="1"/>
  <c r="G66" i="1"/>
  <c r="H66" i="1"/>
  <c r="I66" i="1"/>
  <c r="M66" i="1"/>
  <c r="AH66" i="1"/>
  <c r="AI66" i="1"/>
  <c r="AJ66" i="1"/>
  <c r="AK66" i="1"/>
  <c r="AL66" i="1"/>
  <c r="AM66" i="1"/>
  <c r="AN66" i="1"/>
  <c r="BB66" i="1"/>
  <c r="BC66" i="1"/>
  <c r="B67" i="1"/>
  <c r="C67" i="1" s="1"/>
  <c r="G67" i="1" s="1"/>
  <c r="H67" i="1"/>
  <c r="I67" i="1"/>
  <c r="M67" i="1"/>
  <c r="AH67" i="1"/>
  <c r="AI67" i="1"/>
  <c r="AJ67" i="1"/>
  <c r="AK67" i="1"/>
  <c r="AL67" i="1"/>
  <c r="AM67" i="1"/>
  <c r="AN67" i="1"/>
  <c r="BB67" i="1"/>
  <c r="BC67" i="1"/>
  <c r="B68" i="1"/>
  <c r="C68" i="1"/>
  <c r="G68" i="1" s="1"/>
  <c r="H68" i="1"/>
  <c r="I68" i="1"/>
  <c r="M68" i="1"/>
  <c r="AH68" i="1"/>
  <c r="AI68" i="1"/>
  <c r="AJ68" i="1"/>
  <c r="AK68" i="1"/>
  <c r="AL68" i="1"/>
  <c r="AM68" i="1"/>
  <c r="AN68" i="1"/>
  <c r="BB68" i="1"/>
  <c r="BC68" i="1"/>
  <c r="B69" i="1"/>
  <c r="C69" i="1" s="1"/>
  <c r="G69" i="1" s="1"/>
  <c r="H69" i="1"/>
  <c r="I69" i="1"/>
  <c r="M69" i="1"/>
  <c r="AH69" i="1"/>
  <c r="AI69" i="1"/>
  <c r="AJ69" i="1"/>
  <c r="AK69" i="1"/>
  <c r="AL69" i="1"/>
  <c r="AM69" i="1"/>
  <c r="AN69" i="1"/>
  <c r="BB69" i="1"/>
  <c r="BC69" i="1"/>
  <c r="B70" i="1"/>
  <c r="C70" i="1"/>
  <c r="G70" i="1" s="1"/>
  <c r="H70" i="1"/>
  <c r="I70" i="1"/>
  <c r="M70" i="1"/>
  <c r="AH70" i="1"/>
  <c r="AI70" i="1"/>
  <c r="AJ70" i="1"/>
  <c r="AK70" i="1"/>
  <c r="AL70" i="1"/>
  <c r="AM70" i="1"/>
  <c r="AN70" i="1"/>
  <c r="BB70" i="1"/>
  <c r="BC70" i="1"/>
  <c r="B71" i="1"/>
  <c r="C71" i="1"/>
  <c r="G71" i="1" s="1"/>
  <c r="H71" i="1"/>
  <c r="I71" i="1"/>
  <c r="M71" i="1"/>
  <c r="AH71" i="1"/>
  <c r="AI71" i="1"/>
  <c r="AJ71" i="1"/>
  <c r="AK71" i="1"/>
  <c r="AL71" i="1"/>
  <c r="AM71" i="1"/>
  <c r="AN71" i="1"/>
  <c r="BB71" i="1"/>
  <c r="BC71" i="1"/>
  <c r="B72" i="1"/>
  <c r="C72" i="1"/>
  <c r="G72" i="1"/>
  <c r="H72" i="1"/>
  <c r="I72" i="1"/>
  <c r="M72" i="1"/>
  <c r="AH72" i="1"/>
  <c r="AI72" i="1"/>
  <c r="AJ72" i="1"/>
  <c r="AK72" i="1"/>
  <c r="AL72" i="1"/>
  <c r="AM72" i="1"/>
  <c r="AN72" i="1"/>
  <c r="BB72" i="1"/>
  <c r="BC72" i="1"/>
  <c r="B73" i="1"/>
  <c r="H73" i="1"/>
  <c r="I73" i="1"/>
  <c r="M73" i="1"/>
  <c r="AH73" i="1"/>
  <c r="AI73" i="1"/>
  <c r="AJ73" i="1"/>
  <c r="AK73" i="1"/>
  <c r="AL73" i="1"/>
  <c r="AM73" i="1"/>
  <c r="AN73" i="1"/>
  <c r="BB73" i="1"/>
  <c r="BC73" i="1"/>
  <c r="B74" i="1"/>
  <c r="C74" i="1"/>
  <c r="G74" i="1"/>
  <c r="H74" i="1"/>
  <c r="I74" i="1"/>
  <c r="M74" i="1"/>
  <c r="AH74" i="1"/>
  <c r="AI74" i="1"/>
  <c r="AJ74" i="1"/>
  <c r="AK74" i="1"/>
  <c r="AL74" i="1"/>
  <c r="AM74" i="1"/>
  <c r="AN74" i="1"/>
  <c r="BB74" i="1"/>
  <c r="BC74" i="1"/>
  <c r="B75" i="1"/>
  <c r="C75" i="1"/>
  <c r="G75" i="1" s="1"/>
  <c r="H75" i="1"/>
  <c r="I75" i="1"/>
  <c r="M75" i="1"/>
  <c r="AH75" i="1"/>
  <c r="AI75" i="1"/>
  <c r="AJ75" i="1"/>
  <c r="AK75" i="1"/>
  <c r="AL75" i="1"/>
  <c r="AM75" i="1"/>
  <c r="AN75" i="1"/>
  <c r="BB75" i="1"/>
  <c r="BC75" i="1"/>
  <c r="B76" i="1"/>
  <c r="C76" i="1"/>
  <c r="G76" i="1" s="1"/>
  <c r="H76" i="1"/>
  <c r="I76" i="1"/>
  <c r="M76" i="1"/>
  <c r="AH76" i="1"/>
  <c r="AI76" i="1"/>
  <c r="AJ76" i="1"/>
  <c r="AK76" i="1"/>
  <c r="AL76" i="1"/>
  <c r="AM76" i="1"/>
  <c r="AN76" i="1"/>
  <c r="BB76" i="1"/>
  <c r="BC76" i="1"/>
  <c r="B77" i="1"/>
  <c r="C77" i="1" s="1"/>
  <c r="G77" i="1" s="1"/>
  <c r="H77" i="1"/>
  <c r="I77" i="1"/>
  <c r="M77" i="1"/>
  <c r="AH77" i="1"/>
  <c r="AI77" i="1"/>
  <c r="AJ77" i="1"/>
  <c r="AK77" i="1"/>
  <c r="AL77" i="1"/>
  <c r="AM77" i="1"/>
  <c r="AN77" i="1"/>
  <c r="BB77" i="1"/>
  <c r="BC77" i="1"/>
  <c r="B78" i="1"/>
  <c r="C78" i="1"/>
  <c r="G78" i="1"/>
  <c r="H78" i="1"/>
  <c r="I78" i="1"/>
  <c r="M78" i="1"/>
  <c r="AH78" i="1"/>
  <c r="AI78" i="1"/>
  <c r="AJ78" i="1"/>
  <c r="AK78" i="1"/>
  <c r="AL78" i="1"/>
  <c r="AM78" i="1"/>
  <c r="AN78" i="1"/>
  <c r="BB78" i="1"/>
  <c r="BC78" i="1"/>
  <c r="B79" i="1"/>
  <c r="C79" i="1" s="1"/>
  <c r="G79" i="1" s="1"/>
  <c r="H79" i="1"/>
  <c r="I79" i="1"/>
  <c r="M79" i="1"/>
  <c r="AH79" i="1"/>
  <c r="AI79" i="1"/>
  <c r="AJ79" i="1"/>
  <c r="AK79" i="1"/>
  <c r="AL79" i="1"/>
  <c r="AM79" i="1"/>
  <c r="AN79" i="1"/>
  <c r="BB79" i="1"/>
  <c r="BC79" i="1"/>
  <c r="B80" i="1"/>
  <c r="C80" i="1" s="1"/>
  <c r="G80" i="1" s="1"/>
  <c r="H80" i="1"/>
  <c r="I80" i="1"/>
  <c r="M80" i="1"/>
  <c r="AH80" i="1"/>
  <c r="AI80" i="1"/>
  <c r="AJ80" i="1"/>
  <c r="AK80" i="1"/>
  <c r="AL80" i="1"/>
  <c r="AM80" i="1"/>
  <c r="AN80" i="1"/>
  <c r="BB80" i="1"/>
  <c r="BC80" i="1"/>
  <c r="B81" i="1"/>
  <c r="C81" i="1"/>
  <c r="G81" i="1" s="1"/>
  <c r="H81" i="1"/>
  <c r="I81" i="1"/>
  <c r="M81" i="1"/>
  <c r="AH81" i="1"/>
  <c r="AI81" i="1"/>
  <c r="AJ81" i="1"/>
  <c r="AK81" i="1"/>
  <c r="AL81" i="1"/>
  <c r="AM81" i="1"/>
  <c r="AN81" i="1"/>
  <c r="BB81" i="1"/>
  <c r="BC81" i="1"/>
  <c r="B82" i="1"/>
  <c r="C82" i="1"/>
  <c r="G82" i="1"/>
  <c r="H82" i="1"/>
  <c r="I82" i="1"/>
  <c r="M82" i="1"/>
  <c r="AH82" i="1"/>
  <c r="AI82" i="1"/>
  <c r="AJ82" i="1"/>
  <c r="AK82" i="1"/>
  <c r="AL82" i="1"/>
  <c r="AM82" i="1"/>
  <c r="AN82" i="1"/>
  <c r="BB82" i="1"/>
  <c r="BC82" i="1"/>
  <c r="B83" i="1"/>
  <c r="H83" i="1"/>
  <c r="I83" i="1"/>
  <c r="M83" i="1"/>
  <c r="AH83" i="1"/>
  <c r="AI83" i="1"/>
  <c r="AJ83" i="1"/>
  <c r="AK83" i="1"/>
  <c r="AL83" i="1"/>
  <c r="AM83" i="1"/>
  <c r="AN83" i="1"/>
  <c r="BB83" i="1"/>
  <c r="BC83" i="1"/>
  <c r="B84" i="1"/>
  <c r="C84" i="1" s="1"/>
  <c r="G84" i="1" s="1"/>
  <c r="H84" i="1"/>
  <c r="I84" i="1"/>
  <c r="M84" i="1"/>
  <c r="AH84" i="1"/>
  <c r="AI84" i="1"/>
  <c r="AJ84" i="1"/>
  <c r="AK84" i="1"/>
  <c r="AL84" i="1"/>
  <c r="AM84" i="1"/>
  <c r="AN84" i="1"/>
  <c r="BB84" i="1"/>
  <c r="BC84" i="1"/>
  <c r="B85" i="1"/>
  <c r="C85" i="1" s="1"/>
  <c r="G85" i="1" s="1"/>
  <c r="H85" i="1"/>
  <c r="I85" i="1"/>
  <c r="M85" i="1"/>
  <c r="AH85" i="1"/>
  <c r="AI85" i="1"/>
  <c r="AJ85" i="1"/>
  <c r="AK85" i="1"/>
  <c r="AL85" i="1"/>
  <c r="AM85" i="1"/>
  <c r="AN85" i="1"/>
  <c r="BB85" i="1"/>
  <c r="BC85" i="1"/>
  <c r="B86" i="1"/>
  <c r="C86" i="1"/>
  <c r="G86" i="1"/>
  <c r="H86" i="1"/>
  <c r="I86" i="1"/>
  <c r="M86" i="1"/>
  <c r="AH86" i="1"/>
  <c r="AI86" i="1"/>
  <c r="AJ86" i="1"/>
  <c r="AK86" i="1"/>
  <c r="AL86" i="1"/>
  <c r="AM86" i="1"/>
  <c r="AN86" i="1"/>
  <c r="BB86" i="1"/>
  <c r="BC86" i="1"/>
  <c r="B87" i="1"/>
  <c r="C87" i="1" s="1"/>
  <c r="G87" i="1" s="1"/>
  <c r="H87" i="1"/>
  <c r="I87" i="1"/>
  <c r="M87" i="1"/>
  <c r="AH87" i="1"/>
  <c r="AI87" i="1"/>
  <c r="AJ87" i="1"/>
  <c r="AK87" i="1"/>
  <c r="AL87" i="1"/>
  <c r="AM87" i="1"/>
  <c r="AN87" i="1"/>
  <c r="BB87" i="1"/>
  <c r="BC87" i="1"/>
  <c r="B88" i="1"/>
  <c r="H88" i="1"/>
  <c r="I88" i="1"/>
  <c r="M88" i="1"/>
  <c r="AH88" i="1"/>
  <c r="AI88" i="1"/>
  <c r="AJ88" i="1"/>
  <c r="AK88" i="1"/>
  <c r="AL88" i="1"/>
  <c r="AM88" i="1"/>
  <c r="AN88" i="1"/>
  <c r="BB88" i="1"/>
  <c r="BC88" i="1"/>
  <c r="B89" i="1"/>
  <c r="C89" i="1" s="1"/>
  <c r="G89" i="1" s="1"/>
  <c r="H89" i="1"/>
  <c r="I89" i="1"/>
  <c r="M89" i="1"/>
  <c r="AH89" i="1"/>
  <c r="AI89" i="1"/>
  <c r="AJ89" i="1"/>
  <c r="AK89" i="1"/>
  <c r="AL89" i="1"/>
  <c r="AM89" i="1"/>
  <c r="AN89" i="1"/>
  <c r="BB89" i="1"/>
  <c r="BC89" i="1"/>
  <c r="B90" i="1"/>
  <c r="C90" i="1"/>
  <c r="G90" i="1"/>
  <c r="H90" i="1"/>
  <c r="I90" i="1"/>
  <c r="M90" i="1"/>
  <c r="AH90" i="1"/>
  <c r="AI90" i="1"/>
  <c r="AJ90" i="1"/>
  <c r="AK90" i="1"/>
  <c r="AL90" i="1"/>
  <c r="AM90" i="1"/>
  <c r="AN90" i="1"/>
  <c r="BB90" i="1"/>
  <c r="BC90" i="1"/>
  <c r="B91" i="1"/>
  <c r="C91" i="1" s="1"/>
  <c r="G91" i="1" s="1"/>
  <c r="H91" i="1"/>
  <c r="I91" i="1"/>
  <c r="M91" i="1"/>
  <c r="AH91" i="1"/>
  <c r="AI91" i="1"/>
  <c r="AJ91" i="1"/>
  <c r="AK91" i="1"/>
  <c r="AL91" i="1"/>
  <c r="AM91" i="1"/>
  <c r="AN91" i="1"/>
  <c r="BB91" i="1"/>
  <c r="BC91" i="1"/>
  <c r="B92" i="1"/>
  <c r="H92" i="1"/>
  <c r="I92" i="1"/>
  <c r="M92" i="1"/>
  <c r="AH92" i="1"/>
  <c r="AI92" i="1"/>
  <c r="AJ92" i="1"/>
  <c r="AK92" i="1"/>
  <c r="AL92" i="1"/>
  <c r="AM92" i="1"/>
  <c r="AN92" i="1"/>
  <c r="BB92" i="1"/>
  <c r="BC92" i="1"/>
  <c r="B93" i="1"/>
  <c r="C93" i="1" s="1"/>
  <c r="G93" i="1" s="1"/>
  <c r="H93" i="1"/>
  <c r="I93" i="1"/>
  <c r="M93" i="1"/>
  <c r="AH93" i="1"/>
  <c r="AI93" i="1"/>
  <c r="AJ93" i="1"/>
  <c r="AK93" i="1"/>
  <c r="AL93" i="1"/>
  <c r="AM93" i="1"/>
  <c r="AN93" i="1"/>
  <c r="BB93" i="1"/>
  <c r="BC93" i="1"/>
  <c r="B94" i="1"/>
  <c r="C94" i="1"/>
  <c r="G94" i="1"/>
  <c r="H94" i="1"/>
  <c r="I94" i="1"/>
  <c r="M94" i="1"/>
  <c r="AH94" i="1"/>
  <c r="AI94" i="1"/>
  <c r="AJ94" i="1"/>
  <c r="AK94" i="1"/>
  <c r="AL94" i="1"/>
  <c r="AM94" i="1"/>
  <c r="AN94" i="1"/>
  <c r="BB94" i="1"/>
  <c r="BC94" i="1"/>
  <c r="B95" i="1"/>
  <c r="C95" i="1" s="1"/>
  <c r="G95" i="1" s="1"/>
  <c r="H95" i="1"/>
  <c r="I95" i="1"/>
  <c r="M95" i="1"/>
  <c r="AH95" i="1"/>
  <c r="AI95" i="1"/>
  <c r="AJ95" i="1"/>
  <c r="AK95" i="1"/>
  <c r="AL95" i="1"/>
  <c r="AM95" i="1"/>
  <c r="AN95" i="1"/>
  <c r="BB95" i="1"/>
  <c r="BC95" i="1"/>
  <c r="B96" i="1"/>
  <c r="C96" i="1"/>
  <c r="G96" i="1" s="1"/>
  <c r="H96" i="1"/>
  <c r="I96" i="1"/>
  <c r="M96" i="1"/>
  <c r="AH96" i="1"/>
  <c r="AI96" i="1"/>
  <c r="AJ96" i="1"/>
  <c r="AK96" i="1"/>
  <c r="AL96" i="1"/>
  <c r="AM96" i="1"/>
  <c r="AN96" i="1"/>
  <c r="B97" i="1"/>
  <c r="C97" i="1" s="1"/>
  <c r="G97" i="1" s="1"/>
  <c r="H97" i="1"/>
  <c r="I97" i="1"/>
  <c r="M97" i="1"/>
  <c r="AH97" i="1"/>
  <c r="AI97" i="1"/>
  <c r="AJ97" i="1"/>
  <c r="AK97" i="1"/>
  <c r="AL97" i="1"/>
  <c r="AM97" i="1"/>
  <c r="AN97" i="1"/>
  <c r="B98" i="1"/>
  <c r="C98" i="1" s="1"/>
  <c r="G98" i="1" s="1"/>
  <c r="H98" i="1"/>
  <c r="I98" i="1"/>
  <c r="M98" i="1"/>
  <c r="AH98" i="1"/>
  <c r="AI98" i="1"/>
  <c r="AJ98" i="1"/>
  <c r="AK98" i="1"/>
  <c r="AL98" i="1"/>
  <c r="AM98" i="1"/>
  <c r="AN98" i="1"/>
  <c r="B99" i="1"/>
  <c r="C99" i="1" s="1"/>
  <c r="G99" i="1" s="1"/>
  <c r="H99" i="1"/>
  <c r="I99" i="1"/>
  <c r="M99" i="1"/>
  <c r="AH99" i="1"/>
  <c r="AI99" i="1"/>
  <c r="AJ99" i="1"/>
  <c r="AK99" i="1"/>
  <c r="AL99" i="1"/>
  <c r="AM99" i="1"/>
  <c r="AN99" i="1"/>
  <c r="B100" i="1"/>
  <c r="C100" i="1" s="1"/>
  <c r="G100" i="1" s="1"/>
  <c r="H100" i="1"/>
  <c r="I100" i="1"/>
  <c r="M100" i="1"/>
  <c r="AH100" i="1"/>
  <c r="AI100" i="1"/>
  <c r="AJ100" i="1"/>
  <c r="AK100" i="1"/>
  <c r="AL100" i="1"/>
  <c r="AM100" i="1"/>
  <c r="AN100" i="1"/>
  <c r="B101" i="1"/>
  <c r="C101" i="1"/>
  <c r="G101" i="1" s="1"/>
  <c r="H101" i="1"/>
  <c r="I101" i="1"/>
  <c r="M101" i="1"/>
  <c r="AH101" i="1"/>
  <c r="AI101" i="1"/>
  <c r="AJ101" i="1"/>
  <c r="AK101" i="1"/>
  <c r="AL101" i="1"/>
  <c r="AM101" i="1"/>
  <c r="AN101" i="1"/>
  <c r="B102" i="1"/>
  <c r="C102" i="1" s="1"/>
  <c r="G102" i="1" s="1"/>
  <c r="H102" i="1"/>
  <c r="I102" i="1"/>
  <c r="M102" i="1"/>
  <c r="AH102" i="1"/>
  <c r="AI102" i="1"/>
  <c r="AJ102" i="1"/>
  <c r="AK102" i="1"/>
  <c r="AL102" i="1"/>
  <c r="AM102" i="1"/>
  <c r="AN102" i="1"/>
  <c r="B103" i="1"/>
  <c r="C103" i="1" s="1"/>
  <c r="G103" i="1" s="1"/>
  <c r="H103" i="1"/>
  <c r="I103" i="1"/>
  <c r="M103" i="1"/>
  <c r="AH103" i="1"/>
  <c r="AI103" i="1"/>
  <c r="AJ103" i="1"/>
  <c r="AK103" i="1"/>
  <c r="AL103" i="1"/>
  <c r="AM103" i="1"/>
  <c r="AN103" i="1"/>
  <c r="B104" i="1"/>
  <c r="C104" i="1" s="1"/>
  <c r="G104" i="1" s="1"/>
  <c r="H104" i="1"/>
  <c r="I104" i="1"/>
  <c r="M104" i="1"/>
  <c r="AH104" i="1"/>
  <c r="AI104" i="1"/>
  <c r="AJ104" i="1"/>
  <c r="AK104" i="1"/>
  <c r="AL104" i="1"/>
  <c r="AM104" i="1"/>
  <c r="AN104" i="1"/>
  <c r="B105" i="1"/>
  <c r="C105" i="1" s="1"/>
  <c r="G105" i="1" s="1"/>
  <c r="H105" i="1"/>
  <c r="I105" i="1"/>
  <c r="M105" i="1"/>
  <c r="AH105" i="1"/>
  <c r="AI105" i="1"/>
  <c r="AJ105" i="1"/>
  <c r="AK105" i="1"/>
  <c r="AL105" i="1"/>
  <c r="AM105" i="1"/>
  <c r="AN105" i="1"/>
  <c r="B106" i="1"/>
  <c r="C106" i="1" s="1"/>
  <c r="G106" i="1" s="1"/>
  <c r="H106" i="1"/>
  <c r="I106" i="1"/>
  <c r="M106" i="1"/>
  <c r="AH106" i="1"/>
  <c r="AI106" i="1"/>
  <c r="AJ106" i="1"/>
  <c r="AK106" i="1"/>
  <c r="AL106" i="1"/>
  <c r="AM106" i="1"/>
  <c r="AN106" i="1"/>
  <c r="B107" i="1"/>
  <c r="C107" i="1" s="1"/>
  <c r="G107" i="1" s="1"/>
  <c r="H107" i="1"/>
  <c r="I107" i="1"/>
  <c r="M107" i="1"/>
  <c r="AH107" i="1"/>
  <c r="AI107" i="1"/>
  <c r="AJ107" i="1"/>
  <c r="AK107" i="1"/>
  <c r="AL107" i="1"/>
  <c r="AM107" i="1"/>
  <c r="AN107" i="1"/>
  <c r="B108" i="1"/>
  <c r="C108" i="1" s="1"/>
  <c r="G108" i="1" s="1"/>
  <c r="H108" i="1"/>
  <c r="I108" i="1"/>
  <c r="M108" i="1"/>
  <c r="AH108" i="1"/>
  <c r="AI108" i="1"/>
  <c r="AJ108" i="1"/>
  <c r="AK108" i="1"/>
  <c r="AL108" i="1"/>
  <c r="AM108" i="1"/>
  <c r="AN108" i="1"/>
  <c r="B109" i="1"/>
  <c r="C109" i="1" s="1"/>
  <c r="G109" i="1" s="1"/>
  <c r="H109" i="1"/>
  <c r="I109" i="1"/>
  <c r="M109" i="1"/>
  <c r="AH109" i="1"/>
  <c r="AI109" i="1"/>
  <c r="AJ109" i="1"/>
  <c r="AK109" i="1"/>
  <c r="AL109" i="1"/>
  <c r="AM109" i="1"/>
  <c r="AN109" i="1"/>
  <c r="B110" i="1"/>
  <c r="C110" i="1" s="1"/>
  <c r="G110" i="1" s="1"/>
  <c r="H110" i="1"/>
  <c r="I110" i="1"/>
  <c r="M110" i="1"/>
  <c r="AH110" i="1"/>
  <c r="AI110" i="1"/>
  <c r="AJ110" i="1"/>
  <c r="AK110" i="1"/>
  <c r="AL110" i="1"/>
  <c r="AM110" i="1"/>
  <c r="AN110" i="1"/>
  <c r="B111" i="1"/>
  <c r="C111" i="1" s="1"/>
  <c r="G111" i="1" s="1"/>
  <c r="H111" i="1"/>
  <c r="I111" i="1"/>
  <c r="M111" i="1"/>
  <c r="AH111" i="1"/>
  <c r="AI111" i="1"/>
  <c r="AJ111" i="1"/>
  <c r="AK111" i="1"/>
  <c r="AL111" i="1"/>
  <c r="AM111" i="1"/>
  <c r="AN111" i="1"/>
  <c r="B112" i="1"/>
  <c r="C112" i="1" s="1"/>
  <c r="G112" i="1" s="1"/>
  <c r="H112" i="1"/>
  <c r="I112" i="1"/>
  <c r="M112" i="1"/>
  <c r="AH112" i="1"/>
  <c r="AI112" i="1"/>
  <c r="AJ112" i="1"/>
  <c r="AK112" i="1"/>
  <c r="AL112" i="1"/>
  <c r="AM112" i="1"/>
  <c r="AN112" i="1"/>
  <c r="B113" i="1"/>
  <c r="C113" i="1" s="1"/>
  <c r="G113" i="1" s="1"/>
  <c r="H113" i="1"/>
  <c r="I113" i="1"/>
  <c r="M113" i="1"/>
  <c r="AH113" i="1"/>
  <c r="AI113" i="1"/>
  <c r="AJ113" i="1"/>
  <c r="AK113" i="1"/>
  <c r="AL113" i="1"/>
  <c r="AM113" i="1"/>
  <c r="AN113" i="1"/>
  <c r="B114" i="1"/>
  <c r="C114" i="1" s="1"/>
  <c r="G114" i="1" s="1"/>
  <c r="H114" i="1"/>
  <c r="I114" i="1"/>
  <c r="M114" i="1"/>
  <c r="AH114" i="1"/>
  <c r="AI114" i="1"/>
  <c r="AJ114" i="1"/>
  <c r="AK114" i="1"/>
  <c r="AL114" i="1"/>
  <c r="AM114" i="1"/>
  <c r="AN114" i="1"/>
  <c r="B115" i="1"/>
  <c r="C115" i="1" s="1"/>
  <c r="G115" i="1" s="1"/>
  <c r="H115" i="1"/>
  <c r="I115" i="1"/>
  <c r="M115" i="1"/>
  <c r="AH115" i="1"/>
  <c r="AI115" i="1"/>
  <c r="AJ115" i="1"/>
  <c r="AK115" i="1"/>
  <c r="AL115" i="1"/>
  <c r="AM115" i="1"/>
  <c r="AN115" i="1"/>
  <c r="B116" i="1"/>
  <c r="C116" i="1" s="1"/>
  <c r="G116" i="1" s="1"/>
  <c r="H116" i="1"/>
  <c r="I116" i="1"/>
  <c r="M116" i="1"/>
  <c r="AH116" i="1"/>
  <c r="AI116" i="1"/>
  <c r="AJ116" i="1"/>
  <c r="AK116" i="1"/>
  <c r="AL116" i="1"/>
  <c r="AM116" i="1"/>
  <c r="AN116" i="1"/>
  <c r="B117" i="1"/>
  <c r="C117" i="1" s="1"/>
  <c r="G117" i="1" s="1"/>
  <c r="H117" i="1"/>
  <c r="I117" i="1"/>
  <c r="M117" i="1"/>
  <c r="AH117" i="1"/>
  <c r="AI117" i="1"/>
  <c r="AJ117" i="1"/>
  <c r="AK117" i="1"/>
  <c r="AL117" i="1"/>
  <c r="AM117" i="1"/>
  <c r="AN117" i="1"/>
  <c r="B118" i="1"/>
  <c r="H118" i="1"/>
  <c r="I118" i="1"/>
  <c r="M118" i="1"/>
  <c r="AH118" i="1"/>
  <c r="AI118" i="1"/>
  <c r="AJ118" i="1"/>
  <c r="AK118" i="1"/>
  <c r="AL118" i="1"/>
  <c r="AM118" i="1"/>
  <c r="AN118" i="1"/>
  <c r="B119" i="1"/>
  <c r="H119" i="1"/>
  <c r="I119" i="1"/>
  <c r="M119" i="1"/>
  <c r="AH119" i="1"/>
  <c r="AI119" i="1"/>
  <c r="AJ119" i="1"/>
  <c r="AK119" i="1"/>
  <c r="AL119" i="1"/>
  <c r="AM119" i="1"/>
  <c r="AN119" i="1"/>
  <c r="B120" i="1"/>
  <c r="C120" i="1" s="1"/>
  <c r="G120" i="1" s="1"/>
  <c r="H120" i="1"/>
  <c r="I120" i="1"/>
  <c r="M120" i="1"/>
  <c r="AH120" i="1"/>
  <c r="AI120" i="1"/>
  <c r="AJ120" i="1"/>
  <c r="AK120" i="1"/>
  <c r="AL120" i="1"/>
  <c r="AM120" i="1"/>
  <c r="AN120" i="1"/>
  <c r="B121" i="1"/>
  <c r="H121" i="1"/>
  <c r="I121" i="1"/>
  <c r="M121" i="1"/>
  <c r="AH121" i="1"/>
  <c r="AI121" i="1"/>
  <c r="AJ121" i="1"/>
  <c r="AK121" i="1"/>
  <c r="AL121" i="1"/>
  <c r="AM121" i="1"/>
  <c r="AN121" i="1"/>
  <c r="B122" i="1"/>
  <c r="H122" i="1"/>
  <c r="I122" i="1"/>
  <c r="M122" i="1"/>
  <c r="AH122" i="1"/>
  <c r="AI122" i="1"/>
  <c r="AJ122" i="1"/>
  <c r="AK122" i="1"/>
  <c r="AL122" i="1"/>
  <c r="AM122" i="1"/>
  <c r="AN122" i="1"/>
  <c r="B123" i="1"/>
  <c r="H123" i="1"/>
  <c r="I123" i="1"/>
  <c r="M123" i="1"/>
  <c r="AH123" i="1"/>
  <c r="AI123" i="1"/>
  <c r="AJ123" i="1"/>
  <c r="AK123" i="1"/>
  <c r="AL123" i="1"/>
  <c r="AM123" i="1"/>
  <c r="AN123" i="1"/>
  <c r="B124" i="1"/>
  <c r="H124" i="1"/>
  <c r="I124" i="1"/>
  <c r="M124" i="1"/>
  <c r="AH124" i="1"/>
  <c r="AI124" i="1"/>
  <c r="AJ124" i="1"/>
  <c r="AK124" i="1"/>
  <c r="AL124" i="1"/>
  <c r="AM124" i="1"/>
  <c r="AN124" i="1"/>
  <c r="B125" i="1"/>
  <c r="H125" i="1"/>
  <c r="I125" i="1"/>
  <c r="M125" i="1"/>
  <c r="AH125" i="1"/>
  <c r="AI125" i="1"/>
  <c r="AJ125" i="1"/>
  <c r="AK125" i="1"/>
  <c r="AL125" i="1"/>
  <c r="AM125" i="1"/>
  <c r="AN125" i="1"/>
  <c r="B126" i="1"/>
  <c r="H126" i="1"/>
  <c r="I126" i="1"/>
  <c r="M126" i="1"/>
  <c r="AH126" i="1"/>
  <c r="AI126" i="1"/>
  <c r="AJ126" i="1"/>
  <c r="AK126" i="1"/>
  <c r="AL126" i="1"/>
  <c r="AM126" i="1"/>
  <c r="AN126" i="1"/>
  <c r="B127" i="1"/>
  <c r="H127" i="1"/>
  <c r="I127" i="1"/>
  <c r="M127" i="1"/>
  <c r="AH127" i="1"/>
  <c r="AI127" i="1"/>
  <c r="AJ127" i="1"/>
  <c r="AK127" i="1"/>
  <c r="AL127" i="1"/>
  <c r="AM127" i="1"/>
  <c r="AN127" i="1"/>
  <c r="I128" i="1"/>
  <c r="M128" i="1"/>
  <c r="AH128" i="1"/>
  <c r="AI128" i="1"/>
  <c r="AJ128" i="1"/>
  <c r="AK128" i="1"/>
  <c r="AL128" i="1"/>
  <c r="AM128" i="1"/>
  <c r="AN128" i="1"/>
  <c r="I129" i="1"/>
  <c r="M129" i="1"/>
  <c r="AH129" i="1"/>
  <c r="AI129" i="1"/>
  <c r="AJ129" i="1"/>
  <c r="AK129" i="1"/>
  <c r="AL129" i="1"/>
  <c r="AM129" i="1"/>
  <c r="AN129" i="1"/>
  <c r="I130" i="1"/>
  <c r="M130" i="1"/>
  <c r="AH130" i="1"/>
  <c r="AI130" i="1"/>
  <c r="AJ130" i="1"/>
  <c r="AK130" i="1"/>
  <c r="AL130" i="1"/>
  <c r="AM130" i="1"/>
  <c r="AN130" i="1"/>
  <c r="I131" i="1"/>
  <c r="M131" i="1"/>
  <c r="AH131" i="1"/>
  <c r="AI131" i="1"/>
  <c r="AJ131" i="1"/>
  <c r="AK131" i="1"/>
  <c r="AL131" i="1"/>
  <c r="AM131" i="1"/>
  <c r="AN131" i="1"/>
  <c r="I132" i="1"/>
  <c r="M132" i="1"/>
  <c r="AH132" i="1"/>
  <c r="AI132" i="1"/>
  <c r="AJ132" i="1"/>
  <c r="AK132" i="1"/>
  <c r="AL132" i="1"/>
  <c r="AM132" i="1"/>
  <c r="AN132" i="1"/>
  <c r="I133" i="1"/>
  <c r="M133" i="1"/>
  <c r="AH133" i="1"/>
  <c r="AI133" i="1"/>
  <c r="AJ133" i="1"/>
  <c r="AK133" i="1"/>
  <c r="AL133" i="1"/>
  <c r="AM133" i="1"/>
  <c r="AN133" i="1"/>
  <c r="I134" i="1"/>
  <c r="M134" i="1"/>
  <c r="AH134" i="1"/>
  <c r="AI134" i="1"/>
  <c r="AJ134" i="1"/>
  <c r="AK134" i="1"/>
  <c r="AL134" i="1"/>
  <c r="AM134" i="1"/>
  <c r="AN134" i="1"/>
  <c r="I135" i="1"/>
  <c r="M135" i="1"/>
  <c r="AH135" i="1"/>
  <c r="AI135" i="1"/>
  <c r="AJ135" i="1"/>
  <c r="AK135" i="1"/>
  <c r="AL135" i="1"/>
  <c r="AM135" i="1"/>
  <c r="AN135" i="1"/>
  <c r="I136" i="1"/>
  <c r="M136" i="1"/>
  <c r="AH136" i="1"/>
  <c r="AI136" i="1"/>
  <c r="AJ136" i="1"/>
  <c r="AK136" i="1"/>
  <c r="AL136" i="1"/>
  <c r="AM136" i="1"/>
  <c r="AN136" i="1"/>
  <c r="I137" i="1"/>
  <c r="M137" i="1"/>
  <c r="AH137" i="1"/>
  <c r="AI137" i="1"/>
  <c r="AJ137" i="1"/>
  <c r="AK137" i="1"/>
  <c r="AL137" i="1"/>
  <c r="AM137" i="1"/>
  <c r="AN137" i="1"/>
  <c r="I138" i="1"/>
  <c r="M138" i="1"/>
  <c r="AH138" i="1"/>
  <c r="AI138" i="1"/>
  <c r="AJ138" i="1"/>
  <c r="AK138" i="1"/>
  <c r="AL138" i="1"/>
  <c r="AM138" i="1"/>
  <c r="AN138" i="1"/>
  <c r="I139" i="1"/>
  <c r="M139" i="1"/>
  <c r="AH139" i="1"/>
  <c r="AI139" i="1"/>
  <c r="AJ139" i="1"/>
  <c r="AK139" i="1"/>
  <c r="AL139" i="1"/>
  <c r="AM139" i="1"/>
  <c r="AN139" i="1"/>
  <c r="I140" i="1"/>
  <c r="M140" i="1"/>
  <c r="AH140" i="1"/>
  <c r="AI140" i="1"/>
  <c r="AJ140" i="1"/>
  <c r="AK140" i="1"/>
  <c r="AL140" i="1"/>
  <c r="AM140" i="1"/>
  <c r="AN140" i="1"/>
  <c r="I141" i="1"/>
  <c r="M141" i="1"/>
  <c r="AH141" i="1"/>
  <c r="AI141" i="1"/>
  <c r="AJ141" i="1"/>
  <c r="AK141" i="1"/>
  <c r="AL141" i="1"/>
  <c r="AM141" i="1"/>
  <c r="AN141" i="1"/>
  <c r="I142" i="1"/>
  <c r="M142" i="1"/>
  <c r="AH142" i="1"/>
  <c r="AI142" i="1"/>
  <c r="AJ142" i="1"/>
  <c r="AK142" i="1"/>
  <c r="AL142" i="1"/>
  <c r="AM142" i="1"/>
  <c r="AN142" i="1"/>
  <c r="I143" i="1"/>
  <c r="M143" i="1"/>
  <c r="AH143" i="1"/>
  <c r="AI143" i="1"/>
  <c r="AJ143" i="1"/>
  <c r="AK143" i="1"/>
  <c r="AL143" i="1"/>
  <c r="AM143" i="1"/>
  <c r="AN143" i="1"/>
  <c r="I144" i="1"/>
  <c r="M144" i="1"/>
  <c r="AH144" i="1"/>
  <c r="AI144" i="1"/>
  <c r="AJ144" i="1"/>
  <c r="AK144" i="1"/>
  <c r="AL144" i="1"/>
  <c r="AM144" i="1"/>
  <c r="AN144" i="1"/>
  <c r="I145" i="1"/>
  <c r="M145" i="1"/>
  <c r="AH145" i="1"/>
  <c r="AI145" i="1"/>
  <c r="AJ145" i="1"/>
  <c r="AK145" i="1"/>
  <c r="AL145" i="1"/>
  <c r="AM145" i="1"/>
  <c r="AN145" i="1"/>
  <c r="I146" i="1"/>
  <c r="M146" i="1"/>
  <c r="AH146" i="1"/>
  <c r="AI146" i="1"/>
  <c r="AJ146" i="1"/>
  <c r="AK146" i="1"/>
  <c r="AL146" i="1"/>
  <c r="AM146" i="1"/>
  <c r="AN146" i="1"/>
  <c r="I147" i="1"/>
  <c r="M147" i="1"/>
  <c r="AH147" i="1"/>
  <c r="AI147" i="1"/>
  <c r="AJ147" i="1"/>
  <c r="AK147" i="1"/>
  <c r="AL147" i="1"/>
  <c r="AM147" i="1"/>
  <c r="AN147" i="1"/>
  <c r="I148" i="1"/>
  <c r="M148" i="1"/>
  <c r="AH148" i="1"/>
  <c r="AI148" i="1"/>
  <c r="AJ148" i="1"/>
  <c r="AK148" i="1"/>
  <c r="AL148" i="1"/>
  <c r="AM148" i="1"/>
  <c r="AN148" i="1"/>
  <c r="I149" i="1"/>
  <c r="M149" i="1"/>
  <c r="AH149" i="1"/>
  <c r="AI149" i="1"/>
  <c r="AJ149" i="1"/>
  <c r="AK149" i="1"/>
  <c r="AL149" i="1"/>
  <c r="AM149" i="1"/>
  <c r="AN149" i="1"/>
  <c r="I150" i="1"/>
  <c r="M150" i="1"/>
  <c r="AH150" i="1"/>
  <c r="AI150" i="1"/>
  <c r="AJ150" i="1"/>
  <c r="AK150" i="1"/>
  <c r="AL150" i="1"/>
  <c r="AM150" i="1"/>
  <c r="AN150" i="1"/>
  <c r="I151" i="1"/>
  <c r="M151" i="1"/>
  <c r="AH151" i="1"/>
  <c r="AI151" i="1"/>
  <c r="AJ151" i="1"/>
  <c r="AK151" i="1"/>
  <c r="AL151" i="1"/>
  <c r="AM151" i="1"/>
  <c r="AN151" i="1"/>
  <c r="I152" i="1"/>
  <c r="M152" i="1"/>
  <c r="AH152" i="1"/>
  <c r="AI152" i="1"/>
  <c r="AJ152" i="1"/>
  <c r="AK152" i="1"/>
  <c r="AL152" i="1"/>
  <c r="AM152" i="1"/>
  <c r="AN152" i="1"/>
  <c r="I153" i="1"/>
  <c r="M153" i="1"/>
  <c r="AH153" i="1"/>
  <c r="AI153" i="1"/>
  <c r="AJ153" i="1"/>
  <c r="AK153" i="1"/>
  <c r="AL153" i="1"/>
  <c r="AM153" i="1"/>
  <c r="AN153" i="1"/>
  <c r="I154" i="1"/>
  <c r="M154" i="1"/>
  <c r="AH154" i="1"/>
  <c r="AI154" i="1"/>
  <c r="AJ154" i="1"/>
  <c r="AK154" i="1"/>
  <c r="AL154" i="1"/>
  <c r="AM154" i="1"/>
  <c r="AN154" i="1"/>
  <c r="I155" i="1"/>
  <c r="M155" i="1"/>
  <c r="AH155" i="1"/>
  <c r="AI155" i="1"/>
  <c r="AJ155" i="1"/>
  <c r="AK155" i="1"/>
  <c r="AL155" i="1"/>
  <c r="AM155" i="1"/>
  <c r="AN155" i="1"/>
  <c r="I156" i="1"/>
  <c r="M156" i="1"/>
  <c r="AH156" i="1"/>
  <c r="AI156" i="1"/>
  <c r="AJ156" i="1"/>
  <c r="AK156" i="1"/>
  <c r="AL156" i="1"/>
  <c r="AM156" i="1"/>
  <c r="AN156" i="1"/>
  <c r="I157" i="1"/>
  <c r="M157" i="1"/>
  <c r="AH157" i="1"/>
  <c r="AI157" i="1"/>
  <c r="AJ157" i="1"/>
  <c r="AK157" i="1"/>
  <c r="AL157" i="1"/>
  <c r="AM157" i="1"/>
  <c r="AN157" i="1"/>
  <c r="I158" i="1"/>
  <c r="M158" i="1"/>
  <c r="AH158" i="1"/>
  <c r="AI158" i="1"/>
  <c r="AJ158" i="1"/>
  <c r="AK158" i="1"/>
  <c r="AL158" i="1"/>
  <c r="AM158" i="1"/>
  <c r="AN158" i="1"/>
  <c r="I159" i="1"/>
  <c r="M159" i="1"/>
  <c r="AH159" i="1"/>
  <c r="AI159" i="1"/>
  <c r="AJ159" i="1"/>
  <c r="AK159" i="1"/>
  <c r="AL159" i="1"/>
  <c r="AM159" i="1"/>
  <c r="AN159" i="1"/>
  <c r="I160" i="1"/>
  <c r="M160" i="1"/>
  <c r="AH160" i="1"/>
  <c r="AI160" i="1"/>
  <c r="AJ160" i="1"/>
  <c r="AK160" i="1"/>
  <c r="AL160" i="1"/>
  <c r="AM160" i="1"/>
  <c r="AN160" i="1"/>
  <c r="I161" i="1"/>
  <c r="M161" i="1"/>
  <c r="AH161" i="1"/>
  <c r="AI161" i="1"/>
  <c r="AJ161" i="1"/>
  <c r="AK161" i="1"/>
  <c r="AL161" i="1"/>
  <c r="AM161" i="1"/>
  <c r="AN161" i="1"/>
  <c r="I162" i="1"/>
  <c r="M162" i="1"/>
  <c r="AH162" i="1"/>
  <c r="AI162" i="1"/>
  <c r="AJ162" i="1"/>
  <c r="AK162" i="1"/>
  <c r="AL162" i="1"/>
  <c r="AM162" i="1"/>
  <c r="AN162" i="1"/>
  <c r="I163" i="1"/>
  <c r="M163" i="1"/>
  <c r="AH163" i="1"/>
  <c r="AI163" i="1"/>
  <c r="AJ163" i="1"/>
  <c r="AK163" i="1"/>
  <c r="AL163" i="1"/>
  <c r="AM163" i="1"/>
  <c r="AN163" i="1"/>
  <c r="I164" i="1"/>
  <c r="M164" i="1"/>
  <c r="AH164" i="1"/>
  <c r="AI164" i="1"/>
  <c r="AJ164" i="1"/>
  <c r="AK164" i="1"/>
  <c r="AL164" i="1"/>
  <c r="AM164" i="1"/>
  <c r="AN164" i="1"/>
  <c r="I165" i="1"/>
  <c r="M165" i="1"/>
  <c r="AH165" i="1"/>
  <c r="AI165" i="1"/>
  <c r="AJ165" i="1"/>
  <c r="AK165" i="1"/>
  <c r="AL165" i="1"/>
  <c r="AM165" i="1"/>
  <c r="AN165" i="1"/>
  <c r="I166" i="1"/>
  <c r="M166" i="1"/>
  <c r="AH166" i="1"/>
  <c r="AI166" i="1"/>
  <c r="AJ166" i="1"/>
  <c r="AK166" i="1"/>
  <c r="AL166" i="1"/>
  <c r="AM166" i="1"/>
  <c r="AN166" i="1"/>
  <c r="I167" i="1"/>
  <c r="M167" i="1"/>
  <c r="AH167" i="1"/>
  <c r="AI167" i="1"/>
  <c r="AJ167" i="1"/>
  <c r="AK167" i="1"/>
  <c r="AL167" i="1"/>
  <c r="AM167" i="1"/>
  <c r="AN167" i="1"/>
  <c r="I168" i="1"/>
  <c r="M168" i="1"/>
  <c r="AH168" i="1"/>
  <c r="AI168" i="1"/>
  <c r="AJ168" i="1"/>
  <c r="AK168" i="1"/>
  <c r="AL168" i="1"/>
  <c r="AM168" i="1"/>
  <c r="AN168" i="1"/>
  <c r="I169" i="1"/>
  <c r="M169" i="1"/>
  <c r="AH169" i="1"/>
  <c r="AI169" i="1"/>
  <c r="AJ169" i="1"/>
  <c r="AK169" i="1"/>
  <c r="AL169" i="1"/>
  <c r="AM169" i="1"/>
  <c r="AN169" i="1"/>
  <c r="I170" i="1"/>
  <c r="M170" i="1"/>
  <c r="AH170" i="1"/>
  <c r="AI170" i="1"/>
  <c r="AJ170" i="1"/>
  <c r="AK170" i="1"/>
  <c r="AL170" i="1"/>
  <c r="AM170" i="1"/>
  <c r="AN170" i="1"/>
  <c r="I171" i="1"/>
  <c r="M171" i="1"/>
  <c r="AH171" i="1"/>
  <c r="AI171" i="1"/>
  <c r="AJ171" i="1"/>
  <c r="AK171" i="1"/>
  <c r="AL171" i="1"/>
  <c r="AM171" i="1"/>
  <c r="AN171" i="1"/>
  <c r="I172" i="1"/>
  <c r="M172" i="1"/>
  <c r="AH172" i="1"/>
  <c r="AI172" i="1"/>
  <c r="AJ172" i="1"/>
  <c r="AK172" i="1"/>
  <c r="AL172" i="1"/>
  <c r="AM172" i="1"/>
  <c r="AN172" i="1"/>
  <c r="I173" i="1"/>
  <c r="M173" i="1"/>
  <c r="AH173" i="1"/>
  <c r="AI173" i="1"/>
  <c r="AJ173" i="1"/>
  <c r="AK173" i="1"/>
  <c r="AL173" i="1"/>
  <c r="AM173" i="1"/>
  <c r="AN173" i="1"/>
  <c r="I174" i="1"/>
  <c r="M174" i="1"/>
  <c r="AH174" i="1"/>
  <c r="AI174" i="1"/>
  <c r="AJ174" i="1"/>
  <c r="AK174" i="1"/>
  <c r="AL174" i="1"/>
  <c r="AM174" i="1"/>
  <c r="AN174" i="1"/>
  <c r="I175" i="1"/>
  <c r="M175" i="1"/>
  <c r="AH175" i="1"/>
  <c r="AI175" i="1"/>
  <c r="AJ175" i="1"/>
  <c r="AK175" i="1"/>
  <c r="AL175" i="1"/>
  <c r="AM175" i="1"/>
  <c r="AN175" i="1"/>
  <c r="I176" i="1"/>
  <c r="M176" i="1"/>
  <c r="AH176" i="1"/>
  <c r="AI176" i="1"/>
  <c r="AJ176" i="1"/>
  <c r="AK176" i="1"/>
  <c r="AL176" i="1"/>
  <c r="AM176" i="1"/>
  <c r="AN176" i="1"/>
  <c r="I177" i="1"/>
  <c r="M177" i="1"/>
  <c r="AH177" i="1"/>
  <c r="AI177" i="1"/>
  <c r="AJ177" i="1"/>
  <c r="AK177" i="1"/>
  <c r="AL177" i="1"/>
  <c r="AM177" i="1"/>
  <c r="AN177" i="1"/>
  <c r="I178" i="1"/>
  <c r="M178" i="1"/>
  <c r="AH178" i="1"/>
  <c r="AI178" i="1"/>
  <c r="AJ178" i="1"/>
  <c r="AK178" i="1"/>
  <c r="AL178" i="1"/>
  <c r="AM178" i="1"/>
  <c r="AN178" i="1"/>
  <c r="I179" i="1"/>
  <c r="M179" i="1"/>
  <c r="AH179" i="1"/>
  <c r="AI179" i="1"/>
  <c r="AJ179" i="1"/>
  <c r="AK179" i="1"/>
  <c r="AL179" i="1"/>
  <c r="AM179" i="1"/>
  <c r="AN179" i="1"/>
  <c r="I180" i="1"/>
  <c r="M180" i="1"/>
  <c r="AH180" i="1"/>
  <c r="AI180" i="1"/>
  <c r="AJ180" i="1"/>
  <c r="AK180" i="1"/>
  <c r="AL180" i="1"/>
  <c r="AM180" i="1"/>
  <c r="AN180" i="1"/>
  <c r="I181" i="1"/>
  <c r="M181" i="1"/>
  <c r="AH181" i="1"/>
  <c r="AI181" i="1"/>
  <c r="AJ181" i="1"/>
  <c r="AK181" i="1"/>
  <c r="AL181" i="1"/>
  <c r="AM181" i="1"/>
  <c r="AN181" i="1"/>
  <c r="I182" i="1"/>
  <c r="M182" i="1"/>
  <c r="I183" i="1"/>
  <c r="M183" i="1"/>
  <c r="I184" i="1"/>
  <c r="M184" i="1"/>
  <c r="I185" i="1"/>
  <c r="M185" i="1"/>
  <c r="I186" i="1"/>
  <c r="M186" i="1"/>
  <c r="I187" i="1"/>
  <c r="M187" i="1"/>
  <c r="I188" i="1"/>
  <c r="M188" i="1"/>
  <c r="I189" i="1"/>
  <c r="M189" i="1"/>
  <c r="I190" i="1"/>
  <c r="M190" i="1"/>
  <c r="I191" i="1"/>
  <c r="M191" i="1"/>
  <c r="I192" i="1"/>
  <c r="M192" i="1"/>
  <c r="I193" i="1"/>
  <c r="M193" i="1"/>
  <c r="I194" i="1"/>
  <c r="M194" i="1"/>
  <c r="I195" i="1"/>
  <c r="M195" i="1"/>
  <c r="I196" i="1"/>
  <c r="M196" i="1"/>
  <c r="I197" i="1"/>
  <c r="M197" i="1"/>
  <c r="I198" i="1"/>
  <c r="M198" i="1"/>
  <c r="I199" i="1"/>
  <c r="M199" i="1"/>
  <c r="I200" i="1"/>
  <c r="M200" i="1"/>
  <c r="I201" i="1"/>
  <c r="M201" i="1"/>
  <c r="I202" i="1"/>
  <c r="M202" i="1"/>
  <c r="I203" i="1"/>
  <c r="M203" i="1"/>
  <c r="I204" i="1"/>
  <c r="M204" i="1"/>
  <c r="I205" i="1"/>
  <c r="M205" i="1"/>
  <c r="I206" i="1"/>
  <c r="M206" i="1"/>
  <c r="I207" i="1"/>
  <c r="M207" i="1"/>
  <c r="I208" i="1"/>
  <c r="M208" i="1"/>
  <c r="I209" i="1"/>
  <c r="M209" i="1"/>
  <c r="I210" i="1"/>
  <c r="M210" i="1"/>
  <c r="I211" i="1"/>
  <c r="M211" i="1"/>
  <c r="I212" i="1"/>
  <c r="M212" i="1"/>
  <c r="I213" i="1"/>
  <c r="M213" i="1"/>
  <c r="I214" i="1"/>
  <c r="M214" i="1"/>
  <c r="I215" i="1"/>
  <c r="M215" i="1"/>
  <c r="I216" i="1"/>
  <c r="M216" i="1"/>
  <c r="I217" i="1"/>
  <c r="M217" i="1"/>
  <c r="I218" i="1"/>
  <c r="M218" i="1"/>
  <c r="I219" i="1"/>
  <c r="M219" i="1"/>
  <c r="I220" i="1"/>
  <c r="M220" i="1"/>
  <c r="I221" i="1"/>
  <c r="M221" i="1"/>
  <c r="I222" i="1"/>
  <c r="M222" i="1"/>
  <c r="I223" i="1"/>
  <c r="M223" i="1"/>
  <c r="I224" i="1"/>
  <c r="M224" i="1"/>
  <c r="I225" i="1"/>
  <c r="M225" i="1"/>
  <c r="I226" i="1"/>
  <c r="M226" i="1"/>
  <c r="I227" i="1"/>
  <c r="M227" i="1"/>
  <c r="I228" i="1"/>
  <c r="M228" i="1"/>
  <c r="I229" i="1"/>
  <c r="M229" i="1"/>
  <c r="I230" i="1"/>
  <c r="M230" i="1"/>
  <c r="I231" i="1"/>
  <c r="M231" i="1"/>
  <c r="I232" i="1"/>
  <c r="M232" i="1"/>
  <c r="I233" i="1"/>
  <c r="M233" i="1"/>
  <c r="I234" i="1"/>
  <c r="M234" i="1"/>
  <c r="I235" i="1"/>
  <c r="M235" i="1"/>
  <c r="I236" i="1"/>
  <c r="M236" i="1"/>
  <c r="I237" i="1"/>
  <c r="M237" i="1"/>
  <c r="I238" i="1"/>
  <c r="M238" i="1"/>
  <c r="I239" i="1"/>
  <c r="M239" i="1"/>
  <c r="I240" i="1"/>
  <c r="M240" i="1"/>
  <c r="I241" i="1"/>
  <c r="M241" i="1"/>
  <c r="I242" i="1"/>
  <c r="M242" i="1"/>
  <c r="I243" i="1"/>
  <c r="M243" i="1"/>
  <c r="I244" i="1"/>
  <c r="M244" i="1"/>
  <c r="I245" i="1"/>
  <c r="M245" i="1"/>
  <c r="I246" i="1"/>
  <c r="M246" i="1"/>
  <c r="I247" i="1"/>
  <c r="M247" i="1"/>
  <c r="I248" i="1"/>
  <c r="M248" i="1"/>
  <c r="I249" i="1"/>
  <c r="M249" i="1"/>
  <c r="I250" i="1"/>
  <c r="M250" i="1"/>
  <c r="I251" i="1"/>
  <c r="M251" i="1"/>
  <c r="I252" i="1"/>
  <c r="M252" i="1"/>
  <c r="I253" i="1"/>
  <c r="M253" i="1"/>
  <c r="I254" i="1"/>
  <c r="M254" i="1"/>
  <c r="I255" i="1"/>
  <c r="M255" i="1"/>
  <c r="I256" i="1"/>
  <c r="M256" i="1"/>
  <c r="I257" i="1"/>
  <c r="M257" i="1"/>
  <c r="I258" i="1"/>
  <c r="M258" i="1"/>
  <c r="I259" i="1"/>
  <c r="M259" i="1"/>
  <c r="I260" i="1"/>
  <c r="M260" i="1"/>
  <c r="I261" i="1"/>
  <c r="M261" i="1"/>
  <c r="I262" i="1"/>
  <c r="M262" i="1"/>
  <c r="I263" i="1"/>
  <c r="M263" i="1"/>
  <c r="I264" i="1"/>
  <c r="M264" i="1"/>
  <c r="I265" i="1"/>
  <c r="M265" i="1"/>
  <c r="I266" i="1"/>
  <c r="M266" i="1"/>
  <c r="I267" i="1"/>
  <c r="M267" i="1"/>
  <c r="I268" i="1"/>
  <c r="M268" i="1"/>
  <c r="I269" i="1"/>
  <c r="M269" i="1"/>
  <c r="I270" i="1"/>
  <c r="M270" i="1"/>
  <c r="I271" i="1"/>
  <c r="M271" i="1"/>
  <c r="I272" i="1"/>
  <c r="M272" i="1"/>
  <c r="I273" i="1"/>
  <c r="M273" i="1"/>
  <c r="I274" i="1"/>
  <c r="M274" i="1"/>
  <c r="I275" i="1"/>
  <c r="M275" i="1"/>
  <c r="I276" i="1"/>
  <c r="M276" i="1"/>
  <c r="I277" i="1"/>
  <c r="M277" i="1"/>
  <c r="I278" i="1"/>
  <c r="M278" i="1"/>
  <c r="I279" i="1"/>
  <c r="M279" i="1"/>
  <c r="I280" i="1"/>
  <c r="M280" i="1"/>
  <c r="I281" i="1"/>
  <c r="M281" i="1"/>
  <c r="I282" i="1"/>
  <c r="M282" i="1"/>
  <c r="I283" i="1"/>
  <c r="M283" i="1"/>
  <c r="I284" i="1"/>
  <c r="M284" i="1"/>
  <c r="I285" i="1"/>
  <c r="M285" i="1"/>
  <c r="I286" i="1"/>
  <c r="M286" i="1"/>
  <c r="I287" i="1"/>
  <c r="M287" i="1"/>
  <c r="I288" i="1"/>
  <c r="M288" i="1"/>
  <c r="I289" i="1"/>
  <c r="M289" i="1"/>
  <c r="I290" i="1"/>
  <c r="M290" i="1"/>
  <c r="I291" i="1"/>
  <c r="M291" i="1"/>
  <c r="I292" i="1"/>
  <c r="M292" i="1"/>
  <c r="I293" i="1"/>
  <c r="M293" i="1"/>
  <c r="I294" i="1"/>
  <c r="M294" i="1"/>
  <c r="I295" i="1"/>
  <c r="M295" i="1"/>
  <c r="I296" i="1"/>
  <c r="M296" i="1"/>
  <c r="I297" i="1"/>
  <c r="M297" i="1"/>
  <c r="I298" i="1"/>
  <c r="M298" i="1"/>
  <c r="I299" i="1"/>
  <c r="M299" i="1"/>
  <c r="I300" i="1"/>
  <c r="M300" i="1"/>
  <c r="I301" i="1"/>
  <c r="M301" i="1"/>
  <c r="I302" i="1"/>
  <c r="M302" i="1"/>
  <c r="I303" i="1"/>
  <c r="M303" i="1"/>
  <c r="I304" i="1"/>
  <c r="M304" i="1"/>
  <c r="I305" i="1"/>
  <c r="M305" i="1"/>
  <c r="I306" i="1"/>
  <c r="M306" i="1"/>
  <c r="I307" i="1"/>
  <c r="M307" i="1"/>
  <c r="I308" i="1"/>
  <c r="M308" i="1"/>
  <c r="I309" i="1"/>
  <c r="M309" i="1"/>
  <c r="I310" i="1"/>
  <c r="M310" i="1"/>
  <c r="I311" i="1"/>
  <c r="M311" i="1"/>
  <c r="I312" i="1"/>
  <c r="M312" i="1"/>
  <c r="I313" i="1"/>
  <c r="M313" i="1"/>
  <c r="I314" i="1"/>
  <c r="M314" i="1"/>
  <c r="I315" i="1"/>
  <c r="M315" i="1"/>
  <c r="I316" i="1"/>
  <c r="M316" i="1"/>
  <c r="I317" i="1"/>
  <c r="M317" i="1"/>
  <c r="I318" i="1"/>
  <c r="M318" i="1"/>
  <c r="I319" i="1"/>
  <c r="M319" i="1"/>
  <c r="I320" i="1"/>
  <c r="M320" i="1"/>
  <c r="I321" i="1"/>
  <c r="M321" i="1"/>
  <c r="I322" i="1"/>
  <c r="M322" i="1"/>
  <c r="I323" i="1"/>
  <c r="M323" i="1"/>
  <c r="I324" i="1"/>
  <c r="M324" i="1"/>
  <c r="I325" i="1"/>
  <c r="M325" i="1"/>
  <c r="I326" i="1"/>
  <c r="M326" i="1"/>
  <c r="I327" i="1"/>
  <c r="M327" i="1"/>
  <c r="I328" i="1"/>
  <c r="M328" i="1"/>
  <c r="I329" i="1"/>
  <c r="M329" i="1"/>
  <c r="I330" i="1"/>
  <c r="M330" i="1"/>
  <c r="I331" i="1"/>
  <c r="M331" i="1"/>
  <c r="I332" i="1"/>
  <c r="M332" i="1"/>
  <c r="I333" i="1"/>
  <c r="M333" i="1"/>
  <c r="I334" i="1"/>
  <c r="M334" i="1"/>
  <c r="I335" i="1"/>
  <c r="M335" i="1"/>
  <c r="I336" i="1"/>
  <c r="M336" i="1"/>
  <c r="I337" i="1"/>
  <c r="M337" i="1"/>
  <c r="I338" i="1"/>
  <c r="M338" i="1"/>
  <c r="I339" i="1"/>
  <c r="M339" i="1"/>
  <c r="I340" i="1"/>
  <c r="M340" i="1"/>
  <c r="I341" i="1"/>
  <c r="M341" i="1"/>
  <c r="I342" i="1"/>
  <c r="M342" i="1"/>
  <c r="I343" i="1"/>
  <c r="M343" i="1"/>
  <c r="I344" i="1"/>
  <c r="M344" i="1"/>
  <c r="I345" i="1"/>
  <c r="M345" i="1"/>
  <c r="I346" i="1"/>
  <c r="M346" i="1"/>
  <c r="I347" i="1"/>
  <c r="M347" i="1"/>
  <c r="I348" i="1"/>
  <c r="M348" i="1"/>
  <c r="I349" i="1"/>
  <c r="M349" i="1"/>
  <c r="I350" i="1"/>
  <c r="M350" i="1"/>
  <c r="I351" i="1"/>
  <c r="M351" i="1"/>
  <c r="I352" i="1"/>
  <c r="M352" i="1"/>
  <c r="I353" i="1"/>
  <c r="M353" i="1"/>
  <c r="I354" i="1"/>
  <c r="M354" i="1"/>
  <c r="I355" i="1"/>
  <c r="M355" i="1"/>
  <c r="I356" i="1"/>
  <c r="M356" i="1"/>
  <c r="I357" i="1"/>
  <c r="M357" i="1"/>
  <c r="I358" i="1"/>
  <c r="M358" i="1"/>
  <c r="I359" i="1"/>
  <c r="M359" i="1"/>
  <c r="I360" i="1"/>
  <c r="M360" i="1"/>
  <c r="I361" i="1"/>
  <c r="M361" i="1"/>
  <c r="I362" i="1"/>
  <c r="M362" i="1"/>
  <c r="I363" i="1"/>
  <c r="M363" i="1"/>
  <c r="I364" i="1"/>
  <c r="M364" i="1"/>
  <c r="I365" i="1"/>
  <c r="M365" i="1"/>
  <c r="I366" i="1"/>
  <c r="M366" i="1"/>
  <c r="I367" i="1"/>
  <c r="M367" i="1"/>
  <c r="I368" i="1"/>
  <c r="M368" i="1"/>
  <c r="I369" i="1"/>
  <c r="M369" i="1"/>
  <c r="I370" i="1"/>
  <c r="M370" i="1"/>
  <c r="I371" i="1"/>
  <c r="M371" i="1"/>
  <c r="I372" i="1"/>
  <c r="M372" i="1"/>
  <c r="I373" i="1"/>
  <c r="M373" i="1"/>
  <c r="I374" i="1"/>
  <c r="M374" i="1"/>
  <c r="I375" i="1"/>
  <c r="M375" i="1"/>
  <c r="I376" i="1"/>
  <c r="M376" i="1"/>
  <c r="I377" i="1"/>
  <c r="M377" i="1"/>
  <c r="I378" i="1"/>
  <c r="M378" i="1"/>
  <c r="I379" i="1"/>
  <c r="M379" i="1"/>
  <c r="I380" i="1"/>
  <c r="M380" i="1"/>
  <c r="I381" i="1"/>
  <c r="M381" i="1"/>
  <c r="I382" i="1"/>
  <c r="M382" i="1"/>
  <c r="I383" i="1"/>
  <c r="M383" i="1"/>
  <c r="I384" i="1"/>
  <c r="M384" i="1"/>
  <c r="I385" i="1"/>
  <c r="M385" i="1"/>
  <c r="I386" i="1"/>
  <c r="M386" i="1"/>
  <c r="I387" i="1"/>
  <c r="M387" i="1"/>
  <c r="I388" i="1"/>
  <c r="M388" i="1"/>
  <c r="I389" i="1"/>
  <c r="M389" i="1"/>
  <c r="I390" i="1"/>
  <c r="M390" i="1"/>
  <c r="I391" i="1"/>
  <c r="M391" i="1"/>
  <c r="I392" i="1"/>
  <c r="M392" i="1"/>
  <c r="I393" i="1"/>
  <c r="M393" i="1"/>
  <c r="I394" i="1"/>
  <c r="M394" i="1"/>
  <c r="I395" i="1"/>
  <c r="M395" i="1"/>
  <c r="I396" i="1"/>
  <c r="M396" i="1"/>
  <c r="I397" i="1"/>
  <c r="M397" i="1"/>
  <c r="I398" i="1"/>
  <c r="M398" i="1"/>
  <c r="I399" i="1"/>
  <c r="M399" i="1"/>
  <c r="I400" i="1"/>
  <c r="M400" i="1"/>
  <c r="I401" i="1"/>
  <c r="M401" i="1"/>
  <c r="I402" i="1"/>
  <c r="M402" i="1"/>
  <c r="I403" i="1"/>
  <c r="M403" i="1"/>
  <c r="I404" i="1"/>
  <c r="M404" i="1"/>
  <c r="I405" i="1"/>
  <c r="M405" i="1"/>
  <c r="I406" i="1"/>
  <c r="M406" i="1"/>
  <c r="I407" i="1"/>
  <c r="M407" i="1"/>
  <c r="I408" i="1"/>
  <c r="M408" i="1"/>
  <c r="I409" i="1"/>
  <c r="M409" i="1"/>
  <c r="I410" i="1"/>
  <c r="M410" i="1"/>
  <c r="I411" i="1"/>
  <c r="M411" i="1"/>
  <c r="I412" i="1"/>
  <c r="M412" i="1"/>
  <c r="I413" i="1"/>
  <c r="M413" i="1"/>
  <c r="I414" i="1"/>
  <c r="M414" i="1"/>
  <c r="I415" i="1"/>
  <c r="M415" i="1"/>
  <c r="I416" i="1"/>
  <c r="M416" i="1"/>
  <c r="I417" i="1"/>
  <c r="M417" i="1"/>
  <c r="I418" i="1"/>
  <c r="M418" i="1"/>
  <c r="I419" i="1"/>
  <c r="M419" i="1"/>
  <c r="I420" i="1"/>
  <c r="M420" i="1"/>
  <c r="I421" i="1"/>
  <c r="M421" i="1"/>
  <c r="I422" i="1"/>
  <c r="M422" i="1"/>
  <c r="I423" i="1"/>
  <c r="M423" i="1"/>
  <c r="I424" i="1"/>
  <c r="M424" i="1"/>
  <c r="I425" i="1"/>
  <c r="M425" i="1"/>
  <c r="I426" i="1"/>
  <c r="M426" i="1"/>
  <c r="I427" i="1"/>
  <c r="M427" i="1"/>
  <c r="I428" i="1"/>
  <c r="M428" i="1"/>
  <c r="I429" i="1"/>
  <c r="M429" i="1"/>
  <c r="I430" i="1"/>
  <c r="M430" i="1"/>
  <c r="I431" i="1"/>
  <c r="M431" i="1"/>
  <c r="I432" i="1"/>
  <c r="M432" i="1"/>
  <c r="I433" i="1"/>
  <c r="M433" i="1"/>
  <c r="I434" i="1"/>
  <c r="M434" i="1"/>
  <c r="I435" i="1"/>
  <c r="M435" i="1"/>
  <c r="I436" i="1"/>
  <c r="M436" i="1"/>
  <c r="I437" i="1"/>
  <c r="M437" i="1"/>
  <c r="I438" i="1"/>
  <c r="M438" i="1"/>
  <c r="I439" i="1"/>
  <c r="M439" i="1"/>
  <c r="I440" i="1"/>
  <c r="M440" i="1"/>
  <c r="I441" i="1"/>
  <c r="M441" i="1"/>
  <c r="I442" i="1"/>
  <c r="M442" i="1"/>
  <c r="I443" i="1"/>
  <c r="M443" i="1"/>
  <c r="I444" i="1"/>
  <c r="M444" i="1"/>
  <c r="I445" i="1"/>
  <c r="M445" i="1"/>
  <c r="I446" i="1"/>
  <c r="M446" i="1"/>
  <c r="I447" i="1"/>
  <c r="M447" i="1"/>
  <c r="I448" i="1"/>
  <c r="M448" i="1"/>
  <c r="I449" i="1"/>
  <c r="M449" i="1"/>
  <c r="I450" i="1"/>
  <c r="M450" i="1"/>
  <c r="I451" i="1"/>
  <c r="M451" i="1"/>
  <c r="I452" i="1"/>
  <c r="M452" i="1"/>
  <c r="I453" i="1"/>
  <c r="M453" i="1"/>
  <c r="I454" i="1"/>
  <c r="M454" i="1"/>
  <c r="I455" i="1"/>
  <c r="M455" i="1"/>
  <c r="I456" i="1"/>
  <c r="M456" i="1"/>
  <c r="I457" i="1"/>
  <c r="M457" i="1"/>
  <c r="I458" i="1"/>
  <c r="M458" i="1"/>
  <c r="I459" i="1"/>
  <c r="M459" i="1"/>
  <c r="I460" i="1"/>
  <c r="M460" i="1"/>
  <c r="I461" i="1"/>
  <c r="M461" i="1"/>
  <c r="I462" i="1"/>
  <c r="M462" i="1"/>
  <c r="I463" i="1"/>
  <c r="M463" i="1"/>
  <c r="I464" i="1"/>
  <c r="M464" i="1"/>
  <c r="I465" i="1"/>
  <c r="M465" i="1"/>
  <c r="I466" i="1"/>
  <c r="M466" i="1"/>
  <c r="I467" i="1"/>
  <c r="M467" i="1"/>
  <c r="I468" i="1"/>
  <c r="M468" i="1"/>
  <c r="I469" i="1"/>
  <c r="M469" i="1"/>
  <c r="I470" i="1"/>
  <c r="M470" i="1"/>
  <c r="I471" i="1"/>
  <c r="M471" i="1"/>
  <c r="I472" i="1"/>
  <c r="M472" i="1"/>
  <c r="I473" i="1"/>
  <c r="M473" i="1"/>
  <c r="I474" i="1"/>
  <c r="M474" i="1"/>
  <c r="I475" i="1"/>
  <c r="M475" i="1"/>
  <c r="I476" i="1"/>
  <c r="M476" i="1"/>
  <c r="I477" i="1"/>
  <c r="M477" i="1"/>
  <c r="I478" i="1"/>
  <c r="M478" i="1"/>
  <c r="I479" i="1"/>
  <c r="M479" i="1"/>
  <c r="I480" i="1"/>
  <c r="M480" i="1"/>
  <c r="I481" i="1"/>
  <c r="M481" i="1"/>
  <c r="I482" i="1"/>
  <c r="M482" i="1"/>
  <c r="I483" i="1"/>
  <c r="M483" i="1"/>
  <c r="I484" i="1"/>
  <c r="M484" i="1"/>
  <c r="I485" i="1"/>
  <c r="M485" i="1"/>
  <c r="I486" i="1"/>
  <c r="M486" i="1"/>
  <c r="I487" i="1"/>
  <c r="M487" i="1"/>
  <c r="I488" i="1"/>
  <c r="M488" i="1"/>
  <c r="I489" i="1"/>
  <c r="M489" i="1"/>
  <c r="I490" i="1"/>
  <c r="M490" i="1"/>
  <c r="I491" i="1"/>
  <c r="M491" i="1"/>
  <c r="I492" i="1"/>
  <c r="M492" i="1"/>
  <c r="I493" i="1"/>
  <c r="M493" i="1"/>
  <c r="I494" i="1"/>
  <c r="M494" i="1"/>
  <c r="I495" i="1"/>
  <c r="M495" i="1"/>
  <c r="I496" i="1"/>
  <c r="M496" i="1"/>
  <c r="I497" i="1"/>
  <c r="M497" i="1"/>
  <c r="I498" i="1"/>
  <c r="M498" i="1"/>
  <c r="I499" i="1"/>
  <c r="M499" i="1"/>
  <c r="I500" i="1"/>
  <c r="M500" i="1"/>
  <c r="I501" i="1"/>
  <c r="M501" i="1"/>
  <c r="I502" i="1"/>
  <c r="M502" i="1"/>
  <c r="I503" i="1"/>
  <c r="M503" i="1"/>
  <c r="I504" i="1"/>
  <c r="M504" i="1"/>
  <c r="I505" i="1"/>
  <c r="M505" i="1"/>
  <c r="I506" i="1"/>
  <c r="M506" i="1"/>
  <c r="I507" i="1"/>
  <c r="M507" i="1"/>
  <c r="I508" i="1"/>
  <c r="M508" i="1"/>
  <c r="I509" i="1"/>
  <c r="M509" i="1"/>
  <c r="I510" i="1"/>
  <c r="M510" i="1"/>
  <c r="I511" i="1"/>
  <c r="M511" i="1"/>
  <c r="I512" i="1"/>
  <c r="M512" i="1"/>
  <c r="I513" i="1"/>
  <c r="M513" i="1"/>
  <c r="I514" i="1"/>
  <c r="M514" i="1"/>
  <c r="I515" i="1"/>
  <c r="M515" i="1"/>
  <c r="I516" i="1"/>
  <c r="M516" i="1"/>
  <c r="I517" i="1"/>
  <c r="M517" i="1"/>
  <c r="I518" i="1"/>
  <c r="M518" i="1"/>
  <c r="I519" i="1"/>
  <c r="M519" i="1"/>
  <c r="I520" i="1"/>
  <c r="M520" i="1"/>
  <c r="I521" i="1"/>
  <c r="M521" i="1"/>
  <c r="I522" i="1"/>
  <c r="M522" i="1"/>
  <c r="I523" i="1"/>
  <c r="M523" i="1"/>
  <c r="I524" i="1"/>
  <c r="M524" i="1"/>
  <c r="I525" i="1"/>
  <c r="M525" i="1"/>
  <c r="I526" i="1"/>
  <c r="M526" i="1"/>
  <c r="I527" i="1"/>
  <c r="M527" i="1"/>
  <c r="I528" i="1"/>
  <c r="M528" i="1"/>
  <c r="I529" i="1"/>
  <c r="M529" i="1"/>
  <c r="I530" i="1"/>
  <c r="M530" i="1"/>
  <c r="I531" i="1"/>
  <c r="M531" i="1"/>
  <c r="I532" i="1"/>
  <c r="M532" i="1"/>
  <c r="I533" i="1"/>
  <c r="M533" i="1"/>
  <c r="I534" i="1"/>
  <c r="M534" i="1"/>
  <c r="I535" i="1"/>
  <c r="M535" i="1"/>
  <c r="I536" i="1"/>
  <c r="M536" i="1"/>
  <c r="I537" i="1"/>
  <c r="M537" i="1"/>
  <c r="I538" i="1"/>
  <c r="M538" i="1"/>
  <c r="I539" i="1"/>
  <c r="M539" i="1"/>
  <c r="I540" i="1"/>
  <c r="M540" i="1"/>
  <c r="I541" i="1"/>
  <c r="M541" i="1"/>
  <c r="I542" i="1"/>
  <c r="M542" i="1"/>
  <c r="I543" i="1"/>
  <c r="M543" i="1"/>
  <c r="I544" i="1"/>
  <c r="M544" i="1"/>
  <c r="I545" i="1"/>
  <c r="M545" i="1"/>
  <c r="I546" i="1"/>
  <c r="M546" i="1"/>
  <c r="I547" i="1"/>
  <c r="M547" i="1"/>
  <c r="I548" i="1"/>
  <c r="M548" i="1"/>
  <c r="I549" i="1"/>
  <c r="M549" i="1"/>
  <c r="I550" i="1"/>
  <c r="M550" i="1"/>
  <c r="I551" i="1"/>
  <c r="M551" i="1"/>
  <c r="I552" i="1"/>
  <c r="M552" i="1"/>
  <c r="I553" i="1"/>
  <c r="M553" i="1"/>
  <c r="I554" i="1"/>
  <c r="M554" i="1"/>
  <c r="I555" i="1"/>
  <c r="M555" i="1"/>
  <c r="I556" i="1"/>
  <c r="M556" i="1"/>
  <c r="I557" i="1"/>
  <c r="M557" i="1"/>
  <c r="I558" i="1"/>
  <c r="M558" i="1"/>
  <c r="I559" i="1"/>
  <c r="M559" i="1"/>
  <c r="I560" i="1"/>
  <c r="M560" i="1"/>
  <c r="I561" i="1"/>
  <c r="M561" i="1"/>
  <c r="I562" i="1"/>
  <c r="M562" i="1"/>
  <c r="I563" i="1"/>
  <c r="M563" i="1"/>
  <c r="I564" i="1"/>
  <c r="M564" i="1"/>
  <c r="I565" i="1"/>
  <c r="M565" i="1"/>
  <c r="I566" i="1"/>
  <c r="M566" i="1"/>
  <c r="I567" i="1"/>
  <c r="M567" i="1"/>
  <c r="I568" i="1"/>
  <c r="M568" i="1"/>
  <c r="I569" i="1"/>
  <c r="M569" i="1"/>
  <c r="I570" i="1"/>
  <c r="M570" i="1"/>
  <c r="I571" i="1"/>
  <c r="M571" i="1"/>
  <c r="I572" i="1"/>
  <c r="M572" i="1"/>
  <c r="I573" i="1"/>
  <c r="M573" i="1"/>
  <c r="I574" i="1"/>
  <c r="M574" i="1"/>
  <c r="I575" i="1"/>
  <c r="M575" i="1"/>
  <c r="I576" i="1"/>
  <c r="M576" i="1"/>
  <c r="I577" i="1"/>
  <c r="M577" i="1"/>
  <c r="I578" i="1"/>
  <c r="M578" i="1"/>
  <c r="I579" i="1"/>
  <c r="M579" i="1"/>
  <c r="I580" i="1"/>
  <c r="M580" i="1"/>
  <c r="I581" i="1"/>
  <c r="M581" i="1"/>
  <c r="I582" i="1"/>
  <c r="M582" i="1"/>
  <c r="I583" i="1"/>
  <c r="M583" i="1"/>
  <c r="I584" i="1"/>
  <c r="M584" i="1"/>
  <c r="I585" i="1"/>
  <c r="M585" i="1"/>
  <c r="I586" i="1"/>
  <c r="M586" i="1"/>
  <c r="I587" i="1"/>
  <c r="M587" i="1"/>
  <c r="I588" i="1"/>
  <c r="M588" i="1"/>
  <c r="I589" i="1"/>
  <c r="M589" i="1"/>
  <c r="I590" i="1"/>
  <c r="M590" i="1"/>
  <c r="I591" i="1"/>
  <c r="M591" i="1"/>
  <c r="I592" i="1"/>
  <c r="M592" i="1"/>
  <c r="I593" i="1"/>
  <c r="M593" i="1"/>
  <c r="I594" i="1"/>
  <c r="M594" i="1"/>
  <c r="I595" i="1"/>
  <c r="M595" i="1"/>
  <c r="I596" i="1"/>
  <c r="M596" i="1"/>
  <c r="I597" i="1"/>
  <c r="M597" i="1"/>
  <c r="I598" i="1"/>
  <c r="M598" i="1"/>
  <c r="I599" i="1"/>
  <c r="M599" i="1"/>
  <c r="I600" i="1"/>
  <c r="M600" i="1"/>
  <c r="I601" i="1"/>
  <c r="M601" i="1"/>
  <c r="I602" i="1"/>
  <c r="M602" i="1"/>
  <c r="I603" i="1"/>
  <c r="M603" i="1"/>
  <c r="I604" i="1"/>
  <c r="M604" i="1"/>
  <c r="I605" i="1"/>
  <c r="M605" i="1"/>
  <c r="I606" i="1"/>
  <c r="M606" i="1"/>
  <c r="I607" i="1"/>
  <c r="M607" i="1"/>
  <c r="I608" i="1"/>
  <c r="M608" i="1"/>
  <c r="I609" i="1"/>
  <c r="M609" i="1"/>
  <c r="I610" i="1"/>
  <c r="M610" i="1"/>
  <c r="I611" i="1"/>
  <c r="M611" i="1"/>
  <c r="I612" i="1"/>
  <c r="M612" i="1"/>
  <c r="I613" i="1"/>
  <c r="M613" i="1"/>
  <c r="I614" i="1"/>
  <c r="M614" i="1"/>
  <c r="I615" i="1"/>
  <c r="M615" i="1"/>
  <c r="I616" i="1"/>
  <c r="M616" i="1"/>
  <c r="I617" i="1"/>
  <c r="M617" i="1"/>
  <c r="I618" i="1"/>
  <c r="M618" i="1"/>
  <c r="I619" i="1"/>
  <c r="M619" i="1"/>
  <c r="I620" i="1"/>
  <c r="M620" i="1"/>
  <c r="I621" i="1"/>
  <c r="M621" i="1"/>
  <c r="I622" i="1"/>
  <c r="M622" i="1"/>
  <c r="I623" i="1"/>
  <c r="M623" i="1"/>
  <c r="I624" i="1"/>
  <c r="M624" i="1"/>
  <c r="I625" i="1"/>
  <c r="M625" i="1"/>
  <c r="I626" i="1"/>
  <c r="M626" i="1"/>
  <c r="I627" i="1"/>
  <c r="M627" i="1"/>
  <c r="I628" i="1"/>
  <c r="M628" i="1"/>
  <c r="I629" i="1"/>
  <c r="M629" i="1"/>
  <c r="I630" i="1"/>
  <c r="M630" i="1"/>
  <c r="I631" i="1"/>
  <c r="M631" i="1"/>
  <c r="I632" i="1"/>
  <c r="M632" i="1"/>
  <c r="I633" i="1"/>
  <c r="M633" i="1"/>
  <c r="I634" i="1"/>
  <c r="M634" i="1"/>
  <c r="I635" i="1"/>
  <c r="M635" i="1"/>
  <c r="I636" i="1"/>
  <c r="M636" i="1"/>
  <c r="I637" i="1"/>
  <c r="M637" i="1"/>
  <c r="I638" i="1"/>
  <c r="M638" i="1"/>
  <c r="I639" i="1"/>
  <c r="M639" i="1"/>
  <c r="I640" i="1"/>
  <c r="M640" i="1"/>
  <c r="I641" i="1"/>
  <c r="M641" i="1"/>
  <c r="I642" i="1"/>
  <c r="M642" i="1"/>
  <c r="I643" i="1"/>
  <c r="M643" i="1"/>
  <c r="I644" i="1"/>
  <c r="M644" i="1"/>
  <c r="I645" i="1"/>
  <c r="M645" i="1"/>
  <c r="I646" i="1"/>
  <c r="M646" i="1"/>
  <c r="I647" i="1"/>
  <c r="M647" i="1"/>
  <c r="I648" i="1"/>
  <c r="M648" i="1"/>
  <c r="I649" i="1"/>
  <c r="M649" i="1"/>
  <c r="I650" i="1"/>
  <c r="M650" i="1"/>
  <c r="I651" i="1"/>
  <c r="M651" i="1"/>
  <c r="I652" i="1"/>
  <c r="M652" i="1"/>
  <c r="I653" i="1"/>
  <c r="M653" i="1"/>
  <c r="I654" i="1"/>
  <c r="M654" i="1"/>
  <c r="I655" i="1"/>
  <c r="M655" i="1"/>
  <c r="I656" i="1"/>
  <c r="M656" i="1"/>
  <c r="I657" i="1"/>
  <c r="M657" i="1"/>
  <c r="I658" i="1"/>
  <c r="M658" i="1"/>
  <c r="I659" i="1"/>
  <c r="M659" i="1"/>
  <c r="I660" i="1"/>
  <c r="M660" i="1"/>
  <c r="I661" i="1"/>
  <c r="M661" i="1"/>
  <c r="I662" i="1"/>
  <c r="M662" i="1"/>
  <c r="I663" i="1"/>
  <c r="M663" i="1"/>
  <c r="I664" i="1"/>
  <c r="M664" i="1"/>
  <c r="I665" i="1"/>
  <c r="M665" i="1"/>
  <c r="I666" i="1"/>
  <c r="M666" i="1"/>
  <c r="I667" i="1"/>
  <c r="M667" i="1"/>
  <c r="I668" i="1"/>
  <c r="M668" i="1"/>
  <c r="I669" i="1"/>
  <c r="M669" i="1"/>
  <c r="I670" i="1"/>
  <c r="M670" i="1"/>
  <c r="I671" i="1"/>
  <c r="M671" i="1"/>
  <c r="I672" i="1"/>
  <c r="M672" i="1"/>
  <c r="I673" i="1"/>
  <c r="M673" i="1"/>
  <c r="I674" i="1"/>
  <c r="M674" i="1"/>
  <c r="I675" i="1"/>
  <c r="M675" i="1"/>
  <c r="I676" i="1"/>
  <c r="M676" i="1"/>
  <c r="I677" i="1"/>
  <c r="M677" i="1"/>
  <c r="I678" i="1"/>
  <c r="M678" i="1"/>
  <c r="I679" i="1"/>
  <c r="M679" i="1"/>
  <c r="I680" i="1"/>
  <c r="M680" i="1"/>
  <c r="I681" i="1"/>
  <c r="M681" i="1"/>
  <c r="I682" i="1"/>
  <c r="M682" i="1"/>
  <c r="I683" i="1"/>
  <c r="M683" i="1"/>
  <c r="I684" i="1"/>
  <c r="M684" i="1"/>
  <c r="I685" i="1"/>
  <c r="M685" i="1"/>
  <c r="I686" i="1"/>
  <c r="M686" i="1"/>
  <c r="I687" i="1"/>
  <c r="M687" i="1"/>
  <c r="I688" i="1"/>
  <c r="M688" i="1"/>
  <c r="I689" i="1"/>
  <c r="M689" i="1"/>
  <c r="I690" i="1"/>
  <c r="M690" i="1"/>
  <c r="I691" i="1"/>
  <c r="M691" i="1"/>
  <c r="I692" i="1"/>
  <c r="M692" i="1"/>
  <c r="I693" i="1"/>
  <c r="M693" i="1"/>
  <c r="I694" i="1"/>
  <c r="M694" i="1"/>
  <c r="I695" i="1"/>
  <c r="M695" i="1"/>
  <c r="I696" i="1"/>
  <c r="M696" i="1"/>
  <c r="I697" i="1"/>
  <c r="M697" i="1"/>
  <c r="I698" i="1"/>
  <c r="M698" i="1"/>
  <c r="I699" i="1"/>
  <c r="M699" i="1"/>
  <c r="I700" i="1"/>
  <c r="M700" i="1"/>
  <c r="I701" i="1"/>
  <c r="M701" i="1"/>
  <c r="I702" i="1"/>
  <c r="M702" i="1"/>
  <c r="I703" i="1"/>
  <c r="M703" i="1"/>
  <c r="I704" i="1"/>
  <c r="M704" i="1"/>
  <c r="I705" i="1"/>
  <c r="M705" i="1"/>
  <c r="I706" i="1"/>
  <c r="M706" i="1"/>
  <c r="I707" i="1"/>
  <c r="M707" i="1"/>
  <c r="I708" i="1"/>
  <c r="M708" i="1"/>
  <c r="I709" i="1"/>
  <c r="M709" i="1"/>
  <c r="I710" i="1"/>
  <c r="M710" i="1"/>
  <c r="I711" i="1"/>
  <c r="M711" i="1"/>
  <c r="I712" i="1"/>
  <c r="M712" i="1"/>
  <c r="I713" i="1"/>
  <c r="M713" i="1"/>
  <c r="I714" i="1"/>
  <c r="M714" i="1"/>
  <c r="I715" i="1"/>
  <c r="M715" i="1"/>
  <c r="I716" i="1"/>
  <c r="M716" i="1"/>
  <c r="I717" i="1"/>
  <c r="M717" i="1"/>
  <c r="I718" i="1"/>
  <c r="M718" i="1"/>
  <c r="I719" i="1"/>
  <c r="M719" i="1"/>
  <c r="I720" i="1"/>
  <c r="M720" i="1"/>
  <c r="I721" i="1"/>
  <c r="M721" i="1"/>
  <c r="I722" i="1"/>
  <c r="M722" i="1"/>
  <c r="I723" i="1"/>
  <c r="M723" i="1"/>
  <c r="I724" i="1"/>
  <c r="M724" i="1"/>
  <c r="I725" i="1"/>
  <c r="M725" i="1"/>
  <c r="I726" i="1"/>
  <c r="M726" i="1"/>
  <c r="I727" i="1"/>
  <c r="M727" i="1"/>
  <c r="I728" i="1"/>
  <c r="M728" i="1"/>
  <c r="I729" i="1"/>
  <c r="M729" i="1"/>
  <c r="I730" i="1"/>
  <c r="M730" i="1"/>
  <c r="I731" i="1"/>
  <c r="M731" i="1"/>
  <c r="I732" i="1"/>
  <c r="M732" i="1"/>
  <c r="I733" i="1"/>
  <c r="M733" i="1"/>
  <c r="I734" i="1"/>
  <c r="M734" i="1"/>
  <c r="I735" i="1"/>
  <c r="M735" i="1"/>
  <c r="I736" i="1"/>
  <c r="M736" i="1"/>
  <c r="I737" i="1"/>
  <c r="M737" i="1"/>
  <c r="I738" i="1"/>
  <c r="M738" i="1"/>
  <c r="I739" i="1"/>
  <c r="M739" i="1"/>
  <c r="I740" i="1"/>
  <c r="M740" i="1"/>
  <c r="I741" i="1"/>
  <c r="M741" i="1"/>
  <c r="I742" i="1"/>
  <c r="M742" i="1"/>
  <c r="I743" i="1"/>
  <c r="M743" i="1"/>
  <c r="I744" i="1"/>
  <c r="M744" i="1"/>
  <c r="I745" i="1"/>
  <c r="M745" i="1"/>
  <c r="I746" i="1"/>
  <c r="M746" i="1"/>
  <c r="I747" i="1"/>
  <c r="M747" i="1"/>
  <c r="I748" i="1"/>
  <c r="M748" i="1"/>
  <c r="I749" i="1"/>
  <c r="M749" i="1"/>
  <c r="I750" i="1"/>
  <c r="M750" i="1"/>
  <c r="I751" i="1"/>
  <c r="M751" i="1"/>
  <c r="I752" i="1"/>
  <c r="M752" i="1"/>
  <c r="I753" i="1"/>
  <c r="M753" i="1"/>
  <c r="I754" i="1"/>
  <c r="M754" i="1"/>
  <c r="I755" i="1"/>
  <c r="M755" i="1"/>
  <c r="I756" i="1"/>
  <c r="M756" i="1"/>
  <c r="I757" i="1"/>
  <c r="M757" i="1"/>
  <c r="I758" i="1"/>
  <c r="M758" i="1"/>
  <c r="I759" i="1"/>
  <c r="M759" i="1"/>
  <c r="I760" i="1"/>
  <c r="M760" i="1"/>
  <c r="I761" i="1"/>
  <c r="M761" i="1"/>
  <c r="I762" i="1"/>
  <c r="M762" i="1"/>
  <c r="I763" i="1"/>
  <c r="M763" i="1"/>
  <c r="I764" i="1"/>
  <c r="M764" i="1"/>
  <c r="I765" i="1"/>
  <c r="M765" i="1"/>
  <c r="I766" i="1"/>
  <c r="M766" i="1"/>
  <c r="I767" i="1"/>
  <c r="M767" i="1"/>
  <c r="I768" i="1"/>
  <c r="M768" i="1"/>
  <c r="I769" i="1"/>
  <c r="M769" i="1"/>
  <c r="I770" i="1"/>
  <c r="M770" i="1"/>
  <c r="I771" i="1"/>
  <c r="M771" i="1"/>
  <c r="I772" i="1"/>
  <c r="M772" i="1"/>
  <c r="I773" i="1"/>
  <c r="M773" i="1"/>
  <c r="I774" i="1"/>
  <c r="M774" i="1"/>
  <c r="I775" i="1"/>
  <c r="M775" i="1"/>
  <c r="I776" i="1"/>
  <c r="M776" i="1"/>
  <c r="I777" i="1"/>
  <c r="M777" i="1"/>
  <c r="I778" i="1"/>
  <c r="M778" i="1"/>
  <c r="I779" i="1"/>
  <c r="M779" i="1"/>
  <c r="I780" i="1"/>
  <c r="M780" i="1"/>
  <c r="I781" i="1"/>
  <c r="M781" i="1"/>
  <c r="I782" i="1"/>
  <c r="M782" i="1"/>
  <c r="I783" i="1"/>
  <c r="M783" i="1"/>
  <c r="I784" i="1"/>
  <c r="M784" i="1"/>
  <c r="I785" i="1"/>
  <c r="M785" i="1"/>
  <c r="I786" i="1"/>
  <c r="M786" i="1"/>
  <c r="I787" i="1"/>
  <c r="M787" i="1"/>
  <c r="I788" i="1"/>
  <c r="M788" i="1"/>
  <c r="I789" i="1"/>
  <c r="M789" i="1"/>
  <c r="I790" i="1"/>
  <c r="M790" i="1"/>
  <c r="I791" i="1"/>
  <c r="M791" i="1"/>
  <c r="I792" i="1"/>
  <c r="M792" i="1"/>
  <c r="I793" i="1"/>
  <c r="M793" i="1"/>
  <c r="I794" i="1"/>
  <c r="M794" i="1"/>
  <c r="I795" i="1"/>
  <c r="M795" i="1"/>
  <c r="I796" i="1"/>
  <c r="M796" i="1"/>
  <c r="I797" i="1"/>
  <c r="M797" i="1"/>
  <c r="I798" i="1"/>
  <c r="M798" i="1"/>
  <c r="I799" i="1"/>
  <c r="M799" i="1"/>
  <c r="I800" i="1"/>
  <c r="M800" i="1"/>
  <c r="I801" i="1"/>
  <c r="M801" i="1"/>
  <c r="I802" i="1"/>
  <c r="M802" i="1"/>
  <c r="I803" i="1"/>
  <c r="M803" i="1"/>
  <c r="I804" i="1"/>
  <c r="M804" i="1"/>
  <c r="I805" i="1"/>
  <c r="M805" i="1"/>
  <c r="I806" i="1"/>
  <c r="M806" i="1"/>
  <c r="I807" i="1"/>
  <c r="M807" i="1"/>
  <c r="I808" i="1"/>
  <c r="M808" i="1"/>
  <c r="I809" i="1"/>
  <c r="M809" i="1"/>
  <c r="I810" i="1"/>
  <c r="M810" i="1"/>
  <c r="I811" i="1"/>
  <c r="M811" i="1"/>
  <c r="I812" i="1"/>
  <c r="M812" i="1"/>
  <c r="I813" i="1"/>
  <c r="M813" i="1"/>
  <c r="I814" i="1"/>
  <c r="M814" i="1"/>
  <c r="I815" i="1"/>
  <c r="M815" i="1"/>
  <c r="I816" i="1"/>
  <c r="M816" i="1"/>
  <c r="I817" i="1"/>
  <c r="M817" i="1"/>
  <c r="I818" i="1"/>
  <c r="M818" i="1"/>
  <c r="I819" i="1"/>
  <c r="M819" i="1"/>
  <c r="I820" i="1"/>
  <c r="M820" i="1"/>
  <c r="I821" i="1"/>
  <c r="M821" i="1"/>
  <c r="I822" i="1"/>
  <c r="M822" i="1"/>
  <c r="I823" i="1"/>
  <c r="M823" i="1"/>
  <c r="I824" i="1"/>
  <c r="M824" i="1"/>
  <c r="I825" i="1"/>
  <c r="M825" i="1"/>
  <c r="I826" i="1"/>
  <c r="M826" i="1"/>
  <c r="I827" i="1"/>
  <c r="M827" i="1"/>
  <c r="I828" i="1"/>
  <c r="M828" i="1"/>
  <c r="I829" i="1"/>
  <c r="M829" i="1"/>
  <c r="I830" i="1"/>
  <c r="M830" i="1"/>
  <c r="I831" i="1"/>
  <c r="M831" i="1"/>
  <c r="I832" i="1"/>
  <c r="M832" i="1"/>
  <c r="I833" i="1"/>
  <c r="M833" i="1"/>
  <c r="I834" i="1"/>
  <c r="M834" i="1"/>
  <c r="I835" i="1"/>
  <c r="M835" i="1"/>
  <c r="I836" i="1"/>
  <c r="M836" i="1"/>
  <c r="I837" i="1"/>
  <c r="M837" i="1"/>
  <c r="I838" i="1"/>
  <c r="M838" i="1"/>
  <c r="I839" i="1"/>
  <c r="M839" i="1"/>
  <c r="I840" i="1"/>
  <c r="M840" i="1"/>
  <c r="I841" i="1"/>
  <c r="M841" i="1"/>
  <c r="I842" i="1"/>
  <c r="M842" i="1"/>
  <c r="I843" i="1"/>
  <c r="M843" i="1"/>
  <c r="I844" i="1"/>
  <c r="M844" i="1"/>
  <c r="I845" i="1"/>
  <c r="M845" i="1"/>
  <c r="I846" i="1"/>
  <c r="M846" i="1"/>
  <c r="I847" i="1"/>
  <c r="M847" i="1"/>
  <c r="I848" i="1"/>
  <c r="M848" i="1"/>
  <c r="I849" i="1"/>
  <c r="M849" i="1"/>
  <c r="I850" i="1"/>
  <c r="M850" i="1"/>
  <c r="I851" i="1"/>
  <c r="M851" i="1"/>
  <c r="I852" i="1"/>
  <c r="M852" i="1"/>
  <c r="I853" i="1"/>
  <c r="M853" i="1"/>
  <c r="I854" i="1"/>
  <c r="M854" i="1"/>
  <c r="I855" i="1"/>
  <c r="M855" i="1"/>
  <c r="I856" i="1"/>
  <c r="M856" i="1"/>
  <c r="I857" i="1"/>
  <c r="M857" i="1"/>
  <c r="I858" i="1"/>
  <c r="M858" i="1"/>
  <c r="I859" i="1"/>
  <c r="M859" i="1"/>
  <c r="I860" i="1"/>
  <c r="M860" i="1"/>
  <c r="I861" i="1"/>
  <c r="M861" i="1"/>
  <c r="I862" i="1"/>
  <c r="M862" i="1"/>
  <c r="I863" i="1"/>
  <c r="M863" i="1"/>
  <c r="I864" i="1"/>
  <c r="M864" i="1"/>
  <c r="I865" i="1"/>
  <c r="M865" i="1"/>
  <c r="I866" i="1"/>
  <c r="M866" i="1"/>
  <c r="I867" i="1"/>
  <c r="M867" i="1"/>
  <c r="I868" i="1"/>
  <c r="M868" i="1"/>
  <c r="I869" i="1"/>
  <c r="M869" i="1"/>
  <c r="I870" i="1"/>
  <c r="M870" i="1"/>
  <c r="I871" i="1"/>
  <c r="M871" i="1"/>
  <c r="I872" i="1"/>
  <c r="M872" i="1"/>
  <c r="I873" i="1"/>
  <c r="M873" i="1"/>
  <c r="I874" i="1"/>
  <c r="M874" i="1"/>
  <c r="I875" i="1"/>
  <c r="M875" i="1"/>
  <c r="I876" i="1"/>
  <c r="M876" i="1"/>
  <c r="I877" i="1"/>
  <c r="M877" i="1"/>
  <c r="I878" i="1"/>
  <c r="M878" i="1"/>
  <c r="I879" i="1"/>
  <c r="M879" i="1"/>
  <c r="I880" i="1"/>
  <c r="M880" i="1"/>
  <c r="I881" i="1"/>
  <c r="M881" i="1"/>
  <c r="I882" i="1"/>
  <c r="M882" i="1"/>
  <c r="I883" i="1"/>
  <c r="M883" i="1"/>
  <c r="I884" i="1"/>
  <c r="M884" i="1"/>
  <c r="I885" i="1"/>
  <c r="M885" i="1"/>
  <c r="I886" i="1"/>
  <c r="M886" i="1"/>
  <c r="I887" i="1"/>
  <c r="M887" i="1"/>
  <c r="I888" i="1"/>
  <c r="M888" i="1"/>
  <c r="I889" i="1"/>
  <c r="M889" i="1"/>
  <c r="I890" i="1"/>
  <c r="M890" i="1"/>
  <c r="I891" i="1"/>
  <c r="M891" i="1"/>
  <c r="I892" i="1"/>
  <c r="M892" i="1"/>
  <c r="I893" i="1"/>
  <c r="M893" i="1"/>
  <c r="I894" i="1"/>
  <c r="M894" i="1"/>
  <c r="I895" i="1"/>
  <c r="M895" i="1"/>
  <c r="I896" i="1"/>
  <c r="M896" i="1"/>
  <c r="I897" i="1"/>
  <c r="M897" i="1"/>
  <c r="I898" i="1"/>
  <c r="M898" i="1"/>
  <c r="I899" i="1"/>
  <c r="M899" i="1"/>
  <c r="I900" i="1"/>
  <c r="M900" i="1"/>
  <c r="I901" i="1"/>
  <c r="M901" i="1"/>
  <c r="I902" i="1"/>
  <c r="M902" i="1"/>
  <c r="I903" i="1"/>
  <c r="M903" i="1"/>
  <c r="I904" i="1"/>
  <c r="M904" i="1"/>
  <c r="I905" i="1"/>
  <c r="M905" i="1"/>
  <c r="I906" i="1"/>
  <c r="M906" i="1"/>
  <c r="I907" i="1"/>
  <c r="M907" i="1"/>
  <c r="I908" i="1"/>
  <c r="M908" i="1"/>
  <c r="I909" i="1"/>
  <c r="M909" i="1"/>
  <c r="I910" i="1"/>
  <c r="M910" i="1"/>
  <c r="I911" i="1"/>
  <c r="M911" i="1"/>
  <c r="I912" i="1"/>
  <c r="M912" i="1"/>
  <c r="I913" i="1"/>
  <c r="M913" i="1"/>
  <c r="I914" i="1"/>
  <c r="M914" i="1"/>
  <c r="I915" i="1"/>
  <c r="M915" i="1"/>
  <c r="I916" i="1"/>
  <c r="M916" i="1"/>
  <c r="I917" i="1"/>
  <c r="M917" i="1"/>
  <c r="I918" i="1"/>
  <c r="M918" i="1"/>
  <c r="I919" i="1"/>
  <c r="M919" i="1"/>
  <c r="I920" i="1"/>
  <c r="M920" i="1"/>
  <c r="I921" i="1"/>
  <c r="M921" i="1"/>
  <c r="I922" i="1"/>
  <c r="M922" i="1"/>
  <c r="I923" i="1"/>
  <c r="M923" i="1"/>
  <c r="I924" i="1"/>
  <c r="M924" i="1"/>
  <c r="I925" i="1"/>
  <c r="M925" i="1"/>
  <c r="I926" i="1"/>
  <c r="M926" i="1"/>
  <c r="I927" i="1"/>
  <c r="M927" i="1"/>
  <c r="I928" i="1"/>
  <c r="M928" i="1"/>
  <c r="I929" i="1"/>
  <c r="M929" i="1"/>
  <c r="I930" i="1"/>
  <c r="M930" i="1"/>
  <c r="I931" i="1"/>
  <c r="M931" i="1"/>
  <c r="I932" i="1"/>
  <c r="M932" i="1"/>
  <c r="I933" i="1"/>
  <c r="M933" i="1"/>
  <c r="I934" i="1"/>
  <c r="M934" i="1"/>
  <c r="I935" i="1"/>
  <c r="M935" i="1"/>
  <c r="I936" i="1"/>
  <c r="M936" i="1"/>
  <c r="I937" i="1"/>
  <c r="M937" i="1"/>
  <c r="I938" i="1"/>
  <c r="M938" i="1"/>
  <c r="I939" i="1"/>
  <c r="M939" i="1"/>
  <c r="I940" i="1"/>
  <c r="M940" i="1"/>
  <c r="I941" i="1"/>
  <c r="M941" i="1"/>
  <c r="I942" i="1"/>
  <c r="M942" i="1"/>
  <c r="I943" i="1"/>
  <c r="M943" i="1"/>
  <c r="I944" i="1"/>
  <c r="M944" i="1"/>
  <c r="I945" i="1"/>
  <c r="M945" i="1"/>
  <c r="I946" i="1"/>
  <c r="M946" i="1"/>
  <c r="I947" i="1"/>
  <c r="M947" i="1"/>
  <c r="I948" i="1"/>
  <c r="M948" i="1"/>
  <c r="I949" i="1"/>
  <c r="M949" i="1"/>
  <c r="I950" i="1"/>
  <c r="M950" i="1"/>
  <c r="I951" i="1"/>
  <c r="M951" i="1"/>
  <c r="I952" i="1"/>
  <c r="M952" i="1"/>
  <c r="I953" i="1"/>
  <c r="M953" i="1"/>
  <c r="I954" i="1"/>
  <c r="M954" i="1"/>
  <c r="I955" i="1"/>
  <c r="M955" i="1"/>
  <c r="I956" i="1"/>
  <c r="M956" i="1"/>
  <c r="I957" i="1"/>
  <c r="M957" i="1"/>
  <c r="I958" i="1"/>
  <c r="M958" i="1"/>
  <c r="I959" i="1"/>
  <c r="M959" i="1"/>
  <c r="I960" i="1"/>
  <c r="M960" i="1"/>
  <c r="I961" i="1"/>
  <c r="M961" i="1"/>
  <c r="I962" i="1"/>
  <c r="M962" i="1"/>
  <c r="I963" i="1"/>
  <c r="M963" i="1"/>
  <c r="I964" i="1"/>
  <c r="M964" i="1"/>
  <c r="I965" i="1"/>
  <c r="M965" i="1"/>
  <c r="I966" i="1"/>
  <c r="M966" i="1"/>
  <c r="I967" i="1"/>
  <c r="M967" i="1"/>
  <c r="I968" i="1"/>
  <c r="M968" i="1"/>
  <c r="I969" i="1"/>
  <c r="M969" i="1"/>
  <c r="I970" i="1"/>
  <c r="M970" i="1"/>
  <c r="I971" i="1"/>
  <c r="M971" i="1"/>
  <c r="I972" i="1"/>
  <c r="M972" i="1"/>
  <c r="I973" i="1"/>
  <c r="M973" i="1"/>
  <c r="I974" i="1"/>
  <c r="M974" i="1"/>
  <c r="I975" i="1"/>
  <c r="M975" i="1"/>
  <c r="I976" i="1"/>
  <c r="M976" i="1"/>
  <c r="I977" i="1"/>
  <c r="M977" i="1"/>
  <c r="I978" i="1"/>
  <c r="M978" i="1"/>
  <c r="I979" i="1"/>
  <c r="M979" i="1"/>
  <c r="I980" i="1"/>
  <c r="M980" i="1"/>
  <c r="I981" i="1"/>
  <c r="M981" i="1"/>
  <c r="I982" i="1"/>
  <c r="M982" i="1"/>
  <c r="I983" i="1"/>
  <c r="M983" i="1"/>
  <c r="I984" i="1"/>
  <c r="M984" i="1"/>
  <c r="I985" i="1"/>
  <c r="M985" i="1"/>
  <c r="I986" i="1"/>
  <c r="M986" i="1"/>
  <c r="I987" i="1"/>
  <c r="M987" i="1"/>
  <c r="I988" i="1"/>
  <c r="M988" i="1"/>
  <c r="I989" i="1"/>
  <c r="M989" i="1"/>
  <c r="I990" i="1"/>
  <c r="M990" i="1"/>
  <c r="I991" i="1"/>
  <c r="M991" i="1"/>
  <c r="I992" i="1"/>
  <c r="M992" i="1"/>
  <c r="I993" i="1"/>
  <c r="M993" i="1"/>
  <c r="I994" i="1"/>
  <c r="M994" i="1"/>
  <c r="I995" i="1"/>
  <c r="M995" i="1"/>
  <c r="I996" i="1"/>
  <c r="M996" i="1"/>
  <c r="I997" i="1"/>
  <c r="M997" i="1"/>
  <c r="I998" i="1"/>
  <c r="M998" i="1"/>
  <c r="I999" i="1"/>
  <c r="M999" i="1"/>
  <c r="I1000" i="1"/>
  <c r="M1000" i="1"/>
  <c r="I1001" i="1"/>
  <c r="M1001" i="1"/>
  <c r="I1002" i="1"/>
  <c r="M1002" i="1"/>
  <c r="I1003" i="1"/>
  <c r="M1003" i="1"/>
  <c r="I1004" i="1"/>
  <c r="M1004" i="1"/>
  <c r="I1005" i="1"/>
  <c r="M1005" i="1"/>
  <c r="I1006" i="1"/>
  <c r="M1006" i="1"/>
  <c r="I1007" i="1"/>
  <c r="M1007" i="1"/>
  <c r="I1008" i="1"/>
  <c r="M1008" i="1"/>
  <c r="I1009" i="1"/>
  <c r="M1009" i="1"/>
  <c r="I1010" i="1"/>
  <c r="M1010" i="1"/>
  <c r="I1011" i="1"/>
  <c r="M1011" i="1"/>
  <c r="I1012" i="1"/>
  <c r="M1012" i="1"/>
  <c r="I1013" i="1"/>
  <c r="M1013" i="1"/>
  <c r="I1014" i="1"/>
  <c r="M1014" i="1"/>
  <c r="I1015" i="1"/>
  <c r="M1015" i="1"/>
  <c r="I1016" i="1"/>
  <c r="M1016" i="1"/>
  <c r="I1017" i="1"/>
  <c r="M1017" i="1"/>
  <c r="I1018" i="1"/>
  <c r="M1018" i="1"/>
  <c r="I1019" i="1"/>
  <c r="M1019" i="1"/>
  <c r="I1020" i="1"/>
  <c r="M1020" i="1"/>
  <c r="I1021" i="1"/>
  <c r="M1021" i="1"/>
  <c r="I1022" i="1"/>
  <c r="M1022" i="1"/>
  <c r="I1023" i="1"/>
  <c r="M1023" i="1"/>
  <c r="I1024" i="1"/>
  <c r="M1024" i="1"/>
  <c r="I1025" i="1"/>
  <c r="M1025" i="1"/>
  <c r="I1026" i="1"/>
  <c r="M1026" i="1"/>
  <c r="I1027" i="1"/>
  <c r="M1027" i="1"/>
  <c r="I1028" i="1"/>
  <c r="M1028" i="1"/>
  <c r="I1029" i="1"/>
  <c r="M1029" i="1"/>
  <c r="I1030" i="1"/>
  <c r="M1030" i="1"/>
  <c r="I1031" i="1"/>
  <c r="M1031" i="1"/>
  <c r="I1032" i="1"/>
  <c r="M1032" i="1"/>
  <c r="I1033" i="1"/>
  <c r="M1033" i="1"/>
  <c r="I1034" i="1"/>
  <c r="M1034" i="1"/>
  <c r="I1035" i="1"/>
  <c r="M1035" i="1"/>
  <c r="I1036" i="1"/>
  <c r="M1036" i="1"/>
  <c r="I1037" i="1"/>
  <c r="M1037" i="1"/>
  <c r="I1038" i="1"/>
  <c r="M1038" i="1"/>
  <c r="I1039" i="1"/>
  <c r="M1039" i="1"/>
  <c r="I1040" i="1"/>
  <c r="M1040" i="1"/>
  <c r="I1041" i="1"/>
  <c r="M1041" i="1"/>
  <c r="I1042" i="1"/>
  <c r="M1042" i="1"/>
  <c r="I1043" i="1"/>
  <c r="M1043" i="1"/>
  <c r="I1044" i="1"/>
  <c r="M1044" i="1"/>
  <c r="I1045" i="1"/>
  <c r="M1045" i="1"/>
  <c r="I1046" i="1"/>
  <c r="M1046" i="1"/>
  <c r="I1047" i="1"/>
  <c r="M1047" i="1"/>
  <c r="I1048" i="1"/>
  <c r="M1048" i="1"/>
  <c r="I1049" i="1"/>
  <c r="M1049" i="1"/>
  <c r="I1050" i="1"/>
  <c r="M1050" i="1"/>
  <c r="I1051" i="1"/>
  <c r="M1051" i="1"/>
  <c r="I1052" i="1"/>
  <c r="M1052" i="1"/>
  <c r="I1053" i="1"/>
  <c r="M1053" i="1"/>
  <c r="I1054" i="1"/>
  <c r="M1054" i="1"/>
  <c r="I1055" i="1"/>
  <c r="M1055" i="1"/>
  <c r="I1056" i="1"/>
  <c r="M1056" i="1"/>
  <c r="I1057" i="1"/>
  <c r="M1057" i="1"/>
  <c r="I1058" i="1"/>
  <c r="M1058" i="1"/>
  <c r="I1059" i="1"/>
  <c r="M1059" i="1"/>
  <c r="I1060" i="1"/>
  <c r="M1060" i="1"/>
  <c r="I1061" i="1"/>
  <c r="M1061" i="1"/>
  <c r="I1062" i="1"/>
  <c r="M1062" i="1"/>
  <c r="I1063" i="1"/>
  <c r="M1063" i="1"/>
  <c r="I1064" i="1"/>
  <c r="M1064" i="1"/>
  <c r="I1065" i="1"/>
  <c r="M1065" i="1"/>
  <c r="I1066" i="1"/>
  <c r="M1066" i="1"/>
  <c r="I1067" i="1"/>
  <c r="M1067" i="1"/>
  <c r="I1068" i="1"/>
  <c r="M1068" i="1"/>
  <c r="I1069" i="1"/>
  <c r="M1069" i="1"/>
  <c r="I1070" i="1"/>
  <c r="M1070" i="1"/>
  <c r="I1071" i="1"/>
  <c r="M1071" i="1"/>
  <c r="I1072" i="1"/>
  <c r="M1072" i="1"/>
  <c r="I1073" i="1"/>
  <c r="M1073" i="1"/>
  <c r="I1074" i="1"/>
  <c r="M1074" i="1"/>
  <c r="I1075" i="1"/>
  <c r="M1075" i="1"/>
  <c r="I1076" i="1"/>
  <c r="M1076" i="1"/>
  <c r="I1077" i="1"/>
  <c r="M1077" i="1"/>
  <c r="I1078" i="1"/>
  <c r="M1078" i="1"/>
  <c r="I1079" i="1"/>
  <c r="M1079" i="1"/>
  <c r="I1080" i="1"/>
  <c r="M1080" i="1"/>
  <c r="I1081" i="1"/>
  <c r="M1081" i="1"/>
  <c r="I1082" i="1"/>
  <c r="M1082" i="1"/>
  <c r="I1083" i="1"/>
  <c r="M1083" i="1"/>
  <c r="I1084" i="1"/>
  <c r="M1084" i="1"/>
  <c r="I1085" i="1"/>
  <c r="M1085" i="1"/>
  <c r="I1086" i="1"/>
  <c r="M1086" i="1"/>
  <c r="I1087" i="1"/>
  <c r="M1087" i="1"/>
  <c r="I1088" i="1"/>
  <c r="M1088" i="1"/>
  <c r="I1089" i="1"/>
  <c r="M1089" i="1"/>
  <c r="I1090" i="1"/>
  <c r="M1090" i="1"/>
  <c r="I1091" i="1"/>
  <c r="M1091" i="1"/>
  <c r="I1092" i="1"/>
  <c r="M1092" i="1"/>
  <c r="I1093" i="1"/>
  <c r="M1093" i="1"/>
  <c r="I1094" i="1"/>
  <c r="M1094" i="1"/>
  <c r="I1095" i="1"/>
  <c r="M1095" i="1"/>
  <c r="I1096" i="1"/>
  <c r="M1096" i="1"/>
  <c r="I1097" i="1"/>
  <c r="M1097" i="1"/>
  <c r="I1098" i="1"/>
  <c r="M1098" i="1"/>
  <c r="I1099" i="1"/>
  <c r="M1099" i="1"/>
  <c r="I1100" i="1"/>
  <c r="M1100" i="1"/>
  <c r="I1101" i="1"/>
  <c r="M1101" i="1"/>
  <c r="I1102" i="1"/>
  <c r="M1102" i="1"/>
  <c r="I1103" i="1"/>
  <c r="M1103" i="1"/>
  <c r="I1104" i="1"/>
  <c r="M1104" i="1"/>
  <c r="I1105" i="1"/>
  <c r="M1105" i="1"/>
  <c r="I1106" i="1"/>
  <c r="M1106" i="1"/>
  <c r="I1107" i="1"/>
  <c r="M1107" i="1"/>
  <c r="I1108" i="1"/>
  <c r="M1108" i="1"/>
  <c r="I1109" i="1"/>
  <c r="M1109" i="1"/>
  <c r="I1110" i="1"/>
  <c r="M1110" i="1"/>
  <c r="I1111" i="1"/>
  <c r="M1111" i="1"/>
  <c r="I1112" i="1"/>
  <c r="M1112" i="1"/>
  <c r="I1113" i="1"/>
  <c r="M1113" i="1"/>
  <c r="I1114" i="1"/>
  <c r="M1114" i="1"/>
  <c r="I1115" i="1"/>
  <c r="M1115" i="1"/>
  <c r="I1116" i="1"/>
  <c r="M1116" i="1"/>
  <c r="I1117" i="1"/>
  <c r="M1117" i="1"/>
  <c r="I1118" i="1"/>
  <c r="M1118" i="1"/>
  <c r="I1119" i="1"/>
  <c r="M1119" i="1"/>
  <c r="I1120" i="1"/>
  <c r="M1120" i="1"/>
  <c r="I1121" i="1"/>
  <c r="M1121" i="1"/>
  <c r="I1122" i="1"/>
  <c r="M1122" i="1"/>
  <c r="I1123" i="1"/>
  <c r="M1123" i="1"/>
  <c r="I1124" i="1"/>
  <c r="M1124" i="1"/>
  <c r="I1125" i="1"/>
  <c r="M1125" i="1"/>
  <c r="I1126" i="1"/>
  <c r="M1126" i="1"/>
  <c r="I1127" i="1"/>
  <c r="M1127" i="1"/>
  <c r="I1128" i="1"/>
  <c r="M1128" i="1"/>
  <c r="I1129" i="1"/>
  <c r="M1129" i="1"/>
  <c r="I1130" i="1"/>
  <c r="M1130" i="1"/>
  <c r="I1131" i="1"/>
  <c r="M1131" i="1"/>
  <c r="I1132" i="1"/>
  <c r="M1132" i="1"/>
  <c r="I1133" i="1"/>
  <c r="M1133" i="1"/>
  <c r="I1134" i="1"/>
  <c r="M1134" i="1"/>
  <c r="I1135" i="1"/>
  <c r="M1135" i="1"/>
  <c r="I1136" i="1"/>
  <c r="M1136" i="1"/>
  <c r="I1137" i="1"/>
  <c r="M1137" i="1"/>
  <c r="I1138" i="1"/>
  <c r="M1138" i="1"/>
  <c r="I1139" i="1"/>
  <c r="M1139" i="1"/>
  <c r="I1140" i="1"/>
  <c r="M1140" i="1"/>
  <c r="I1141" i="1"/>
  <c r="M1141" i="1"/>
  <c r="I1142" i="1"/>
  <c r="M1142" i="1"/>
  <c r="I1143" i="1"/>
  <c r="M1143" i="1"/>
  <c r="I1144" i="1"/>
  <c r="M1144" i="1"/>
  <c r="I1145" i="1"/>
  <c r="M1145" i="1"/>
  <c r="I1146" i="1"/>
  <c r="M1146" i="1"/>
  <c r="I1147" i="1"/>
  <c r="M1147" i="1"/>
  <c r="I1148" i="1"/>
  <c r="M1148" i="1"/>
  <c r="I1149" i="1"/>
  <c r="M1149" i="1"/>
  <c r="I1150" i="1"/>
  <c r="M1150" i="1"/>
  <c r="I1151" i="1"/>
  <c r="M1151" i="1"/>
  <c r="I1152" i="1"/>
  <c r="M1152" i="1"/>
  <c r="I1153" i="1"/>
  <c r="M1153" i="1"/>
  <c r="I1154" i="1"/>
  <c r="M1154" i="1"/>
  <c r="I1155" i="1"/>
  <c r="M1155" i="1"/>
  <c r="I1156" i="1"/>
  <c r="M1156" i="1"/>
  <c r="I1157" i="1"/>
  <c r="M1157" i="1"/>
  <c r="I1158" i="1"/>
  <c r="M1158" i="1"/>
  <c r="I1159" i="1"/>
  <c r="M1159" i="1"/>
  <c r="I1160" i="1"/>
  <c r="M1160" i="1"/>
  <c r="I1161" i="1"/>
  <c r="M1161" i="1"/>
  <c r="I1162" i="1"/>
  <c r="M1162" i="1"/>
  <c r="I1163" i="1"/>
  <c r="M1163" i="1"/>
  <c r="I1164" i="1"/>
  <c r="M1164" i="1"/>
  <c r="I1165" i="1"/>
  <c r="M1165" i="1"/>
  <c r="I1166" i="1"/>
  <c r="M1166" i="1"/>
  <c r="I1167" i="1"/>
  <c r="M1167" i="1"/>
  <c r="I1168" i="1"/>
  <c r="M1168" i="1"/>
  <c r="I1169" i="1"/>
  <c r="M1169" i="1"/>
  <c r="I1170" i="1"/>
  <c r="M1170" i="1"/>
  <c r="I1171" i="1"/>
  <c r="M1171" i="1"/>
  <c r="I1172" i="1"/>
  <c r="M1172" i="1"/>
  <c r="I1173" i="1"/>
  <c r="M1173" i="1"/>
  <c r="I1174" i="1"/>
  <c r="M1174" i="1"/>
  <c r="I1175" i="1"/>
  <c r="M1175" i="1"/>
  <c r="I1176" i="1"/>
  <c r="M1176" i="1"/>
  <c r="I1177" i="1"/>
  <c r="M1177" i="1"/>
  <c r="I1178" i="1"/>
  <c r="M1178" i="1"/>
  <c r="I1179" i="1"/>
  <c r="M1179" i="1"/>
  <c r="I1180" i="1"/>
  <c r="M1180" i="1"/>
  <c r="I1181" i="1"/>
  <c r="M1181" i="1"/>
  <c r="I1182" i="1"/>
  <c r="M1182" i="1"/>
  <c r="I1183" i="1"/>
  <c r="M1183" i="1"/>
  <c r="I1184" i="1"/>
  <c r="M1184" i="1"/>
  <c r="I1185" i="1"/>
  <c r="M1185" i="1"/>
  <c r="I1186" i="1"/>
  <c r="M1186" i="1"/>
  <c r="I1187" i="1"/>
  <c r="M1187" i="1"/>
  <c r="I1188" i="1"/>
  <c r="M1188" i="1"/>
  <c r="I1189" i="1"/>
  <c r="M1189" i="1"/>
  <c r="I1190" i="1"/>
  <c r="M1190" i="1"/>
  <c r="I1191" i="1"/>
  <c r="M1191" i="1"/>
  <c r="I1192" i="1"/>
  <c r="M1192" i="1"/>
  <c r="I1193" i="1"/>
  <c r="M1193" i="1"/>
  <c r="I1194" i="1"/>
  <c r="M1194" i="1"/>
  <c r="I1195" i="1"/>
  <c r="M1195" i="1"/>
  <c r="I1196" i="1"/>
  <c r="M1196" i="1"/>
  <c r="I1197" i="1"/>
  <c r="M1197" i="1"/>
  <c r="I1198" i="1"/>
  <c r="M1198" i="1"/>
  <c r="I1199" i="1"/>
  <c r="M1199" i="1"/>
  <c r="I1200" i="1"/>
  <c r="M1200" i="1"/>
  <c r="I1201" i="1"/>
  <c r="M1201" i="1"/>
  <c r="I1202" i="1"/>
  <c r="M1202" i="1"/>
  <c r="I1203" i="1"/>
  <c r="M1203" i="1"/>
  <c r="I1204" i="1"/>
  <c r="M1204" i="1"/>
  <c r="I1205" i="1"/>
  <c r="M1205" i="1"/>
  <c r="I1206" i="1"/>
  <c r="M1206" i="1"/>
  <c r="I1207" i="1"/>
  <c r="M1207" i="1"/>
  <c r="I1208" i="1"/>
  <c r="M1208" i="1"/>
  <c r="I1209" i="1"/>
  <c r="M1209" i="1"/>
  <c r="I1210" i="1"/>
  <c r="M1210" i="1"/>
  <c r="I1211" i="1"/>
  <c r="M1211" i="1"/>
  <c r="I1212" i="1"/>
  <c r="M1212" i="1"/>
  <c r="I1213" i="1"/>
  <c r="M1213" i="1"/>
  <c r="I1214" i="1"/>
  <c r="M1214" i="1"/>
  <c r="I1215" i="1"/>
  <c r="M1215" i="1"/>
  <c r="I1216" i="1"/>
  <c r="M1216" i="1"/>
  <c r="I1217" i="1"/>
  <c r="M1217" i="1"/>
  <c r="I1218" i="1"/>
  <c r="M1218" i="1"/>
  <c r="I1219" i="1"/>
  <c r="M1219" i="1"/>
  <c r="I1220" i="1"/>
  <c r="M1220" i="1"/>
  <c r="I1221" i="1"/>
  <c r="M1221" i="1"/>
  <c r="I1222" i="1"/>
  <c r="M1222" i="1"/>
  <c r="I1223" i="1"/>
  <c r="M1223" i="1"/>
  <c r="I1224" i="1"/>
  <c r="M1224" i="1"/>
  <c r="I1225" i="1"/>
  <c r="M1225" i="1"/>
  <c r="I1226" i="1"/>
  <c r="M1226" i="1"/>
  <c r="I1227" i="1"/>
  <c r="M1227" i="1"/>
  <c r="I1228" i="1"/>
  <c r="M1228" i="1"/>
  <c r="I1229" i="1"/>
  <c r="M1229" i="1"/>
  <c r="I1230" i="1"/>
  <c r="M1230" i="1"/>
  <c r="I1231" i="1"/>
  <c r="M1231" i="1"/>
  <c r="I1232" i="1"/>
  <c r="M1232" i="1"/>
  <c r="I1233" i="1"/>
  <c r="M1233" i="1"/>
  <c r="I1234" i="1"/>
  <c r="M1234" i="1"/>
  <c r="I1235" i="1"/>
  <c r="M1235" i="1"/>
  <c r="I1236" i="1"/>
  <c r="M1236" i="1"/>
  <c r="I1237" i="1"/>
  <c r="M1237" i="1"/>
  <c r="I1238" i="1"/>
  <c r="M1238" i="1"/>
  <c r="I1239" i="1"/>
  <c r="M1239" i="1"/>
  <c r="I1240" i="1"/>
  <c r="M1240" i="1"/>
  <c r="I1241" i="1"/>
  <c r="M1241" i="1"/>
  <c r="I1242" i="1"/>
  <c r="M1242" i="1"/>
  <c r="I1243" i="1"/>
  <c r="M1243" i="1"/>
  <c r="I1244" i="1"/>
  <c r="M1244" i="1"/>
  <c r="I1245" i="1"/>
  <c r="M1245" i="1"/>
  <c r="I1246" i="1"/>
  <c r="M1246" i="1"/>
  <c r="I1247" i="1"/>
  <c r="M1247" i="1"/>
  <c r="I1248" i="1"/>
  <c r="M1248" i="1"/>
  <c r="I1249" i="1"/>
  <c r="M1249" i="1"/>
  <c r="I1250" i="1"/>
  <c r="M1250" i="1"/>
  <c r="I1251" i="1"/>
  <c r="M1251" i="1"/>
  <c r="I1252" i="1"/>
  <c r="M1252" i="1"/>
  <c r="I1253" i="1"/>
  <c r="M1253" i="1"/>
  <c r="I1254" i="1"/>
  <c r="M1254" i="1"/>
  <c r="I1255" i="1"/>
  <c r="M1255" i="1"/>
  <c r="I1256" i="1"/>
  <c r="M1256" i="1"/>
  <c r="I1257" i="1"/>
  <c r="M1257" i="1"/>
  <c r="I1258" i="1"/>
  <c r="M1258" i="1"/>
  <c r="I1259" i="1"/>
  <c r="M1259" i="1"/>
  <c r="I1260" i="1"/>
  <c r="M1260" i="1"/>
  <c r="I1261" i="1"/>
  <c r="M1261" i="1"/>
  <c r="I1262" i="1"/>
  <c r="M1262" i="1"/>
  <c r="I1263" i="1"/>
  <c r="M1263" i="1"/>
  <c r="I1264" i="1"/>
  <c r="M1264" i="1"/>
  <c r="I1265" i="1"/>
  <c r="M1265" i="1"/>
  <c r="I1266" i="1"/>
  <c r="M1266" i="1"/>
  <c r="I1267" i="1"/>
  <c r="M1267" i="1"/>
  <c r="I1268" i="1"/>
  <c r="M1268" i="1"/>
  <c r="I1269" i="1"/>
  <c r="M1269" i="1"/>
  <c r="I1270" i="1"/>
  <c r="M1270" i="1"/>
  <c r="I1271" i="1"/>
  <c r="M1271" i="1"/>
  <c r="I1272" i="1"/>
  <c r="M1272" i="1"/>
  <c r="I1273" i="1"/>
  <c r="M1273" i="1"/>
  <c r="I1274" i="1"/>
  <c r="M1274" i="1"/>
  <c r="I1275" i="1"/>
  <c r="M1275" i="1"/>
  <c r="I1276" i="1"/>
  <c r="M1276" i="1"/>
  <c r="I1277" i="1"/>
  <c r="M1277" i="1"/>
  <c r="I1278" i="1"/>
  <c r="M1278" i="1"/>
  <c r="I1279" i="1"/>
  <c r="M1279" i="1"/>
  <c r="I1280" i="1"/>
  <c r="M1280" i="1"/>
  <c r="I1281" i="1"/>
  <c r="M1281" i="1"/>
  <c r="I1282" i="1"/>
  <c r="M1282" i="1"/>
  <c r="I1283" i="1"/>
  <c r="M1283" i="1"/>
  <c r="I1284" i="1"/>
  <c r="M1284" i="1"/>
  <c r="I1285" i="1"/>
  <c r="M1285" i="1"/>
  <c r="I1286" i="1"/>
  <c r="M1286" i="1"/>
  <c r="I1287" i="1"/>
  <c r="M1287" i="1"/>
  <c r="I1288" i="1"/>
  <c r="M1288" i="1"/>
  <c r="I1289" i="1"/>
  <c r="M1289" i="1"/>
  <c r="I1290" i="1"/>
  <c r="M1290" i="1"/>
  <c r="I1291" i="1"/>
  <c r="M1291" i="1"/>
  <c r="I1292" i="1"/>
  <c r="M1292" i="1"/>
  <c r="I1293" i="1"/>
  <c r="M1293" i="1"/>
  <c r="I1294" i="1"/>
  <c r="M1294" i="1"/>
  <c r="I1295" i="1"/>
  <c r="M1295" i="1"/>
  <c r="I1296" i="1"/>
  <c r="M1296" i="1"/>
  <c r="I1297" i="1"/>
  <c r="M1297" i="1"/>
  <c r="I1298" i="1"/>
  <c r="M1298" i="1"/>
  <c r="I1299" i="1"/>
  <c r="M1299" i="1"/>
  <c r="I1300" i="1"/>
  <c r="M1300" i="1"/>
  <c r="I1301" i="1"/>
  <c r="M1301" i="1"/>
  <c r="I1302" i="1"/>
  <c r="M1302" i="1"/>
  <c r="I1303" i="1"/>
  <c r="M1303" i="1"/>
  <c r="I1304" i="1"/>
  <c r="M1304" i="1"/>
  <c r="I1305" i="1"/>
  <c r="M1305" i="1"/>
  <c r="I1306" i="1"/>
  <c r="M1306" i="1"/>
  <c r="I1307" i="1"/>
  <c r="M1307" i="1"/>
  <c r="I1308" i="1"/>
  <c r="M1308" i="1"/>
  <c r="I1309" i="1"/>
  <c r="M1309" i="1"/>
  <c r="I1310" i="1"/>
  <c r="M1310" i="1"/>
  <c r="I1311" i="1"/>
  <c r="M1311" i="1"/>
  <c r="I1312" i="1"/>
  <c r="M1312" i="1"/>
  <c r="I1313" i="1"/>
  <c r="M1313" i="1"/>
  <c r="I1314" i="1"/>
  <c r="M1314" i="1"/>
  <c r="I1315" i="1"/>
  <c r="M1315" i="1"/>
  <c r="I1316" i="1"/>
  <c r="M1316" i="1"/>
  <c r="I1317" i="1"/>
  <c r="M1317" i="1"/>
  <c r="I1318" i="1"/>
  <c r="M1318" i="1"/>
  <c r="I1319" i="1"/>
  <c r="M1319" i="1"/>
  <c r="I1320" i="1"/>
  <c r="M1320" i="1"/>
  <c r="I1321" i="1"/>
  <c r="M1321" i="1"/>
  <c r="I1322" i="1"/>
  <c r="M1322" i="1"/>
  <c r="I1323" i="1"/>
  <c r="M1323" i="1"/>
  <c r="I1324" i="1"/>
  <c r="M1324" i="1"/>
  <c r="I1325" i="1"/>
  <c r="M1325" i="1"/>
  <c r="I1326" i="1"/>
  <c r="M1326" i="1"/>
  <c r="I1327" i="1"/>
  <c r="M1327" i="1"/>
  <c r="I1328" i="1"/>
  <c r="M1328" i="1"/>
  <c r="I1329" i="1"/>
  <c r="M1329" i="1"/>
  <c r="I1330" i="1"/>
  <c r="M1330" i="1"/>
  <c r="I1331" i="1"/>
  <c r="M1331" i="1"/>
  <c r="I1332" i="1"/>
  <c r="M1332" i="1"/>
  <c r="I1333" i="1"/>
  <c r="M1333" i="1"/>
  <c r="I1334" i="1"/>
  <c r="M1334" i="1"/>
  <c r="I1335" i="1"/>
  <c r="M1335" i="1"/>
  <c r="I1336" i="1"/>
  <c r="M1336" i="1"/>
  <c r="I1337" i="1"/>
  <c r="M1337" i="1"/>
  <c r="I1338" i="1"/>
  <c r="M1338" i="1"/>
  <c r="I1339" i="1"/>
  <c r="M1339" i="1"/>
  <c r="I1340" i="1"/>
  <c r="M1340" i="1"/>
  <c r="I1341" i="1"/>
  <c r="M1341" i="1"/>
  <c r="I1342" i="1"/>
  <c r="M1342" i="1"/>
  <c r="I1343" i="1"/>
  <c r="M1343" i="1"/>
  <c r="I1344" i="1"/>
  <c r="M1344" i="1"/>
  <c r="I1345" i="1"/>
  <c r="M1345" i="1"/>
  <c r="I1346" i="1"/>
  <c r="M1346" i="1"/>
  <c r="I1347" i="1"/>
  <c r="M1347" i="1"/>
  <c r="I1348" i="1"/>
  <c r="M1348" i="1"/>
  <c r="I1349" i="1"/>
  <c r="M1349" i="1"/>
  <c r="I1350" i="1"/>
  <c r="M1350" i="1"/>
  <c r="I1351" i="1"/>
  <c r="M1351" i="1"/>
  <c r="I1352" i="1"/>
  <c r="M1352" i="1"/>
  <c r="I1353" i="1"/>
  <c r="M1353" i="1"/>
  <c r="I1354" i="1"/>
  <c r="M1354" i="1"/>
  <c r="I1355" i="1"/>
  <c r="M1355" i="1"/>
  <c r="I1356" i="1"/>
  <c r="M1356" i="1"/>
  <c r="I1357" i="1"/>
  <c r="M1357" i="1"/>
  <c r="I1358" i="1"/>
  <c r="M1358" i="1"/>
  <c r="I1359" i="1"/>
  <c r="M1359" i="1"/>
  <c r="I1360" i="1"/>
  <c r="M1360" i="1"/>
  <c r="I1361" i="1"/>
  <c r="M1361" i="1"/>
  <c r="I1362" i="1"/>
  <c r="M1362" i="1"/>
  <c r="I1363" i="1"/>
  <c r="M1363" i="1"/>
  <c r="I1364" i="1"/>
  <c r="M1364" i="1"/>
  <c r="I1365" i="1"/>
  <c r="M1365" i="1"/>
  <c r="I1366" i="1"/>
  <c r="M1366" i="1"/>
  <c r="I1367" i="1"/>
  <c r="M1367" i="1"/>
  <c r="I1368" i="1"/>
  <c r="M1368" i="1"/>
  <c r="I1369" i="1"/>
  <c r="M1369" i="1"/>
  <c r="I1370" i="1"/>
  <c r="M1370" i="1"/>
  <c r="I1371" i="1"/>
  <c r="M1371" i="1"/>
  <c r="I1372" i="1"/>
  <c r="M1372" i="1"/>
  <c r="I1373" i="1"/>
  <c r="M1373" i="1"/>
  <c r="I1374" i="1"/>
  <c r="M1374" i="1"/>
  <c r="I1375" i="1"/>
  <c r="M1375" i="1"/>
  <c r="I1376" i="1"/>
  <c r="M1376" i="1"/>
  <c r="I1377" i="1"/>
  <c r="M1377" i="1"/>
  <c r="I1378" i="1"/>
  <c r="M1378" i="1"/>
  <c r="I1379" i="1"/>
  <c r="M1379" i="1"/>
  <c r="I1380" i="1"/>
  <c r="M1380" i="1"/>
  <c r="I1381" i="1"/>
  <c r="M1381" i="1"/>
  <c r="I1382" i="1"/>
  <c r="M1382" i="1"/>
  <c r="I1383" i="1"/>
  <c r="M1383" i="1"/>
  <c r="I1384" i="1"/>
  <c r="M1384" i="1"/>
  <c r="I1385" i="1"/>
  <c r="M1385" i="1"/>
  <c r="I1386" i="1"/>
  <c r="M1386" i="1"/>
  <c r="I1387" i="1"/>
  <c r="M1387" i="1"/>
  <c r="I1388" i="1"/>
  <c r="M1388" i="1"/>
  <c r="I1389" i="1"/>
  <c r="M1389" i="1"/>
  <c r="I1390" i="1"/>
  <c r="M1390" i="1"/>
  <c r="I1391" i="1"/>
  <c r="M1391" i="1"/>
  <c r="I1392" i="1"/>
  <c r="M1392" i="1"/>
  <c r="I1393" i="1"/>
  <c r="M1393" i="1"/>
  <c r="I1394" i="1"/>
  <c r="M1394" i="1"/>
  <c r="I1395" i="1"/>
  <c r="M1395" i="1"/>
  <c r="I1396" i="1"/>
  <c r="M1396" i="1"/>
  <c r="I1397" i="1"/>
  <c r="M1397" i="1"/>
  <c r="I1398" i="1"/>
  <c r="M1398" i="1"/>
  <c r="I1399" i="1"/>
  <c r="M1399" i="1"/>
  <c r="I1400" i="1"/>
  <c r="M1400" i="1"/>
  <c r="I1401" i="1"/>
  <c r="M1401" i="1"/>
  <c r="I1402" i="1"/>
  <c r="M1402" i="1"/>
  <c r="I1403" i="1"/>
  <c r="M1403" i="1"/>
  <c r="I1404" i="1"/>
  <c r="M1404" i="1"/>
  <c r="I1405" i="1"/>
  <c r="M1405" i="1"/>
  <c r="I1406" i="1"/>
  <c r="M1406" i="1"/>
  <c r="I1407" i="1"/>
  <c r="M1407" i="1"/>
  <c r="I1408" i="1"/>
  <c r="M1408" i="1"/>
  <c r="I1409" i="1"/>
  <c r="M1409" i="1"/>
  <c r="I1410" i="1"/>
  <c r="M1410" i="1"/>
  <c r="I1411" i="1"/>
  <c r="M1411" i="1"/>
  <c r="I1412" i="1"/>
  <c r="M1412" i="1"/>
  <c r="I1413" i="1"/>
  <c r="M1413" i="1"/>
  <c r="I1414" i="1"/>
  <c r="M1414" i="1"/>
  <c r="I1415" i="1"/>
  <c r="M1415" i="1"/>
  <c r="I1416" i="1"/>
  <c r="M1416" i="1"/>
  <c r="I1417" i="1"/>
  <c r="M1417" i="1"/>
  <c r="I1418" i="1"/>
  <c r="M1418" i="1"/>
  <c r="I1419" i="1"/>
  <c r="M1419" i="1"/>
  <c r="I1420" i="1"/>
  <c r="M1420" i="1"/>
  <c r="I1421" i="1"/>
  <c r="M1421" i="1"/>
  <c r="I1422" i="1"/>
  <c r="M1422" i="1"/>
  <c r="I1423" i="1"/>
  <c r="M1423" i="1"/>
  <c r="I1424" i="1"/>
  <c r="M1424" i="1"/>
  <c r="I1425" i="1"/>
  <c r="M1425" i="1"/>
  <c r="I1426" i="1"/>
  <c r="M1426" i="1"/>
  <c r="I1427" i="1"/>
  <c r="M1427" i="1"/>
  <c r="I1428" i="1"/>
  <c r="M1428" i="1"/>
  <c r="I1429" i="1"/>
  <c r="M1429" i="1"/>
  <c r="I1430" i="1"/>
  <c r="M1430" i="1"/>
  <c r="I1431" i="1"/>
  <c r="M1431" i="1"/>
  <c r="I1432" i="1"/>
  <c r="M1432" i="1"/>
  <c r="I1433" i="1"/>
  <c r="M1433" i="1"/>
  <c r="I1434" i="1"/>
  <c r="M1434" i="1"/>
  <c r="I1435" i="1"/>
  <c r="M1435" i="1"/>
  <c r="I1436" i="1"/>
  <c r="M1436" i="1"/>
  <c r="I1437" i="1"/>
  <c r="M1437" i="1"/>
  <c r="I1438" i="1"/>
  <c r="M1438" i="1"/>
  <c r="I1439" i="1"/>
  <c r="M1439" i="1"/>
  <c r="I1440" i="1"/>
  <c r="M1440" i="1"/>
  <c r="I1441" i="1"/>
  <c r="M1441" i="1"/>
  <c r="I1442" i="1"/>
  <c r="M1442" i="1"/>
  <c r="I1443" i="1"/>
  <c r="M1443" i="1"/>
  <c r="I1444" i="1"/>
  <c r="M1444" i="1"/>
  <c r="I1445" i="1"/>
  <c r="M1445" i="1"/>
  <c r="I1446" i="1"/>
  <c r="M1446" i="1"/>
  <c r="I1447" i="1"/>
  <c r="M1447" i="1"/>
  <c r="I1448" i="1"/>
  <c r="M1448" i="1"/>
  <c r="I1449" i="1"/>
  <c r="M1449" i="1"/>
  <c r="I1450" i="1"/>
  <c r="M1450" i="1"/>
  <c r="I1451" i="1"/>
  <c r="M1451" i="1"/>
  <c r="I1452" i="1"/>
  <c r="M1452" i="1"/>
  <c r="I1453" i="1"/>
  <c r="M1453" i="1"/>
  <c r="I1454" i="1"/>
  <c r="M1454" i="1"/>
  <c r="I1455" i="1"/>
  <c r="M1455" i="1"/>
  <c r="I1456" i="1"/>
  <c r="M1456" i="1"/>
  <c r="I1457" i="1"/>
  <c r="M1457" i="1"/>
  <c r="I1458" i="1"/>
  <c r="M1458" i="1"/>
  <c r="I1459" i="1"/>
  <c r="M1459" i="1"/>
  <c r="I1460" i="1"/>
  <c r="M1460" i="1"/>
  <c r="I1461" i="1"/>
  <c r="M1461" i="1"/>
  <c r="I1462" i="1"/>
  <c r="M1462" i="1"/>
  <c r="I1463" i="1"/>
  <c r="M1463" i="1"/>
  <c r="I1464" i="1"/>
  <c r="M1464" i="1"/>
  <c r="I1465" i="1"/>
  <c r="M1465" i="1"/>
  <c r="I1466" i="1"/>
  <c r="M1466" i="1"/>
  <c r="I1467" i="1"/>
  <c r="M1467" i="1"/>
  <c r="I1468" i="1"/>
  <c r="M1468" i="1"/>
  <c r="I1469" i="1"/>
  <c r="M1469" i="1"/>
  <c r="I1470" i="1"/>
  <c r="M1470" i="1"/>
  <c r="I1471" i="1"/>
  <c r="M1471" i="1"/>
  <c r="I1472" i="1"/>
  <c r="M1472" i="1"/>
  <c r="I1473" i="1"/>
  <c r="M1473" i="1"/>
  <c r="I1474" i="1"/>
  <c r="M1474" i="1"/>
  <c r="I1475" i="1"/>
  <c r="M1475" i="1"/>
  <c r="I1476" i="1"/>
  <c r="M1476" i="1"/>
  <c r="I1477" i="1"/>
  <c r="M1477" i="1"/>
  <c r="I1478" i="1"/>
  <c r="M1478" i="1"/>
  <c r="I1479" i="1"/>
  <c r="M1479" i="1"/>
  <c r="I1480" i="1"/>
  <c r="M1480" i="1"/>
  <c r="I1481" i="1"/>
  <c r="M1481" i="1"/>
  <c r="I1482" i="1"/>
  <c r="M1482" i="1"/>
  <c r="I1483" i="1"/>
  <c r="M1483" i="1"/>
  <c r="I1484" i="1"/>
  <c r="M1484" i="1"/>
  <c r="I1485" i="1"/>
  <c r="M1485" i="1"/>
  <c r="I1486" i="1"/>
  <c r="M1486" i="1"/>
  <c r="I1487" i="1"/>
  <c r="M1487" i="1"/>
  <c r="I1488" i="1"/>
  <c r="M1488" i="1"/>
  <c r="I1489" i="1"/>
  <c r="M1489" i="1"/>
  <c r="I1490" i="1"/>
  <c r="M1490" i="1"/>
  <c r="I1491" i="1"/>
  <c r="M1491" i="1"/>
  <c r="I1492" i="1"/>
  <c r="M1492" i="1"/>
  <c r="I1493" i="1"/>
  <c r="M1493" i="1"/>
  <c r="I1494" i="1"/>
  <c r="M1494" i="1"/>
  <c r="I1495" i="1"/>
  <c r="M1495" i="1"/>
  <c r="I1496" i="1"/>
  <c r="M1496" i="1"/>
  <c r="I1497" i="1"/>
  <c r="M1497" i="1"/>
  <c r="I1498" i="1"/>
  <c r="M1498" i="1"/>
  <c r="I1499" i="1"/>
  <c r="M1499" i="1"/>
  <c r="I1500" i="1"/>
  <c r="M1500" i="1"/>
  <c r="I1501" i="1"/>
  <c r="M1501" i="1"/>
  <c r="I1502" i="1"/>
  <c r="M1502" i="1"/>
  <c r="I1503" i="1"/>
  <c r="M1503" i="1"/>
  <c r="I1504" i="1"/>
  <c r="M1504" i="1"/>
  <c r="I1505" i="1"/>
  <c r="M1505" i="1"/>
  <c r="I1506" i="1"/>
  <c r="M1506" i="1"/>
  <c r="I1507" i="1"/>
  <c r="M1507" i="1"/>
  <c r="I1508" i="1"/>
  <c r="M1508" i="1"/>
  <c r="I1509" i="1"/>
  <c r="M1509" i="1"/>
  <c r="I1510" i="1"/>
  <c r="M1510" i="1"/>
  <c r="I1511" i="1"/>
  <c r="M1511" i="1"/>
  <c r="I1512" i="1"/>
  <c r="M1512" i="1"/>
  <c r="I1513" i="1"/>
  <c r="M1513" i="1"/>
  <c r="I1514" i="1"/>
  <c r="M1514" i="1"/>
  <c r="I1515" i="1"/>
  <c r="M1515" i="1"/>
  <c r="I1516" i="1"/>
  <c r="M1516" i="1"/>
  <c r="I1517" i="1"/>
  <c r="M1517" i="1"/>
  <c r="I1518" i="1"/>
  <c r="M1518" i="1"/>
  <c r="I1519" i="1"/>
  <c r="M1519" i="1"/>
  <c r="I1520" i="1"/>
  <c r="M1520" i="1"/>
  <c r="I1521" i="1"/>
  <c r="M1521" i="1"/>
  <c r="I1522" i="1"/>
  <c r="M1522" i="1"/>
  <c r="I1523" i="1"/>
  <c r="M1523" i="1"/>
  <c r="I1524" i="1"/>
  <c r="M1524" i="1"/>
  <c r="I1525" i="1"/>
  <c r="M1525" i="1"/>
  <c r="C121" i="1" l="1"/>
  <c r="G121" i="1" s="1"/>
  <c r="C119" i="1"/>
  <c r="G119" i="1" s="1"/>
  <c r="C126" i="1"/>
  <c r="G126" i="1" s="1"/>
  <c r="C124" i="1"/>
  <c r="G124" i="1" s="1"/>
  <c r="C122" i="1"/>
  <c r="G122" i="1" s="1"/>
  <c r="C127" i="1"/>
  <c r="G127" i="1" s="1"/>
  <c r="C118" i="1"/>
  <c r="G118" i="1" s="1"/>
  <c r="C125" i="1"/>
  <c r="G125" i="1" s="1"/>
  <c r="C123" i="1"/>
  <c r="G123" i="1" s="1"/>
  <c r="C92" i="1"/>
  <c r="G92" i="1" s="1"/>
  <c r="C83" i="1"/>
  <c r="G83" i="1" s="1"/>
  <c r="C88" i="1"/>
  <c r="G88" i="1" s="1"/>
  <c r="C56" i="1"/>
  <c r="G56" i="1" s="1"/>
  <c r="C73" i="1"/>
  <c r="G73" i="1" s="1"/>
  <c r="C47" i="1"/>
  <c r="G47" i="1" s="1"/>
  <c r="C40" i="1"/>
  <c r="C39" i="1"/>
  <c r="AI36" i="1"/>
  <c r="AM36" i="1"/>
  <c r="BB42" i="1"/>
  <c r="C49" i="1"/>
  <c r="G49" i="1" s="1"/>
  <c r="BB43" i="1"/>
  <c r="AI41" i="1"/>
  <c r="AK41" i="1"/>
  <c r="AL41" i="1"/>
  <c r="C46" i="1"/>
  <c r="G46" i="1" s="1"/>
  <c r="BE40" i="1"/>
  <c r="AI39" i="1"/>
  <c r="AM39" i="1"/>
  <c r="AN29" i="1"/>
  <c r="AN37" i="1"/>
  <c r="C48" i="1"/>
  <c r="G48" i="1" s="1"/>
  <c r="AN41" i="1"/>
  <c r="BD34" i="1"/>
  <c r="BE34" i="1"/>
  <c r="C45" i="1"/>
  <c r="G45" i="1" s="1"/>
  <c r="C36" i="1"/>
  <c r="BB44" i="1"/>
  <c r="BB45" i="1" s="1"/>
  <c r="C43" i="1"/>
  <c r="G43" i="1" s="1"/>
  <c r="AJ41" i="1"/>
  <c r="AN39" i="1"/>
  <c r="AJ37" i="1"/>
  <c r="C42" i="1"/>
  <c r="G42" i="1" s="1"/>
  <c r="AI37" i="1"/>
  <c r="C37" i="1"/>
  <c r="AM32" i="1"/>
  <c r="C29" i="1"/>
  <c r="C23" i="1"/>
  <c r="BC4" i="1"/>
  <c r="BD79" i="1" s="1"/>
  <c r="AN33" i="1"/>
  <c r="AM33" i="1"/>
  <c r="G5" i="1"/>
  <c r="AH26" i="1"/>
  <c r="AI26" i="1"/>
  <c r="AK26" i="1"/>
  <c r="AL26" i="1"/>
  <c r="AM26" i="1"/>
  <c r="AN26" i="1"/>
  <c r="AJ33" i="1"/>
  <c r="AN31" i="1"/>
  <c r="AH23" i="1"/>
  <c r="AI23" i="1"/>
  <c r="AK23" i="1"/>
  <c r="AL23" i="1"/>
  <c r="AN23" i="1"/>
  <c r="C7" i="1"/>
  <c r="AI33" i="1"/>
  <c r="AM31" i="1"/>
  <c r="AH20" i="1"/>
  <c r="AI20" i="1"/>
  <c r="AK20" i="1"/>
  <c r="AL20" i="1"/>
  <c r="AN20" i="1"/>
  <c r="AM25" i="1"/>
  <c r="AI24" i="1"/>
  <c r="AI21" i="1"/>
  <c r="AM19" i="1"/>
  <c r="AI18" i="1"/>
  <c r="AI15" i="1"/>
  <c r="AI6" i="1"/>
  <c r="BD5" i="1"/>
  <c r="AL25" i="1"/>
  <c r="AH24" i="1"/>
  <c r="AH21" i="1"/>
  <c r="AH18" i="1"/>
  <c r="AL16" i="1"/>
  <c r="AH15" i="1"/>
  <c r="AL13" i="1"/>
  <c r="AK25" i="1"/>
  <c r="AK22" i="1"/>
  <c r="AK16" i="1"/>
  <c r="AK13" i="1"/>
  <c r="AN17" i="1"/>
  <c r="AN14" i="1"/>
  <c r="AN11" i="1"/>
  <c r="AN8" i="1"/>
  <c r="AN5" i="1"/>
  <c r="AI25" i="1"/>
  <c r="AI22" i="1"/>
  <c r="AI19" i="1"/>
  <c r="AI16" i="1"/>
  <c r="AM5" i="1"/>
  <c r="AH25" i="1"/>
  <c r="AH22" i="1"/>
  <c r="AH19" i="1"/>
  <c r="AH16" i="1"/>
  <c r="AL14" i="1"/>
  <c r="AL5" i="1"/>
  <c r="AK14" i="1"/>
  <c r="AK5" i="1"/>
  <c r="AN30" i="1"/>
  <c r="AN27" i="1"/>
  <c r="AN24" i="1"/>
  <c r="AN21" i="1"/>
  <c r="AN18" i="1"/>
  <c r="AN15" i="1"/>
  <c r="AJ14" i="1"/>
  <c r="AN12" i="1"/>
  <c r="AN9" i="1"/>
  <c r="AN6" i="1"/>
  <c r="AJ5" i="1"/>
  <c r="AM24" i="1"/>
  <c r="AM18" i="1"/>
  <c r="AI17" i="1"/>
  <c r="AM6" i="1"/>
  <c r="AI5" i="1"/>
  <c r="AI7" i="1" s="1"/>
  <c r="AI8" i="1" s="1"/>
  <c r="AL24" i="1"/>
  <c r="AL21" i="1"/>
  <c r="AH17" i="1"/>
  <c r="AL15" i="1"/>
  <c r="AL6" i="1"/>
  <c r="AH5" i="1"/>
  <c r="BD49" i="1" l="1"/>
  <c r="BD66" i="1"/>
  <c r="AK6" i="1"/>
  <c r="BD64" i="1"/>
  <c r="BD78" i="1"/>
  <c r="AM34" i="1"/>
  <c r="AN34" i="1"/>
  <c r="AH34" i="1"/>
  <c r="AJ34" i="1"/>
  <c r="AI34" i="1"/>
  <c r="BB47" i="1"/>
  <c r="BD82" i="1"/>
  <c r="BD68" i="1"/>
  <c r="BD74" i="1"/>
  <c r="BD86" i="1"/>
  <c r="BD76" i="1"/>
  <c r="BD92" i="1"/>
  <c r="C8" i="1"/>
  <c r="BD46" i="1"/>
  <c r="BD90" i="1"/>
  <c r="BD53" i="1"/>
  <c r="AM7" i="1"/>
  <c r="H5" i="1"/>
  <c r="I5" i="1"/>
  <c r="P5" i="1"/>
  <c r="K5" i="1" s="1"/>
  <c r="AI10" i="1"/>
  <c r="AK7" i="1"/>
  <c r="AH6" i="1"/>
  <c r="BD73" i="1"/>
  <c r="AJ7" i="1"/>
  <c r="AI9" i="1"/>
  <c r="BD43" i="1"/>
  <c r="BE43" i="1" s="1"/>
  <c r="BD70" i="1"/>
  <c r="AL7" i="1"/>
  <c r="BD44" i="1"/>
  <c r="BE44" i="1" s="1"/>
  <c r="BD47" i="1"/>
  <c r="BD50" i="1"/>
  <c r="BD59" i="1"/>
  <c r="BD48" i="1"/>
  <c r="BD51" i="1"/>
  <c r="BD42" i="1"/>
  <c r="BE42" i="1" s="1"/>
  <c r="BD54" i="1"/>
  <c r="BD55" i="1"/>
  <c r="BD56" i="1"/>
  <c r="BD63" i="1"/>
  <c r="BD77" i="1"/>
  <c r="BD81" i="1"/>
  <c r="BD71" i="1"/>
  <c r="BD52" i="1"/>
  <c r="BD69" i="1"/>
  <c r="BD45" i="1"/>
  <c r="BE45" i="1" s="1"/>
  <c r="BD67" i="1"/>
  <c r="BD65" i="1"/>
  <c r="BD61" i="1"/>
  <c r="BD75" i="1"/>
  <c r="BD87" i="1"/>
  <c r="BD93" i="1"/>
  <c r="BD89" i="1"/>
  <c r="BD91" i="1"/>
  <c r="BD95" i="1"/>
  <c r="BD85" i="1"/>
  <c r="BD57" i="1"/>
  <c r="BD60" i="1"/>
  <c r="BD80" i="1"/>
  <c r="BD94" i="1"/>
  <c r="AJ6" i="1"/>
  <c r="BB46" i="1"/>
  <c r="BD84" i="1"/>
  <c r="BD58" i="1"/>
  <c r="AJ8" i="1"/>
  <c r="G7" i="1"/>
  <c r="P7" i="1" s="1"/>
  <c r="K7" i="1" s="1"/>
  <c r="C12" i="1"/>
  <c r="G12" i="1" s="1"/>
  <c r="P12" i="1" s="1"/>
  <c r="K12" i="1" s="1"/>
  <c r="AL40" i="1"/>
  <c r="AM40" i="1"/>
  <c r="AK40" i="1"/>
  <c r="AI40" i="1"/>
  <c r="AN40" i="1"/>
  <c r="BD72" i="1"/>
  <c r="BD88" i="1"/>
  <c r="BD62" i="1"/>
  <c r="BD83" i="1"/>
  <c r="BB48" i="1" l="1"/>
  <c r="BB49" i="1" s="1"/>
  <c r="BE47" i="1"/>
  <c r="AH7" i="1"/>
  <c r="AK8" i="1"/>
  <c r="AM8" i="1"/>
  <c r="AH45" i="1"/>
  <c r="AI45" i="1"/>
  <c r="AM45" i="1"/>
  <c r="AK45" i="1"/>
  <c r="AL45" i="1"/>
  <c r="AN45" i="1"/>
  <c r="AM9" i="1"/>
  <c r="AI44" i="1"/>
  <c r="AK44" i="1"/>
  <c r="AL44" i="1"/>
  <c r="AM44" i="1"/>
  <c r="AN44" i="1"/>
  <c r="AH44" i="1"/>
  <c r="AI11" i="1"/>
  <c r="AL8" i="1"/>
  <c r="BE46" i="1"/>
  <c r="G8" i="1"/>
  <c r="P8" i="1" s="1"/>
  <c r="K8" i="1" s="1"/>
  <c r="C13" i="1"/>
  <c r="G13" i="1" s="1"/>
  <c r="P13" i="1" s="1"/>
  <c r="K13" i="1" s="1"/>
  <c r="AL43" i="1"/>
  <c r="AM43" i="1"/>
  <c r="AH43" i="1"/>
  <c r="AK43" i="1"/>
  <c r="AN43" i="1"/>
  <c r="AI43" i="1"/>
  <c r="AJ9" i="1"/>
  <c r="AH42" i="1"/>
  <c r="AI42" i="1"/>
  <c r="AM42" i="1"/>
  <c r="AL42" i="1"/>
  <c r="AN42" i="1"/>
  <c r="AK42" i="1"/>
  <c r="BE49" i="1" l="1"/>
  <c r="BB50" i="1"/>
  <c r="BE50" i="1" s="1"/>
  <c r="AL46" i="1"/>
  <c r="AM46" i="1"/>
  <c r="AH46" i="1"/>
  <c r="AI46" i="1"/>
  <c r="AK46" i="1"/>
  <c r="AN46" i="1"/>
  <c r="AI47" i="1"/>
  <c r="AK47" i="1"/>
  <c r="AL47" i="1"/>
  <c r="AH47" i="1"/>
  <c r="AM47" i="1"/>
  <c r="AN47" i="1"/>
  <c r="AK9" i="1"/>
  <c r="AL9" i="1"/>
  <c r="AJ10" i="1"/>
  <c r="AM10" i="1"/>
  <c r="BE48" i="1"/>
  <c r="AI12" i="1"/>
  <c r="AJ11" i="1"/>
  <c r="C14" i="1"/>
  <c r="AH8" i="1"/>
  <c r="AM11" i="1"/>
  <c r="AK10" i="1"/>
  <c r="AI13" i="1"/>
  <c r="AI50" i="1" l="1"/>
  <c r="AK50" i="1"/>
  <c r="AL50" i="1"/>
  <c r="AM50" i="1"/>
  <c r="AN50" i="1"/>
  <c r="AH50" i="1"/>
  <c r="AI14" i="1"/>
  <c r="AI27" i="1" s="1"/>
  <c r="AI28" i="1" s="1"/>
  <c r="AI29" i="1" s="1"/>
  <c r="AI30" i="1" s="1"/>
  <c r="AI31" i="1" s="1"/>
  <c r="AI32" i="1" s="1"/>
  <c r="AI3" i="1" s="1"/>
  <c r="AK11" i="1"/>
  <c r="AK17" i="1" s="1"/>
  <c r="AL49" i="1"/>
  <c r="AM49" i="1"/>
  <c r="AH49" i="1"/>
  <c r="AN49" i="1"/>
  <c r="AN3" i="1" s="1"/>
  <c r="AI49" i="1"/>
  <c r="AK49" i="1"/>
  <c r="G14" i="1"/>
  <c r="P14" i="1" s="1"/>
  <c r="K14" i="1" s="1"/>
  <c r="C15" i="1"/>
  <c r="AM12" i="1"/>
  <c r="AH48" i="1"/>
  <c r="AI48" i="1"/>
  <c r="AM48" i="1"/>
  <c r="AN48" i="1"/>
  <c r="AK48" i="1"/>
  <c r="AL48" i="1"/>
  <c r="AJ12" i="1"/>
  <c r="AH10" i="1"/>
  <c r="AH11" i="1"/>
  <c r="AJ13" i="1"/>
  <c r="AH9" i="1"/>
  <c r="AL10" i="1"/>
  <c r="X6" i="1" l="1"/>
  <c r="AF6" i="1" s="1"/>
  <c r="X9" i="1"/>
  <c r="AF9" i="1" s="1"/>
  <c r="X12" i="1"/>
  <c r="AF12" i="1" s="1"/>
  <c r="X15" i="1"/>
  <c r="AF15" i="1" s="1"/>
  <c r="X18" i="1"/>
  <c r="AF18" i="1" s="1"/>
  <c r="X21" i="1"/>
  <c r="AF21" i="1" s="1"/>
  <c r="X24" i="1"/>
  <c r="AF24" i="1" s="1"/>
  <c r="X27" i="1"/>
  <c r="AF27" i="1" s="1"/>
  <c r="X30" i="1"/>
  <c r="AF30" i="1" s="1"/>
  <c r="X5" i="1"/>
  <c r="AF5" i="1" s="1"/>
  <c r="X8" i="1"/>
  <c r="AF8" i="1" s="1"/>
  <c r="X11" i="1"/>
  <c r="AF11" i="1" s="1"/>
  <c r="X14" i="1"/>
  <c r="AF14" i="1" s="1"/>
  <c r="X17" i="1"/>
  <c r="AF17" i="1" s="1"/>
  <c r="X20" i="1"/>
  <c r="AF20" i="1" s="1"/>
  <c r="X23" i="1"/>
  <c r="AF23" i="1" s="1"/>
  <c r="X26" i="1"/>
  <c r="AF26" i="1" s="1"/>
  <c r="X29" i="1"/>
  <c r="AF29" i="1" s="1"/>
  <c r="X32" i="1"/>
  <c r="AF32" i="1" s="1"/>
  <c r="X7" i="1"/>
  <c r="AF7" i="1" s="1"/>
  <c r="X10" i="1"/>
  <c r="AF10" i="1" s="1"/>
  <c r="X13" i="1"/>
  <c r="AF13" i="1" s="1"/>
  <c r="X16" i="1"/>
  <c r="AF16" i="1" s="1"/>
  <c r="X19" i="1"/>
  <c r="AF19" i="1" s="1"/>
  <c r="X22" i="1"/>
  <c r="AF22" i="1" s="1"/>
  <c r="X25" i="1"/>
  <c r="AF25" i="1" s="1"/>
  <c r="X28" i="1"/>
  <c r="AF28" i="1" s="1"/>
  <c r="X31" i="1"/>
  <c r="AF31" i="1" s="1"/>
  <c r="X34" i="1"/>
  <c r="AF34" i="1" s="1"/>
  <c r="X37" i="1"/>
  <c r="AF37" i="1" s="1"/>
  <c r="X40" i="1"/>
  <c r="AF40" i="1" s="1"/>
  <c r="X43" i="1"/>
  <c r="AF43" i="1" s="1"/>
  <c r="X46" i="1"/>
  <c r="AF46" i="1" s="1"/>
  <c r="X49" i="1"/>
  <c r="AF49" i="1" s="1"/>
  <c r="X53" i="1"/>
  <c r="AF53" i="1" s="1"/>
  <c r="X55" i="1"/>
  <c r="AF55" i="1" s="1"/>
  <c r="X35" i="1"/>
  <c r="AF35" i="1" s="1"/>
  <c r="X38" i="1"/>
  <c r="AF38" i="1" s="1"/>
  <c r="X41" i="1"/>
  <c r="AF41" i="1" s="1"/>
  <c r="X44" i="1"/>
  <c r="AF44" i="1" s="1"/>
  <c r="X47" i="1"/>
  <c r="AF47" i="1" s="1"/>
  <c r="X50" i="1"/>
  <c r="AF50" i="1" s="1"/>
  <c r="X42" i="1"/>
  <c r="AF42" i="1" s="1"/>
  <c r="X57" i="1"/>
  <c r="AF57" i="1" s="1"/>
  <c r="X45" i="1"/>
  <c r="AF45" i="1" s="1"/>
  <c r="X48" i="1"/>
  <c r="AF48" i="1" s="1"/>
  <c r="X54" i="1"/>
  <c r="AF54" i="1" s="1"/>
  <c r="X39" i="1"/>
  <c r="AF39" i="1" s="1"/>
  <c r="X59" i="1"/>
  <c r="AF59" i="1" s="1"/>
  <c r="X61" i="1"/>
  <c r="AF61" i="1" s="1"/>
  <c r="X63" i="1"/>
  <c r="AF63" i="1" s="1"/>
  <c r="X65" i="1"/>
  <c r="AF65" i="1" s="1"/>
  <c r="X67" i="1"/>
  <c r="AF67" i="1" s="1"/>
  <c r="X69" i="1"/>
  <c r="AF69" i="1" s="1"/>
  <c r="X71" i="1"/>
  <c r="AF71" i="1" s="1"/>
  <c r="X73" i="1"/>
  <c r="AF73" i="1" s="1"/>
  <c r="X56" i="1"/>
  <c r="AF56" i="1" s="1"/>
  <c r="X33" i="1"/>
  <c r="AF33" i="1" s="1"/>
  <c r="X36" i="1"/>
  <c r="AF36" i="1" s="1"/>
  <c r="X78" i="1"/>
  <c r="AF78" i="1" s="1"/>
  <c r="X82" i="1"/>
  <c r="AF82" i="1" s="1"/>
  <c r="X86" i="1"/>
  <c r="AF86" i="1" s="1"/>
  <c r="X90" i="1"/>
  <c r="AF90" i="1" s="1"/>
  <c r="X94" i="1"/>
  <c r="AF94" i="1" s="1"/>
  <c r="X79" i="1"/>
  <c r="AF79" i="1" s="1"/>
  <c r="X83" i="1"/>
  <c r="AF83" i="1" s="1"/>
  <c r="X52" i="1"/>
  <c r="AF52" i="1" s="1"/>
  <c r="X64" i="1"/>
  <c r="AF64" i="1" s="1"/>
  <c r="X72" i="1"/>
  <c r="AF72" i="1" s="1"/>
  <c r="X80" i="1"/>
  <c r="AF80" i="1" s="1"/>
  <c r="X84" i="1"/>
  <c r="AF84" i="1" s="1"/>
  <c r="X60" i="1"/>
  <c r="AF60" i="1" s="1"/>
  <c r="X70" i="1"/>
  <c r="AF70" i="1" s="1"/>
  <c r="X75" i="1"/>
  <c r="AF75" i="1" s="1"/>
  <c r="X51" i="1"/>
  <c r="AF51" i="1" s="1"/>
  <c r="X68" i="1"/>
  <c r="AF68" i="1" s="1"/>
  <c r="X81" i="1"/>
  <c r="AF81" i="1" s="1"/>
  <c r="X85" i="1"/>
  <c r="AF85" i="1" s="1"/>
  <c r="X89" i="1"/>
  <c r="AF89" i="1" s="1"/>
  <c r="X93" i="1"/>
  <c r="AF93" i="1" s="1"/>
  <c r="X76" i="1"/>
  <c r="AF76" i="1" s="1"/>
  <c r="X77" i="1"/>
  <c r="AF77" i="1" s="1"/>
  <c r="X66" i="1"/>
  <c r="AF66" i="1" s="1"/>
  <c r="X74" i="1"/>
  <c r="AF74" i="1" s="1"/>
  <c r="X58" i="1"/>
  <c r="AF58" i="1" s="1"/>
  <c r="X62" i="1"/>
  <c r="AF62" i="1" s="1"/>
  <c r="X87" i="1"/>
  <c r="AF87" i="1" s="1"/>
  <c r="X88" i="1"/>
  <c r="AF88" i="1" s="1"/>
  <c r="X101" i="1"/>
  <c r="AF101" i="1" s="1"/>
  <c r="X105" i="1"/>
  <c r="AF105" i="1" s="1"/>
  <c r="X109" i="1"/>
  <c r="AF109" i="1" s="1"/>
  <c r="X113" i="1"/>
  <c r="AF113" i="1" s="1"/>
  <c r="X117" i="1"/>
  <c r="AF117" i="1" s="1"/>
  <c r="X121" i="1"/>
  <c r="AF121" i="1" s="1"/>
  <c r="X125" i="1"/>
  <c r="AF125" i="1" s="1"/>
  <c r="X133" i="1"/>
  <c r="AF133" i="1" s="1"/>
  <c r="X97" i="1"/>
  <c r="AF97" i="1" s="1"/>
  <c r="X135" i="1"/>
  <c r="AF135" i="1" s="1"/>
  <c r="X136" i="1"/>
  <c r="AF136" i="1" s="1"/>
  <c r="X137" i="1"/>
  <c r="AF137" i="1" s="1"/>
  <c r="X138" i="1"/>
  <c r="AF138" i="1" s="1"/>
  <c r="X139" i="1"/>
  <c r="AF139" i="1" s="1"/>
  <c r="X140" i="1"/>
  <c r="AF140" i="1" s="1"/>
  <c r="X141" i="1"/>
  <c r="AF141" i="1" s="1"/>
  <c r="X142" i="1"/>
  <c r="AF142" i="1" s="1"/>
  <c r="X143" i="1"/>
  <c r="AF143" i="1" s="1"/>
  <c r="X144" i="1"/>
  <c r="AF144" i="1" s="1"/>
  <c r="X145" i="1"/>
  <c r="AF145" i="1" s="1"/>
  <c r="X146" i="1"/>
  <c r="AF146" i="1" s="1"/>
  <c r="X95" i="1"/>
  <c r="AF95" i="1" s="1"/>
  <c r="X96" i="1"/>
  <c r="AF96" i="1" s="1"/>
  <c r="X98" i="1"/>
  <c r="AF98" i="1" s="1"/>
  <c r="X102" i="1"/>
  <c r="AF102" i="1" s="1"/>
  <c r="X106" i="1"/>
  <c r="AF106" i="1" s="1"/>
  <c r="X110" i="1"/>
  <c r="AF110" i="1" s="1"/>
  <c r="X114" i="1"/>
  <c r="AF114" i="1" s="1"/>
  <c r="X118" i="1"/>
  <c r="AF118" i="1" s="1"/>
  <c r="X122" i="1"/>
  <c r="AF122" i="1" s="1"/>
  <c r="X126" i="1"/>
  <c r="AF126" i="1" s="1"/>
  <c r="X130" i="1"/>
  <c r="AF130" i="1" s="1"/>
  <c r="X91" i="1"/>
  <c r="AF91" i="1" s="1"/>
  <c r="X132" i="1"/>
  <c r="AF132" i="1" s="1"/>
  <c r="X99" i="1"/>
  <c r="AF99" i="1" s="1"/>
  <c r="X103" i="1"/>
  <c r="AF103" i="1" s="1"/>
  <c r="X107" i="1"/>
  <c r="AF107" i="1" s="1"/>
  <c r="X111" i="1"/>
  <c r="AF111" i="1" s="1"/>
  <c r="X115" i="1"/>
  <c r="AF115" i="1" s="1"/>
  <c r="X119" i="1"/>
  <c r="AF119" i="1" s="1"/>
  <c r="X123" i="1"/>
  <c r="AF123" i="1" s="1"/>
  <c r="X127" i="1"/>
  <c r="AF127" i="1" s="1"/>
  <c r="X92" i="1"/>
  <c r="AF92" i="1" s="1"/>
  <c r="X129" i="1"/>
  <c r="AF129" i="1" s="1"/>
  <c r="X100" i="1"/>
  <c r="AF100" i="1" s="1"/>
  <c r="X104" i="1"/>
  <c r="AF104" i="1" s="1"/>
  <c r="X108" i="1"/>
  <c r="AF108" i="1" s="1"/>
  <c r="X112" i="1"/>
  <c r="AF112" i="1" s="1"/>
  <c r="X116" i="1"/>
  <c r="AF116" i="1" s="1"/>
  <c r="X120" i="1"/>
  <c r="AF120" i="1" s="1"/>
  <c r="X124" i="1"/>
  <c r="AF124" i="1" s="1"/>
  <c r="X154" i="1"/>
  <c r="AF154" i="1" s="1"/>
  <c r="X172" i="1"/>
  <c r="AF172" i="1" s="1"/>
  <c r="X173" i="1"/>
  <c r="AF173" i="1" s="1"/>
  <c r="X174" i="1"/>
  <c r="AF174" i="1" s="1"/>
  <c r="X175" i="1"/>
  <c r="AF175" i="1" s="1"/>
  <c r="X176" i="1"/>
  <c r="AF176" i="1" s="1"/>
  <c r="X177" i="1"/>
  <c r="AF177" i="1" s="1"/>
  <c r="X178" i="1"/>
  <c r="AF178" i="1" s="1"/>
  <c r="X179" i="1"/>
  <c r="AF179" i="1" s="1"/>
  <c r="X180" i="1"/>
  <c r="AF180" i="1" s="1"/>
  <c r="X181" i="1"/>
  <c r="AF181" i="1" s="1"/>
  <c r="X147" i="1"/>
  <c r="AF147" i="1" s="1"/>
  <c r="X150" i="1"/>
  <c r="AF150" i="1" s="1"/>
  <c r="X159" i="1"/>
  <c r="AF159" i="1" s="1"/>
  <c r="X165" i="1"/>
  <c r="AF165" i="1" s="1"/>
  <c r="X171" i="1"/>
  <c r="AF171" i="1" s="1"/>
  <c r="X153" i="1"/>
  <c r="AF153" i="1" s="1"/>
  <c r="X158" i="1"/>
  <c r="AF158" i="1" s="1"/>
  <c r="X164" i="1"/>
  <c r="AF164" i="1" s="1"/>
  <c r="X170" i="1"/>
  <c r="AF170" i="1" s="1"/>
  <c r="X128" i="1"/>
  <c r="AF128" i="1" s="1"/>
  <c r="X131" i="1"/>
  <c r="AF131" i="1" s="1"/>
  <c r="X149" i="1"/>
  <c r="AF149" i="1" s="1"/>
  <c r="X157" i="1"/>
  <c r="AF157" i="1" s="1"/>
  <c r="X163" i="1"/>
  <c r="AF163" i="1" s="1"/>
  <c r="X169" i="1"/>
  <c r="AF169" i="1" s="1"/>
  <c r="X134" i="1"/>
  <c r="AF134" i="1" s="1"/>
  <c r="X152" i="1"/>
  <c r="AF152" i="1" s="1"/>
  <c r="X156" i="1"/>
  <c r="AF156" i="1" s="1"/>
  <c r="X162" i="1"/>
  <c r="AF162" i="1" s="1"/>
  <c r="X168" i="1"/>
  <c r="AF168" i="1" s="1"/>
  <c r="X148" i="1"/>
  <c r="AF148" i="1" s="1"/>
  <c r="X151" i="1"/>
  <c r="AF151" i="1" s="1"/>
  <c r="X155" i="1"/>
  <c r="AF155" i="1" s="1"/>
  <c r="X161" i="1"/>
  <c r="AF161" i="1" s="1"/>
  <c r="X167" i="1"/>
  <c r="AF167" i="1" s="1"/>
  <c r="X160" i="1"/>
  <c r="AF160" i="1" s="1"/>
  <c r="X166" i="1"/>
  <c r="AF166" i="1" s="1"/>
  <c r="AK19" i="1"/>
  <c r="AK27" i="1" s="1"/>
  <c r="AK28" i="1" s="1"/>
  <c r="AK29" i="1" s="1"/>
  <c r="AK30" i="1" s="1"/>
  <c r="AK31" i="1" s="1"/>
  <c r="AK32" i="1" s="1"/>
  <c r="AK33" i="1" s="1"/>
  <c r="AK34" i="1" s="1"/>
  <c r="AK35" i="1" s="1"/>
  <c r="AK18" i="1"/>
  <c r="S5" i="1"/>
  <c r="AA5" i="1" s="1"/>
  <c r="S8" i="1"/>
  <c r="AA8" i="1" s="1"/>
  <c r="S11" i="1"/>
  <c r="AA11" i="1" s="1"/>
  <c r="S14" i="1"/>
  <c r="AA14" i="1" s="1"/>
  <c r="S17" i="1"/>
  <c r="AA17" i="1" s="1"/>
  <c r="S20" i="1"/>
  <c r="AA20" i="1" s="1"/>
  <c r="S23" i="1"/>
  <c r="AA23" i="1" s="1"/>
  <c r="S26" i="1"/>
  <c r="AA26" i="1" s="1"/>
  <c r="S29" i="1"/>
  <c r="AA29" i="1" s="1"/>
  <c r="S7" i="1"/>
  <c r="AA7" i="1" s="1"/>
  <c r="S10" i="1"/>
  <c r="AA10" i="1" s="1"/>
  <c r="S13" i="1"/>
  <c r="AA13" i="1" s="1"/>
  <c r="S16" i="1"/>
  <c r="AA16" i="1" s="1"/>
  <c r="S19" i="1"/>
  <c r="AA19" i="1" s="1"/>
  <c r="S22" i="1"/>
  <c r="AA22" i="1" s="1"/>
  <c r="S25" i="1"/>
  <c r="AA25" i="1" s="1"/>
  <c r="S28" i="1"/>
  <c r="AA28" i="1" s="1"/>
  <c r="S6" i="1"/>
  <c r="AA6" i="1" s="1"/>
  <c r="S9" i="1"/>
  <c r="AA9" i="1" s="1"/>
  <c r="S12" i="1"/>
  <c r="AA12" i="1" s="1"/>
  <c r="S15" i="1"/>
  <c r="AA15" i="1" s="1"/>
  <c r="S18" i="1"/>
  <c r="AA18" i="1" s="1"/>
  <c r="S21" i="1"/>
  <c r="AA21" i="1" s="1"/>
  <c r="S24" i="1"/>
  <c r="AA24" i="1" s="1"/>
  <c r="S27" i="1"/>
  <c r="AA27" i="1" s="1"/>
  <c r="S30" i="1"/>
  <c r="AA30" i="1" s="1"/>
  <c r="S53" i="1"/>
  <c r="AA53" i="1" s="1"/>
  <c r="S31" i="1"/>
  <c r="AA31" i="1" s="1"/>
  <c r="S34" i="1"/>
  <c r="AA34" i="1" s="1"/>
  <c r="S37" i="1"/>
  <c r="AA37" i="1" s="1"/>
  <c r="S40" i="1"/>
  <c r="AA40" i="1" s="1"/>
  <c r="S43" i="1"/>
  <c r="AA43" i="1" s="1"/>
  <c r="S46" i="1"/>
  <c r="AA46" i="1" s="1"/>
  <c r="S49" i="1"/>
  <c r="AA49" i="1" s="1"/>
  <c r="S33" i="1"/>
  <c r="AA33" i="1" s="1"/>
  <c r="S36" i="1"/>
  <c r="AA36" i="1" s="1"/>
  <c r="S39" i="1"/>
  <c r="AA39" i="1" s="1"/>
  <c r="S42" i="1"/>
  <c r="AA42" i="1" s="1"/>
  <c r="S45" i="1"/>
  <c r="AA45" i="1" s="1"/>
  <c r="S51" i="1"/>
  <c r="AA51" i="1" s="1"/>
  <c r="S54" i="1"/>
  <c r="AA54" i="1" s="1"/>
  <c r="S59" i="1"/>
  <c r="AA59" i="1" s="1"/>
  <c r="S61" i="1"/>
  <c r="AA61" i="1" s="1"/>
  <c r="S63" i="1"/>
  <c r="AA63" i="1" s="1"/>
  <c r="S38" i="1"/>
  <c r="AA38" i="1" s="1"/>
  <c r="S56" i="1"/>
  <c r="AA56" i="1" s="1"/>
  <c r="S32" i="1"/>
  <c r="AA32" i="1" s="1"/>
  <c r="S41" i="1"/>
  <c r="AA41" i="1" s="1"/>
  <c r="S57" i="1"/>
  <c r="AA57" i="1" s="1"/>
  <c r="S47" i="1"/>
  <c r="AA47" i="1" s="1"/>
  <c r="S60" i="1"/>
  <c r="AA60" i="1" s="1"/>
  <c r="S62" i="1"/>
  <c r="AA62" i="1" s="1"/>
  <c r="S64" i="1"/>
  <c r="AA64" i="1" s="1"/>
  <c r="S66" i="1"/>
  <c r="AA66" i="1" s="1"/>
  <c r="S68" i="1"/>
  <c r="AA68" i="1" s="1"/>
  <c r="S70" i="1"/>
  <c r="AA70" i="1" s="1"/>
  <c r="S72" i="1"/>
  <c r="AA72" i="1" s="1"/>
  <c r="S74" i="1"/>
  <c r="AA74" i="1" s="1"/>
  <c r="S76" i="1"/>
  <c r="AA76" i="1" s="1"/>
  <c r="S50" i="1"/>
  <c r="AA50" i="1" s="1"/>
  <c r="S44" i="1"/>
  <c r="AA44" i="1" s="1"/>
  <c r="S35" i="1"/>
  <c r="AA35" i="1" s="1"/>
  <c r="S58" i="1"/>
  <c r="AA58" i="1" s="1"/>
  <c r="S80" i="1"/>
  <c r="AA80" i="1" s="1"/>
  <c r="S84" i="1"/>
  <c r="AA84" i="1" s="1"/>
  <c r="S52" i="1"/>
  <c r="AA52" i="1" s="1"/>
  <c r="S55" i="1"/>
  <c r="AA55" i="1" s="1"/>
  <c r="S65" i="1"/>
  <c r="AA65" i="1" s="1"/>
  <c r="S75" i="1"/>
  <c r="AA75" i="1" s="1"/>
  <c r="S81" i="1"/>
  <c r="AA81" i="1" s="1"/>
  <c r="S85" i="1"/>
  <c r="AA85" i="1" s="1"/>
  <c r="S89" i="1"/>
  <c r="AA89" i="1" s="1"/>
  <c r="S93" i="1"/>
  <c r="AA93" i="1" s="1"/>
  <c r="S48" i="1"/>
  <c r="AA48" i="1" s="1"/>
  <c r="S77" i="1"/>
  <c r="AA77" i="1" s="1"/>
  <c r="S78" i="1"/>
  <c r="AA78" i="1" s="1"/>
  <c r="S82" i="1"/>
  <c r="AA82" i="1" s="1"/>
  <c r="S86" i="1"/>
  <c r="AA86" i="1" s="1"/>
  <c r="S73" i="1"/>
  <c r="AA73" i="1" s="1"/>
  <c r="S71" i="1"/>
  <c r="AA71" i="1" s="1"/>
  <c r="S69" i="1"/>
  <c r="AA69" i="1" s="1"/>
  <c r="S79" i="1"/>
  <c r="AA79" i="1" s="1"/>
  <c r="S83" i="1"/>
  <c r="AA83" i="1" s="1"/>
  <c r="S87" i="1"/>
  <c r="AA87" i="1" s="1"/>
  <c r="S91" i="1"/>
  <c r="AA91" i="1" s="1"/>
  <c r="S67" i="1"/>
  <c r="AA67" i="1" s="1"/>
  <c r="S96" i="1"/>
  <c r="AA96" i="1" s="1"/>
  <c r="S98" i="1"/>
  <c r="AA98" i="1" s="1"/>
  <c r="S102" i="1"/>
  <c r="AA102" i="1" s="1"/>
  <c r="S106" i="1"/>
  <c r="AA106" i="1" s="1"/>
  <c r="S110" i="1"/>
  <c r="AA110" i="1" s="1"/>
  <c r="S114" i="1"/>
  <c r="AA114" i="1" s="1"/>
  <c r="S95" i="1"/>
  <c r="AA95" i="1" s="1"/>
  <c r="S132" i="1"/>
  <c r="AA132" i="1" s="1"/>
  <c r="S99" i="1"/>
  <c r="AA99" i="1" s="1"/>
  <c r="S103" i="1"/>
  <c r="AA103" i="1" s="1"/>
  <c r="S107" i="1"/>
  <c r="AA107" i="1" s="1"/>
  <c r="S111" i="1"/>
  <c r="AA111" i="1" s="1"/>
  <c r="S90" i="1"/>
  <c r="AA90" i="1" s="1"/>
  <c r="S94" i="1"/>
  <c r="AA94" i="1" s="1"/>
  <c r="S134" i="1"/>
  <c r="AA134" i="1" s="1"/>
  <c r="S129" i="1"/>
  <c r="AA129" i="1" s="1"/>
  <c r="S92" i="1"/>
  <c r="AA92" i="1" s="1"/>
  <c r="S100" i="1"/>
  <c r="AA100" i="1" s="1"/>
  <c r="S104" i="1"/>
  <c r="AA104" i="1" s="1"/>
  <c r="S108" i="1"/>
  <c r="AA108" i="1" s="1"/>
  <c r="S112" i="1"/>
  <c r="AA112" i="1" s="1"/>
  <c r="S116" i="1"/>
  <c r="AA116" i="1" s="1"/>
  <c r="S131" i="1"/>
  <c r="AA131" i="1" s="1"/>
  <c r="S101" i="1"/>
  <c r="AA101" i="1" s="1"/>
  <c r="S105" i="1"/>
  <c r="AA105" i="1" s="1"/>
  <c r="S109" i="1"/>
  <c r="AA109" i="1" s="1"/>
  <c r="S113" i="1"/>
  <c r="AA113" i="1" s="1"/>
  <c r="S97" i="1"/>
  <c r="AA97" i="1" s="1"/>
  <c r="S128" i="1"/>
  <c r="AA128" i="1" s="1"/>
  <c r="S88" i="1"/>
  <c r="AA88" i="1" s="1"/>
  <c r="S124" i="1"/>
  <c r="AA124" i="1" s="1"/>
  <c r="S157" i="1"/>
  <c r="AA157" i="1" s="1"/>
  <c r="S163" i="1"/>
  <c r="AA163" i="1" s="1"/>
  <c r="S169" i="1"/>
  <c r="AA169" i="1" s="1"/>
  <c r="S149" i="1"/>
  <c r="AA149" i="1" s="1"/>
  <c r="S119" i="1"/>
  <c r="AA119" i="1" s="1"/>
  <c r="S126" i="1"/>
  <c r="AA126" i="1" s="1"/>
  <c r="S152" i="1"/>
  <c r="AA152" i="1" s="1"/>
  <c r="S156" i="1"/>
  <c r="AA156" i="1" s="1"/>
  <c r="S162" i="1"/>
  <c r="AA162" i="1" s="1"/>
  <c r="S168" i="1"/>
  <c r="AA168" i="1" s="1"/>
  <c r="S121" i="1"/>
  <c r="AA121" i="1" s="1"/>
  <c r="S117" i="1"/>
  <c r="AA117" i="1" s="1"/>
  <c r="S136" i="1"/>
  <c r="AA136" i="1" s="1"/>
  <c r="S138" i="1"/>
  <c r="AA138" i="1" s="1"/>
  <c r="S140" i="1"/>
  <c r="AA140" i="1" s="1"/>
  <c r="S142" i="1"/>
  <c r="AA142" i="1" s="1"/>
  <c r="S144" i="1"/>
  <c r="AA144" i="1" s="1"/>
  <c r="S146" i="1"/>
  <c r="AA146" i="1" s="1"/>
  <c r="S161" i="1"/>
  <c r="AA161" i="1" s="1"/>
  <c r="S167" i="1"/>
  <c r="AA167" i="1" s="1"/>
  <c r="S123" i="1"/>
  <c r="AA123" i="1" s="1"/>
  <c r="S148" i="1"/>
  <c r="AA148" i="1" s="1"/>
  <c r="S151" i="1"/>
  <c r="AA151" i="1" s="1"/>
  <c r="S155" i="1"/>
  <c r="AA155" i="1" s="1"/>
  <c r="S160" i="1"/>
  <c r="AA160" i="1" s="1"/>
  <c r="S166" i="1"/>
  <c r="AA166" i="1" s="1"/>
  <c r="S125" i="1"/>
  <c r="AA125" i="1" s="1"/>
  <c r="S172" i="1"/>
  <c r="AA172" i="1" s="1"/>
  <c r="S173" i="1"/>
  <c r="AA173" i="1" s="1"/>
  <c r="S174" i="1"/>
  <c r="AA174" i="1" s="1"/>
  <c r="S175" i="1"/>
  <c r="AA175" i="1" s="1"/>
  <c r="S176" i="1"/>
  <c r="AA176" i="1" s="1"/>
  <c r="S177" i="1"/>
  <c r="AA177" i="1" s="1"/>
  <c r="S178" i="1"/>
  <c r="AA178" i="1" s="1"/>
  <c r="S179" i="1"/>
  <c r="AA179" i="1" s="1"/>
  <c r="S180" i="1"/>
  <c r="AA180" i="1" s="1"/>
  <c r="S181" i="1"/>
  <c r="AA181" i="1" s="1"/>
  <c r="S120" i="1"/>
  <c r="AA120" i="1" s="1"/>
  <c r="S154" i="1"/>
  <c r="AA154" i="1" s="1"/>
  <c r="S159" i="1"/>
  <c r="AA159" i="1" s="1"/>
  <c r="S165" i="1"/>
  <c r="AA165" i="1" s="1"/>
  <c r="S171" i="1"/>
  <c r="AA171" i="1" s="1"/>
  <c r="S115" i="1"/>
  <c r="AA115" i="1" s="1"/>
  <c r="S118" i="1"/>
  <c r="AA118" i="1" s="1"/>
  <c r="S127" i="1"/>
  <c r="AA127" i="1" s="1"/>
  <c r="S150" i="1"/>
  <c r="AA150" i="1" s="1"/>
  <c r="S122" i="1"/>
  <c r="AA122" i="1" s="1"/>
  <c r="S130" i="1"/>
  <c r="AA130" i="1" s="1"/>
  <c r="S135" i="1"/>
  <c r="AA135" i="1" s="1"/>
  <c r="S137" i="1"/>
  <c r="AA137" i="1" s="1"/>
  <c r="S139" i="1"/>
  <c r="AA139" i="1" s="1"/>
  <c r="S141" i="1"/>
  <c r="AA141" i="1" s="1"/>
  <c r="S143" i="1"/>
  <c r="AA143" i="1" s="1"/>
  <c r="S145" i="1"/>
  <c r="AA145" i="1" s="1"/>
  <c r="S147" i="1"/>
  <c r="AA147" i="1" s="1"/>
  <c r="S158" i="1"/>
  <c r="AA158" i="1" s="1"/>
  <c r="S164" i="1"/>
  <c r="AA164" i="1" s="1"/>
  <c r="S170" i="1"/>
  <c r="AA170" i="1" s="1"/>
  <c r="S133" i="1"/>
  <c r="AA133" i="1" s="1"/>
  <c r="S153" i="1"/>
  <c r="AA153" i="1" s="1"/>
  <c r="AM13" i="1"/>
  <c r="AL11" i="1"/>
  <c r="G15" i="1"/>
  <c r="P15" i="1" s="1"/>
  <c r="K15" i="1" s="1"/>
  <c r="C16" i="1"/>
  <c r="AJ15" i="1"/>
  <c r="AH12" i="1"/>
  <c r="BM4" i="1" l="1"/>
  <c r="BM30" i="1"/>
  <c r="BM53" i="1"/>
  <c r="BM28" i="1"/>
  <c r="BM31" i="1"/>
  <c r="BM32" i="1"/>
  <c r="BM41" i="1"/>
  <c r="BM51" i="1"/>
  <c r="BM35" i="1"/>
  <c r="BM54" i="1"/>
  <c r="BM58" i="1"/>
  <c r="BM55" i="1"/>
  <c r="BM52" i="1"/>
  <c r="BM56" i="1"/>
  <c r="BM59" i="1"/>
  <c r="BM61" i="1"/>
  <c r="BM63" i="1"/>
  <c r="BM65" i="1"/>
  <c r="BM67" i="1"/>
  <c r="BM69" i="1"/>
  <c r="BM71" i="1"/>
  <c r="BM38" i="1"/>
  <c r="BM57" i="1"/>
  <c r="BM68" i="1"/>
  <c r="BM62" i="1"/>
  <c r="BM66" i="1"/>
  <c r="BM79" i="1"/>
  <c r="BM83" i="1"/>
  <c r="BM80" i="1"/>
  <c r="BM84" i="1"/>
  <c r="BM88" i="1"/>
  <c r="BM92" i="1"/>
  <c r="BM64" i="1"/>
  <c r="BM74" i="1"/>
  <c r="BM75" i="1"/>
  <c r="BM76" i="1"/>
  <c r="BM73" i="1"/>
  <c r="BM77" i="1"/>
  <c r="BM81" i="1"/>
  <c r="BM85" i="1"/>
  <c r="BM60" i="1"/>
  <c r="BM72" i="1"/>
  <c r="BM78" i="1"/>
  <c r="BM82" i="1"/>
  <c r="BM86" i="1"/>
  <c r="BM90" i="1"/>
  <c r="BM70" i="1"/>
  <c r="BM95" i="1"/>
  <c r="BM98" i="1"/>
  <c r="BM102" i="1"/>
  <c r="BM106" i="1"/>
  <c r="BM110" i="1"/>
  <c r="BM114" i="1"/>
  <c r="BM118" i="1"/>
  <c r="BM122" i="1"/>
  <c r="BM126" i="1"/>
  <c r="BM130" i="1"/>
  <c r="BM87" i="1"/>
  <c r="BM94" i="1"/>
  <c r="BM132" i="1"/>
  <c r="BM93" i="1"/>
  <c r="BM99" i="1"/>
  <c r="BM103" i="1"/>
  <c r="BM107" i="1"/>
  <c r="BM111" i="1"/>
  <c r="BM115" i="1"/>
  <c r="BM119" i="1"/>
  <c r="BM123" i="1"/>
  <c r="BM127" i="1"/>
  <c r="BM89" i="1"/>
  <c r="BM129" i="1"/>
  <c r="BM100" i="1"/>
  <c r="BM104" i="1"/>
  <c r="BM108" i="1"/>
  <c r="BM112" i="1"/>
  <c r="BM116" i="1"/>
  <c r="BM120" i="1"/>
  <c r="BM124" i="1"/>
  <c r="BM91" i="1"/>
  <c r="BM96" i="1"/>
  <c r="BM97" i="1"/>
  <c r="BM101" i="1"/>
  <c r="BM105" i="1"/>
  <c r="BM109" i="1"/>
  <c r="BM113" i="1"/>
  <c r="BM117" i="1"/>
  <c r="BM121" i="1"/>
  <c r="BM125" i="1"/>
  <c r="BM133" i="1"/>
  <c r="BM128" i="1"/>
  <c r="BM131" i="1"/>
  <c r="BM134" i="1"/>
  <c r="BM10" i="1"/>
  <c r="BM36" i="1"/>
  <c r="BM16" i="1"/>
  <c r="BM11" i="1"/>
  <c r="BM37" i="1"/>
  <c r="BM22" i="1"/>
  <c r="BM27" i="1"/>
  <c r="BM23" i="1"/>
  <c r="BM20" i="1"/>
  <c r="BM17" i="1"/>
  <c r="BM8" i="1"/>
  <c r="BM15" i="1"/>
  <c r="BM7" i="1"/>
  <c r="BM24" i="1"/>
  <c r="BM12" i="1"/>
  <c r="BM39" i="1"/>
  <c r="BM13" i="1"/>
  <c r="BM21" i="1"/>
  <c r="BM29" i="1"/>
  <c r="BM26" i="1"/>
  <c r="BM19" i="1"/>
  <c r="BM33" i="1"/>
  <c r="BM14" i="1"/>
  <c r="BM18" i="1"/>
  <c r="BM9" i="1"/>
  <c r="BM5" i="1"/>
  <c r="BM6" i="1"/>
  <c r="BM25" i="1"/>
  <c r="BM34" i="1"/>
  <c r="BM40" i="1"/>
  <c r="BM45" i="1"/>
  <c r="BM43" i="1"/>
  <c r="BM44" i="1"/>
  <c r="BM42" i="1"/>
  <c r="BM46" i="1"/>
  <c r="BM47" i="1"/>
  <c r="BM49" i="1"/>
  <c r="BM50" i="1"/>
  <c r="BM48" i="1"/>
  <c r="AL12" i="1"/>
  <c r="AL17" i="1"/>
  <c r="AL18" i="1" s="1"/>
  <c r="AL19" i="1" s="1"/>
  <c r="AL22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" i="1" s="1"/>
  <c r="AM14" i="1"/>
  <c r="AM15" i="1"/>
  <c r="AM16" i="1" s="1"/>
  <c r="AM17" i="1" s="1"/>
  <c r="AM20" i="1" s="1"/>
  <c r="AM21" i="1" s="1"/>
  <c r="AM22" i="1" s="1"/>
  <c r="AM23" i="1" s="1"/>
  <c r="AM27" i="1" s="1"/>
  <c r="BH53" i="1"/>
  <c r="BH35" i="1"/>
  <c r="BH59" i="1"/>
  <c r="BH61" i="1"/>
  <c r="BH63" i="1"/>
  <c r="BH52" i="1"/>
  <c r="BH57" i="1"/>
  <c r="BH38" i="1"/>
  <c r="BH60" i="1"/>
  <c r="BH62" i="1"/>
  <c r="BH64" i="1"/>
  <c r="BH66" i="1"/>
  <c r="BH68" i="1"/>
  <c r="BH70" i="1"/>
  <c r="BH72" i="1"/>
  <c r="BH74" i="1"/>
  <c r="BH76" i="1"/>
  <c r="BH51" i="1"/>
  <c r="BH41" i="1"/>
  <c r="BH55" i="1"/>
  <c r="BH75" i="1"/>
  <c r="BH56" i="1"/>
  <c r="BH77" i="1"/>
  <c r="BH81" i="1"/>
  <c r="BH85" i="1"/>
  <c r="BH89" i="1"/>
  <c r="BH93" i="1"/>
  <c r="BH71" i="1"/>
  <c r="BH73" i="1"/>
  <c r="BH69" i="1"/>
  <c r="BH78" i="1"/>
  <c r="BH82" i="1"/>
  <c r="BH67" i="1"/>
  <c r="BH54" i="1"/>
  <c r="BH65" i="1"/>
  <c r="BH79" i="1"/>
  <c r="BH83" i="1"/>
  <c r="BH87" i="1"/>
  <c r="BH91" i="1"/>
  <c r="BH58" i="1"/>
  <c r="BH86" i="1"/>
  <c r="BH94" i="1"/>
  <c r="BH99" i="1"/>
  <c r="BH103" i="1"/>
  <c r="BH107" i="1"/>
  <c r="BH111" i="1"/>
  <c r="BH134" i="1"/>
  <c r="BH84" i="1"/>
  <c r="BH88" i="1"/>
  <c r="BH129" i="1"/>
  <c r="BH100" i="1"/>
  <c r="BH104" i="1"/>
  <c r="BH108" i="1"/>
  <c r="BH112" i="1"/>
  <c r="BH131" i="1"/>
  <c r="BH97" i="1"/>
  <c r="BH101" i="1"/>
  <c r="BH105" i="1"/>
  <c r="BH109" i="1"/>
  <c r="BH113" i="1"/>
  <c r="BH117" i="1"/>
  <c r="BH90" i="1"/>
  <c r="BH96" i="1"/>
  <c r="BH128" i="1"/>
  <c r="BH92" i="1"/>
  <c r="BH98" i="1"/>
  <c r="BH102" i="1"/>
  <c r="BH106" i="1"/>
  <c r="BH110" i="1"/>
  <c r="BH114" i="1"/>
  <c r="BH95" i="1"/>
  <c r="BH80" i="1"/>
  <c r="BH132" i="1"/>
  <c r="BH124" i="1"/>
  <c r="BH119" i="1"/>
  <c r="BH126" i="1"/>
  <c r="BH121" i="1"/>
  <c r="BH123" i="1"/>
  <c r="BH115" i="1"/>
  <c r="BH125" i="1"/>
  <c r="BH118" i="1"/>
  <c r="BH120" i="1"/>
  <c r="BH127" i="1"/>
  <c r="BH116" i="1"/>
  <c r="BH122" i="1"/>
  <c r="BH130" i="1"/>
  <c r="BH133" i="1"/>
  <c r="BH32" i="1"/>
  <c r="BH15" i="1"/>
  <c r="BH28" i="1"/>
  <c r="BH10" i="1"/>
  <c r="BH39" i="1"/>
  <c r="BH33" i="1"/>
  <c r="BH21" i="1"/>
  <c r="BH6" i="1"/>
  <c r="BH16" i="1"/>
  <c r="BH17" i="1"/>
  <c r="BH27" i="1"/>
  <c r="BH25" i="1"/>
  <c r="BH7" i="1"/>
  <c r="BH13" i="1"/>
  <c r="BH14" i="1"/>
  <c r="BH12" i="1"/>
  <c r="BH8" i="1"/>
  <c r="BH22" i="1"/>
  <c r="BH36" i="1"/>
  <c r="BH31" i="1"/>
  <c r="BH18" i="1"/>
  <c r="BH37" i="1"/>
  <c r="BH23" i="1"/>
  <c r="BH20" i="1"/>
  <c r="BH24" i="1"/>
  <c r="BH26" i="1"/>
  <c r="BH9" i="1"/>
  <c r="BH19" i="1"/>
  <c r="BH5" i="1"/>
  <c r="BH11" i="1"/>
  <c r="BH29" i="1"/>
  <c r="BH30" i="1"/>
  <c r="BH34" i="1"/>
  <c r="BH40" i="1"/>
  <c r="BH44" i="1"/>
  <c r="BH43" i="1"/>
  <c r="BH42" i="1"/>
  <c r="BH45" i="1"/>
  <c r="BH46" i="1"/>
  <c r="BH47" i="1"/>
  <c r="BH48" i="1"/>
  <c r="BH50" i="1"/>
  <c r="BH49" i="1"/>
  <c r="AJ17" i="1"/>
  <c r="G16" i="1"/>
  <c r="P16" i="1" s="1"/>
  <c r="K16" i="1" s="1"/>
  <c r="C18" i="1"/>
  <c r="AH13" i="1"/>
  <c r="AK36" i="1"/>
  <c r="AK37" i="1" s="1"/>
  <c r="AK38" i="1" s="1"/>
  <c r="V6" i="1" l="1"/>
  <c r="AD6" i="1" s="1"/>
  <c r="V9" i="1"/>
  <c r="AD9" i="1" s="1"/>
  <c r="V12" i="1"/>
  <c r="AD12" i="1" s="1"/>
  <c r="V15" i="1"/>
  <c r="AD15" i="1" s="1"/>
  <c r="V18" i="1"/>
  <c r="AD18" i="1" s="1"/>
  <c r="V5" i="1"/>
  <c r="AD5" i="1" s="1"/>
  <c r="V8" i="1"/>
  <c r="AD8" i="1" s="1"/>
  <c r="V11" i="1"/>
  <c r="AD11" i="1" s="1"/>
  <c r="V14" i="1"/>
  <c r="AD14" i="1" s="1"/>
  <c r="V17" i="1"/>
  <c r="AD17" i="1" s="1"/>
  <c r="V20" i="1"/>
  <c r="AD20" i="1" s="1"/>
  <c r="V23" i="1"/>
  <c r="AD23" i="1" s="1"/>
  <c r="V26" i="1"/>
  <c r="AD26" i="1" s="1"/>
  <c r="V29" i="1"/>
  <c r="AD29" i="1" s="1"/>
  <c r="V7" i="1"/>
  <c r="AD7" i="1" s="1"/>
  <c r="V10" i="1"/>
  <c r="AD10" i="1" s="1"/>
  <c r="V13" i="1"/>
  <c r="AD13" i="1" s="1"/>
  <c r="V16" i="1"/>
  <c r="AD16" i="1" s="1"/>
  <c r="V19" i="1"/>
  <c r="AD19" i="1" s="1"/>
  <c r="V22" i="1"/>
  <c r="AD22" i="1" s="1"/>
  <c r="V25" i="1"/>
  <c r="AD25" i="1" s="1"/>
  <c r="V28" i="1"/>
  <c r="AD28" i="1" s="1"/>
  <c r="V31" i="1"/>
  <c r="AD31" i="1" s="1"/>
  <c r="V33" i="1"/>
  <c r="AD33" i="1" s="1"/>
  <c r="V36" i="1"/>
  <c r="AD36" i="1" s="1"/>
  <c r="V39" i="1"/>
  <c r="AD39" i="1" s="1"/>
  <c r="V21" i="1"/>
  <c r="AD21" i="1" s="1"/>
  <c r="V24" i="1"/>
  <c r="AD24" i="1" s="1"/>
  <c r="V35" i="1"/>
  <c r="AD35" i="1" s="1"/>
  <c r="V27" i="1"/>
  <c r="AD27" i="1" s="1"/>
  <c r="V30" i="1"/>
  <c r="AD30" i="1" s="1"/>
  <c r="V34" i="1"/>
  <c r="AD34" i="1" s="1"/>
  <c r="V32" i="1"/>
  <c r="AD32" i="1" s="1"/>
  <c r="V43" i="1"/>
  <c r="AD43" i="1" s="1"/>
  <c r="V44" i="1"/>
  <c r="AD44" i="1" s="1"/>
  <c r="V48" i="1"/>
  <c r="AD48" i="1" s="1"/>
  <c r="V54" i="1"/>
  <c r="AD54" i="1" s="1"/>
  <c r="V55" i="1"/>
  <c r="AD55" i="1" s="1"/>
  <c r="V38" i="1"/>
  <c r="AD38" i="1" s="1"/>
  <c r="V46" i="1"/>
  <c r="AD46" i="1" s="1"/>
  <c r="V56" i="1"/>
  <c r="AD56" i="1" s="1"/>
  <c r="V49" i="1"/>
  <c r="AD49" i="1" s="1"/>
  <c r="V53" i="1"/>
  <c r="AD53" i="1" s="1"/>
  <c r="V40" i="1"/>
  <c r="AD40" i="1" s="1"/>
  <c r="V41" i="1"/>
  <c r="AD41" i="1" s="1"/>
  <c r="V37" i="1"/>
  <c r="AD37" i="1" s="1"/>
  <c r="V42" i="1"/>
  <c r="AD42" i="1" s="1"/>
  <c r="V47" i="1"/>
  <c r="AD47" i="1" s="1"/>
  <c r="V50" i="1"/>
  <c r="AD50" i="1" s="1"/>
  <c r="V52" i="1"/>
  <c r="AD52" i="1" s="1"/>
  <c r="V60" i="1"/>
  <c r="AD60" i="1" s="1"/>
  <c r="V62" i="1"/>
  <c r="AD62" i="1" s="1"/>
  <c r="V64" i="1"/>
  <c r="AD64" i="1" s="1"/>
  <c r="V66" i="1"/>
  <c r="AD66" i="1" s="1"/>
  <c r="V68" i="1"/>
  <c r="AD68" i="1" s="1"/>
  <c r="V70" i="1"/>
  <c r="AD70" i="1" s="1"/>
  <c r="V72" i="1"/>
  <c r="AD72" i="1" s="1"/>
  <c r="V57" i="1"/>
  <c r="AD57" i="1" s="1"/>
  <c r="V63" i="1"/>
  <c r="AD63" i="1" s="1"/>
  <c r="V69" i="1"/>
  <c r="AD69" i="1" s="1"/>
  <c r="V45" i="1"/>
  <c r="AD45" i="1" s="1"/>
  <c r="V67" i="1"/>
  <c r="AD67" i="1" s="1"/>
  <c r="V79" i="1"/>
  <c r="AD79" i="1" s="1"/>
  <c r="V83" i="1"/>
  <c r="AD83" i="1" s="1"/>
  <c r="V80" i="1"/>
  <c r="AD80" i="1" s="1"/>
  <c r="V84" i="1"/>
  <c r="AD84" i="1" s="1"/>
  <c r="V88" i="1"/>
  <c r="AD88" i="1" s="1"/>
  <c r="V92" i="1"/>
  <c r="AD92" i="1" s="1"/>
  <c r="V65" i="1"/>
  <c r="AD65" i="1" s="1"/>
  <c r="V75" i="1"/>
  <c r="AD75" i="1" s="1"/>
  <c r="V51" i="1"/>
  <c r="AD51" i="1" s="1"/>
  <c r="V76" i="1"/>
  <c r="AD76" i="1" s="1"/>
  <c r="V81" i="1"/>
  <c r="AD81" i="1" s="1"/>
  <c r="V85" i="1"/>
  <c r="AD85" i="1" s="1"/>
  <c r="V59" i="1"/>
  <c r="AD59" i="1" s="1"/>
  <c r="V61" i="1"/>
  <c r="AD61" i="1" s="1"/>
  <c r="V74" i="1"/>
  <c r="AD74" i="1" s="1"/>
  <c r="V77" i="1"/>
  <c r="AD77" i="1" s="1"/>
  <c r="V58" i="1"/>
  <c r="AD58" i="1" s="1"/>
  <c r="V73" i="1"/>
  <c r="AD73" i="1" s="1"/>
  <c r="V78" i="1"/>
  <c r="AD78" i="1" s="1"/>
  <c r="V82" i="1"/>
  <c r="AD82" i="1" s="1"/>
  <c r="V86" i="1"/>
  <c r="AD86" i="1" s="1"/>
  <c r="V90" i="1"/>
  <c r="AD90" i="1" s="1"/>
  <c r="V71" i="1"/>
  <c r="AD71" i="1" s="1"/>
  <c r="V101" i="1"/>
  <c r="AD101" i="1" s="1"/>
  <c r="V105" i="1"/>
  <c r="AD105" i="1" s="1"/>
  <c r="V109" i="1"/>
  <c r="AD109" i="1" s="1"/>
  <c r="V113" i="1"/>
  <c r="AD113" i="1" s="1"/>
  <c r="V97" i="1"/>
  <c r="AD97" i="1" s="1"/>
  <c r="V128" i="1"/>
  <c r="AD128" i="1" s="1"/>
  <c r="V89" i="1"/>
  <c r="AD89" i="1" s="1"/>
  <c r="V135" i="1"/>
  <c r="AD135" i="1" s="1"/>
  <c r="V136" i="1"/>
  <c r="AD136" i="1" s="1"/>
  <c r="V137" i="1"/>
  <c r="AD137" i="1" s="1"/>
  <c r="V138" i="1"/>
  <c r="AD138" i="1" s="1"/>
  <c r="V139" i="1"/>
  <c r="AD139" i="1" s="1"/>
  <c r="V140" i="1"/>
  <c r="AD140" i="1" s="1"/>
  <c r="V141" i="1"/>
  <c r="AD141" i="1" s="1"/>
  <c r="V142" i="1"/>
  <c r="AD142" i="1" s="1"/>
  <c r="V143" i="1"/>
  <c r="AD143" i="1" s="1"/>
  <c r="V144" i="1"/>
  <c r="AD144" i="1" s="1"/>
  <c r="V145" i="1"/>
  <c r="AD145" i="1" s="1"/>
  <c r="V146" i="1"/>
  <c r="AD146" i="1" s="1"/>
  <c r="V147" i="1"/>
  <c r="AD147" i="1" s="1"/>
  <c r="V96" i="1"/>
  <c r="AD96" i="1" s="1"/>
  <c r="V98" i="1"/>
  <c r="AD98" i="1" s="1"/>
  <c r="V102" i="1"/>
  <c r="AD102" i="1" s="1"/>
  <c r="V106" i="1"/>
  <c r="AD106" i="1" s="1"/>
  <c r="V110" i="1"/>
  <c r="AD110" i="1" s="1"/>
  <c r="V114" i="1"/>
  <c r="AD114" i="1" s="1"/>
  <c r="V95" i="1"/>
  <c r="AD95" i="1" s="1"/>
  <c r="V132" i="1"/>
  <c r="AD132" i="1" s="1"/>
  <c r="V91" i="1"/>
  <c r="AD91" i="1" s="1"/>
  <c r="V94" i="1"/>
  <c r="AD94" i="1" s="1"/>
  <c r="V99" i="1"/>
  <c r="AD99" i="1" s="1"/>
  <c r="V103" i="1"/>
  <c r="AD103" i="1" s="1"/>
  <c r="V107" i="1"/>
  <c r="AD107" i="1" s="1"/>
  <c r="V111" i="1"/>
  <c r="AD111" i="1" s="1"/>
  <c r="V115" i="1"/>
  <c r="AD115" i="1" s="1"/>
  <c r="V119" i="1"/>
  <c r="AD119" i="1" s="1"/>
  <c r="V134" i="1"/>
  <c r="AD134" i="1" s="1"/>
  <c r="V129" i="1"/>
  <c r="AD129" i="1" s="1"/>
  <c r="V100" i="1"/>
  <c r="AD100" i="1" s="1"/>
  <c r="V104" i="1"/>
  <c r="AD104" i="1" s="1"/>
  <c r="V108" i="1"/>
  <c r="AD108" i="1" s="1"/>
  <c r="V112" i="1"/>
  <c r="AD112" i="1" s="1"/>
  <c r="V116" i="1"/>
  <c r="AD116" i="1" s="1"/>
  <c r="V93" i="1"/>
  <c r="AD93" i="1" s="1"/>
  <c r="V131" i="1"/>
  <c r="AD131" i="1" s="1"/>
  <c r="V87" i="1"/>
  <c r="AD87" i="1" s="1"/>
  <c r="V133" i="1"/>
  <c r="AD133" i="1" s="1"/>
  <c r="V124" i="1"/>
  <c r="AD124" i="1" s="1"/>
  <c r="V153" i="1"/>
  <c r="AD153" i="1" s="1"/>
  <c r="V158" i="1"/>
  <c r="AD158" i="1" s="1"/>
  <c r="V164" i="1"/>
  <c r="AD164" i="1" s="1"/>
  <c r="V170" i="1"/>
  <c r="AD170" i="1" s="1"/>
  <c r="V126" i="1"/>
  <c r="AD126" i="1" s="1"/>
  <c r="V149" i="1"/>
  <c r="AD149" i="1" s="1"/>
  <c r="V157" i="1"/>
  <c r="AD157" i="1" s="1"/>
  <c r="V163" i="1"/>
  <c r="AD163" i="1" s="1"/>
  <c r="V169" i="1"/>
  <c r="AD169" i="1" s="1"/>
  <c r="V121" i="1"/>
  <c r="AD121" i="1" s="1"/>
  <c r="V152" i="1"/>
  <c r="AD152" i="1" s="1"/>
  <c r="V117" i="1"/>
  <c r="AD117" i="1" s="1"/>
  <c r="V156" i="1"/>
  <c r="AD156" i="1" s="1"/>
  <c r="V162" i="1"/>
  <c r="AD162" i="1" s="1"/>
  <c r="V168" i="1"/>
  <c r="AD168" i="1" s="1"/>
  <c r="V123" i="1"/>
  <c r="AD123" i="1" s="1"/>
  <c r="V148" i="1"/>
  <c r="AD148" i="1" s="1"/>
  <c r="V151" i="1"/>
  <c r="AD151" i="1" s="1"/>
  <c r="V155" i="1"/>
  <c r="AD155" i="1" s="1"/>
  <c r="V161" i="1"/>
  <c r="AD161" i="1" s="1"/>
  <c r="V167" i="1"/>
  <c r="AD167" i="1" s="1"/>
  <c r="V125" i="1"/>
  <c r="AD125" i="1" s="1"/>
  <c r="V120" i="1"/>
  <c r="AD120" i="1" s="1"/>
  <c r="V160" i="1"/>
  <c r="AD160" i="1" s="1"/>
  <c r="V166" i="1"/>
  <c r="AD166" i="1" s="1"/>
  <c r="V118" i="1"/>
  <c r="AD118" i="1" s="1"/>
  <c r="V127" i="1"/>
  <c r="AD127" i="1" s="1"/>
  <c r="V154" i="1"/>
  <c r="AD154" i="1" s="1"/>
  <c r="V172" i="1"/>
  <c r="AD172" i="1" s="1"/>
  <c r="V173" i="1"/>
  <c r="AD173" i="1" s="1"/>
  <c r="V174" i="1"/>
  <c r="AD174" i="1" s="1"/>
  <c r="V175" i="1"/>
  <c r="AD175" i="1" s="1"/>
  <c r="V176" i="1"/>
  <c r="AD176" i="1" s="1"/>
  <c r="V177" i="1"/>
  <c r="AD177" i="1" s="1"/>
  <c r="V178" i="1"/>
  <c r="AD178" i="1" s="1"/>
  <c r="V179" i="1"/>
  <c r="AD179" i="1" s="1"/>
  <c r="V180" i="1"/>
  <c r="AD180" i="1" s="1"/>
  <c r="V181" i="1"/>
  <c r="AD181" i="1" s="1"/>
  <c r="V122" i="1"/>
  <c r="AD122" i="1" s="1"/>
  <c r="V130" i="1"/>
  <c r="AD130" i="1" s="1"/>
  <c r="V150" i="1"/>
  <c r="AD150" i="1" s="1"/>
  <c r="V159" i="1"/>
  <c r="AD159" i="1" s="1"/>
  <c r="V165" i="1"/>
  <c r="AD165" i="1" s="1"/>
  <c r="V171" i="1"/>
  <c r="AD171" i="1" s="1"/>
  <c r="AH30" i="1"/>
  <c r="AH31" i="1" s="1"/>
  <c r="AH32" i="1" s="1"/>
  <c r="AH33" i="1" s="1"/>
  <c r="AH36" i="1" s="1"/>
  <c r="AH37" i="1" s="1"/>
  <c r="AM28" i="1"/>
  <c r="AM29" i="1" s="1"/>
  <c r="AM30" i="1" s="1"/>
  <c r="AM37" i="1" s="1"/>
  <c r="AM38" i="1" s="1"/>
  <c r="AM41" i="1" s="1"/>
  <c r="AM3" i="1" s="1"/>
  <c r="G18" i="1"/>
  <c r="P18" i="1" s="1"/>
  <c r="K18" i="1" s="1"/>
  <c r="C19" i="1"/>
  <c r="AH14" i="1"/>
  <c r="AH27" i="1" s="1"/>
  <c r="AH28" i="1" s="1"/>
  <c r="AH29" i="1" s="1"/>
  <c r="AK3" i="1"/>
  <c r="AJ18" i="1"/>
  <c r="W6" i="1" l="1"/>
  <c r="AE6" i="1" s="1"/>
  <c r="W9" i="1"/>
  <c r="AE9" i="1" s="1"/>
  <c r="W12" i="1"/>
  <c r="AE12" i="1" s="1"/>
  <c r="W15" i="1"/>
  <c r="AE15" i="1" s="1"/>
  <c r="W18" i="1"/>
  <c r="AE18" i="1" s="1"/>
  <c r="W21" i="1"/>
  <c r="AE21" i="1" s="1"/>
  <c r="W24" i="1"/>
  <c r="AE24" i="1" s="1"/>
  <c r="W27" i="1"/>
  <c r="AE27" i="1" s="1"/>
  <c r="W5" i="1"/>
  <c r="AE5" i="1" s="1"/>
  <c r="W8" i="1"/>
  <c r="AE8" i="1" s="1"/>
  <c r="W11" i="1"/>
  <c r="AE11" i="1" s="1"/>
  <c r="W14" i="1"/>
  <c r="AE14" i="1" s="1"/>
  <c r="W17" i="1"/>
  <c r="AE17" i="1" s="1"/>
  <c r="W20" i="1"/>
  <c r="AE20" i="1" s="1"/>
  <c r="W23" i="1"/>
  <c r="AE23" i="1" s="1"/>
  <c r="W26" i="1"/>
  <c r="AE26" i="1" s="1"/>
  <c r="W29" i="1"/>
  <c r="AE29" i="1" s="1"/>
  <c r="W7" i="1"/>
  <c r="AE7" i="1" s="1"/>
  <c r="W10" i="1"/>
  <c r="AE10" i="1" s="1"/>
  <c r="W13" i="1"/>
  <c r="AE13" i="1" s="1"/>
  <c r="W16" i="1"/>
  <c r="AE16" i="1" s="1"/>
  <c r="W19" i="1"/>
  <c r="AE19" i="1" s="1"/>
  <c r="W22" i="1"/>
  <c r="AE22" i="1" s="1"/>
  <c r="W25" i="1"/>
  <c r="AE25" i="1" s="1"/>
  <c r="W28" i="1"/>
  <c r="AE28" i="1" s="1"/>
  <c r="W32" i="1"/>
  <c r="AE32" i="1" s="1"/>
  <c r="W35" i="1"/>
  <c r="AE35" i="1" s="1"/>
  <c r="W38" i="1"/>
  <c r="AE38" i="1" s="1"/>
  <c r="W41" i="1"/>
  <c r="AE41" i="1" s="1"/>
  <c r="W44" i="1"/>
  <c r="AE44" i="1" s="1"/>
  <c r="W47" i="1"/>
  <c r="AE47" i="1" s="1"/>
  <c r="W50" i="1"/>
  <c r="AE50" i="1" s="1"/>
  <c r="W30" i="1"/>
  <c r="AE30" i="1" s="1"/>
  <c r="W34" i="1"/>
  <c r="AE34" i="1" s="1"/>
  <c r="W37" i="1"/>
  <c r="AE37" i="1" s="1"/>
  <c r="W40" i="1"/>
  <c r="AE40" i="1" s="1"/>
  <c r="W43" i="1"/>
  <c r="AE43" i="1" s="1"/>
  <c r="W52" i="1"/>
  <c r="AE52" i="1" s="1"/>
  <c r="W60" i="1"/>
  <c r="AE60" i="1" s="1"/>
  <c r="W45" i="1"/>
  <c r="AE45" i="1" s="1"/>
  <c r="W58" i="1"/>
  <c r="AE58" i="1" s="1"/>
  <c r="W51" i="1"/>
  <c r="AE51" i="1" s="1"/>
  <c r="W39" i="1"/>
  <c r="AE39" i="1" s="1"/>
  <c r="W59" i="1"/>
  <c r="AE59" i="1" s="1"/>
  <c r="W61" i="1"/>
  <c r="AE61" i="1" s="1"/>
  <c r="W63" i="1"/>
  <c r="AE63" i="1" s="1"/>
  <c r="W65" i="1"/>
  <c r="AE65" i="1" s="1"/>
  <c r="W67" i="1"/>
  <c r="AE67" i="1" s="1"/>
  <c r="W69" i="1"/>
  <c r="AE69" i="1" s="1"/>
  <c r="W71" i="1"/>
  <c r="AE71" i="1" s="1"/>
  <c r="W73" i="1"/>
  <c r="AE73" i="1" s="1"/>
  <c r="W75" i="1"/>
  <c r="AE75" i="1" s="1"/>
  <c r="W77" i="1"/>
  <c r="AE77" i="1" s="1"/>
  <c r="W79" i="1"/>
  <c r="AE79" i="1" s="1"/>
  <c r="W81" i="1"/>
  <c r="AE81" i="1" s="1"/>
  <c r="W83" i="1"/>
  <c r="AE83" i="1" s="1"/>
  <c r="W85" i="1"/>
  <c r="AE85" i="1" s="1"/>
  <c r="W87" i="1"/>
  <c r="AE87" i="1" s="1"/>
  <c r="W89" i="1"/>
  <c r="AE89" i="1" s="1"/>
  <c r="W91" i="1"/>
  <c r="AE91" i="1" s="1"/>
  <c r="W93" i="1"/>
  <c r="AE93" i="1" s="1"/>
  <c r="W95" i="1"/>
  <c r="AE95" i="1" s="1"/>
  <c r="W31" i="1"/>
  <c r="AE31" i="1" s="1"/>
  <c r="W46" i="1"/>
  <c r="AE46" i="1" s="1"/>
  <c r="W56" i="1"/>
  <c r="AE56" i="1" s="1"/>
  <c r="W33" i="1"/>
  <c r="AE33" i="1" s="1"/>
  <c r="W49" i="1"/>
  <c r="AE49" i="1" s="1"/>
  <c r="W53" i="1"/>
  <c r="AE53" i="1" s="1"/>
  <c r="W36" i="1"/>
  <c r="AE36" i="1" s="1"/>
  <c r="W42" i="1"/>
  <c r="AE42" i="1" s="1"/>
  <c r="W57" i="1"/>
  <c r="AE57" i="1" s="1"/>
  <c r="W64" i="1"/>
  <c r="AE64" i="1" s="1"/>
  <c r="W55" i="1"/>
  <c r="AE55" i="1" s="1"/>
  <c r="W72" i="1"/>
  <c r="AE72" i="1" s="1"/>
  <c r="W80" i="1"/>
  <c r="AE80" i="1" s="1"/>
  <c r="W84" i="1"/>
  <c r="AE84" i="1" s="1"/>
  <c r="W48" i="1"/>
  <c r="AE48" i="1" s="1"/>
  <c r="W70" i="1"/>
  <c r="AE70" i="1" s="1"/>
  <c r="W68" i="1"/>
  <c r="AE68" i="1" s="1"/>
  <c r="W54" i="1"/>
  <c r="AE54" i="1" s="1"/>
  <c r="W76" i="1"/>
  <c r="AE76" i="1" s="1"/>
  <c r="W66" i="1"/>
  <c r="AE66" i="1" s="1"/>
  <c r="W74" i="1"/>
  <c r="AE74" i="1" s="1"/>
  <c r="W62" i="1"/>
  <c r="AE62" i="1" s="1"/>
  <c r="W78" i="1"/>
  <c r="AE78" i="1" s="1"/>
  <c r="W88" i="1"/>
  <c r="AE88" i="1" s="1"/>
  <c r="W101" i="1"/>
  <c r="AE101" i="1" s="1"/>
  <c r="W105" i="1"/>
  <c r="AE105" i="1" s="1"/>
  <c r="W109" i="1"/>
  <c r="AE109" i="1" s="1"/>
  <c r="W113" i="1"/>
  <c r="AE113" i="1" s="1"/>
  <c r="W117" i="1"/>
  <c r="AE117" i="1" s="1"/>
  <c r="W121" i="1"/>
  <c r="AE121" i="1" s="1"/>
  <c r="W125" i="1"/>
  <c r="AE125" i="1" s="1"/>
  <c r="W133" i="1"/>
  <c r="AE133" i="1" s="1"/>
  <c r="W97" i="1"/>
  <c r="AE97" i="1" s="1"/>
  <c r="W128" i="1"/>
  <c r="AE128" i="1" s="1"/>
  <c r="W96" i="1"/>
  <c r="AE96" i="1" s="1"/>
  <c r="W98" i="1"/>
  <c r="AE98" i="1" s="1"/>
  <c r="W102" i="1"/>
  <c r="AE102" i="1" s="1"/>
  <c r="W106" i="1"/>
  <c r="AE106" i="1" s="1"/>
  <c r="W110" i="1"/>
  <c r="AE110" i="1" s="1"/>
  <c r="W114" i="1"/>
  <c r="AE114" i="1" s="1"/>
  <c r="W118" i="1"/>
  <c r="AE118" i="1" s="1"/>
  <c r="W122" i="1"/>
  <c r="AE122" i="1" s="1"/>
  <c r="W126" i="1"/>
  <c r="AE126" i="1" s="1"/>
  <c r="W130" i="1"/>
  <c r="AE130" i="1" s="1"/>
  <c r="W90" i="1"/>
  <c r="AE90" i="1" s="1"/>
  <c r="W94" i="1"/>
  <c r="AE94" i="1" s="1"/>
  <c r="W99" i="1"/>
  <c r="AE99" i="1" s="1"/>
  <c r="W103" i="1"/>
  <c r="AE103" i="1" s="1"/>
  <c r="W107" i="1"/>
  <c r="AE107" i="1" s="1"/>
  <c r="W111" i="1"/>
  <c r="AE111" i="1" s="1"/>
  <c r="W115" i="1"/>
  <c r="AE115" i="1" s="1"/>
  <c r="W119" i="1"/>
  <c r="AE119" i="1" s="1"/>
  <c r="W123" i="1"/>
  <c r="AE123" i="1" s="1"/>
  <c r="W127" i="1"/>
  <c r="AE127" i="1" s="1"/>
  <c r="W92" i="1"/>
  <c r="AE92" i="1" s="1"/>
  <c r="W134" i="1"/>
  <c r="AE134" i="1" s="1"/>
  <c r="W82" i="1"/>
  <c r="AE82" i="1" s="1"/>
  <c r="W86" i="1"/>
  <c r="AE86" i="1" s="1"/>
  <c r="W100" i="1"/>
  <c r="AE100" i="1" s="1"/>
  <c r="W104" i="1"/>
  <c r="AE104" i="1" s="1"/>
  <c r="W108" i="1"/>
  <c r="AE108" i="1" s="1"/>
  <c r="W112" i="1"/>
  <c r="AE112" i="1" s="1"/>
  <c r="W116" i="1"/>
  <c r="AE116" i="1" s="1"/>
  <c r="W120" i="1"/>
  <c r="AE120" i="1" s="1"/>
  <c r="W124" i="1"/>
  <c r="AE124" i="1" s="1"/>
  <c r="W131" i="1"/>
  <c r="AE131" i="1" s="1"/>
  <c r="W135" i="1"/>
  <c r="AE135" i="1" s="1"/>
  <c r="W137" i="1"/>
  <c r="AE137" i="1" s="1"/>
  <c r="W139" i="1"/>
  <c r="AE139" i="1" s="1"/>
  <c r="W141" i="1"/>
  <c r="AE141" i="1" s="1"/>
  <c r="W143" i="1"/>
  <c r="AE143" i="1" s="1"/>
  <c r="W145" i="1"/>
  <c r="AE145" i="1" s="1"/>
  <c r="W147" i="1"/>
  <c r="AE147" i="1" s="1"/>
  <c r="W150" i="1"/>
  <c r="AE150" i="1" s="1"/>
  <c r="W159" i="1"/>
  <c r="AE159" i="1" s="1"/>
  <c r="W165" i="1"/>
  <c r="AE165" i="1" s="1"/>
  <c r="W171" i="1"/>
  <c r="AE171" i="1" s="1"/>
  <c r="W153" i="1"/>
  <c r="AE153" i="1" s="1"/>
  <c r="W158" i="1"/>
  <c r="AE158" i="1" s="1"/>
  <c r="W164" i="1"/>
  <c r="AE164" i="1" s="1"/>
  <c r="W170" i="1"/>
  <c r="AE170" i="1" s="1"/>
  <c r="W149" i="1"/>
  <c r="AE149" i="1" s="1"/>
  <c r="W157" i="1"/>
  <c r="AE157" i="1" s="1"/>
  <c r="W163" i="1"/>
  <c r="AE163" i="1" s="1"/>
  <c r="W169" i="1"/>
  <c r="AE169" i="1" s="1"/>
  <c r="W152" i="1"/>
  <c r="AE152" i="1" s="1"/>
  <c r="W136" i="1"/>
  <c r="AE136" i="1" s="1"/>
  <c r="W138" i="1"/>
  <c r="AE138" i="1" s="1"/>
  <c r="W140" i="1"/>
  <c r="AE140" i="1" s="1"/>
  <c r="W142" i="1"/>
  <c r="AE142" i="1" s="1"/>
  <c r="W144" i="1"/>
  <c r="AE144" i="1" s="1"/>
  <c r="W146" i="1"/>
  <c r="AE146" i="1" s="1"/>
  <c r="W156" i="1"/>
  <c r="AE156" i="1" s="1"/>
  <c r="W162" i="1"/>
  <c r="AE162" i="1" s="1"/>
  <c r="W168" i="1"/>
  <c r="AE168" i="1" s="1"/>
  <c r="W129" i="1"/>
  <c r="AE129" i="1" s="1"/>
  <c r="W148" i="1"/>
  <c r="AE148" i="1" s="1"/>
  <c r="W151" i="1"/>
  <c r="AE151" i="1" s="1"/>
  <c r="W155" i="1"/>
  <c r="AE155" i="1" s="1"/>
  <c r="W161" i="1"/>
  <c r="AE161" i="1" s="1"/>
  <c r="W167" i="1"/>
  <c r="AE167" i="1" s="1"/>
  <c r="W132" i="1"/>
  <c r="AE132" i="1" s="1"/>
  <c r="W160" i="1"/>
  <c r="AE160" i="1" s="1"/>
  <c r="W166" i="1"/>
  <c r="AE166" i="1" s="1"/>
  <c r="W154" i="1"/>
  <c r="AE154" i="1" s="1"/>
  <c r="W172" i="1"/>
  <c r="AE172" i="1" s="1"/>
  <c r="W173" i="1"/>
  <c r="AE173" i="1" s="1"/>
  <c r="W174" i="1"/>
  <c r="AE174" i="1" s="1"/>
  <c r="W175" i="1"/>
  <c r="AE175" i="1" s="1"/>
  <c r="W176" i="1"/>
  <c r="AE176" i="1" s="1"/>
  <c r="W177" i="1"/>
  <c r="AE177" i="1" s="1"/>
  <c r="W178" i="1"/>
  <c r="AE178" i="1" s="1"/>
  <c r="W179" i="1"/>
  <c r="AE179" i="1" s="1"/>
  <c r="W180" i="1"/>
  <c r="AE180" i="1" s="1"/>
  <c r="W181" i="1"/>
  <c r="AE181" i="1" s="1"/>
  <c r="AH38" i="1"/>
  <c r="AH39" i="1" s="1"/>
  <c r="AH40" i="1" s="1"/>
  <c r="AH3" i="1" s="1"/>
  <c r="BK30" i="1"/>
  <c r="BK54" i="1"/>
  <c r="BK58" i="1"/>
  <c r="BK31" i="1"/>
  <c r="BK53" i="1"/>
  <c r="BK55" i="1"/>
  <c r="BK33" i="1"/>
  <c r="BK39" i="1"/>
  <c r="BK57" i="1"/>
  <c r="BK36" i="1"/>
  <c r="BK60" i="1"/>
  <c r="BK62" i="1"/>
  <c r="BK64" i="1"/>
  <c r="BK66" i="1"/>
  <c r="BK68" i="1"/>
  <c r="BK70" i="1"/>
  <c r="BK72" i="1"/>
  <c r="BK61" i="1"/>
  <c r="BK79" i="1"/>
  <c r="BK83" i="1"/>
  <c r="BK87" i="1"/>
  <c r="BK91" i="1"/>
  <c r="BK95" i="1"/>
  <c r="BK80" i="1"/>
  <c r="BK56" i="1"/>
  <c r="BK74" i="1"/>
  <c r="BK76" i="1"/>
  <c r="BK52" i="1"/>
  <c r="BK63" i="1"/>
  <c r="BK75" i="1"/>
  <c r="BK51" i="1"/>
  <c r="BK71" i="1"/>
  <c r="BK73" i="1"/>
  <c r="BK77" i="1"/>
  <c r="BK81" i="1"/>
  <c r="BK85" i="1"/>
  <c r="BK69" i="1"/>
  <c r="BK67" i="1"/>
  <c r="BK78" i="1"/>
  <c r="BK82" i="1"/>
  <c r="BK86" i="1"/>
  <c r="BK90" i="1"/>
  <c r="BK94" i="1"/>
  <c r="BK59" i="1"/>
  <c r="BK65" i="1"/>
  <c r="BK98" i="1"/>
  <c r="BK102" i="1"/>
  <c r="BK106" i="1"/>
  <c r="BK110" i="1"/>
  <c r="BK114" i="1"/>
  <c r="BK132" i="1"/>
  <c r="BK99" i="1"/>
  <c r="BK103" i="1"/>
  <c r="BK107" i="1"/>
  <c r="BK111" i="1"/>
  <c r="BK84" i="1"/>
  <c r="BK88" i="1"/>
  <c r="BK93" i="1"/>
  <c r="BK134" i="1"/>
  <c r="BK129" i="1"/>
  <c r="BK89" i="1"/>
  <c r="BK100" i="1"/>
  <c r="BK104" i="1"/>
  <c r="BK108" i="1"/>
  <c r="BK112" i="1"/>
  <c r="BK116" i="1"/>
  <c r="BK131" i="1"/>
  <c r="BK96" i="1"/>
  <c r="BK97" i="1"/>
  <c r="BK101" i="1"/>
  <c r="BK105" i="1"/>
  <c r="BK109" i="1"/>
  <c r="BK113" i="1"/>
  <c r="BK128" i="1"/>
  <c r="BK92" i="1"/>
  <c r="BK133" i="1"/>
  <c r="BK124" i="1"/>
  <c r="BK119" i="1"/>
  <c r="BK117" i="1"/>
  <c r="BK126" i="1"/>
  <c r="BK121" i="1"/>
  <c r="BK123" i="1"/>
  <c r="BK115" i="1"/>
  <c r="BK125" i="1"/>
  <c r="BK118" i="1"/>
  <c r="BK120" i="1"/>
  <c r="BK127" i="1"/>
  <c r="BK122" i="1"/>
  <c r="BK130" i="1"/>
  <c r="BK22" i="1"/>
  <c r="BK10" i="1"/>
  <c r="BK14" i="1"/>
  <c r="BK41" i="1"/>
  <c r="BK32" i="1"/>
  <c r="BK38" i="1"/>
  <c r="BK23" i="1"/>
  <c r="BK20" i="1"/>
  <c r="BK35" i="1"/>
  <c r="BK19" i="1"/>
  <c r="BK7" i="1"/>
  <c r="BK11" i="1"/>
  <c r="BK24" i="1"/>
  <c r="BK12" i="1"/>
  <c r="BK26" i="1"/>
  <c r="BK21" i="1"/>
  <c r="BK18" i="1"/>
  <c r="BK5" i="1"/>
  <c r="BK9" i="1"/>
  <c r="BK27" i="1"/>
  <c r="BK8" i="1"/>
  <c r="BK28" i="1"/>
  <c r="BK16" i="1"/>
  <c r="BK15" i="1"/>
  <c r="BK25" i="1"/>
  <c r="BK13" i="1"/>
  <c r="BK6" i="1"/>
  <c r="BK37" i="1"/>
  <c r="BK17" i="1"/>
  <c r="BK29" i="1"/>
  <c r="BK40" i="1"/>
  <c r="BK34" i="1"/>
  <c r="BK44" i="1"/>
  <c r="BK42" i="1"/>
  <c r="BK45" i="1"/>
  <c r="BK43" i="1"/>
  <c r="BK46" i="1"/>
  <c r="BK47" i="1"/>
  <c r="BK50" i="1"/>
  <c r="BK48" i="1"/>
  <c r="BK49" i="1"/>
  <c r="G19" i="1"/>
  <c r="P19" i="1" s="1"/>
  <c r="K19" i="1" s="1"/>
  <c r="C20" i="1"/>
  <c r="AJ20" i="1"/>
  <c r="U5" i="1"/>
  <c r="AC5" i="1" s="1"/>
  <c r="U8" i="1"/>
  <c r="AC8" i="1" s="1"/>
  <c r="U11" i="1"/>
  <c r="AC11" i="1" s="1"/>
  <c r="U14" i="1"/>
  <c r="AC14" i="1" s="1"/>
  <c r="U17" i="1"/>
  <c r="AC17" i="1" s="1"/>
  <c r="U20" i="1"/>
  <c r="AC20" i="1" s="1"/>
  <c r="U23" i="1"/>
  <c r="AC23" i="1" s="1"/>
  <c r="U26" i="1"/>
  <c r="AC26" i="1" s="1"/>
  <c r="U29" i="1"/>
  <c r="AC29" i="1" s="1"/>
  <c r="U7" i="1"/>
  <c r="AC7" i="1" s="1"/>
  <c r="U10" i="1"/>
  <c r="AC10" i="1" s="1"/>
  <c r="U13" i="1"/>
  <c r="AC13" i="1" s="1"/>
  <c r="U16" i="1"/>
  <c r="AC16" i="1" s="1"/>
  <c r="U19" i="1"/>
  <c r="AC19" i="1" s="1"/>
  <c r="U22" i="1"/>
  <c r="AC22" i="1" s="1"/>
  <c r="U25" i="1"/>
  <c r="AC25" i="1" s="1"/>
  <c r="U6" i="1"/>
  <c r="AC6" i="1" s="1"/>
  <c r="U9" i="1"/>
  <c r="AC9" i="1" s="1"/>
  <c r="U12" i="1"/>
  <c r="AC12" i="1" s="1"/>
  <c r="U15" i="1"/>
  <c r="AC15" i="1" s="1"/>
  <c r="U18" i="1"/>
  <c r="AC18" i="1" s="1"/>
  <c r="U21" i="1"/>
  <c r="AC21" i="1" s="1"/>
  <c r="U24" i="1"/>
  <c r="AC24" i="1" s="1"/>
  <c r="U27" i="1"/>
  <c r="AC27" i="1" s="1"/>
  <c r="U33" i="1"/>
  <c r="AC33" i="1" s="1"/>
  <c r="U36" i="1"/>
  <c r="AC36" i="1" s="1"/>
  <c r="U39" i="1"/>
  <c r="AC39" i="1" s="1"/>
  <c r="U42" i="1"/>
  <c r="AC42" i="1" s="1"/>
  <c r="U45" i="1"/>
  <c r="AC45" i="1" s="1"/>
  <c r="U48" i="1"/>
  <c r="AC48" i="1" s="1"/>
  <c r="U51" i="1"/>
  <c r="AC51" i="1" s="1"/>
  <c r="U31" i="1"/>
  <c r="AC31" i="1" s="1"/>
  <c r="U35" i="1"/>
  <c r="AC35" i="1" s="1"/>
  <c r="U38" i="1"/>
  <c r="AC38" i="1" s="1"/>
  <c r="U41" i="1"/>
  <c r="AC41" i="1" s="1"/>
  <c r="U44" i="1"/>
  <c r="AC44" i="1" s="1"/>
  <c r="U47" i="1"/>
  <c r="AC47" i="1" s="1"/>
  <c r="U50" i="1"/>
  <c r="AC50" i="1" s="1"/>
  <c r="U52" i="1"/>
  <c r="AC52" i="1" s="1"/>
  <c r="U54" i="1"/>
  <c r="AC54" i="1" s="1"/>
  <c r="U56" i="1"/>
  <c r="AC56" i="1" s="1"/>
  <c r="U58" i="1"/>
  <c r="AC58" i="1" s="1"/>
  <c r="U28" i="1"/>
  <c r="AC28" i="1" s="1"/>
  <c r="U32" i="1"/>
  <c r="AC32" i="1" s="1"/>
  <c r="U59" i="1"/>
  <c r="AC59" i="1" s="1"/>
  <c r="U61" i="1"/>
  <c r="AC61" i="1" s="1"/>
  <c r="U63" i="1"/>
  <c r="AC63" i="1" s="1"/>
  <c r="U65" i="1"/>
  <c r="AC65" i="1" s="1"/>
  <c r="U67" i="1"/>
  <c r="AC67" i="1" s="1"/>
  <c r="U69" i="1"/>
  <c r="AC69" i="1" s="1"/>
  <c r="U71" i="1"/>
  <c r="AC71" i="1" s="1"/>
  <c r="U73" i="1"/>
  <c r="AC73" i="1" s="1"/>
  <c r="U75" i="1"/>
  <c r="AC75" i="1" s="1"/>
  <c r="U49" i="1"/>
  <c r="AC49" i="1" s="1"/>
  <c r="U53" i="1"/>
  <c r="AC53" i="1" s="1"/>
  <c r="U40" i="1"/>
  <c r="AC40" i="1" s="1"/>
  <c r="U37" i="1"/>
  <c r="AC37" i="1" s="1"/>
  <c r="U57" i="1"/>
  <c r="AC57" i="1" s="1"/>
  <c r="U30" i="1"/>
  <c r="AC30" i="1" s="1"/>
  <c r="U34" i="1"/>
  <c r="AC34" i="1" s="1"/>
  <c r="U43" i="1"/>
  <c r="AC43" i="1" s="1"/>
  <c r="U79" i="1"/>
  <c r="AC79" i="1" s="1"/>
  <c r="U83" i="1"/>
  <c r="AC83" i="1" s="1"/>
  <c r="U87" i="1"/>
  <c r="AC87" i="1" s="1"/>
  <c r="U91" i="1"/>
  <c r="AC91" i="1" s="1"/>
  <c r="U95" i="1"/>
  <c r="AC95" i="1" s="1"/>
  <c r="U64" i="1"/>
  <c r="AC64" i="1" s="1"/>
  <c r="U80" i="1"/>
  <c r="AC80" i="1" s="1"/>
  <c r="U84" i="1"/>
  <c r="AC84" i="1" s="1"/>
  <c r="U88" i="1"/>
  <c r="AC88" i="1" s="1"/>
  <c r="U92" i="1"/>
  <c r="AC92" i="1" s="1"/>
  <c r="U55" i="1"/>
  <c r="AC55" i="1" s="1"/>
  <c r="U72" i="1"/>
  <c r="AC72" i="1" s="1"/>
  <c r="U70" i="1"/>
  <c r="AC70" i="1" s="1"/>
  <c r="U60" i="1"/>
  <c r="AC60" i="1" s="1"/>
  <c r="U68" i="1"/>
  <c r="AC68" i="1" s="1"/>
  <c r="U76" i="1"/>
  <c r="AC76" i="1" s="1"/>
  <c r="U81" i="1"/>
  <c r="AC81" i="1" s="1"/>
  <c r="U85" i="1"/>
  <c r="AC85" i="1" s="1"/>
  <c r="U74" i="1"/>
  <c r="AC74" i="1" s="1"/>
  <c r="U77" i="1"/>
  <c r="AC77" i="1" s="1"/>
  <c r="U66" i="1"/>
  <c r="AC66" i="1" s="1"/>
  <c r="U62" i="1"/>
  <c r="AC62" i="1" s="1"/>
  <c r="U78" i="1"/>
  <c r="AC78" i="1" s="1"/>
  <c r="U82" i="1"/>
  <c r="AC82" i="1" s="1"/>
  <c r="U86" i="1"/>
  <c r="AC86" i="1" s="1"/>
  <c r="U90" i="1"/>
  <c r="AC90" i="1" s="1"/>
  <c r="U46" i="1"/>
  <c r="AC46" i="1" s="1"/>
  <c r="U97" i="1"/>
  <c r="AC97" i="1" s="1"/>
  <c r="U89" i="1"/>
  <c r="AC89" i="1" s="1"/>
  <c r="U135" i="1"/>
  <c r="AC135" i="1" s="1"/>
  <c r="U136" i="1"/>
  <c r="AC136" i="1" s="1"/>
  <c r="U137" i="1"/>
  <c r="AC137" i="1" s="1"/>
  <c r="U138" i="1"/>
  <c r="AC138" i="1" s="1"/>
  <c r="U139" i="1"/>
  <c r="AC139" i="1" s="1"/>
  <c r="U140" i="1"/>
  <c r="AC140" i="1" s="1"/>
  <c r="U141" i="1"/>
  <c r="AC141" i="1" s="1"/>
  <c r="U142" i="1"/>
  <c r="AC142" i="1" s="1"/>
  <c r="U143" i="1"/>
  <c r="AC143" i="1" s="1"/>
  <c r="U144" i="1"/>
  <c r="AC144" i="1" s="1"/>
  <c r="U145" i="1"/>
  <c r="AC145" i="1" s="1"/>
  <c r="U146" i="1"/>
  <c r="AC146" i="1" s="1"/>
  <c r="U147" i="1"/>
  <c r="AC147" i="1" s="1"/>
  <c r="U148" i="1"/>
  <c r="AC148" i="1" s="1"/>
  <c r="U149" i="1"/>
  <c r="AC149" i="1" s="1"/>
  <c r="U150" i="1"/>
  <c r="AC150" i="1" s="1"/>
  <c r="U151" i="1"/>
  <c r="AC151" i="1" s="1"/>
  <c r="U152" i="1"/>
  <c r="AC152" i="1" s="1"/>
  <c r="U153" i="1"/>
  <c r="AC153" i="1" s="1"/>
  <c r="U154" i="1"/>
  <c r="AC154" i="1" s="1"/>
  <c r="U155" i="1"/>
  <c r="AC155" i="1" s="1"/>
  <c r="U96" i="1"/>
  <c r="AC96" i="1" s="1"/>
  <c r="U98" i="1"/>
  <c r="AC98" i="1" s="1"/>
  <c r="U102" i="1"/>
  <c r="AC102" i="1" s="1"/>
  <c r="U106" i="1"/>
  <c r="AC106" i="1" s="1"/>
  <c r="U110" i="1"/>
  <c r="AC110" i="1" s="1"/>
  <c r="U114" i="1"/>
  <c r="AC114" i="1" s="1"/>
  <c r="U118" i="1"/>
  <c r="AC118" i="1" s="1"/>
  <c r="U122" i="1"/>
  <c r="AC122" i="1" s="1"/>
  <c r="U126" i="1"/>
  <c r="AC126" i="1" s="1"/>
  <c r="U130" i="1"/>
  <c r="AC130" i="1" s="1"/>
  <c r="U132" i="1"/>
  <c r="AC132" i="1" s="1"/>
  <c r="U94" i="1"/>
  <c r="AC94" i="1" s="1"/>
  <c r="U99" i="1"/>
  <c r="AC99" i="1" s="1"/>
  <c r="U103" i="1"/>
  <c r="AC103" i="1" s="1"/>
  <c r="U107" i="1"/>
  <c r="AC107" i="1" s="1"/>
  <c r="U111" i="1"/>
  <c r="AC111" i="1" s="1"/>
  <c r="U115" i="1"/>
  <c r="AC115" i="1" s="1"/>
  <c r="U119" i="1"/>
  <c r="AC119" i="1" s="1"/>
  <c r="U123" i="1"/>
  <c r="AC123" i="1" s="1"/>
  <c r="U127" i="1"/>
  <c r="AC127" i="1" s="1"/>
  <c r="U129" i="1"/>
  <c r="AC129" i="1" s="1"/>
  <c r="U100" i="1"/>
  <c r="AC100" i="1" s="1"/>
  <c r="U104" i="1"/>
  <c r="AC104" i="1" s="1"/>
  <c r="U108" i="1"/>
  <c r="AC108" i="1" s="1"/>
  <c r="U112" i="1"/>
  <c r="AC112" i="1" s="1"/>
  <c r="U116" i="1"/>
  <c r="AC116" i="1" s="1"/>
  <c r="U120" i="1"/>
  <c r="AC120" i="1" s="1"/>
  <c r="U124" i="1"/>
  <c r="AC124" i="1" s="1"/>
  <c r="U93" i="1"/>
  <c r="AC93" i="1" s="1"/>
  <c r="U101" i="1"/>
  <c r="AC101" i="1" s="1"/>
  <c r="U105" i="1"/>
  <c r="AC105" i="1" s="1"/>
  <c r="U109" i="1"/>
  <c r="AC109" i="1" s="1"/>
  <c r="U113" i="1"/>
  <c r="AC113" i="1" s="1"/>
  <c r="U117" i="1"/>
  <c r="AC117" i="1" s="1"/>
  <c r="U121" i="1"/>
  <c r="AC121" i="1" s="1"/>
  <c r="U125" i="1"/>
  <c r="AC125" i="1" s="1"/>
  <c r="U133" i="1"/>
  <c r="AC133" i="1" s="1"/>
  <c r="U158" i="1"/>
  <c r="AC158" i="1" s="1"/>
  <c r="U164" i="1"/>
  <c r="AC164" i="1" s="1"/>
  <c r="U170" i="1"/>
  <c r="AC170" i="1" s="1"/>
  <c r="U157" i="1"/>
  <c r="AC157" i="1" s="1"/>
  <c r="U163" i="1"/>
  <c r="AC163" i="1" s="1"/>
  <c r="U169" i="1"/>
  <c r="AC169" i="1" s="1"/>
  <c r="U128" i="1"/>
  <c r="AC128" i="1" s="1"/>
  <c r="U131" i="1"/>
  <c r="AC131" i="1" s="1"/>
  <c r="U156" i="1"/>
  <c r="AC156" i="1" s="1"/>
  <c r="U162" i="1"/>
  <c r="AC162" i="1" s="1"/>
  <c r="U168" i="1"/>
  <c r="AC168" i="1" s="1"/>
  <c r="U134" i="1"/>
  <c r="AC134" i="1" s="1"/>
  <c r="U161" i="1"/>
  <c r="AC161" i="1" s="1"/>
  <c r="U167" i="1"/>
  <c r="AC167" i="1" s="1"/>
  <c r="U160" i="1"/>
  <c r="AC160" i="1" s="1"/>
  <c r="U166" i="1"/>
  <c r="AC166" i="1" s="1"/>
  <c r="U172" i="1"/>
  <c r="AC172" i="1" s="1"/>
  <c r="U173" i="1"/>
  <c r="AC173" i="1" s="1"/>
  <c r="U174" i="1"/>
  <c r="AC174" i="1" s="1"/>
  <c r="U175" i="1"/>
  <c r="AC175" i="1" s="1"/>
  <c r="U176" i="1"/>
  <c r="AC176" i="1" s="1"/>
  <c r="U177" i="1"/>
  <c r="AC177" i="1" s="1"/>
  <c r="U178" i="1"/>
  <c r="AC178" i="1" s="1"/>
  <c r="U179" i="1"/>
  <c r="AC179" i="1" s="1"/>
  <c r="U180" i="1"/>
  <c r="AC180" i="1" s="1"/>
  <c r="U181" i="1"/>
  <c r="AC181" i="1" s="1"/>
  <c r="U159" i="1"/>
  <c r="AC159" i="1" s="1"/>
  <c r="U165" i="1"/>
  <c r="AC165" i="1" s="1"/>
  <c r="U171" i="1"/>
  <c r="AC171" i="1" s="1"/>
  <c r="AJ22" i="1" l="1"/>
  <c r="G20" i="1"/>
  <c r="P20" i="1" s="1"/>
  <c r="K20" i="1" s="1"/>
  <c r="C21" i="1"/>
  <c r="R5" i="1"/>
  <c r="Z5" i="1" s="1"/>
  <c r="R8" i="1"/>
  <c r="Z8" i="1" s="1"/>
  <c r="R11" i="1"/>
  <c r="Z11" i="1" s="1"/>
  <c r="R14" i="1"/>
  <c r="Z14" i="1" s="1"/>
  <c r="R17" i="1"/>
  <c r="Z17" i="1" s="1"/>
  <c r="R7" i="1"/>
  <c r="Z7" i="1" s="1"/>
  <c r="R10" i="1"/>
  <c r="Z10" i="1" s="1"/>
  <c r="R13" i="1"/>
  <c r="Z13" i="1" s="1"/>
  <c r="R16" i="1"/>
  <c r="Z16" i="1" s="1"/>
  <c r="R19" i="1"/>
  <c r="Z19" i="1" s="1"/>
  <c r="R22" i="1"/>
  <c r="Z22" i="1" s="1"/>
  <c r="R25" i="1"/>
  <c r="Z25" i="1" s="1"/>
  <c r="R28" i="1"/>
  <c r="Z28" i="1" s="1"/>
  <c r="R6" i="1"/>
  <c r="Z6" i="1" s="1"/>
  <c r="R9" i="1"/>
  <c r="Z9" i="1" s="1"/>
  <c r="R12" i="1"/>
  <c r="Z12" i="1" s="1"/>
  <c r="R15" i="1"/>
  <c r="Z15" i="1" s="1"/>
  <c r="R18" i="1"/>
  <c r="Z18" i="1" s="1"/>
  <c r="R21" i="1"/>
  <c r="Z21" i="1" s="1"/>
  <c r="R24" i="1"/>
  <c r="Z24" i="1" s="1"/>
  <c r="R27" i="1"/>
  <c r="Z27" i="1" s="1"/>
  <c r="R30" i="1"/>
  <c r="Z30" i="1" s="1"/>
  <c r="R29" i="1"/>
  <c r="Z29" i="1" s="1"/>
  <c r="R31" i="1"/>
  <c r="Z31" i="1" s="1"/>
  <c r="R35" i="1"/>
  <c r="Z35" i="1" s="1"/>
  <c r="R38" i="1"/>
  <c r="Z38" i="1" s="1"/>
  <c r="R52" i="1"/>
  <c r="Z52" i="1" s="1"/>
  <c r="R54" i="1"/>
  <c r="Z54" i="1" s="1"/>
  <c r="R34" i="1"/>
  <c r="Z34" i="1" s="1"/>
  <c r="R32" i="1"/>
  <c r="Z32" i="1" s="1"/>
  <c r="R20" i="1"/>
  <c r="Z20" i="1" s="1"/>
  <c r="R23" i="1"/>
  <c r="Z23" i="1" s="1"/>
  <c r="R33" i="1"/>
  <c r="Z33" i="1" s="1"/>
  <c r="R26" i="1"/>
  <c r="Z26" i="1" s="1"/>
  <c r="R48" i="1"/>
  <c r="Z48" i="1" s="1"/>
  <c r="R55" i="1"/>
  <c r="Z55" i="1" s="1"/>
  <c r="R46" i="1"/>
  <c r="Z46" i="1" s="1"/>
  <c r="R39" i="1"/>
  <c r="Z39" i="1" s="1"/>
  <c r="R40" i="1"/>
  <c r="Z40" i="1" s="1"/>
  <c r="R57" i="1"/>
  <c r="Z57" i="1" s="1"/>
  <c r="R37" i="1"/>
  <c r="Z37" i="1" s="1"/>
  <c r="R47" i="1"/>
  <c r="Z47" i="1" s="1"/>
  <c r="R60" i="1"/>
  <c r="Z60" i="1" s="1"/>
  <c r="R62" i="1"/>
  <c r="Z62" i="1" s="1"/>
  <c r="R64" i="1"/>
  <c r="Z64" i="1" s="1"/>
  <c r="R66" i="1"/>
  <c r="Z66" i="1" s="1"/>
  <c r="R68" i="1"/>
  <c r="Z68" i="1" s="1"/>
  <c r="R70" i="1"/>
  <c r="Z70" i="1" s="1"/>
  <c r="R72" i="1"/>
  <c r="Z72" i="1" s="1"/>
  <c r="R50" i="1"/>
  <c r="Z50" i="1" s="1"/>
  <c r="R36" i="1"/>
  <c r="Z36" i="1" s="1"/>
  <c r="R42" i="1"/>
  <c r="Z42" i="1" s="1"/>
  <c r="R44" i="1"/>
  <c r="Z44" i="1" s="1"/>
  <c r="R43" i="1"/>
  <c r="Z43" i="1" s="1"/>
  <c r="R45" i="1"/>
  <c r="Z45" i="1" s="1"/>
  <c r="R80" i="1"/>
  <c r="Z80" i="1" s="1"/>
  <c r="R84" i="1"/>
  <c r="Z84" i="1" s="1"/>
  <c r="R88" i="1"/>
  <c r="Z88" i="1" s="1"/>
  <c r="R92" i="1"/>
  <c r="Z92" i="1" s="1"/>
  <c r="R96" i="1"/>
  <c r="Z96" i="1" s="1"/>
  <c r="R65" i="1"/>
  <c r="Z65" i="1" s="1"/>
  <c r="R75" i="1"/>
  <c r="Z75" i="1" s="1"/>
  <c r="R81" i="1"/>
  <c r="Z81" i="1" s="1"/>
  <c r="R85" i="1"/>
  <c r="Z85" i="1" s="1"/>
  <c r="R89" i="1"/>
  <c r="Z89" i="1" s="1"/>
  <c r="R93" i="1"/>
  <c r="Z93" i="1" s="1"/>
  <c r="R49" i="1"/>
  <c r="Z49" i="1" s="1"/>
  <c r="R76" i="1"/>
  <c r="Z76" i="1" s="1"/>
  <c r="R77" i="1"/>
  <c r="Z77" i="1" s="1"/>
  <c r="R74" i="1"/>
  <c r="Z74" i="1" s="1"/>
  <c r="R41" i="1"/>
  <c r="Z41" i="1" s="1"/>
  <c r="R51" i="1"/>
  <c r="Z51" i="1" s="1"/>
  <c r="R59" i="1"/>
  <c r="Z59" i="1" s="1"/>
  <c r="R61" i="1"/>
  <c r="Z61" i="1" s="1"/>
  <c r="R78" i="1"/>
  <c r="Z78" i="1" s="1"/>
  <c r="R82" i="1"/>
  <c r="Z82" i="1" s="1"/>
  <c r="R73" i="1"/>
  <c r="Z73" i="1" s="1"/>
  <c r="R71" i="1"/>
  <c r="Z71" i="1" s="1"/>
  <c r="R58" i="1"/>
  <c r="Z58" i="1" s="1"/>
  <c r="R69" i="1"/>
  <c r="Z69" i="1" s="1"/>
  <c r="R79" i="1"/>
  <c r="Z79" i="1" s="1"/>
  <c r="R83" i="1"/>
  <c r="Z83" i="1" s="1"/>
  <c r="R87" i="1"/>
  <c r="Z87" i="1" s="1"/>
  <c r="R91" i="1"/>
  <c r="Z91" i="1" s="1"/>
  <c r="R63" i="1"/>
  <c r="Z63" i="1" s="1"/>
  <c r="R67" i="1"/>
  <c r="Z67" i="1" s="1"/>
  <c r="R53" i="1"/>
  <c r="Z53" i="1" s="1"/>
  <c r="R56" i="1"/>
  <c r="Z56" i="1" s="1"/>
  <c r="R95" i="1"/>
  <c r="Z95" i="1" s="1"/>
  <c r="R132" i="1"/>
  <c r="Z132" i="1" s="1"/>
  <c r="R99" i="1"/>
  <c r="Z99" i="1" s="1"/>
  <c r="R103" i="1"/>
  <c r="Z103" i="1" s="1"/>
  <c r="R107" i="1"/>
  <c r="Z107" i="1" s="1"/>
  <c r="R111" i="1"/>
  <c r="Z111" i="1" s="1"/>
  <c r="R115" i="1"/>
  <c r="Z115" i="1" s="1"/>
  <c r="R119" i="1"/>
  <c r="Z119" i="1" s="1"/>
  <c r="R123" i="1"/>
  <c r="Z123" i="1" s="1"/>
  <c r="R127" i="1"/>
  <c r="Z127" i="1" s="1"/>
  <c r="R90" i="1"/>
  <c r="Z90" i="1" s="1"/>
  <c r="R94" i="1"/>
  <c r="Z94" i="1" s="1"/>
  <c r="R129" i="1"/>
  <c r="Z129" i="1" s="1"/>
  <c r="R100" i="1"/>
  <c r="Z100" i="1" s="1"/>
  <c r="R104" i="1"/>
  <c r="Z104" i="1" s="1"/>
  <c r="R108" i="1"/>
  <c r="Z108" i="1" s="1"/>
  <c r="R112" i="1"/>
  <c r="Z112" i="1" s="1"/>
  <c r="R116" i="1"/>
  <c r="Z116" i="1" s="1"/>
  <c r="R120" i="1"/>
  <c r="Z120" i="1" s="1"/>
  <c r="R124" i="1"/>
  <c r="Z124" i="1" s="1"/>
  <c r="R101" i="1"/>
  <c r="Z101" i="1" s="1"/>
  <c r="R105" i="1"/>
  <c r="Z105" i="1" s="1"/>
  <c r="R109" i="1"/>
  <c r="Z109" i="1" s="1"/>
  <c r="R113" i="1"/>
  <c r="Z113" i="1" s="1"/>
  <c r="R117" i="1"/>
  <c r="Z117" i="1" s="1"/>
  <c r="R121" i="1"/>
  <c r="Z121" i="1" s="1"/>
  <c r="R125" i="1"/>
  <c r="Z125" i="1" s="1"/>
  <c r="R133" i="1"/>
  <c r="Z133" i="1" s="1"/>
  <c r="R86" i="1"/>
  <c r="Z86" i="1" s="1"/>
  <c r="R97" i="1"/>
  <c r="Z97" i="1" s="1"/>
  <c r="R98" i="1"/>
  <c r="Z98" i="1" s="1"/>
  <c r="R102" i="1"/>
  <c r="Z102" i="1" s="1"/>
  <c r="R106" i="1"/>
  <c r="Z106" i="1" s="1"/>
  <c r="R110" i="1"/>
  <c r="Z110" i="1" s="1"/>
  <c r="R114" i="1"/>
  <c r="Z114" i="1" s="1"/>
  <c r="R118" i="1"/>
  <c r="Z118" i="1" s="1"/>
  <c r="R122" i="1"/>
  <c r="Z122" i="1" s="1"/>
  <c r="R126" i="1"/>
  <c r="Z126" i="1" s="1"/>
  <c r="R130" i="1"/>
  <c r="Z130" i="1" s="1"/>
  <c r="R149" i="1"/>
  <c r="Z149" i="1" s="1"/>
  <c r="R152" i="1"/>
  <c r="Z152" i="1" s="1"/>
  <c r="R156" i="1"/>
  <c r="Z156" i="1" s="1"/>
  <c r="R162" i="1"/>
  <c r="Z162" i="1" s="1"/>
  <c r="R168" i="1"/>
  <c r="Z168" i="1" s="1"/>
  <c r="R128" i="1"/>
  <c r="Z128" i="1" s="1"/>
  <c r="R131" i="1"/>
  <c r="Z131" i="1" s="1"/>
  <c r="R136" i="1"/>
  <c r="Z136" i="1" s="1"/>
  <c r="R138" i="1"/>
  <c r="Z138" i="1" s="1"/>
  <c r="R140" i="1"/>
  <c r="Z140" i="1" s="1"/>
  <c r="R142" i="1"/>
  <c r="Z142" i="1" s="1"/>
  <c r="R144" i="1"/>
  <c r="Z144" i="1" s="1"/>
  <c r="R146" i="1"/>
  <c r="Z146" i="1" s="1"/>
  <c r="R161" i="1"/>
  <c r="Z161" i="1" s="1"/>
  <c r="R167" i="1"/>
  <c r="Z167" i="1" s="1"/>
  <c r="R134" i="1"/>
  <c r="Z134" i="1" s="1"/>
  <c r="R148" i="1"/>
  <c r="Z148" i="1" s="1"/>
  <c r="R151" i="1"/>
  <c r="Z151" i="1" s="1"/>
  <c r="R155" i="1"/>
  <c r="Z155" i="1" s="1"/>
  <c r="R160" i="1"/>
  <c r="Z160" i="1" s="1"/>
  <c r="R166" i="1"/>
  <c r="Z166" i="1" s="1"/>
  <c r="R172" i="1"/>
  <c r="Z172" i="1" s="1"/>
  <c r="R173" i="1"/>
  <c r="Z173" i="1" s="1"/>
  <c r="R174" i="1"/>
  <c r="Z174" i="1" s="1"/>
  <c r="R175" i="1"/>
  <c r="Z175" i="1" s="1"/>
  <c r="R176" i="1"/>
  <c r="Z176" i="1" s="1"/>
  <c r="R177" i="1"/>
  <c r="Z177" i="1" s="1"/>
  <c r="R178" i="1"/>
  <c r="Z178" i="1" s="1"/>
  <c r="R179" i="1"/>
  <c r="Z179" i="1" s="1"/>
  <c r="R180" i="1"/>
  <c r="Z180" i="1" s="1"/>
  <c r="R181" i="1"/>
  <c r="Z181" i="1" s="1"/>
  <c r="R154" i="1"/>
  <c r="Z154" i="1" s="1"/>
  <c r="R159" i="1"/>
  <c r="Z159" i="1" s="1"/>
  <c r="R165" i="1"/>
  <c r="Z165" i="1" s="1"/>
  <c r="R171" i="1"/>
  <c r="Z171" i="1" s="1"/>
  <c r="R150" i="1"/>
  <c r="Z150" i="1" s="1"/>
  <c r="R135" i="1"/>
  <c r="Z135" i="1" s="1"/>
  <c r="R137" i="1"/>
  <c r="Z137" i="1" s="1"/>
  <c r="R139" i="1"/>
  <c r="Z139" i="1" s="1"/>
  <c r="R141" i="1"/>
  <c r="Z141" i="1" s="1"/>
  <c r="R143" i="1"/>
  <c r="Z143" i="1" s="1"/>
  <c r="R145" i="1"/>
  <c r="Z145" i="1" s="1"/>
  <c r="R147" i="1"/>
  <c r="Z147" i="1" s="1"/>
  <c r="R158" i="1"/>
  <c r="Z158" i="1" s="1"/>
  <c r="R164" i="1"/>
  <c r="Z164" i="1" s="1"/>
  <c r="R170" i="1"/>
  <c r="Z170" i="1" s="1"/>
  <c r="R153" i="1"/>
  <c r="Z153" i="1" s="1"/>
  <c r="R157" i="1"/>
  <c r="Z157" i="1" s="1"/>
  <c r="R163" i="1"/>
  <c r="Z163" i="1" s="1"/>
  <c r="R169" i="1"/>
  <c r="Z169" i="1" s="1"/>
  <c r="BL32" i="1"/>
  <c r="BL33" i="1"/>
  <c r="BL52" i="1"/>
  <c r="BL56" i="1"/>
  <c r="BL59" i="1"/>
  <c r="BL61" i="1"/>
  <c r="BL63" i="1"/>
  <c r="BL65" i="1"/>
  <c r="BL67" i="1"/>
  <c r="BL69" i="1"/>
  <c r="BL71" i="1"/>
  <c r="BL73" i="1"/>
  <c r="BL75" i="1"/>
  <c r="BL77" i="1"/>
  <c r="BL79" i="1"/>
  <c r="BL81" i="1"/>
  <c r="BL83" i="1"/>
  <c r="BL85" i="1"/>
  <c r="BL87" i="1"/>
  <c r="BL89" i="1"/>
  <c r="BL91" i="1"/>
  <c r="BL93" i="1"/>
  <c r="BL95" i="1"/>
  <c r="BL39" i="1"/>
  <c r="BL51" i="1"/>
  <c r="BL53" i="1"/>
  <c r="BL58" i="1"/>
  <c r="BL62" i="1"/>
  <c r="BL66" i="1"/>
  <c r="BL96" i="1"/>
  <c r="BL57" i="1"/>
  <c r="BL80" i="1"/>
  <c r="BL84" i="1"/>
  <c r="BL88" i="1"/>
  <c r="BL92" i="1"/>
  <c r="BL64" i="1"/>
  <c r="BL74" i="1"/>
  <c r="BL76" i="1"/>
  <c r="BL55" i="1"/>
  <c r="BL54" i="1"/>
  <c r="BL60" i="1"/>
  <c r="BL72" i="1"/>
  <c r="BL78" i="1"/>
  <c r="BL82" i="1"/>
  <c r="BL86" i="1"/>
  <c r="BL90" i="1"/>
  <c r="BL70" i="1"/>
  <c r="BL68" i="1"/>
  <c r="BL98" i="1"/>
  <c r="BL102" i="1"/>
  <c r="BL106" i="1"/>
  <c r="BL110" i="1"/>
  <c r="BL114" i="1"/>
  <c r="BL118" i="1"/>
  <c r="BL122" i="1"/>
  <c r="BL126" i="1"/>
  <c r="BL130" i="1"/>
  <c r="BL94" i="1"/>
  <c r="BL99" i="1"/>
  <c r="BL103" i="1"/>
  <c r="BL107" i="1"/>
  <c r="BL111" i="1"/>
  <c r="BL115" i="1"/>
  <c r="BL119" i="1"/>
  <c r="BL123" i="1"/>
  <c r="BL127" i="1"/>
  <c r="BL134" i="1"/>
  <c r="BL100" i="1"/>
  <c r="BL104" i="1"/>
  <c r="BL108" i="1"/>
  <c r="BL112" i="1"/>
  <c r="BL116" i="1"/>
  <c r="BL120" i="1"/>
  <c r="BL124" i="1"/>
  <c r="BL131" i="1"/>
  <c r="BL97" i="1"/>
  <c r="BL101" i="1"/>
  <c r="BL105" i="1"/>
  <c r="BL109" i="1"/>
  <c r="BL113" i="1"/>
  <c r="BL117" i="1"/>
  <c r="BL121" i="1"/>
  <c r="BL125" i="1"/>
  <c r="BL133" i="1"/>
  <c r="BL128" i="1"/>
  <c r="BL129" i="1"/>
  <c r="BL132" i="1"/>
  <c r="BL22" i="1"/>
  <c r="BL7" i="1"/>
  <c r="BL17" i="1"/>
  <c r="BL36" i="1"/>
  <c r="BL37" i="1"/>
  <c r="BL28" i="1"/>
  <c r="BL41" i="1"/>
  <c r="BL13" i="1"/>
  <c r="BL23" i="1"/>
  <c r="BL20" i="1"/>
  <c r="BL8" i="1"/>
  <c r="BL9" i="1"/>
  <c r="BL26" i="1"/>
  <c r="BL14" i="1"/>
  <c r="BL19" i="1"/>
  <c r="BL30" i="1"/>
  <c r="BL15" i="1"/>
  <c r="BL27" i="1"/>
  <c r="BL10" i="1"/>
  <c r="BL29" i="1"/>
  <c r="BL25" i="1"/>
  <c r="BL38" i="1"/>
  <c r="BL5" i="1"/>
  <c r="BL24" i="1"/>
  <c r="BL6" i="1"/>
  <c r="BL35" i="1"/>
  <c r="BL16" i="1"/>
  <c r="BL11" i="1"/>
  <c r="BL21" i="1"/>
  <c r="BL12" i="1"/>
  <c r="BL18" i="1"/>
  <c r="BL31" i="1"/>
  <c r="BL40" i="1"/>
  <c r="BL34" i="1"/>
  <c r="BL42" i="1"/>
  <c r="BL43" i="1"/>
  <c r="BL44" i="1"/>
  <c r="BL45" i="1"/>
  <c r="BL47" i="1"/>
  <c r="BL46" i="1"/>
  <c r="BL50" i="1"/>
  <c r="BL48" i="1"/>
  <c r="BL49" i="1"/>
  <c r="BJ9" i="1"/>
  <c r="BJ12" i="1"/>
  <c r="BJ15" i="1"/>
  <c r="BJ18" i="1"/>
  <c r="BJ7" i="1"/>
  <c r="BJ10" i="1"/>
  <c r="BJ13" i="1"/>
  <c r="BJ16" i="1"/>
  <c r="BJ19" i="1"/>
  <c r="BJ22" i="1"/>
  <c r="BJ25" i="1"/>
  <c r="BJ28" i="1"/>
  <c r="BJ30" i="1"/>
  <c r="BJ51" i="1"/>
  <c r="BJ27" i="1"/>
  <c r="BJ52" i="1"/>
  <c r="BJ54" i="1"/>
  <c r="BJ56" i="1"/>
  <c r="BJ58" i="1"/>
  <c r="BJ21" i="1"/>
  <c r="BJ24" i="1"/>
  <c r="BJ35" i="1"/>
  <c r="BJ59" i="1"/>
  <c r="BJ61" i="1"/>
  <c r="BJ63" i="1"/>
  <c r="BJ65" i="1"/>
  <c r="BJ67" i="1"/>
  <c r="BJ69" i="1"/>
  <c r="BJ71" i="1"/>
  <c r="BJ73" i="1"/>
  <c r="BJ39" i="1"/>
  <c r="BJ38" i="1"/>
  <c r="BJ57" i="1"/>
  <c r="BJ41" i="1"/>
  <c r="BJ80" i="1"/>
  <c r="BJ74" i="1"/>
  <c r="BJ76" i="1"/>
  <c r="BJ64" i="1"/>
  <c r="BJ75" i="1"/>
  <c r="BJ55" i="1"/>
  <c r="BJ77" i="1"/>
  <c r="BJ81" i="1"/>
  <c r="BJ60" i="1"/>
  <c r="BJ78" i="1"/>
  <c r="BJ82" i="1"/>
  <c r="BJ72" i="1"/>
  <c r="BJ70" i="1"/>
  <c r="BJ68" i="1"/>
  <c r="BJ53" i="1"/>
  <c r="BJ62" i="1"/>
  <c r="BJ66" i="1"/>
  <c r="BJ79" i="1"/>
  <c r="BJ95" i="1"/>
  <c r="BJ85" i="1"/>
  <c r="BJ132" i="1"/>
  <c r="BJ86" i="1"/>
  <c r="BJ87" i="1"/>
  <c r="BJ94" i="1"/>
  <c r="BJ99" i="1"/>
  <c r="BJ103" i="1"/>
  <c r="BJ107" i="1"/>
  <c r="BJ111" i="1"/>
  <c r="BJ115" i="1"/>
  <c r="BJ119" i="1"/>
  <c r="BJ123" i="1"/>
  <c r="BJ127" i="1"/>
  <c r="BJ84" i="1"/>
  <c r="BJ88" i="1"/>
  <c r="BJ93" i="1"/>
  <c r="BJ129" i="1"/>
  <c r="BJ89" i="1"/>
  <c r="BJ100" i="1"/>
  <c r="BJ104" i="1"/>
  <c r="BJ108" i="1"/>
  <c r="BJ112" i="1"/>
  <c r="BJ116" i="1"/>
  <c r="BJ120" i="1"/>
  <c r="BJ124" i="1"/>
  <c r="BJ96" i="1"/>
  <c r="BJ97" i="1"/>
  <c r="BJ101" i="1"/>
  <c r="BJ105" i="1"/>
  <c r="BJ109" i="1"/>
  <c r="BJ113" i="1"/>
  <c r="BJ117" i="1"/>
  <c r="BJ121" i="1"/>
  <c r="BJ125" i="1"/>
  <c r="BJ133" i="1"/>
  <c r="BJ90" i="1"/>
  <c r="BJ91" i="1"/>
  <c r="BJ83" i="1"/>
  <c r="BJ92" i="1"/>
  <c r="BJ98" i="1"/>
  <c r="BJ102" i="1"/>
  <c r="BJ106" i="1"/>
  <c r="BJ110" i="1"/>
  <c r="BJ114" i="1"/>
  <c r="BJ118" i="1"/>
  <c r="BJ122" i="1"/>
  <c r="BJ126" i="1"/>
  <c r="BJ130" i="1"/>
  <c r="BJ128" i="1"/>
  <c r="BJ131" i="1"/>
  <c r="BJ134" i="1"/>
  <c r="BJ23" i="1"/>
  <c r="BJ20" i="1"/>
  <c r="BJ26" i="1"/>
  <c r="BJ33" i="1"/>
  <c r="BJ29" i="1"/>
  <c r="BJ17" i="1"/>
  <c r="BJ32" i="1"/>
  <c r="BJ14" i="1"/>
  <c r="BJ11" i="1"/>
  <c r="BJ37" i="1"/>
  <c r="BJ31" i="1"/>
  <c r="BJ8" i="1"/>
  <c r="BJ6" i="1"/>
  <c r="BJ5" i="1"/>
  <c r="BJ36" i="1"/>
  <c r="BJ34" i="1"/>
  <c r="BJ40" i="1"/>
  <c r="BJ42" i="1"/>
  <c r="BJ45" i="1"/>
  <c r="BJ43" i="1"/>
  <c r="BJ44" i="1"/>
  <c r="BJ47" i="1"/>
  <c r="BJ46" i="1"/>
  <c r="BJ48" i="1"/>
  <c r="BJ49" i="1"/>
  <c r="BJ50" i="1"/>
  <c r="BG52" i="1" l="1"/>
  <c r="BG54" i="1"/>
  <c r="BG30" i="1"/>
  <c r="BG32" i="1"/>
  <c r="BG53" i="1"/>
  <c r="BG56" i="1"/>
  <c r="BG38" i="1"/>
  <c r="BG60" i="1"/>
  <c r="BG62" i="1"/>
  <c r="BG64" i="1"/>
  <c r="BG66" i="1"/>
  <c r="BG68" i="1"/>
  <c r="BG70" i="1"/>
  <c r="BG72" i="1"/>
  <c r="BG51" i="1"/>
  <c r="BG41" i="1"/>
  <c r="BG58" i="1"/>
  <c r="BG35" i="1"/>
  <c r="BG74" i="1"/>
  <c r="BG75" i="1"/>
  <c r="BG76" i="1"/>
  <c r="BG57" i="1"/>
  <c r="BG63" i="1"/>
  <c r="BG77" i="1"/>
  <c r="BG81" i="1"/>
  <c r="BG71" i="1"/>
  <c r="BG73" i="1"/>
  <c r="BG55" i="1"/>
  <c r="BG69" i="1"/>
  <c r="BG78" i="1"/>
  <c r="BG82" i="1"/>
  <c r="BG86" i="1"/>
  <c r="BG90" i="1"/>
  <c r="BG67" i="1"/>
  <c r="BG59" i="1"/>
  <c r="BG65" i="1"/>
  <c r="BG79" i="1"/>
  <c r="BG83" i="1"/>
  <c r="BG87" i="1"/>
  <c r="BG91" i="1"/>
  <c r="BG95" i="1"/>
  <c r="BG61" i="1"/>
  <c r="BG80" i="1"/>
  <c r="BG84" i="1"/>
  <c r="BG88" i="1"/>
  <c r="BG92" i="1"/>
  <c r="BG85" i="1"/>
  <c r="BG129" i="1"/>
  <c r="BG93" i="1"/>
  <c r="BG100" i="1"/>
  <c r="BG104" i="1"/>
  <c r="BG108" i="1"/>
  <c r="BG112" i="1"/>
  <c r="BG116" i="1"/>
  <c r="BG120" i="1"/>
  <c r="BG124" i="1"/>
  <c r="BG89" i="1"/>
  <c r="BG97" i="1"/>
  <c r="BG101" i="1"/>
  <c r="BG105" i="1"/>
  <c r="BG109" i="1"/>
  <c r="BG113" i="1"/>
  <c r="BG117" i="1"/>
  <c r="BG121" i="1"/>
  <c r="BG125" i="1"/>
  <c r="BG133" i="1"/>
  <c r="BG96" i="1"/>
  <c r="BG98" i="1"/>
  <c r="BG102" i="1"/>
  <c r="BG106" i="1"/>
  <c r="BG110" i="1"/>
  <c r="BG114" i="1"/>
  <c r="BG118" i="1"/>
  <c r="BG122" i="1"/>
  <c r="BG126" i="1"/>
  <c r="BG130" i="1"/>
  <c r="BG132" i="1"/>
  <c r="BG94" i="1"/>
  <c r="BG99" i="1"/>
  <c r="BG103" i="1"/>
  <c r="BG107" i="1"/>
  <c r="BG111" i="1"/>
  <c r="BG115" i="1"/>
  <c r="BG119" i="1"/>
  <c r="BG123" i="1"/>
  <c r="BG127" i="1"/>
  <c r="BG128" i="1"/>
  <c r="BG131" i="1"/>
  <c r="BG134" i="1"/>
  <c r="BG5" i="1"/>
  <c r="BG28" i="1"/>
  <c r="BG8" i="1"/>
  <c r="BG36" i="1"/>
  <c r="BG19" i="1"/>
  <c r="BG17" i="1"/>
  <c r="BG21" i="1"/>
  <c r="BG9" i="1"/>
  <c r="BG25" i="1"/>
  <c r="BG11" i="1"/>
  <c r="BG23" i="1"/>
  <c r="BG15" i="1"/>
  <c r="BG13" i="1"/>
  <c r="BG18" i="1"/>
  <c r="BG6" i="1"/>
  <c r="BG20" i="1"/>
  <c r="BG37" i="1"/>
  <c r="BG14" i="1"/>
  <c r="BG39" i="1"/>
  <c r="BG22" i="1"/>
  <c r="BG16" i="1"/>
  <c r="BG26" i="1"/>
  <c r="BG27" i="1"/>
  <c r="BG29" i="1"/>
  <c r="BG31" i="1"/>
  <c r="BG33" i="1"/>
  <c r="BG7" i="1"/>
  <c r="BG10" i="1"/>
  <c r="BG24" i="1"/>
  <c r="BG12" i="1"/>
  <c r="BG34" i="1"/>
  <c r="BG40" i="1"/>
  <c r="BG45" i="1"/>
  <c r="BG43" i="1"/>
  <c r="BG44" i="1"/>
  <c r="BG42" i="1"/>
  <c r="BG47" i="1"/>
  <c r="BG46" i="1"/>
  <c r="BG49" i="1"/>
  <c r="BG48" i="1"/>
  <c r="BG50" i="1"/>
  <c r="G21" i="1"/>
  <c r="P21" i="1" s="1"/>
  <c r="K21" i="1" s="1"/>
  <c r="C22" i="1"/>
  <c r="AJ23" i="1"/>
  <c r="G22" i="1" l="1"/>
  <c r="P22" i="1" s="1"/>
  <c r="K22" i="1" s="1"/>
  <c r="C24" i="1"/>
  <c r="AJ24" i="1"/>
  <c r="AJ25" i="1" s="1"/>
  <c r="AJ26" i="1" s="1"/>
  <c r="AJ27" i="1" s="1"/>
  <c r="AJ28" i="1" s="1"/>
  <c r="AJ29" i="1" s="1"/>
  <c r="AJ30" i="1" s="1"/>
  <c r="AJ31" i="1" s="1"/>
  <c r="AJ32" i="1" s="1"/>
  <c r="AJ36" i="1" s="1"/>
  <c r="AJ38" i="1" s="1"/>
  <c r="AJ39" i="1" s="1"/>
  <c r="AJ40" i="1" s="1"/>
  <c r="AJ42" i="1" s="1"/>
  <c r="AJ43" i="1" s="1"/>
  <c r="AJ44" i="1" s="1"/>
  <c r="AJ45" i="1" s="1"/>
  <c r="AJ46" i="1" s="1"/>
  <c r="AJ47" i="1" s="1"/>
  <c r="AJ48" i="1" s="1"/>
  <c r="AJ49" i="1" s="1"/>
  <c r="AJ50" i="1" s="1"/>
  <c r="AJ3" i="1" s="1"/>
  <c r="T5" i="1" l="1"/>
  <c r="AB5" i="1" s="1"/>
  <c r="T8" i="1"/>
  <c r="AB8" i="1" s="1"/>
  <c r="T11" i="1"/>
  <c r="AB11" i="1" s="1"/>
  <c r="T14" i="1"/>
  <c r="AB14" i="1" s="1"/>
  <c r="T17" i="1"/>
  <c r="AB17" i="1" s="1"/>
  <c r="T20" i="1"/>
  <c r="AB20" i="1" s="1"/>
  <c r="T23" i="1"/>
  <c r="AB23" i="1" s="1"/>
  <c r="T26" i="1"/>
  <c r="AB26" i="1" s="1"/>
  <c r="T29" i="1"/>
  <c r="AB29" i="1" s="1"/>
  <c r="T32" i="1"/>
  <c r="AB32" i="1" s="1"/>
  <c r="T7" i="1"/>
  <c r="AB7" i="1" s="1"/>
  <c r="T10" i="1"/>
  <c r="AB10" i="1" s="1"/>
  <c r="T13" i="1"/>
  <c r="AB13" i="1" s="1"/>
  <c r="T16" i="1"/>
  <c r="AB16" i="1" s="1"/>
  <c r="T19" i="1"/>
  <c r="AB19" i="1" s="1"/>
  <c r="T22" i="1"/>
  <c r="AB22" i="1" s="1"/>
  <c r="T25" i="1"/>
  <c r="AB25" i="1" s="1"/>
  <c r="T28" i="1"/>
  <c r="AB28" i="1" s="1"/>
  <c r="T31" i="1"/>
  <c r="AB31" i="1" s="1"/>
  <c r="T6" i="1"/>
  <c r="AB6" i="1" s="1"/>
  <c r="T9" i="1"/>
  <c r="AB9" i="1" s="1"/>
  <c r="T12" i="1"/>
  <c r="AB12" i="1" s="1"/>
  <c r="T15" i="1"/>
  <c r="AB15" i="1" s="1"/>
  <c r="T18" i="1"/>
  <c r="AB18" i="1" s="1"/>
  <c r="T21" i="1"/>
  <c r="AB21" i="1" s="1"/>
  <c r="T24" i="1"/>
  <c r="AB24" i="1" s="1"/>
  <c r="T27" i="1"/>
  <c r="AB27" i="1" s="1"/>
  <c r="T30" i="1"/>
  <c r="AB30" i="1" s="1"/>
  <c r="T33" i="1"/>
  <c r="AB33" i="1" s="1"/>
  <c r="T36" i="1"/>
  <c r="AB36" i="1" s="1"/>
  <c r="T39" i="1"/>
  <c r="AB39" i="1" s="1"/>
  <c r="T42" i="1"/>
  <c r="AB42" i="1" s="1"/>
  <c r="T45" i="1"/>
  <c r="AB45" i="1" s="1"/>
  <c r="T48" i="1"/>
  <c r="AB48" i="1" s="1"/>
  <c r="T51" i="1"/>
  <c r="AB51" i="1" s="1"/>
  <c r="T53" i="1"/>
  <c r="AB53" i="1" s="1"/>
  <c r="T52" i="1"/>
  <c r="AB52" i="1" s="1"/>
  <c r="T34" i="1"/>
  <c r="AB34" i="1" s="1"/>
  <c r="T37" i="1"/>
  <c r="AB37" i="1" s="1"/>
  <c r="T40" i="1"/>
  <c r="AB40" i="1" s="1"/>
  <c r="T43" i="1"/>
  <c r="AB43" i="1" s="1"/>
  <c r="T46" i="1"/>
  <c r="AB46" i="1" s="1"/>
  <c r="T49" i="1"/>
  <c r="AB49" i="1" s="1"/>
  <c r="T35" i="1"/>
  <c r="AB35" i="1" s="1"/>
  <c r="T58" i="1"/>
  <c r="AB58" i="1" s="1"/>
  <c r="T55" i="1"/>
  <c r="AB55" i="1" s="1"/>
  <c r="T38" i="1"/>
  <c r="AB38" i="1" s="1"/>
  <c r="T41" i="1"/>
  <c r="AB41" i="1" s="1"/>
  <c r="T57" i="1"/>
  <c r="AB57" i="1" s="1"/>
  <c r="T47" i="1"/>
  <c r="AB47" i="1" s="1"/>
  <c r="T60" i="1"/>
  <c r="AB60" i="1" s="1"/>
  <c r="T62" i="1"/>
  <c r="AB62" i="1" s="1"/>
  <c r="T64" i="1"/>
  <c r="AB64" i="1" s="1"/>
  <c r="T66" i="1"/>
  <c r="AB66" i="1" s="1"/>
  <c r="T44" i="1"/>
  <c r="AB44" i="1" s="1"/>
  <c r="T56" i="1"/>
  <c r="AB56" i="1" s="1"/>
  <c r="T67" i="1"/>
  <c r="AB67" i="1" s="1"/>
  <c r="T80" i="1"/>
  <c r="AB80" i="1" s="1"/>
  <c r="T72" i="1"/>
  <c r="AB72" i="1" s="1"/>
  <c r="T65" i="1"/>
  <c r="AB65" i="1" s="1"/>
  <c r="T70" i="1"/>
  <c r="AB70" i="1" s="1"/>
  <c r="T50" i="1"/>
  <c r="AB50" i="1" s="1"/>
  <c r="T68" i="1"/>
  <c r="AB68" i="1" s="1"/>
  <c r="T75" i="1"/>
  <c r="AB75" i="1" s="1"/>
  <c r="T76" i="1"/>
  <c r="AB76" i="1" s="1"/>
  <c r="T81" i="1"/>
  <c r="AB81" i="1" s="1"/>
  <c r="T74" i="1"/>
  <c r="AB74" i="1" s="1"/>
  <c r="T77" i="1"/>
  <c r="AB77" i="1" s="1"/>
  <c r="T54" i="1"/>
  <c r="AB54" i="1" s="1"/>
  <c r="T59" i="1"/>
  <c r="AB59" i="1" s="1"/>
  <c r="T61" i="1"/>
  <c r="AB61" i="1" s="1"/>
  <c r="T78" i="1"/>
  <c r="AB78" i="1" s="1"/>
  <c r="T82" i="1"/>
  <c r="AB82" i="1" s="1"/>
  <c r="T86" i="1"/>
  <c r="AB86" i="1" s="1"/>
  <c r="T90" i="1"/>
  <c r="AB90" i="1" s="1"/>
  <c r="T94" i="1"/>
  <c r="AB94" i="1" s="1"/>
  <c r="T73" i="1"/>
  <c r="AB73" i="1" s="1"/>
  <c r="T71" i="1"/>
  <c r="AB71" i="1" s="1"/>
  <c r="T63" i="1"/>
  <c r="AB63" i="1" s="1"/>
  <c r="T69" i="1"/>
  <c r="AB69" i="1" s="1"/>
  <c r="T79" i="1"/>
  <c r="AB79" i="1" s="1"/>
  <c r="T83" i="1"/>
  <c r="AB83" i="1" s="1"/>
  <c r="T88" i="1"/>
  <c r="AB88" i="1" s="1"/>
  <c r="T89" i="1"/>
  <c r="AB89" i="1" s="1"/>
  <c r="T96" i="1"/>
  <c r="AB96" i="1" s="1"/>
  <c r="T98" i="1"/>
  <c r="AB98" i="1" s="1"/>
  <c r="T102" i="1"/>
  <c r="AB102" i="1" s="1"/>
  <c r="T106" i="1"/>
  <c r="AB106" i="1" s="1"/>
  <c r="T110" i="1"/>
  <c r="AB110" i="1" s="1"/>
  <c r="T114" i="1"/>
  <c r="AB114" i="1" s="1"/>
  <c r="T118" i="1"/>
  <c r="AB118" i="1" s="1"/>
  <c r="T122" i="1"/>
  <c r="AB122" i="1" s="1"/>
  <c r="T126" i="1"/>
  <c r="AB126" i="1" s="1"/>
  <c r="T130" i="1"/>
  <c r="AB130" i="1" s="1"/>
  <c r="T84" i="1"/>
  <c r="AB84" i="1" s="1"/>
  <c r="T95" i="1"/>
  <c r="AB95" i="1" s="1"/>
  <c r="T99" i="1"/>
  <c r="AB99" i="1" s="1"/>
  <c r="T103" i="1"/>
  <c r="AB103" i="1" s="1"/>
  <c r="T107" i="1"/>
  <c r="AB107" i="1" s="1"/>
  <c r="T111" i="1"/>
  <c r="AB111" i="1" s="1"/>
  <c r="T115" i="1"/>
  <c r="AB115" i="1" s="1"/>
  <c r="T119" i="1"/>
  <c r="AB119" i="1" s="1"/>
  <c r="T123" i="1"/>
  <c r="AB123" i="1" s="1"/>
  <c r="T127" i="1"/>
  <c r="AB127" i="1" s="1"/>
  <c r="T91" i="1"/>
  <c r="AB91" i="1" s="1"/>
  <c r="T134" i="1"/>
  <c r="AB134" i="1" s="1"/>
  <c r="T92" i="1"/>
  <c r="AB92" i="1" s="1"/>
  <c r="T100" i="1"/>
  <c r="AB100" i="1" s="1"/>
  <c r="T104" i="1"/>
  <c r="AB104" i="1" s="1"/>
  <c r="T108" i="1"/>
  <c r="AB108" i="1" s="1"/>
  <c r="T112" i="1"/>
  <c r="AB112" i="1" s="1"/>
  <c r="T116" i="1"/>
  <c r="AB116" i="1" s="1"/>
  <c r="T120" i="1"/>
  <c r="AB120" i="1" s="1"/>
  <c r="T124" i="1"/>
  <c r="AB124" i="1" s="1"/>
  <c r="T93" i="1"/>
  <c r="AB93" i="1" s="1"/>
  <c r="T131" i="1"/>
  <c r="AB131" i="1" s="1"/>
  <c r="T85" i="1"/>
  <c r="AB85" i="1" s="1"/>
  <c r="T87" i="1"/>
  <c r="AB87" i="1" s="1"/>
  <c r="T101" i="1"/>
  <c r="AB101" i="1" s="1"/>
  <c r="T105" i="1"/>
  <c r="AB105" i="1" s="1"/>
  <c r="T109" i="1"/>
  <c r="AB109" i="1" s="1"/>
  <c r="T113" i="1"/>
  <c r="AB113" i="1" s="1"/>
  <c r="T117" i="1"/>
  <c r="AB117" i="1" s="1"/>
  <c r="T121" i="1"/>
  <c r="AB121" i="1" s="1"/>
  <c r="T125" i="1"/>
  <c r="AB125" i="1" s="1"/>
  <c r="T133" i="1"/>
  <c r="AB133" i="1" s="1"/>
  <c r="T97" i="1"/>
  <c r="AB97" i="1" s="1"/>
  <c r="T128" i="1"/>
  <c r="AB128" i="1" s="1"/>
  <c r="T153" i="1"/>
  <c r="AB153" i="1" s="1"/>
  <c r="T157" i="1"/>
  <c r="AB157" i="1" s="1"/>
  <c r="T163" i="1"/>
  <c r="AB163" i="1" s="1"/>
  <c r="T169" i="1"/>
  <c r="AB169" i="1" s="1"/>
  <c r="T149" i="1"/>
  <c r="AB149" i="1" s="1"/>
  <c r="T152" i="1"/>
  <c r="AB152" i="1" s="1"/>
  <c r="T156" i="1"/>
  <c r="AB156" i="1" s="1"/>
  <c r="T162" i="1"/>
  <c r="AB162" i="1" s="1"/>
  <c r="T168" i="1"/>
  <c r="AB168" i="1" s="1"/>
  <c r="T136" i="1"/>
  <c r="AB136" i="1" s="1"/>
  <c r="T138" i="1"/>
  <c r="AB138" i="1" s="1"/>
  <c r="T140" i="1"/>
  <c r="AB140" i="1" s="1"/>
  <c r="T142" i="1"/>
  <c r="AB142" i="1" s="1"/>
  <c r="T144" i="1"/>
  <c r="AB144" i="1" s="1"/>
  <c r="T146" i="1"/>
  <c r="AB146" i="1" s="1"/>
  <c r="T161" i="1"/>
  <c r="AB161" i="1" s="1"/>
  <c r="T167" i="1"/>
  <c r="AB167" i="1" s="1"/>
  <c r="T148" i="1"/>
  <c r="AB148" i="1" s="1"/>
  <c r="T151" i="1"/>
  <c r="AB151" i="1" s="1"/>
  <c r="T155" i="1"/>
  <c r="AB155" i="1" s="1"/>
  <c r="T129" i="1"/>
  <c r="AB129" i="1" s="1"/>
  <c r="T160" i="1"/>
  <c r="AB160" i="1" s="1"/>
  <c r="T166" i="1"/>
  <c r="AB166" i="1" s="1"/>
  <c r="T132" i="1"/>
  <c r="AB132" i="1" s="1"/>
  <c r="T172" i="1"/>
  <c r="AB172" i="1" s="1"/>
  <c r="T173" i="1"/>
  <c r="AB173" i="1" s="1"/>
  <c r="T174" i="1"/>
  <c r="AB174" i="1" s="1"/>
  <c r="T175" i="1"/>
  <c r="AB175" i="1" s="1"/>
  <c r="T176" i="1"/>
  <c r="AB176" i="1" s="1"/>
  <c r="T177" i="1"/>
  <c r="AB177" i="1" s="1"/>
  <c r="T178" i="1"/>
  <c r="AB178" i="1" s="1"/>
  <c r="T179" i="1"/>
  <c r="AB179" i="1" s="1"/>
  <c r="T180" i="1"/>
  <c r="AB180" i="1" s="1"/>
  <c r="T181" i="1"/>
  <c r="AB181" i="1" s="1"/>
  <c r="T154" i="1"/>
  <c r="AB154" i="1" s="1"/>
  <c r="T159" i="1"/>
  <c r="AB159" i="1" s="1"/>
  <c r="T165" i="1"/>
  <c r="AB165" i="1" s="1"/>
  <c r="T171" i="1"/>
  <c r="AB171" i="1" s="1"/>
  <c r="T150" i="1"/>
  <c r="AB150" i="1" s="1"/>
  <c r="T135" i="1"/>
  <c r="AB135" i="1" s="1"/>
  <c r="T137" i="1"/>
  <c r="AB137" i="1" s="1"/>
  <c r="T139" i="1"/>
  <c r="AB139" i="1" s="1"/>
  <c r="T141" i="1"/>
  <c r="AB141" i="1" s="1"/>
  <c r="T143" i="1"/>
  <c r="AB143" i="1" s="1"/>
  <c r="T145" i="1"/>
  <c r="AB145" i="1" s="1"/>
  <c r="T147" i="1"/>
  <c r="AB147" i="1" s="1"/>
  <c r="T158" i="1"/>
  <c r="AB158" i="1" s="1"/>
  <c r="T164" i="1"/>
  <c r="AB164" i="1" s="1"/>
  <c r="T170" i="1"/>
  <c r="AB170" i="1" s="1"/>
  <c r="G24" i="1"/>
  <c r="P24" i="1" s="1"/>
  <c r="K24" i="1" s="1"/>
  <c r="C25" i="1"/>
  <c r="G25" i="1" l="1"/>
  <c r="P25" i="1" s="1"/>
  <c r="K25" i="1" s="1"/>
  <c r="C26" i="1"/>
  <c r="BI30" i="1"/>
  <c r="BI51" i="1"/>
  <c r="BI53" i="1"/>
  <c r="BI27" i="1"/>
  <c r="BI28" i="1"/>
  <c r="BI52" i="1"/>
  <c r="BI55" i="1"/>
  <c r="BI56" i="1"/>
  <c r="BI96" i="1"/>
  <c r="BI57" i="1"/>
  <c r="BI60" i="1"/>
  <c r="BI62" i="1"/>
  <c r="BI64" i="1"/>
  <c r="BI66" i="1"/>
  <c r="BI54" i="1"/>
  <c r="BI58" i="1"/>
  <c r="BI80" i="1"/>
  <c r="BI84" i="1"/>
  <c r="BI88" i="1"/>
  <c r="BI92" i="1"/>
  <c r="BI74" i="1"/>
  <c r="BI76" i="1"/>
  <c r="BI75" i="1"/>
  <c r="BI63" i="1"/>
  <c r="BI77" i="1"/>
  <c r="BI81" i="1"/>
  <c r="BI85" i="1"/>
  <c r="BI89" i="1"/>
  <c r="BI93" i="1"/>
  <c r="BI71" i="1"/>
  <c r="BI73" i="1"/>
  <c r="BI69" i="1"/>
  <c r="BI78" i="1"/>
  <c r="BI82" i="1"/>
  <c r="BI67" i="1"/>
  <c r="BI72" i="1"/>
  <c r="BI70" i="1"/>
  <c r="BI59" i="1"/>
  <c r="BI68" i="1"/>
  <c r="BI65" i="1"/>
  <c r="BI79" i="1"/>
  <c r="BI83" i="1"/>
  <c r="BI87" i="1"/>
  <c r="BI91" i="1"/>
  <c r="BI61" i="1"/>
  <c r="BI86" i="1"/>
  <c r="BI94" i="1"/>
  <c r="BI99" i="1"/>
  <c r="BI103" i="1"/>
  <c r="BI107" i="1"/>
  <c r="BI111" i="1"/>
  <c r="BI115" i="1"/>
  <c r="BI119" i="1"/>
  <c r="BI123" i="1"/>
  <c r="BI127" i="1"/>
  <c r="BI134" i="1"/>
  <c r="BI100" i="1"/>
  <c r="BI104" i="1"/>
  <c r="BI108" i="1"/>
  <c r="BI112" i="1"/>
  <c r="BI116" i="1"/>
  <c r="BI120" i="1"/>
  <c r="BI124" i="1"/>
  <c r="BI131" i="1"/>
  <c r="BI97" i="1"/>
  <c r="BI101" i="1"/>
  <c r="BI105" i="1"/>
  <c r="BI109" i="1"/>
  <c r="BI113" i="1"/>
  <c r="BI117" i="1"/>
  <c r="BI121" i="1"/>
  <c r="BI125" i="1"/>
  <c r="BI133" i="1"/>
  <c r="BI90" i="1"/>
  <c r="BI128" i="1"/>
  <c r="BI98" i="1"/>
  <c r="BI102" i="1"/>
  <c r="BI106" i="1"/>
  <c r="BI110" i="1"/>
  <c r="BI114" i="1"/>
  <c r="BI118" i="1"/>
  <c r="BI122" i="1"/>
  <c r="BI126" i="1"/>
  <c r="BI130" i="1"/>
  <c r="BI95" i="1"/>
  <c r="BI129" i="1"/>
  <c r="BI132" i="1"/>
  <c r="BI26" i="1"/>
  <c r="BI25" i="1"/>
  <c r="BI13" i="1"/>
  <c r="BI17" i="1"/>
  <c r="BI8" i="1"/>
  <c r="BI29" i="1"/>
  <c r="BI33" i="1"/>
  <c r="BI24" i="1"/>
  <c r="BI9" i="1"/>
  <c r="BI22" i="1"/>
  <c r="BI31" i="1"/>
  <c r="BI39" i="1"/>
  <c r="BI32" i="1"/>
  <c r="BI15" i="1"/>
  <c r="BI19" i="1"/>
  <c r="BI10" i="1"/>
  <c r="BI14" i="1"/>
  <c r="BI5" i="1"/>
  <c r="BI21" i="1"/>
  <c r="BI7" i="1"/>
  <c r="BI11" i="1"/>
  <c r="BI6" i="1"/>
  <c r="BI38" i="1"/>
  <c r="BI16" i="1"/>
  <c r="BI36" i="1"/>
  <c r="BI35" i="1"/>
  <c r="BI12" i="1"/>
  <c r="BI23" i="1"/>
  <c r="BI20" i="1"/>
  <c r="BI37" i="1"/>
  <c r="BI41" i="1"/>
  <c r="BI18" i="1"/>
  <c r="BI40" i="1"/>
  <c r="BI34" i="1"/>
  <c r="BI43" i="1"/>
  <c r="BI42" i="1"/>
  <c r="BI45" i="1"/>
  <c r="BI44" i="1"/>
  <c r="BI47" i="1"/>
  <c r="BI46" i="1"/>
  <c r="BI48" i="1"/>
  <c r="BI49" i="1"/>
  <c r="BI50" i="1"/>
  <c r="G26" i="1" l="1"/>
  <c r="P26" i="1" s="1"/>
  <c r="K26" i="1" s="1"/>
  <c r="C27" i="1"/>
  <c r="G27" i="1" l="1"/>
  <c r="P27" i="1" s="1"/>
  <c r="K27" i="1" s="1"/>
  <c r="C28" i="1"/>
  <c r="G28" i="1" l="1"/>
  <c r="P28" i="1" s="1"/>
  <c r="K28" i="1" s="1"/>
  <c r="C31" i="1"/>
  <c r="G31" i="1" l="1"/>
  <c r="P31" i="1" s="1"/>
  <c r="K31" i="1" s="1"/>
  <c r="C32" i="1"/>
  <c r="G32" i="1" l="1"/>
  <c r="P32" i="1" s="1"/>
  <c r="K32" i="1" s="1"/>
  <c r="C34" i="1"/>
  <c r="G34" i="1" l="1"/>
  <c r="P34" i="1" s="1"/>
  <c r="K34" i="1" s="1"/>
  <c r="C35" i="1"/>
  <c r="G35" i="1" l="1"/>
  <c r="P35" i="1" s="1"/>
  <c r="K35" i="1" s="1"/>
  <c r="C3" i="1"/>
  <c r="D3" i="1" s="1"/>
  <c r="E20" i="1" l="1"/>
  <c r="F20" i="1" s="1"/>
  <c r="E23" i="1"/>
  <c r="F23" i="1" s="1"/>
  <c r="E26" i="1"/>
  <c r="F26" i="1" s="1"/>
  <c r="E29" i="1"/>
  <c r="F29" i="1" s="1"/>
  <c r="E32" i="1"/>
  <c r="F32" i="1" s="1"/>
  <c r="E33" i="1"/>
  <c r="F33" i="1" s="1"/>
  <c r="E36" i="1"/>
  <c r="F36" i="1" s="1"/>
  <c r="E39" i="1"/>
  <c r="F39" i="1" s="1"/>
  <c r="E42" i="1"/>
  <c r="F42" i="1" s="1"/>
  <c r="E45" i="1"/>
  <c r="F45" i="1" s="1"/>
  <c r="E48" i="1"/>
  <c r="F48" i="1" s="1"/>
  <c r="E51" i="1"/>
  <c r="F51" i="1" s="1"/>
  <c r="E30" i="1"/>
  <c r="F30" i="1" s="1"/>
  <c r="E28" i="1"/>
  <c r="F28" i="1" s="1"/>
  <c r="E35" i="1"/>
  <c r="F35" i="1" s="1"/>
  <c r="E38" i="1"/>
  <c r="F38" i="1" s="1"/>
  <c r="E41" i="1"/>
  <c r="F41" i="1" s="1"/>
  <c r="E44" i="1"/>
  <c r="F44" i="1" s="1"/>
  <c r="E47" i="1"/>
  <c r="F47" i="1" s="1"/>
  <c r="E50" i="1"/>
  <c r="F50" i="1" s="1"/>
  <c r="E31" i="1"/>
  <c r="F31" i="1" s="1"/>
  <c r="E43" i="1"/>
  <c r="F43" i="1" s="1"/>
  <c r="D35" i="1"/>
  <c r="E49" i="1"/>
  <c r="F49" i="1" s="1"/>
  <c r="E57" i="1"/>
  <c r="F57" i="1" s="1"/>
  <c r="E61" i="1"/>
  <c r="F61" i="1" s="1"/>
  <c r="E73" i="1"/>
  <c r="F73" i="1" s="1"/>
  <c r="E71" i="1"/>
  <c r="F71" i="1" s="1"/>
  <c r="E69" i="1"/>
  <c r="F69" i="1" s="1"/>
  <c r="E63" i="1"/>
  <c r="F63" i="1" s="1"/>
  <c r="E67" i="1"/>
  <c r="F67" i="1" s="1"/>
  <c r="E65" i="1"/>
  <c r="F65" i="1" s="1"/>
  <c r="E76" i="1"/>
  <c r="F76" i="1" s="1"/>
  <c r="E77" i="1"/>
  <c r="F77" i="1" s="1"/>
  <c r="E74" i="1"/>
  <c r="F74" i="1" s="1"/>
  <c r="E78" i="1"/>
  <c r="F78" i="1" s="1"/>
  <c r="E101" i="1"/>
  <c r="F101" i="1" s="1"/>
  <c r="E105" i="1"/>
  <c r="F105" i="1" s="1"/>
  <c r="E109" i="1"/>
  <c r="F109" i="1" s="1"/>
  <c r="E113" i="1"/>
  <c r="F113" i="1" s="1"/>
  <c r="E97" i="1"/>
  <c r="F97" i="1" s="1"/>
  <c r="E98" i="1"/>
  <c r="F98" i="1" s="1"/>
  <c r="E102" i="1"/>
  <c r="F102" i="1" s="1"/>
  <c r="E106" i="1"/>
  <c r="F106" i="1" s="1"/>
  <c r="E110" i="1"/>
  <c r="F110" i="1" s="1"/>
  <c r="E114" i="1"/>
  <c r="F114" i="1" s="1"/>
  <c r="E82" i="1"/>
  <c r="F82" i="1" s="1"/>
  <c r="E96" i="1"/>
  <c r="F96" i="1" s="1"/>
  <c r="E94" i="1"/>
  <c r="F94" i="1" s="1"/>
  <c r="E90" i="1"/>
  <c r="F90" i="1" s="1"/>
  <c r="E117" i="1"/>
  <c r="F117" i="1" s="1"/>
  <c r="E125" i="1"/>
  <c r="F125" i="1" s="1"/>
  <c r="E127" i="1"/>
  <c r="F127" i="1" s="1"/>
  <c r="E126" i="1"/>
  <c r="F126" i="1" s="1"/>
  <c r="E121" i="1"/>
  <c r="F121" i="1" s="1"/>
  <c r="E118" i="1"/>
  <c r="F118" i="1" s="1"/>
  <c r="E85" i="1"/>
  <c r="F85" i="1" s="1"/>
  <c r="E107" i="1"/>
  <c r="F107" i="1" s="1"/>
  <c r="E84" i="1"/>
  <c r="F84" i="1" s="1"/>
  <c r="E58" i="1"/>
  <c r="F58" i="1" s="1"/>
  <c r="D34" i="1"/>
  <c r="D19" i="1"/>
  <c r="E103" i="1"/>
  <c r="F103" i="1" s="1"/>
  <c r="E88" i="1"/>
  <c r="F88" i="1" s="1"/>
  <c r="E70" i="1"/>
  <c r="F70" i="1" s="1"/>
  <c r="E55" i="1"/>
  <c r="F55" i="1" s="1"/>
  <c r="E64" i="1"/>
  <c r="F64" i="1" s="1"/>
  <c r="E99" i="1"/>
  <c r="F99" i="1" s="1"/>
  <c r="E87" i="1"/>
  <c r="F87" i="1" s="1"/>
  <c r="D32" i="1"/>
  <c r="D15" i="1"/>
  <c r="E24" i="1"/>
  <c r="F24" i="1" s="1"/>
  <c r="D28" i="1"/>
  <c r="E89" i="1"/>
  <c r="F89" i="1" s="1"/>
  <c r="E92" i="1"/>
  <c r="F92" i="1" s="1"/>
  <c r="E56" i="1"/>
  <c r="F56" i="1" s="1"/>
  <c r="E81" i="1"/>
  <c r="F81" i="1" s="1"/>
  <c r="E80" i="1"/>
  <c r="F80" i="1" s="1"/>
  <c r="E34" i="1"/>
  <c r="F34" i="1" s="1"/>
  <c r="D26" i="1"/>
  <c r="D21" i="1"/>
  <c r="E19" i="1"/>
  <c r="F19" i="1" s="1"/>
  <c r="D25" i="1"/>
  <c r="D8" i="1"/>
  <c r="E116" i="1"/>
  <c r="F116" i="1" s="1"/>
  <c r="E93" i="1"/>
  <c r="F93" i="1" s="1"/>
  <c r="E91" i="1"/>
  <c r="F91" i="1" s="1"/>
  <c r="E68" i="1"/>
  <c r="F68" i="1" s="1"/>
  <c r="E52" i="1"/>
  <c r="F52" i="1" s="1"/>
  <c r="E25" i="1"/>
  <c r="F25" i="1" s="1"/>
  <c r="E22" i="1"/>
  <c r="F22" i="1" s="1"/>
  <c r="D6" i="1"/>
  <c r="D16" i="1"/>
  <c r="D27" i="1"/>
  <c r="E120" i="1"/>
  <c r="F120" i="1" s="1"/>
  <c r="E66" i="1"/>
  <c r="F66" i="1" s="1"/>
  <c r="E37" i="1"/>
  <c r="F37" i="1" s="1"/>
  <c r="E112" i="1"/>
  <c r="F112" i="1" s="1"/>
  <c r="E75" i="1"/>
  <c r="F75" i="1" s="1"/>
  <c r="E72" i="1"/>
  <c r="F72" i="1" s="1"/>
  <c r="D12" i="1"/>
  <c r="D7" i="1"/>
  <c r="E124" i="1"/>
  <c r="F124" i="1" s="1"/>
  <c r="E122" i="1"/>
  <c r="F122" i="1" s="1"/>
  <c r="E123" i="1"/>
  <c r="F123" i="1" s="1"/>
  <c r="E95" i="1"/>
  <c r="F95" i="1" s="1"/>
  <c r="E108" i="1"/>
  <c r="F108" i="1" s="1"/>
  <c r="E53" i="1"/>
  <c r="F53" i="1" s="1"/>
  <c r="E60" i="1"/>
  <c r="F60" i="1" s="1"/>
  <c r="E21" i="1"/>
  <c r="F21" i="1" s="1"/>
  <c r="E83" i="1"/>
  <c r="F83" i="1" s="1"/>
  <c r="E104" i="1"/>
  <c r="F104" i="1" s="1"/>
  <c r="E46" i="1"/>
  <c r="F46" i="1" s="1"/>
  <c r="E54" i="1"/>
  <c r="F54" i="1" s="1"/>
  <c r="D20" i="1"/>
  <c r="D18" i="1"/>
  <c r="D22" i="1"/>
  <c r="E119" i="1"/>
  <c r="F119" i="1" s="1"/>
  <c r="E79" i="1"/>
  <c r="F79" i="1" s="1"/>
  <c r="E100" i="1"/>
  <c r="F100" i="1" s="1"/>
  <c r="E115" i="1"/>
  <c r="F115" i="1" s="1"/>
  <c r="E40" i="1"/>
  <c r="F40" i="1" s="1"/>
  <c r="E59" i="1"/>
  <c r="F59" i="1" s="1"/>
  <c r="D31" i="1"/>
  <c r="E27" i="1"/>
  <c r="F27" i="1" s="1"/>
  <c r="D13" i="1"/>
  <c r="D14" i="1"/>
  <c r="D5" i="1"/>
  <c r="E111" i="1"/>
  <c r="F111" i="1" s="1"/>
  <c r="E86" i="1"/>
  <c r="F86" i="1" s="1"/>
  <c r="E62" i="1"/>
  <c r="F62" i="1" s="1"/>
  <c r="D24" i="1"/>
  <c r="E5" i="1" l="1"/>
  <c r="D9" i="1"/>
  <c r="F5" i="1" l="1"/>
  <c r="G6" i="1" s="1"/>
  <c r="E6" i="1"/>
  <c r="F6" i="1" s="1"/>
  <c r="D10" i="1"/>
  <c r="P6" i="1" l="1"/>
  <c r="K6" i="1" s="1"/>
  <c r="H8" i="1"/>
  <c r="I8" i="1"/>
  <c r="I7" i="1"/>
  <c r="H7" i="1"/>
  <c r="G9" i="1"/>
  <c r="P9" i="1" s="1"/>
  <c r="K9" i="1" s="1"/>
  <c r="E8" i="1"/>
  <c r="F8" i="1" s="1"/>
  <c r="D11" i="1"/>
  <c r="I12" i="1" l="1"/>
  <c r="H12" i="1"/>
  <c r="D17" i="1"/>
  <c r="D23" i="1" l="1"/>
  <c r="E9" i="1"/>
  <c r="F9" i="1" s="1"/>
  <c r="D29" i="1" l="1"/>
  <c r="D30" i="1" l="1"/>
  <c r="D33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E7" i="1" l="1"/>
  <c r="E13" i="1"/>
  <c r="F13" i="1" s="1"/>
  <c r="E10" i="1"/>
  <c r="F10" i="1" s="1"/>
  <c r="E16" i="1"/>
  <c r="F16" i="1" s="1"/>
  <c r="E12" i="1"/>
  <c r="F12" i="1" s="1"/>
  <c r="E15" i="1"/>
  <c r="F15" i="1" s="1"/>
  <c r="E17" i="1"/>
  <c r="F17" i="1" s="1"/>
  <c r="E11" i="1"/>
  <c r="F11" i="1" s="1"/>
  <c r="E18" i="1"/>
  <c r="F18" i="1" s="1"/>
  <c r="D1001" i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E14" i="1"/>
  <c r="F14" i="1" s="1"/>
  <c r="F7" i="1" l="1"/>
  <c r="G11" i="1"/>
  <c r="P11" i="1" s="1"/>
  <c r="K11" i="1" s="1"/>
  <c r="G38" i="1"/>
  <c r="P38" i="1" s="1"/>
  <c r="K38" i="1" s="1"/>
  <c r="G10" i="1"/>
  <c r="G37" i="1"/>
  <c r="P37" i="1" s="1"/>
  <c r="K37" i="1" s="1"/>
  <c r="G39" i="1"/>
  <c r="P39" i="1" s="1"/>
  <c r="K39" i="1" s="1"/>
  <c r="G36" i="1"/>
  <c r="P36" i="1" s="1"/>
  <c r="K36" i="1" s="1"/>
  <c r="G30" i="1"/>
  <c r="P30" i="1" s="1"/>
  <c r="K30" i="1" s="1"/>
  <c r="G23" i="1"/>
  <c r="P23" i="1" s="1"/>
  <c r="K23" i="1" s="1"/>
  <c r="G33" i="1"/>
  <c r="P33" i="1" s="1"/>
  <c r="K33" i="1" s="1"/>
  <c r="G29" i="1"/>
  <c r="P29" i="1" s="1"/>
  <c r="K29" i="1" s="1"/>
  <c r="G40" i="1"/>
  <c r="P40" i="1" s="1"/>
  <c r="K40" i="1" s="1"/>
  <c r="G17" i="1"/>
  <c r="P17" i="1" s="1"/>
  <c r="K17" i="1" s="1"/>
  <c r="P10" i="1" l="1"/>
  <c r="K10" i="1" s="1"/>
  <c r="I19" i="1"/>
  <c r="I32" i="1"/>
  <c r="I6" i="1"/>
  <c r="H6" i="1"/>
  <c r="H9" i="1" s="1"/>
  <c r="I21" i="1"/>
  <c r="H27" i="1"/>
  <c r="H21" i="1"/>
  <c r="I20" i="1"/>
  <c r="I9" i="1"/>
  <c r="I35" i="1"/>
  <c r="I26" i="1"/>
  <c r="I18" i="1"/>
  <c r="H18" i="1"/>
  <c r="I28" i="1"/>
  <c r="H28" i="1"/>
  <c r="H25" i="1"/>
  <c r="H24" i="1"/>
  <c r="H13" i="1"/>
  <c r="I25" i="1"/>
  <c r="H35" i="1"/>
  <c r="H14" i="1"/>
  <c r="I34" i="1"/>
  <c r="H34" i="1"/>
  <c r="H31" i="1"/>
  <c r="H20" i="1"/>
  <c r="I14" i="1"/>
  <c r="H19" i="1"/>
  <c r="I22" i="1"/>
  <c r="I27" i="1"/>
  <c r="I13" i="1"/>
  <c r="H32" i="1"/>
  <c r="H26" i="1"/>
  <c r="I31" i="1"/>
  <c r="H22" i="1"/>
  <c r="H16" i="1"/>
  <c r="I16" i="1"/>
  <c r="I15" i="1"/>
  <c r="I10" i="1"/>
  <c r="I24" i="1"/>
  <c r="H15" i="1"/>
  <c r="H10" i="1" l="1"/>
  <c r="H11" i="1" s="1"/>
  <c r="H17" i="1" s="1"/>
  <c r="H23" i="1" s="1"/>
  <c r="H29" i="1" s="1"/>
  <c r="H30" i="1" s="1"/>
  <c r="H33" i="1" s="1"/>
  <c r="H36" i="1" s="1"/>
  <c r="J43" i="1"/>
  <c r="P43" i="1" s="1"/>
  <c r="K43" i="1" s="1"/>
  <c r="J42" i="1"/>
  <c r="P42" i="1" s="1"/>
  <c r="K42" i="1" s="1"/>
  <c r="J41" i="1"/>
  <c r="P41" i="1" s="1"/>
  <c r="K41" i="1" s="1"/>
  <c r="I11" i="1"/>
  <c r="I17" i="1" l="1"/>
  <c r="I23" i="1" s="1"/>
  <c r="I29" i="1" s="1"/>
  <c r="I30" i="1" s="1"/>
  <c r="I33" i="1" s="1"/>
  <c r="I36" i="1" s="1"/>
  <c r="J104" i="1" s="1"/>
  <c r="P104" i="1" s="1"/>
  <c r="J44" i="1"/>
  <c r="P44" i="1" s="1"/>
  <c r="K44" i="1" s="1"/>
  <c r="J50" i="1" l="1"/>
  <c r="P50" i="1" s="1"/>
  <c r="K50" i="1" s="1"/>
  <c r="J92" i="1"/>
  <c r="P92" i="1" s="1"/>
  <c r="J54" i="1"/>
  <c r="P54" i="1" s="1"/>
  <c r="J14" i="1"/>
  <c r="J91" i="1"/>
  <c r="P91" i="1" s="1"/>
  <c r="J55" i="1"/>
  <c r="P55" i="1" s="1"/>
  <c r="J84" i="1"/>
  <c r="P84" i="1" s="1"/>
  <c r="J106" i="1"/>
  <c r="P106" i="1" s="1"/>
  <c r="J69" i="1"/>
  <c r="P69" i="1" s="1"/>
  <c r="J23" i="1"/>
  <c r="J73" i="1"/>
  <c r="P73" i="1" s="1"/>
  <c r="J17" i="1"/>
  <c r="J115" i="1"/>
  <c r="P115" i="1" s="1"/>
  <c r="J78" i="1"/>
  <c r="P78" i="1" s="1"/>
  <c r="J102" i="1"/>
  <c r="P102" i="1" s="1"/>
  <c r="J52" i="1"/>
  <c r="P52" i="1" s="1"/>
  <c r="K52" i="1" s="1"/>
  <c r="J98" i="1"/>
  <c r="P98" i="1" s="1"/>
  <c r="J7" i="1"/>
  <c r="J95" i="1"/>
  <c r="P95" i="1" s="1"/>
  <c r="J20" i="1"/>
  <c r="J99" i="1"/>
  <c r="P99" i="1" s="1"/>
  <c r="J9" i="1"/>
  <c r="J105" i="1"/>
  <c r="P105" i="1" s="1"/>
  <c r="J96" i="1"/>
  <c r="P96" i="1" s="1"/>
  <c r="J37" i="1"/>
  <c r="J21" i="1"/>
  <c r="J113" i="1"/>
  <c r="P113" i="1" s="1"/>
  <c r="J62" i="1"/>
  <c r="P62" i="1" s="1"/>
  <c r="J86" i="1"/>
  <c r="P86" i="1" s="1"/>
  <c r="J120" i="1"/>
  <c r="P120" i="1" s="1"/>
  <c r="J19" i="1"/>
  <c r="J109" i="1"/>
  <c r="P109" i="1" s="1"/>
  <c r="J81" i="1"/>
  <c r="P81" i="1" s="1"/>
  <c r="J85" i="1"/>
  <c r="P85" i="1" s="1"/>
  <c r="J125" i="1"/>
  <c r="P125" i="1" s="1"/>
  <c r="J18" i="1"/>
  <c r="J75" i="1"/>
  <c r="P75" i="1" s="1"/>
  <c r="J89" i="1"/>
  <c r="P89" i="1" s="1"/>
  <c r="J29" i="1"/>
  <c r="J87" i="1"/>
  <c r="P87" i="1" s="1"/>
  <c r="J51" i="1"/>
  <c r="P51" i="1" s="1"/>
  <c r="K51" i="1" s="1"/>
  <c r="J24" i="1"/>
  <c r="J72" i="1"/>
  <c r="P72" i="1" s="1"/>
  <c r="J108" i="1"/>
  <c r="P108" i="1" s="1"/>
  <c r="J79" i="1"/>
  <c r="P79" i="1" s="1"/>
  <c r="J57" i="1"/>
  <c r="P57" i="1" s="1"/>
  <c r="J116" i="1"/>
  <c r="P116" i="1" s="1"/>
  <c r="J123" i="1"/>
  <c r="P123" i="1" s="1"/>
  <c r="J25" i="1"/>
  <c r="J36" i="1"/>
  <c r="J68" i="1"/>
  <c r="P68" i="1" s="1"/>
  <c r="J32" i="1"/>
  <c r="J74" i="1"/>
  <c r="P74" i="1" s="1"/>
  <c r="J103" i="1"/>
  <c r="P103" i="1" s="1"/>
  <c r="J101" i="1"/>
  <c r="P101" i="1" s="1"/>
  <c r="J34" i="1"/>
  <c r="J45" i="1"/>
  <c r="P45" i="1" s="1"/>
  <c r="K45" i="1" s="1"/>
  <c r="J58" i="1"/>
  <c r="P58" i="1" s="1"/>
  <c r="J63" i="1"/>
  <c r="P63" i="1" s="1"/>
  <c r="J124" i="1"/>
  <c r="P124" i="1" s="1"/>
  <c r="J13" i="1"/>
  <c r="J11" i="1"/>
  <c r="J53" i="1"/>
  <c r="P53" i="1" s="1"/>
  <c r="J12" i="1"/>
  <c r="J90" i="1"/>
  <c r="P90" i="1" s="1"/>
  <c r="J27" i="1"/>
  <c r="J112" i="1"/>
  <c r="P112" i="1" s="1"/>
  <c r="J80" i="1"/>
  <c r="P80" i="1" s="1"/>
  <c r="J114" i="1"/>
  <c r="P114" i="1" s="1"/>
  <c r="J26" i="1"/>
  <c r="J31" i="1"/>
  <c r="J47" i="1"/>
  <c r="P47" i="1" s="1"/>
  <c r="K47" i="1" s="1"/>
  <c r="J33" i="1"/>
  <c r="J100" i="1"/>
  <c r="P100" i="1" s="1"/>
  <c r="J64" i="1"/>
  <c r="P64" i="1" s="1"/>
  <c r="J10" i="1"/>
  <c r="J8" i="1"/>
  <c r="J126" i="1"/>
  <c r="P126" i="1" s="1"/>
  <c r="J49" i="1"/>
  <c r="P49" i="1" s="1"/>
  <c r="K49" i="1" s="1"/>
  <c r="J6" i="1"/>
  <c r="J122" i="1"/>
  <c r="P122" i="1" s="1"/>
  <c r="J110" i="1"/>
  <c r="P110" i="1" s="1"/>
  <c r="J127" i="1"/>
  <c r="P127" i="1" s="1"/>
  <c r="J60" i="1"/>
  <c r="P60" i="1" s="1"/>
  <c r="J61" i="1"/>
  <c r="P61" i="1" s="1"/>
  <c r="J59" i="1"/>
  <c r="P59" i="1" s="1"/>
  <c r="J40" i="1"/>
  <c r="J22" i="1"/>
  <c r="J66" i="1"/>
  <c r="P66" i="1" s="1"/>
  <c r="J67" i="1"/>
  <c r="P67" i="1" s="1"/>
  <c r="J117" i="1"/>
  <c r="P117" i="1" s="1"/>
  <c r="J5" i="1"/>
  <c r="J121" i="1"/>
  <c r="P121" i="1" s="1"/>
  <c r="J97" i="1"/>
  <c r="P97" i="1" s="1"/>
  <c r="J83" i="1"/>
  <c r="P83" i="1" s="1"/>
  <c r="J82" i="1"/>
  <c r="P82" i="1" s="1"/>
  <c r="J118" i="1"/>
  <c r="P118" i="1" s="1"/>
  <c r="J35" i="1"/>
  <c r="J119" i="1"/>
  <c r="P119" i="1" s="1"/>
  <c r="J93" i="1"/>
  <c r="P93" i="1" s="1"/>
  <c r="J94" i="1"/>
  <c r="P94" i="1" s="1"/>
  <c r="J15" i="1"/>
  <c r="J107" i="1"/>
  <c r="P107" i="1" s="1"/>
  <c r="J28" i="1"/>
  <c r="J48" i="1"/>
  <c r="P48" i="1" s="1"/>
  <c r="K48" i="1" s="1"/>
  <c r="J30" i="1"/>
  <c r="J46" i="1"/>
  <c r="P46" i="1" s="1"/>
  <c r="K46" i="1" s="1"/>
  <c r="J39" i="1"/>
  <c r="J71" i="1"/>
  <c r="P71" i="1" s="1"/>
  <c r="J38" i="1"/>
  <c r="J76" i="1"/>
  <c r="P76" i="1" s="1"/>
  <c r="J56" i="1"/>
  <c r="P56" i="1" s="1"/>
  <c r="J88" i="1"/>
  <c r="P88" i="1" s="1"/>
  <c r="J70" i="1"/>
  <c r="P70" i="1" s="1"/>
  <c r="J77" i="1"/>
  <c r="P77" i="1" s="1"/>
  <c r="J65" i="1"/>
  <c r="P65" i="1" s="1"/>
  <c r="J111" i="1"/>
  <c r="P111" i="1" s="1"/>
  <c r="J16" i="1"/>
  <c r="P3" i="1" l="1"/>
</calcChain>
</file>

<file path=xl/sharedStrings.xml><?xml version="1.0" encoding="utf-8"?>
<sst xmlns="http://schemas.openxmlformats.org/spreadsheetml/2006/main" count="1318" uniqueCount="64">
  <si>
    <t xml:space="preserve"> </t>
  </si>
  <si>
    <t>sfr.stage.csv</t>
  </si>
  <si>
    <t>sfr.reach31.csv</t>
  </si>
  <si>
    <t>sfr.reach29.csv</t>
  </si>
  <si>
    <t>sfr.reach24.csv</t>
  </si>
  <si>
    <t>sfr.reach01.csv</t>
  </si>
  <si>
    <t>sfr.allreaches.csv</t>
  </si>
  <si>
    <t>obs_uzf_column.csv</t>
  </si>
  <si>
    <t>obs_uzf.csv</t>
  </si>
  <si>
    <t>obs_lak.csv</t>
  </si>
  <si>
    <t>.wel</t>
  </si>
  <si>
    <t>.bud</t>
  </si>
  <si>
    <t>.ghb</t>
  </si>
  <si>
    <t>.uzf.obs</t>
  </si>
  <si>
    <t>.uzf.bud</t>
  </si>
  <si>
    <t>.hds</t>
  </si>
  <si>
    <t>.uzf</t>
  </si>
  <si>
    <t>.rcha</t>
  </si>
  <si>
    <t>.cbc</t>
  </si>
  <si>
    <t>.sfr.obs.csv</t>
  </si>
  <si>
    <t>.gwf.obs.csv</t>
  </si>
  <si>
    <t>.sfr.obs</t>
  </si>
  <si>
    <t>.gwf.obs</t>
  </si>
  <si>
    <t>.sfr.bud</t>
  </si>
  <si>
    <t>.evta</t>
  </si>
  <si>
    <t>.sfr.bin</t>
  </si>
  <si>
    <t>.sto</t>
  </si>
  <si>
    <t>.mvr.bud</t>
  </si>
  <si>
    <t>mfsim.nam</t>
  </si>
  <si>
    <t>.lak.bud</t>
  </si>
  <si>
    <t>.dis.grb</t>
  </si>
  <si>
    <t>.lak.bin</t>
  </si>
  <si>
    <t>mfsim.lst</t>
  </si>
  <si>
    <t>.tdis</t>
  </si>
  <si>
    <t>.nam</t>
  </si>
  <si>
    <t>.sfr</t>
  </si>
  <si>
    <t>.mvr</t>
  </si>
  <si>
    <t>.oc</t>
  </si>
  <si>
    <t>.npf</t>
  </si>
  <si>
    <t>.lak.obs.csv</t>
  </si>
  <si>
    <t>.lak.obs</t>
  </si>
  <si>
    <t>.lst</t>
  </si>
  <si>
    <t>.lak</t>
  </si>
  <si>
    <t>.sfr.ts</t>
  </si>
  <si>
    <t>.ims</t>
  </si>
  <si>
    <t>.ic</t>
  </si>
  <si>
    <t>.dis</t>
  </si>
  <si>
    <t>.chd</t>
  </si>
  <si>
    <t xml:space="preserve"> -</t>
  </si>
  <si>
    <t>FIX</t>
  </si>
  <si>
    <t>A7</t>
  </si>
  <si>
    <t>A6</t>
  </si>
  <si>
    <t>A5</t>
  </si>
  <si>
    <t>A4</t>
  </si>
  <si>
    <t>A3</t>
  </si>
  <si>
    <t>A2</t>
  </si>
  <si>
    <t>A1</t>
  </si>
  <si>
    <t>RES</t>
  </si>
  <si>
    <t xml:space="preserve"> -- </t>
  </si>
  <si>
    <t xml:space="preserve">← PREP </t>
  </si>
  <si>
    <t>MANU</t>
  </si>
  <si>
    <t>↓</t>
  </si>
  <si>
    <t>REF2</t>
  </si>
  <si>
    <t>REF1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</si>
</sst>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6"/>
      <color rgb="FF0000FF"/>
      <name val="Calibri"/>
      <family val="2"/>
      <scheme val="minor"/>
    </font>
    <font>
      <sz val="6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color theme="0" tint="-0.499984740745262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1"/>
      <color rgb="FF00B050"/>
      <name val="Calibri"/>
      <family val="2"/>
    </font>
    <font>
      <sz val="5"/>
      <color rgb="FF0000FF"/>
      <name val="Calibri"/>
      <family val="2"/>
      <scheme val="minor"/>
    </font>
    <font>
      <sz val="5"/>
      <color rgb="FF00B050"/>
      <name val="Calibri"/>
      <family val="2"/>
      <scheme val="minor"/>
    </font>
    <font>
      <sz val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right" vertical="center"/>
    </xf>
    <xf numFmtId="0" fontId="22" fillId="9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2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23" fillId="4" borderId="0" xfId="0" applyFont="1" applyFill="1" applyAlignment="1">
      <alignment horizontal="right" vertical="center"/>
    </xf>
    <xf numFmtId="0" fontId="23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vertical="center"/>
    </xf>
    <xf numFmtId="0" fontId="0" fillId="2" borderId="0" xfId="0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5_REPOS\02_Beta-Me\Beta_xls\11_15_51_SFR.xlsx" TargetMode="External"/><Relationship Id="rId1" Type="http://schemas.openxmlformats.org/officeDocument/2006/relationships/externalLinkPath" Target="/15_REPOS/02_Beta-Me/Beta_xls/11_15_51_S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"/>
      <sheetName val="b"/>
      <sheetName val="tacho"/>
      <sheetName val="CVS"/>
      <sheetName val="12"/>
      <sheetName val="13"/>
      <sheetName val="14"/>
      <sheetName val="15"/>
      <sheetName val="51"/>
      <sheetName val="SF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64EB-7054-4837-851C-9B9181646779}">
  <sheetPr>
    <tabColor rgb="FF00B0F0"/>
  </sheetPr>
  <dimension ref="A1:BZ1525"/>
  <sheetViews>
    <sheetView tabSelected="1" workbookViewId="0">
      <selection activeCell="BT30" sqref="BT30"/>
    </sheetView>
  </sheetViews>
  <sheetFormatPr defaultRowHeight="12" customHeight="1" x14ac:dyDescent="0.25"/>
  <cols>
    <col min="1" max="1" width="1.85546875" style="11" customWidth="1"/>
    <col min="2" max="5" width="3" style="13" hidden="1" customWidth="1"/>
    <col min="6" max="6" width="14.140625" style="13" hidden="1" customWidth="1"/>
    <col min="7" max="7" width="19" style="12" hidden="1" customWidth="1"/>
    <col min="8" max="9" width="3" style="13" hidden="1" customWidth="1"/>
    <col min="10" max="10" width="11.85546875" style="12" hidden="1" customWidth="1"/>
    <col min="11" max="11" width="1.140625" style="12" hidden="1" customWidth="1"/>
    <col min="12" max="12" width="1.85546875" style="11" hidden="1" customWidth="1"/>
    <col min="13" max="13" width="1.85546875" style="10" customWidth="1"/>
    <col min="14" max="15" width="7" style="10" customWidth="1"/>
    <col min="16" max="16" width="3.85546875" style="3" customWidth="1"/>
    <col min="17" max="17" width="1.28515625" style="6" bestFit="1" customWidth="1"/>
    <col min="18" max="23" width="2.42578125" style="9" hidden="1" customWidth="1"/>
    <col min="24" max="24" width="1.28515625" style="9" hidden="1" customWidth="1"/>
    <col min="25" max="25" width="2.42578125" style="9" hidden="1" customWidth="1"/>
    <col min="26" max="27" width="7" style="8" hidden="1" customWidth="1"/>
    <col min="28" max="28" width="11.5703125" style="8" hidden="1" customWidth="1"/>
    <col min="29" max="30" width="7.5703125" style="8" hidden="1" customWidth="1"/>
    <col min="31" max="31" width="7" style="8" hidden="1" customWidth="1"/>
    <col min="32" max="32" width="1.28515625" style="8" hidden="1" customWidth="1"/>
    <col min="33" max="33" width="2.42578125" style="8" hidden="1" customWidth="1"/>
    <col min="34" max="39" width="2.42578125" style="7" hidden="1" customWidth="1"/>
    <col min="40" max="40" width="2" style="7" hidden="1" customWidth="1"/>
    <col min="41" max="41" width="1.85546875" style="6" bestFit="1" customWidth="1"/>
    <col min="42" max="45" width="3.28515625" style="5" customWidth="1"/>
    <col min="46" max="48" width="3.28515625" style="1" customWidth="1"/>
    <col min="49" max="49" width="3.5703125" style="4" customWidth="1"/>
    <col min="50" max="50" width="2.140625" style="4" customWidth="1"/>
    <col min="51" max="52" width="15.5703125" style="3" customWidth="1"/>
    <col min="53" max="53" width="1.42578125" style="4" bestFit="1" customWidth="1"/>
    <col min="54" max="54" width="2.7109375" style="4" hidden="1" customWidth="1"/>
    <col min="55" max="55" width="2.7109375" style="3" hidden="1" customWidth="1"/>
    <col min="56" max="56" width="8.5703125" style="3" hidden="1" customWidth="1"/>
    <col min="57" max="57" width="16.140625" style="4" hidden="1" customWidth="1"/>
    <col min="58" max="58" width="1.28515625" style="3" bestFit="1" customWidth="1"/>
    <col min="59" max="64" width="15.42578125" style="2" customWidth="1"/>
    <col min="65" max="65" width="3.28515625" style="2" customWidth="1"/>
    <col min="66" max="16384" width="9.140625" style="1"/>
  </cols>
  <sheetData>
    <row r="1" spans="1:78" s="6" customFormat="1" ht="12" customHeight="1" x14ac:dyDescent="0.25">
      <c r="A1" s="26">
        <f>COLUMN()</f>
        <v>1</v>
      </c>
      <c r="B1" s="26"/>
      <c r="C1" s="26"/>
      <c r="D1" s="26"/>
      <c r="E1" s="26"/>
      <c r="F1" s="26"/>
      <c r="G1" s="75"/>
      <c r="H1" s="26"/>
      <c r="I1" s="26"/>
      <c r="J1" s="75"/>
      <c r="K1" s="75"/>
      <c r="L1" s="26"/>
      <c r="M1" s="26">
        <f>COLUMN()-COLUMN(A1)</f>
        <v>12</v>
      </c>
      <c r="N1" s="77"/>
      <c r="O1" s="76"/>
      <c r="P1" s="74"/>
      <c r="Q1" s="26">
        <f>COLUMN()-COLUMN(P1)</f>
        <v>1</v>
      </c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26">
        <f>COLUMN()-$Q1</f>
        <v>40</v>
      </c>
      <c r="AP1" s="75"/>
      <c r="AQ1" s="16"/>
      <c r="AR1" s="16"/>
      <c r="AS1" s="75"/>
      <c r="AT1" s="16"/>
      <c r="AU1" s="16"/>
      <c r="AV1" s="16"/>
      <c r="AW1" s="73"/>
      <c r="AX1" s="26"/>
      <c r="AY1" s="74"/>
      <c r="AZ1" s="74"/>
      <c r="BA1" s="26">
        <f>COLUMN()-COLUMN(AZ1)</f>
        <v>1</v>
      </c>
      <c r="BB1" s="73"/>
      <c r="BC1" s="74"/>
      <c r="BD1" s="74"/>
      <c r="BE1" s="73"/>
      <c r="BF1" s="26">
        <f>COLUMN()-COLUMN(BA1)</f>
        <v>5</v>
      </c>
      <c r="BG1" s="72"/>
      <c r="BH1" s="72"/>
      <c r="BI1" s="72"/>
      <c r="BJ1" s="72"/>
      <c r="BK1" s="72"/>
      <c r="BL1" s="72"/>
      <c r="BM1" s="72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</row>
    <row r="2" spans="1:78" ht="12" customHeight="1" x14ac:dyDescent="0.25">
      <c r="A2" s="26"/>
      <c r="B2" s="28"/>
      <c r="C2" s="28"/>
      <c r="D2" s="28"/>
      <c r="E2" s="42"/>
      <c r="F2" s="28"/>
      <c r="G2" s="27"/>
      <c r="H2" s="28"/>
      <c r="I2" s="28"/>
      <c r="J2" s="27"/>
      <c r="K2" s="27"/>
      <c r="L2" s="26"/>
      <c r="M2" s="25"/>
      <c r="N2" s="27" t="s">
        <v>63</v>
      </c>
      <c r="O2" s="71" t="s">
        <v>62</v>
      </c>
      <c r="P2" s="60"/>
      <c r="Q2" s="60"/>
      <c r="R2" s="34"/>
      <c r="S2" s="34"/>
      <c r="T2" s="34"/>
      <c r="U2" s="34"/>
      <c r="V2" s="34"/>
      <c r="W2" s="34"/>
      <c r="X2" s="34"/>
      <c r="Y2" s="34"/>
      <c r="Z2" s="35"/>
      <c r="AA2" s="35"/>
      <c r="AB2" s="35"/>
      <c r="AC2" s="35"/>
      <c r="AD2" s="35"/>
      <c r="AE2" s="35"/>
      <c r="AF2" s="35"/>
      <c r="AG2" s="35"/>
      <c r="AH2" s="34"/>
      <c r="AI2" s="34"/>
      <c r="AJ2" s="34"/>
      <c r="AK2" s="34"/>
      <c r="AL2" s="34"/>
      <c r="AM2" s="34"/>
      <c r="AN2" s="34"/>
      <c r="AO2" s="60"/>
      <c r="AP2" s="70"/>
      <c r="AQ2" s="70"/>
      <c r="AR2" s="70"/>
      <c r="AS2" s="70"/>
      <c r="AT2" s="60"/>
      <c r="AU2" s="60"/>
      <c r="AV2" s="60"/>
      <c r="AW2" s="60"/>
      <c r="AX2" s="60"/>
      <c r="AY2" s="64" t="s">
        <v>61</v>
      </c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</row>
    <row r="3" spans="1:78" ht="12" customHeight="1" x14ac:dyDescent="0.25">
      <c r="A3" s="25"/>
      <c r="B3" s="59"/>
      <c r="C3" s="68">
        <f>MAX(C5:C1000)</f>
        <v>22</v>
      </c>
      <c r="D3" s="68">
        <f>COUNTA(N5:N1000)-C3</f>
        <v>14</v>
      </c>
      <c r="E3" s="69"/>
      <c r="F3" s="59"/>
      <c r="G3" s="59"/>
      <c r="H3" s="68"/>
      <c r="I3" s="68"/>
      <c r="J3" s="59"/>
      <c r="K3" s="59"/>
      <c r="L3" s="67"/>
      <c r="M3" s="25"/>
      <c r="N3" s="66">
        <f>COUNTA(N5:N181)</f>
        <v>36</v>
      </c>
      <c r="O3" s="65">
        <f>COUNTA(O5:O181)</f>
        <v>32</v>
      </c>
      <c r="P3" s="61">
        <f>SUM(K5:K52)</f>
        <v>46</v>
      </c>
      <c r="Q3" s="60"/>
      <c r="R3" s="34"/>
      <c r="S3" s="34"/>
      <c r="T3" s="34"/>
      <c r="U3" s="34"/>
      <c r="V3" s="34"/>
      <c r="W3" s="34"/>
      <c r="X3" s="34"/>
      <c r="Y3" s="34"/>
      <c r="Z3" s="35"/>
      <c r="AA3" s="35"/>
      <c r="AB3" s="35"/>
      <c r="AC3" s="35"/>
      <c r="AD3" s="35"/>
      <c r="AE3" s="35"/>
      <c r="AF3" s="35"/>
      <c r="AG3" s="35"/>
      <c r="AH3" s="34">
        <f>MAX(AH5:AH1000)</f>
        <v>21</v>
      </c>
      <c r="AI3" s="34">
        <f>MAX(AI5:AI1000)</f>
        <v>15</v>
      </c>
      <c r="AJ3" s="34">
        <f>MAX(AJ5:AJ1000)</f>
        <v>36</v>
      </c>
      <c r="AK3" s="34">
        <f>MAX(AK5:AK1000)</f>
        <v>22</v>
      </c>
      <c r="AL3" s="34">
        <f>MAX(AL5:AL1000)</f>
        <v>24</v>
      </c>
      <c r="AM3" s="34">
        <f>MAX(AM5:AM1000)</f>
        <v>24</v>
      </c>
      <c r="AN3" s="34">
        <f>MAX(AN5:AN1000)</f>
        <v>0</v>
      </c>
      <c r="AO3" s="60"/>
      <c r="AP3" s="61">
        <f>COUNTA(AP5:AP322)</f>
        <v>21</v>
      </c>
      <c r="AQ3" s="61">
        <f>COUNTA(AQ5:AQ322)</f>
        <v>16</v>
      </c>
      <c r="AR3" s="61">
        <f>COUNTA(AR5:AR322)</f>
        <v>36</v>
      </c>
      <c r="AS3" s="61">
        <f>COUNTA(AS5:AS322)</f>
        <v>22</v>
      </c>
      <c r="AT3" s="61">
        <f>COUNTA(AT5:AT322)</f>
        <v>24</v>
      </c>
      <c r="AU3" s="61">
        <f>COUNTA(AU5:AU322)</f>
        <v>24</v>
      </c>
      <c r="AV3" s="61"/>
      <c r="AW3" s="61"/>
      <c r="AX3" s="61"/>
      <c r="AY3" s="64" t="s">
        <v>60</v>
      </c>
      <c r="AZ3" s="63" t="s">
        <v>59</v>
      </c>
      <c r="BA3" s="61"/>
      <c r="BB3" s="61"/>
      <c r="BC3" s="61"/>
      <c r="BD3" s="61"/>
      <c r="BE3" s="62"/>
      <c r="BF3" s="61"/>
      <c r="BG3" s="60"/>
      <c r="BH3" s="60"/>
      <c r="BI3" s="60"/>
      <c r="BJ3" s="60"/>
      <c r="BK3" s="60"/>
      <c r="BL3" s="60"/>
      <c r="BM3" s="60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</row>
    <row r="4" spans="1:78" ht="12" customHeight="1" x14ac:dyDescent="0.25">
      <c r="A4" s="20"/>
      <c r="B4" s="59">
        <f>COUNTA(N5:N1000)</f>
        <v>36</v>
      </c>
      <c r="C4" s="59"/>
      <c r="D4" s="59"/>
      <c r="E4" s="59">
        <f>COUNTA(O5:O1000)</f>
        <v>32</v>
      </c>
      <c r="F4" s="59"/>
      <c r="G4" s="58"/>
      <c r="H4" s="59"/>
      <c r="I4" s="59"/>
      <c r="J4" s="58"/>
      <c r="K4" s="58"/>
      <c r="L4" s="20"/>
      <c r="M4" s="25"/>
      <c r="N4" s="57" t="s">
        <v>58</v>
      </c>
      <c r="O4" s="56" t="s">
        <v>58</v>
      </c>
      <c r="P4" s="55" t="s">
        <v>57</v>
      </c>
      <c r="Q4" s="16" t="s">
        <v>0</v>
      </c>
      <c r="R4" s="53">
        <v>1</v>
      </c>
      <c r="S4" s="53">
        <f>R4+1</f>
        <v>2</v>
      </c>
      <c r="T4" s="53">
        <f>S4+1</f>
        <v>3</v>
      </c>
      <c r="U4" s="53">
        <f>T4+1</f>
        <v>4</v>
      </c>
      <c r="V4" s="53">
        <f>U4+1</f>
        <v>5</v>
      </c>
      <c r="W4" s="53">
        <f>V4+1</f>
        <v>6</v>
      </c>
      <c r="X4" s="53">
        <f>W4+1</f>
        <v>7</v>
      </c>
      <c r="Y4" s="53"/>
      <c r="Z4" s="54">
        <v>1</v>
      </c>
      <c r="AA4" s="54">
        <f>Z4+1</f>
        <v>2</v>
      </c>
      <c r="AB4" s="54">
        <f>AA4+1</f>
        <v>3</v>
      </c>
      <c r="AC4" s="54">
        <f>AB4+1</f>
        <v>4</v>
      </c>
      <c r="AD4" s="54">
        <f>AC4+1</f>
        <v>5</v>
      </c>
      <c r="AE4" s="54">
        <f>AD4+1</f>
        <v>6</v>
      </c>
      <c r="AF4" s="54">
        <f>AE4+1</f>
        <v>7</v>
      </c>
      <c r="AG4" s="54"/>
      <c r="AH4" s="53" t="s">
        <v>56</v>
      </c>
      <c r="AI4" s="53" t="s">
        <v>55</v>
      </c>
      <c r="AJ4" s="53" t="s">
        <v>54</v>
      </c>
      <c r="AK4" s="53" t="s">
        <v>53</v>
      </c>
      <c r="AL4" s="53" t="s">
        <v>52</v>
      </c>
      <c r="AM4" s="53" t="s">
        <v>51</v>
      </c>
      <c r="AN4" s="53" t="s">
        <v>50</v>
      </c>
      <c r="AO4" s="16"/>
      <c r="AP4" s="52">
        <v>11</v>
      </c>
      <c r="AQ4" s="52">
        <v>12</v>
      </c>
      <c r="AR4" s="52">
        <v>13</v>
      </c>
      <c r="AS4" s="52">
        <v>14</v>
      </c>
      <c r="AT4" s="52">
        <v>15</v>
      </c>
      <c r="AU4" s="52">
        <v>51</v>
      </c>
      <c r="AV4" s="51" t="s">
        <v>48</v>
      </c>
      <c r="AW4" s="50" t="s">
        <v>49</v>
      </c>
      <c r="AX4" s="20" t="s">
        <v>0</v>
      </c>
      <c r="AY4" s="30" t="s">
        <v>48</v>
      </c>
      <c r="AZ4" s="30" t="s">
        <v>48</v>
      </c>
      <c r="BA4" s="20"/>
      <c r="BB4" s="37"/>
      <c r="BC4" s="44">
        <f>COUNT(BC5:BC54)</f>
        <v>37</v>
      </c>
      <c r="BD4" s="44">
        <f>ROW()</f>
        <v>4</v>
      </c>
      <c r="BE4" s="20" t="str">
        <f>P4</f>
        <v>RES</v>
      </c>
      <c r="BF4" s="37"/>
      <c r="BG4" s="49">
        <f>IF(AP4=0,"",AP4)</f>
        <v>11</v>
      </c>
      <c r="BH4" s="49">
        <f>IF(AQ4=0,"",AQ4)</f>
        <v>12</v>
      </c>
      <c r="BI4" s="49">
        <f>IF(AR4=0,"",AR4)</f>
        <v>13</v>
      </c>
      <c r="BJ4" s="49">
        <f>IF(AS4=0,"",AS4)</f>
        <v>14</v>
      </c>
      <c r="BK4" s="49">
        <f>IF(AT4=0,"",AT4)</f>
        <v>15</v>
      </c>
      <c r="BL4" s="49">
        <f>IF(AU4=0,"",AU4)</f>
        <v>51</v>
      </c>
      <c r="BM4" s="19" t="str">
        <f>IF(ISNUMBER(MATCH($BE4,AF$5:AF$501,0)),INDEX(AF$5:AF$501,MATCH($BE4,AF$5:AF$501,0),1),"")</f>
        <v/>
      </c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  <row r="5" spans="1:78" ht="12" customHeight="1" x14ac:dyDescent="0.25">
      <c r="A5" s="26"/>
      <c r="B5" s="28">
        <f>IF(ISNUMBER(MATCH(O5,$N$5:$N$1000,0)),MATCH(O5,$N$5:$N$1000,0),"")</f>
        <v>1</v>
      </c>
      <c r="C5" s="15">
        <f>IF(ISNUMBER(B5),MAX(C$4:C4)+1,"")</f>
        <v>1</v>
      </c>
      <c r="D5" s="15" t="str">
        <f>IF(IF(ISNUMBER(B5),"",MAX(D$4:D4)+1)&lt;=D$3,IF(ISNUMBER(B5),"",MAX(D$4:D4)+1),"")</f>
        <v/>
      </c>
      <c r="E5" s="42">
        <f>IF(M5&lt;=D$3,MATCH(M5,D$5:D$1000,0),"")</f>
        <v>2</v>
      </c>
      <c r="F5" s="28" t="str">
        <f>IF(ISNUMBER(E5),INDEX($N$5:$N$1000,E5,1),"")</f>
        <v>.dis</v>
      </c>
      <c r="G5" s="27" t="str">
        <f>IF(ISNUMBER(C5),N5,IF(ISTEXT(N5),INDEX($F$5:$F$1000,MATCH(M5,$E$5:$E$1000,0),1),""))</f>
        <v>.cbc</v>
      </c>
      <c r="H5" s="15" t="str">
        <f>IF(O5="","",IF(ISNUMBER(MATCH(O5,$G$5:$G$1000,0)),"",IF(D5=1,C$3,0)+MAX(H$4:H4)+1))</f>
        <v/>
      </c>
      <c r="I5" s="15" t="str">
        <f>IF(O5="","",IF(ISNUMBER(MATCH(O5,$G$5:$G$1000,0)),"",IF(D5=1,B$4,0)+MAX(I$4:I4)+1))</f>
        <v/>
      </c>
      <c r="J5" s="27" t="str">
        <f>IF(ISNUMBER(MATCH(M5,$I$5:$I$1000,0)),INDEX($O$5:$O$1000,MATCH(M5,$I$5:$I$1000,0),1),"")</f>
        <v/>
      </c>
      <c r="K5" s="27">
        <f>IF(P5="",0,1)</f>
        <v>1</v>
      </c>
      <c r="L5" s="26"/>
      <c r="M5" s="14">
        <f>IF(ROW()-ROW(M$4)&lt;=1000,ROW()-ROW(M$4),"")</f>
        <v>1</v>
      </c>
      <c r="N5" s="43" t="s">
        <v>18</v>
      </c>
      <c r="O5" s="43" t="s">
        <v>18</v>
      </c>
      <c r="P5" s="41" t="str">
        <f>IF(M5&lt;=$B$4,IF(ISTEXT(G5),G5,""),IF(ISTEXT(J5),J5,""))</f>
        <v>.cbc</v>
      </c>
      <c r="Q5" s="16" t="s">
        <v>0</v>
      </c>
      <c r="R5" s="34">
        <f>IF(ROW()-ROW(R$4)&lt;=AH$3,ROW()-ROW(R$4),"")</f>
        <v>1</v>
      </c>
      <c r="S5" s="34">
        <f>IF(ROW()-ROW(S$4)&lt;=AI$3,ROW()-ROW(S$4),"")</f>
        <v>1</v>
      </c>
      <c r="T5" s="34">
        <f>IF(ROW()-ROW(T$4)&lt;=AJ$3,ROW()-ROW(T$4),"")</f>
        <v>1</v>
      </c>
      <c r="U5" s="34">
        <f>IF(ROW()-ROW(U$4)&lt;=AK$3,ROW()-ROW(U$4),"")</f>
        <v>1</v>
      </c>
      <c r="V5" s="34">
        <f>IF(ROW()-ROW(V$4)&lt;=AL$3,ROW()-ROW(V$4),"")</f>
        <v>1</v>
      </c>
      <c r="W5" s="34">
        <f>IF(ROW()-ROW(W$4)&lt;=AM$3,ROW()-ROW(W$4),"")</f>
        <v>1</v>
      </c>
      <c r="X5" s="34" t="str">
        <f>IF(ROW()-ROW(X$4)&lt;=AN$3,ROW()-ROW(X$4),"")</f>
        <v/>
      </c>
      <c r="Y5" s="34"/>
      <c r="Z5" s="35" t="str">
        <f>IF(ISNUMBER(R5),INDEX($BE$5:$BE$2999,MATCH(R5,AH$5:AH$2999,0),1),"")</f>
        <v>.ic</v>
      </c>
      <c r="AA5" s="35" t="str">
        <f>IF(ISNUMBER(S5),INDEX($BE$5:$BE$2999,MATCH(S5,AI$5:AI$2999,0),1),"")</f>
        <v>.ic</v>
      </c>
      <c r="AB5" s="35" t="str">
        <f>IF(ISNUMBER(T5),INDEX($BE$5:$BE$2999,MATCH(T5,AJ$5:AJ$2999,0),1),"")</f>
        <v>.ic</v>
      </c>
      <c r="AC5" s="35" t="str">
        <f>IF(ISNUMBER(U5),INDEX($BE$5:$BE$2999,MATCH(U5,AK$5:AK$2999,0),1),"")</f>
        <v>.chd</v>
      </c>
      <c r="AD5" s="35" t="str">
        <f>IF(ISNUMBER(V5),INDEX($BE$5:$BE$2999,MATCH(V5,AL$5:AL$2999,0),1),"")</f>
        <v>.chd</v>
      </c>
      <c r="AE5" s="35" t="str">
        <f>IF(ISNUMBER(W5),INDEX($BE$5:$BE$2999,MATCH(W5,AM$5:AM$2999,0),1),"")</f>
        <v>.chd</v>
      </c>
      <c r="AF5" s="35" t="str">
        <f>IF(ISNUMBER(X5),INDEX($BE$5:$BE$2999,MATCH(X5,AN$5:AN$2999,0),1),"")</f>
        <v/>
      </c>
      <c r="AG5" s="35"/>
      <c r="AH5" s="34">
        <f>IF($BE5="","",IF(ISNUMBER(MATCH($BE5,AP$5:AP$29999,0)),MAX(AH$4:AH4)+1,0))</f>
        <v>0</v>
      </c>
      <c r="AI5" s="34">
        <f>IF($BE5="","",IF(ISNUMBER(MATCH($BE5,AQ$5:AQ$29999,0)),MAX(AI$4:AI4)+1,0))</f>
        <v>0</v>
      </c>
      <c r="AJ5" s="34">
        <f>IF($BE5="","",IF(ISNUMBER(MATCH($BE5,AR$5:AR$29999,0)),MAX(AJ$4:AJ4)+1,0))</f>
        <v>0</v>
      </c>
      <c r="AK5" s="34">
        <f>IF($BE5="","",IF(ISNUMBER(MATCH($BE5,AS$5:AS$29999,0)),MAX(AK$4:AK4)+1,0))</f>
        <v>1</v>
      </c>
      <c r="AL5" s="34">
        <f>IF($BE5="","",IF(ISNUMBER(MATCH($BE5,AT$5:AT$29999,0)),MAX(AL$4:AL4)+1,0))</f>
        <v>1</v>
      </c>
      <c r="AM5" s="34">
        <f>IF($BE5="","",IF(ISNUMBER(MATCH($BE5,AU$5:AU$29999,0)),MAX(AM$4:AM4)+1,0))</f>
        <v>1</v>
      </c>
      <c r="AN5" s="34">
        <f>IF($BE5="","",IF(ISNUMBER(MATCH($BE5,AV$5:AV$29999,0)),MAX(AN$4:AN4)+1,0))</f>
        <v>0</v>
      </c>
      <c r="AO5" s="16"/>
      <c r="AP5" s="33" t="s">
        <v>18</v>
      </c>
      <c r="AQ5" s="33" t="s">
        <v>46</v>
      </c>
      <c r="AR5" s="33" t="s">
        <v>18</v>
      </c>
      <c r="AS5" s="33" t="s">
        <v>18</v>
      </c>
      <c r="AT5" s="33" t="s">
        <v>18</v>
      </c>
      <c r="AU5" s="33" t="s">
        <v>11</v>
      </c>
      <c r="AV5" s="32" t="s">
        <v>0</v>
      </c>
      <c r="AW5" s="40" t="s">
        <v>18</v>
      </c>
      <c r="AX5" s="20" t="s">
        <v>0</v>
      </c>
      <c r="AY5" s="30" t="s">
        <v>47</v>
      </c>
      <c r="AZ5" s="30" t="s">
        <v>47</v>
      </c>
      <c r="BA5" s="39" t="s">
        <v>0</v>
      </c>
      <c r="BB5" s="44">
        <f>IF(ISTEXT(AW5),IF(ISNUMBER(MATCH(AW5,$AY$5:$AY$100,0)),0,MAX(BB$4:BB4)+1),"")</f>
        <v>0</v>
      </c>
      <c r="BC5" s="36">
        <f>IF(ISTEXT(AY5),MATCH(AY5,$AW$5:$AW$127,0),"")</f>
        <v>2</v>
      </c>
      <c r="BD5" s="36" t="str">
        <f>IF(ISNUMBER(BC5),AY5,INDEX($AW$5:$AW$140,ROW()-SUM($BC$4:$BD$4),1))</f>
        <v>.chd</v>
      </c>
      <c r="BE5" s="20" t="str">
        <f>IF(ISTEXT(AW5),IF(ISNUMBER(BC5),AY5,INDEX($AW$5:$AW$140,MATCH(BD5,$BB$5:$BB$185,0),1)),"")</f>
        <v>.chd</v>
      </c>
      <c r="BF5" s="36"/>
      <c r="BG5" s="19" t="str">
        <f>IF(ISNUMBER(MATCH($BE5,Z$5:Z$501,0)),INDEX(Z$5:Z$501,MATCH($BE5,Z$5:Z$501,0),1),"")</f>
        <v/>
      </c>
      <c r="BH5" s="19" t="str">
        <f>IF(ISNUMBER(MATCH($BE5,AA$5:AA$501,0)),INDEX(AA$5:AA$501,MATCH($BE5,AA$5:AA$501,0),1),"")</f>
        <v/>
      </c>
      <c r="BI5" s="19" t="str">
        <f>IF(ISNUMBER(MATCH($BE5,AB$5:AB$501,0)),INDEX(AB$5:AB$501,MATCH($BE5,AB$5:AB$501,0),1),"")</f>
        <v/>
      </c>
      <c r="BJ5" s="19" t="str">
        <f>IF(ISNUMBER(MATCH($BE5,AC$5:AC$501,0)),INDEX(AC$5:AC$501,MATCH($BE5,AC$5:AC$501,0),1),"")</f>
        <v>.chd</v>
      </c>
      <c r="BK5" s="19" t="str">
        <f>IF(ISNUMBER(MATCH($BE5,AD$5:AD$501,0)),INDEX(AD$5:AD$501,MATCH($BE5,AD$5:AD$501,0),1),"")</f>
        <v>.chd</v>
      </c>
      <c r="BL5" s="19" t="str">
        <f>IF(ISNUMBER(MATCH($BE5,AE$5:AE$501,0)),INDEX(AE$5:AE$501,MATCH($BE5,AE$5:AE$501,0),1),"")</f>
        <v>.chd</v>
      </c>
      <c r="BM5" s="19" t="str">
        <f>IF(ISNUMBER(MATCH($BE5,AF$5:AF$501,0)),INDEX(AF$5:AF$501,MATCH($BE5,AF$5:AF$501,0),1),"")</f>
        <v/>
      </c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</row>
    <row r="6" spans="1:78" ht="12" customHeight="1" x14ac:dyDescent="0.25">
      <c r="A6" s="26"/>
      <c r="B6" s="28" t="str">
        <f>IF(ISNUMBER(MATCH(O6,$N$5:$N$1000,0)),MATCH(O6,$N$5:$N$1000,0),"")</f>
        <v/>
      </c>
      <c r="C6" s="15" t="str">
        <f>IF(ISNUMBER(B6),MAX(C$4:C5)+1,"")</f>
        <v/>
      </c>
      <c r="D6" s="15">
        <f>IF(IF(ISNUMBER(B6),"",MAX(D$4:D5)+1)&lt;=D$3,IF(ISNUMBER(B6),"",MAX(D$4:D5)+1),"")</f>
        <v>1</v>
      </c>
      <c r="E6" s="42">
        <f>IF(M6&lt;=D$3,MATCH(M6,D$5:D$1000,0),"")</f>
        <v>5</v>
      </c>
      <c r="F6" s="28" t="str">
        <f>IF(ISNUMBER(E6),INDEX($N$5:$N$1000,E6,1),"")</f>
        <v>.hds</v>
      </c>
      <c r="G6" s="27" t="str">
        <f>IF(ISNUMBER(C6),N6,IF(ISTEXT(N6),INDEX($F$5:$F$1000,MATCH(M6,$E$5:$E$1000,0),1),""))</f>
        <v>.dis</v>
      </c>
      <c r="H6" s="15">
        <f>IF(O6="","",IF(ISNUMBER(MATCH(O6,$G$5:$G$1000,0)),"",IF(D6=1,C$3,0)+MAX(H$4:H5)+1))</f>
        <v>23</v>
      </c>
      <c r="I6" s="15">
        <f>IF(O6="","",IF(ISNUMBER(MATCH(O6,$G$5:$G$1000,0)),"",IF(D6=1,B$4,0)+MAX(I$4:I5)+1))</f>
        <v>37</v>
      </c>
      <c r="J6" s="27" t="str">
        <f>IF(ISNUMBER(MATCH(M6,$I$5:$I$1000,0)),INDEX($O$5:$O$1000,MATCH(M6,$I$5:$I$1000,0),1),"")</f>
        <v/>
      </c>
      <c r="K6" s="27">
        <f>IF(P6="",0,1)</f>
        <v>1</v>
      </c>
      <c r="L6" s="26"/>
      <c r="M6" s="14">
        <f>IF(ROW()-ROW(M$4)&lt;=1000,ROW()-ROW(M$4),"")</f>
        <v>2</v>
      </c>
      <c r="N6" s="43" t="s">
        <v>46</v>
      </c>
      <c r="O6" s="43" t="s">
        <v>47</v>
      </c>
      <c r="P6" s="41" t="str">
        <f>IF(M6&lt;=$B$4,IF(ISTEXT(G6),G6,""),IF(ISTEXT(J6),J6,""))</f>
        <v>.dis</v>
      </c>
      <c r="Q6" s="16" t="s">
        <v>0</v>
      </c>
      <c r="R6" s="34">
        <f>IF(ROW()-ROW(R$4)&lt;=AH$3,ROW()-ROW(R$4),"")</f>
        <v>2</v>
      </c>
      <c r="S6" s="34">
        <f>IF(ROW()-ROW(S$4)&lt;=AI$3,ROW()-ROW(S$4),"")</f>
        <v>2</v>
      </c>
      <c r="T6" s="34">
        <f>IF(ROW()-ROW(T$4)&lt;=AJ$3,ROW()-ROW(T$4),"")</f>
        <v>2</v>
      </c>
      <c r="U6" s="34">
        <f>IF(ROW()-ROW(U$4)&lt;=AK$3,ROW()-ROW(U$4),"")</f>
        <v>2</v>
      </c>
      <c r="V6" s="34">
        <f>IF(ROW()-ROW(V$4)&lt;=AL$3,ROW()-ROW(V$4),"")</f>
        <v>2</v>
      </c>
      <c r="W6" s="34">
        <f>IF(ROW()-ROW(W$4)&lt;=AM$3,ROW()-ROW(W$4),"")</f>
        <v>2</v>
      </c>
      <c r="X6" s="34" t="str">
        <f>IF(ROW()-ROW(X$4)&lt;=AN$3,ROW()-ROW(X$4),"")</f>
        <v/>
      </c>
      <c r="Y6" s="34"/>
      <c r="Z6" s="35" t="str">
        <f>IF(ISNUMBER(R6),INDEX($BE$5:$BE$2999,MATCH(R6,AH$5:AH$2999,0),1),"")</f>
        <v>.oc</v>
      </c>
      <c r="AA6" s="35" t="str">
        <f>IF(ISNUMBER(S6),INDEX($BE$5:$BE$2999,MATCH(S6,AI$5:AI$2999,0),1),"")</f>
        <v>.oc</v>
      </c>
      <c r="AB6" s="35" t="str">
        <f>IF(ISNUMBER(T6),INDEX($BE$5:$BE$2999,MATCH(T6,AJ$5:AJ$2999,0),1),"")</f>
        <v>.oc</v>
      </c>
      <c r="AC6" s="35" t="str">
        <f>IF(ISNUMBER(U6),INDEX($BE$5:$BE$2999,MATCH(U6,AK$5:AK$2999,0),1),"")</f>
        <v>.ic</v>
      </c>
      <c r="AD6" s="35" t="str">
        <f>IF(ISNUMBER(V6),INDEX($BE$5:$BE$2999,MATCH(V6,AL$5:AL$2999,0),1),"")</f>
        <v>.ic</v>
      </c>
      <c r="AE6" s="35" t="str">
        <f>IF(ISNUMBER(W6),INDEX($BE$5:$BE$2999,MATCH(W6,AM$5:AM$2999,0),1),"")</f>
        <v>.ic</v>
      </c>
      <c r="AF6" s="35" t="str">
        <f>IF(ISNUMBER(X6),INDEX($BE$5:$BE$2999,MATCH(X6,AN$5:AN$2999,0),1),"")</f>
        <v/>
      </c>
      <c r="AG6" s="35"/>
      <c r="AH6" s="34">
        <f>IF($BE6="","",IF(ISNUMBER(MATCH($BE6,AP$5:AP$29999,0)),MAX(AH$4:AH5)+1,0))</f>
        <v>1</v>
      </c>
      <c r="AI6" s="34">
        <f>IF($BE6="","",IF(ISNUMBER(MATCH($BE6,AQ$5:AQ$29999,0)),MAX(AI$4:AI5)+1,0))</f>
        <v>1</v>
      </c>
      <c r="AJ6" s="34">
        <f>IF($BE6="","",IF(ISNUMBER(MATCH($BE6,AR$5:AR$29999,0)),MAX(AJ$4:AJ5)+1,0))</f>
        <v>1</v>
      </c>
      <c r="AK6" s="34">
        <f>IF($BE6="","",IF(ISNUMBER(MATCH($BE6,AS$5:AS$29999,0)),MAX(AK$4:AK5)+1,0))</f>
        <v>2</v>
      </c>
      <c r="AL6" s="34">
        <f>IF($BE6="","",IF(ISNUMBER(MATCH($BE6,AT$5:AT$29999,0)),MAX(AL$4:AL5)+1,0))</f>
        <v>2</v>
      </c>
      <c r="AM6" s="34">
        <f>IF($BE6="","",IF(ISNUMBER(MATCH($BE6,AU$5:AU$29999,0)),MAX(AM$4:AM5)+1,0))</f>
        <v>2</v>
      </c>
      <c r="AN6" s="34">
        <f>IF($BE6="","",IF(ISNUMBER(MATCH($BE6,AV$5:AV$29999,0)),MAX(AN$4:AN5)+1,0))</f>
        <v>0</v>
      </c>
      <c r="AO6" s="16"/>
      <c r="AP6" s="33" t="s">
        <v>46</v>
      </c>
      <c r="AQ6" s="33" t="s">
        <v>30</v>
      </c>
      <c r="AR6" s="33" t="s">
        <v>46</v>
      </c>
      <c r="AS6" s="33" t="s">
        <v>47</v>
      </c>
      <c r="AT6" s="33" t="s">
        <v>47</v>
      </c>
      <c r="AU6" s="33" t="s">
        <v>47</v>
      </c>
      <c r="AV6" s="32" t="s">
        <v>0</v>
      </c>
      <c r="AW6" s="40" t="s">
        <v>47</v>
      </c>
      <c r="AX6" s="20" t="s">
        <v>0</v>
      </c>
      <c r="AY6" s="30" t="s">
        <v>45</v>
      </c>
      <c r="AZ6" s="30" t="s">
        <v>45</v>
      </c>
      <c r="BA6" s="39" t="s">
        <v>0</v>
      </c>
      <c r="BB6" s="44">
        <f>IF(ISTEXT(AW6),IF(ISNUMBER(MATCH(AW6,$AY$5:$AY$100,0)),0,MAX(BB$4:BB5)+1),"")</f>
        <v>0</v>
      </c>
      <c r="BC6" s="36">
        <f>IF(ISTEXT(AY6),MATCH(AY6,$AW$5:$AW$127,0),"")</f>
        <v>9</v>
      </c>
      <c r="BD6" s="36" t="str">
        <f>IF(ISNUMBER(BC6),AY6,ROW()-SUM($BC$4:$BD$4))</f>
        <v>.ic</v>
      </c>
      <c r="BE6" s="20" t="str">
        <f>IF(ISTEXT(AW6),IF(ISNUMBER(BC6),AY6,INDEX($AW$5:$AW$140,MATCH(BD6,$BB$5:$BB$185,0),1)),"")</f>
        <v>.ic</v>
      </c>
      <c r="BF6" s="36"/>
      <c r="BG6" s="19" t="str">
        <f>IF(ISNUMBER(MATCH($BE6,Z$5:Z$501,0)),INDEX(Z$5:Z$501,MATCH($BE6,Z$5:Z$501,0),1),"")</f>
        <v>.ic</v>
      </c>
      <c r="BH6" s="19" t="str">
        <f>IF(ISNUMBER(MATCH($BE6,AA$5:AA$501,0)),INDEX(AA$5:AA$501,MATCH($BE6,AA$5:AA$501,0),1),"")</f>
        <v>.ic</v>
      </c>
      <c r="BI6" s="19" t="str">
        <f>IF(ISNUMBER(MATCH($BE6,AB$5:AB$501,0)),INDEX(AB$5:AB$501,MATCH($BE6,AB$5:AB$501,0),1),"")</f>
        <v>.ic</v>
      </c>
      <c r="BJ6" s="19" t="str">
        <f>IF(ISNUMBER(MATCH($BE6,AC$5:AC$501,0)),INDEX(AC$5:AC$501,MATCH($BE6,AC$5:AC$501,0),1),"")</f>
        <v>.ic</v>
      </c>
      <c r="BK6" s="19" t="str">
        <f>IF(ISNUMBER(MATCH($BE6,AD$5:AD$501,0)),INDEX(AD$5:AD$501,MATCH($BE6,AD$5:AD$501,0),1),"")</f>
        <v>.ic</v>
      </c>
      <c r="BL6" s="19" t="str">
        <f>IF(ISNUMBER(MATCH($BE6,AE$5:AE$501,0)),INDEX(AE$5:AE$501,MATCH($BE6,AE$5:AE$501,0),1),"")</f>
        <v>.ic</v>
      </c>
      <c r="BM6" s="19" t="str">
        <f>IF(ISNUMBER(MATCH($BE6,AF$5:AF$501,0)),INDEX(AF$5:AF$501,MATCH($BE6,AF$5:AF$501,0),1),"")</f>
        <v/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</row>
    <row r="7" spans="1:78" ht="12" customHeight="1" x14ac:dyDescent="0.25">
      <c r="A7" s="26"/>
      <c r="B7" s="28">
        <f>IF(ISNUMBER(MATCH(O7,$N$5:$N$1000,0)),MATCH(O7,$N$5:$N$1000,0),"")</f>
        <v>2</v>
      </c>
      <c r="C7" s="15">
        <f>IF(ISNUMBER(B7),MAX(C$4:C6)+1,"")</f>
        <v>2</v>
      </c>
      <c r="D7" s="15" t="str">
        <f>IF(IF(ISNUMBER(B7),"",MAX(D$4:D6)+1)&lt;=D$3,IF(ISNUMBER(B7),"",MAX(D$4:D6)+1),"")</f>
        <v/>
      </c>
      <c r="E7" s="42">
        <f>IF(M7&lt;=D$3,MATCH(M7,D$5:D$1000,0),"")</f>
        <v>6</v>
      </c>
      <c r="F7" s="28" t="str">
        <f>IF(ISNUMBER(E7),INDEX($N$5:$N$1000,E7,1),"")</f>
        <v>.ic</v>
      </c>
      <c r="G7" s="27" t="str">
        <f>IF(ISNUMBER(C7),N7,IF(ISTEXT(N7),INDEX($F$5:$F$1000,MATCH(M7,$E$5:$E$1000,0),1),""))</f>
        <v>.dis.grb</v>
      </c>
      <c r="H7" s="15" t="str">
        <f>IF(O7="","",IF(ISNUMBER(MATCH(O7,$G$5:$G$1000,0)),"",IF(D7=1,C$3,0)+MAX(H$4:H6)+1))</f>
        <v/>
      </c>
      <c r="I7" s="15" t="str">
        <f>IF(O7="","",IF(ISNUMBER(MATCH(O7,$G$5:$G$1000,0)),"",IF(D7=1,B$4,0)+MAX(I$4:I6)+1))</f>
        <v/>
      </c>
      <c r="J7" s="27" t="str">
        <f>IF(ISNUMBER(MATCH(M7,$I$5:$I$1000,0)),INDEX($O$5:$O$1000,MATCH(M7,$I$5:$I$1000,0),1),"")</f>
        <v/>
      </c>
      <c r="K7" s="27">
        <f>IF(P7="",0,1)</f>
        <v>1</v>
      </c>
      <c r="L7" s="26"/>
      <c r="M7" s="14">
        <f>IF(ROW()-ROW(M$4)&lt;=1000,ROW()-ROW(M$4),"")</f>
        <v>3</v>
      </c>
      <c r="N7" s="43" t="s">
        <v>30</v>
      </c>
      <c r="O7" s="43" t="s">
        <v>46</v>
      </c>
      <c r="P7" s="41" t="str">
        <f>IF(M7&lt;=$B$4,IF(ISTEXT(G7),G7,""),IF(ISTEXT(J7),J7,""))</f>
        <v>.dis.grb</v>
      </c>
      <c r="Q7" s="16" t="s">
        <v>0</v>
      </c>
      <c r="R7" s="34">
        <f>IF(ROW()-ROW(R$4)&lt;=AH$3,ROW()-ROW(R$4),"")</f>
        <v>3</v>
      </c>
      <c r="S7" s="34">
        <f>IF(ROW()-ROW(S$4)&lt;=AI$3,ROW()-ROW(S$4),"")</f>
        <v>3</v>
      </c>
      <c r="T7" s="34">
        <f>IF(ROW()-ROW(T$4)&lt;=AJ$3,ROW()-ROW(T$4),"")</f>
        <v>3</v>
      </c>
      <c r="U7" s="34">
        <f>IF(ROW()-ROW(U$4)&lt;=AK$3,ROW()-ROW(U$4),"")</f>
        <v>3</v>
      </c>
      <c r="V7" s="34">
        <f>IF(ROW()-ROW(V$4)&lt;=AL$3,ROW()-ROW(V$4),"")</f>
        <v>3</v>
      </c>
      <c r="W7" s="34">
        <f>IF(ROW()-ROW(W$4)&lt;=AM$3,ROW()-ROW(W$4),"")</f>
        <v>3</v>
      </c>
      <c r="X7" s="34" t="str">
        <f>IF(ROW()-ROW(X$4)&lt;=AN$3,ROW()-ROW(X$4),"")</f>
        <v/>
      </c>
      <c r="Y7" s="34"/>
      <c r="Z7" s="35" t="str">
        <f>IF(ISNUMBER(R7),INDEX($BE$5:$BE$2999,MATCH(R7,AH$5:AH$2999,0),1),"")</f>
        <v>.ims</v>
      </c>
      <c r="AA7" s="35" t="str">
        <f>IF(ISNUMBER(S7),INDEX($BE$5:$BE$2999,MATCH(S7,AI$5:AI$2999,0),1),"")</f>
        <v>.ims</v>
      </c>
      <c r="AB7" s="35" t="str">
        <f>IF(ISNUMBER(T7),INDEX($BE$5:$BE$2999,MATCH(T7,AJ$5:AJ$2999,0),1),"")</f>
        <v>.ims</v>
      </c>
      <c r="AC7" s="35" t="str">
        <f>IF(ISNUMBER(U7),INDEX($BE$5:$BE$2999,MATCH(U7,AK$5:AK$2999,0),1),"")</f>
        <v>.oc</v>
      </c>
      <c r="AD7" s="35" t="str">
        <f>IF(ISNUMBER(V7),INDEX($BE$5:$BE$2999,MATCH(V7,AL$5:AL$2999,0),1),"")</f>
        <v>.oc</v>
      </c>
      <c r="AE7" s="35" t="str">
        <f>IF(ISNUMBER(W7),INDEX($BE$5:$BE$2999,MATCH(W7,AM$5:AM$2999,0),1),"")</f>
        <v>.oc</v>
      </c>
      <c r="AF7" s="35" t="str">
        <f>IF(ISNUMBER(X7),INDEX($BE$5:$BE$2999,MATCH(X7,AN$5:AN$2999,0),1),"")</f>
        <v/>
      </c>
      <c r="AG7" s="35"/>
      <c r="AH7" s="34">
        <f>IF($BE7="","",IF(ISNUMBER(MATCH($BE7,AP$5:AP$29999,0)),MAX(AH$4:AH6)+1,0))</f>
        <v>2</v>
      </c>
      <c r="AI7" s="34">
        <f>IF($BE7="","",IF(ISNUMBER(MATCH($BE7,AQ$5:AQ$29999,0)),MAX(AI$4:AI6)+1,0))</f>
        <v>2</v>
      </c>
      <c r="AJ7" s="34">
        <f>IF($BE7="","",IF(ISNUMBER(MATCH($BE7,AR$5:AR$29999,0)),MAX(AJ$4:AJ6)+1,0))</f>
        <v>2</v>
      </c>
      <c r="AK7" s="34">
        <f>IF($BE7="","",IF(ISNUMBER(MATCH($BE7,AS$5:AS$29999,0)),MAX(AK$4:AK6)+1,0))</f>
        <v>3</v>
      </c>
      <c r="AL7" s="34">
        <f>IF($BE7="","",IF(ISNUMBER(MATCH($BE7,AT$5:AT$29999,0)),MAX(AL$4:AL6)+1,0))</f>
        <v>3</v>
      </c>
      <c r="AM7" s="34">
        <f>IF($BE7="","",IF(ISNUMBER(MATCH($BE7,AU$5:AU$29999,0)),MAX(AM$4:AM6)+1,0))</f>
        <v>3</v>
      </c>
      <c r="AN7" s="34">
        <f>IF($BE7="","",IF(ISNUMBER(MATCH($BE7,AV$5:AV$29999,0)),MAX(AN$4:AN6)+1,0))</f>
        <v>0</v>
      </c>
      <c r="AO7" s="16"/>
      <c r="AP7" s="33" t="s">
        <v>30</v>
      </c>
      <c r="AQ7" s="33" t="s">
        <v>45</v>
      </c>
      <c r="AR7" s="33" t="s">
        <v>30</v>
      </c>
      <c r="AS7" s="33" t="s">
        <v>46</v>
      </c>
      <c r="AT7" s="33" t="s">
        <v>46</v>
      </c>
      <c r="AU7" s="33" t="s">
        <v>46</v>
      </c>
      <c r="AV7" s="32" t="s">
        <v>0</v>
      </c>
      <c r="AW7" s="40" t="s">
        <v>46</v>
      </c>
      <c r="AX7" s="20" t="s">
        <v>0</v>
      </c>
      <c r="AY7" s="30" t="s">
        <v>37</v>
      </c>
      <c r="AZ7" s="30" t="s">
        <v>37</v>
      </c>
      <c r="BA7" s="39" t="s">
        <v>0</v>
      </c>
      <c r="BB7" s="44">
        <f>IF(ISTEXT(AW7),IF(ISNUMBER(MATCH(AW7,$AY$5:$AY$100,0)),0,MAX(BB$4:BB6)+1),"")</f>
        <v>0</v>
      </c>
      <c r="BC7" s="36">
        <f>IF(ISTEXT(AY7),MATCH(AY7,$AW$5:$AW$127,0),"")</f>
        <v>18</v>
      </c>
      <c r="BD7" s="36" t="str">
        <f>IF(ISNUMBER(BC7),AY7,ROW()-SUM($BC$4:$BD$4))</f>
        <v>.oc</v>
      </c>
      <c r="BE7" s="20" t="str">
        <f>IF(ISTEXT(AW7),IF(ISNUMBER(BC7),AY7,INDEX($AW$5:$AW$140,MATCH(BD7,$BB$5:$BB$185,0),1)),"")</f>
        <v>.oc</v>
      </c>
      <c r="BF7" s="36"/>
      <c r="BG7" s="19" t="str">
        <f>IF(ISNUMBER(MATCH($BE7,Z$5:Z$501,0)),INDEX(Z$5:Z$501,MATCH($BE7,Z$5:Z$501,0),1),"")</f>
        <v>.oc</v>
      </c>
      <c r="BH7" s="19" t="str">
        <f>IF(ISNUMBER(MATCH($BE7,AA$5:AA$501,0)),INDEX(AA$5:AA$501,MATCH($BE7,AA$5:AA$501,0),1),"")</f>
        <v>.oc</v>
      </c>
      <c r="BI7" s="19" t="str">
        <f>IF(ISNUMBER(MATCH($BE7,AB$5:AB$501,0)),INDEX(AB$5:AB$501,MATCH($BE7,AB$5:AB$501,0),1),"")</f>
        <v>.oc</v>
      </c>
      <c r="BJ7" s="19" t="str">
        <f>IF(ISNUMBER(MATCH($BE7,AC$5:AC$501,0)),INDEX(AC$5:AC$501,MATCH($BE7,AC$5:AC$501,0),1),"")</f>
        <v>.oc</v>
      </c>
      <c r="BK7" s="19" t="str">
        <f>IF(ISNUMBER(MATCH($BE7,AD$5:AD$501,0)),INDEX(AD$5:AD$501,MATCH($BE7,AD$5:AD$501,0),1),"")</f>
        <v>.oc</v>
      </c>
      <c r="BL7" s="19" t="str">
        <f>IF(ISNUMBER(MATCH($BE7,AE$5:AE$501,0)),INDEX(AE$5:AE$501,MATCH($BE7,AE$5:AE$501,0),1),"")</f>
        <v>.oc</v>
      </c>
      <c r="BM7" s="19" t="str">
        <f>IF(ISNUMBER(MATCH($BE7,AF$5:AF$501,0)),INDEX(AF$5:AF$501,MATCH($BE7,AF$5:AF$501,0),1),"")</f>
        <v/>
      </c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</row>
    <row r="8" spans="1:78" ht="12" customHeight="1" x14ac:dyDescent="0.25">
      <c r="A8" s="26"/>
      <c r="B8" s="28">
        <f>IF(ISNUMBER(MATCH(O8,$N$5:$N$1000,0)),MATCH(O8,$N$5:$N$1000,0),"")</f>
        <v>3</v>
      </c>
      <c r="C8" s="15">
        <f>IF(ISNUMBER(B8),MAX(C$4:C7)+1,"")</f>
        <v>3</v>
      </c>
      <c r="D8" s="15" t="str">
        <f>IF(IF(ISNUMBER(B8),"",MAX(D$4:D7)+1)&lt;=D$3,IF(ISNUMBER(B8),"",MAX(D$4:D7)+1),"")</f>
        <v/>
      </c>
      <c r="E8" s="42">
        <f>IF(M8&lt;=D$3,MATCH(M8,D$5:D$1000,0),"")</f>
        <v>7</v>
      </c>
      <c r="F8" s="28" t="str">
        <f>IF(ISNUMBER(E8),INDEX($N$5:$N$1000,E8,1),"")</f>
        <v>.ims</v>
      </c>
      <c r="G8" s="27" t="str">
        <f>IF(ISNUMBER(C8),N8,IF(ISTEXT(N8),INDEX($F$5:$F$1000,MATCH(M8,$E$5:$E$1000,0),1),""))</f>
        <v>.ghb</v>
      </c>
      <c r="H8" s="15" t="str">
        <f>IF(O8="","",IF(ISNUMBER(MATCH(O8,$G$5:$G$1000,0)),"",IF(D8=1,C$3,0)+MAX(H$4:H7)+1))</f>
        <v/>
      </c>
      <c r="I8" s="15" t="str">
        <f>IF(O8="","",IF(ISNUMBER(MATCH(O8,$G$5:$G$1000,0)),"",IF(D8=1,B$4,0)+MAX(I$4:I7)+1))</f>
        <v/>
      </c>
      <c r="J8" s="27" t="str">
        <f>IF(ISNUMBER(MATCH(M8,$I$5:$I$1000,0)),INDEX($O$5:$O$1000,MATCH(M8,$I$5:$I$1000,0),1),"")</f>
        <v/>
      </c>
      <c r="K8" s="27">
        <f>IF(P8="",0,1)</f>
        <v>1</v>
      </c>
      <c r="L8" s="26"/>
      <c r="M8" s="14">
        <f>IF(ROW()-ROW(M$4)&lt;=1000,ROW()-ROW(M$4),"")</f>
        <v>4</v>
      </c>
      <c r="N8" s="43" t="s">
        <v>12</v>
      </c>
      <c r="O8" s="43" t="s">
        <v>30</v>
      </c>
      <c r="P8" s="41" t="str">
        <f>IF(M8&lt;=$B$4,IF(ISTEXT(G8),G8,""),IF(ISTEXT(J8),J8,""))</f>
        <v>.ghb</v>
      </c>
      <c r="Q8" s="16" t="s">
        <v>0</v>
      </c>
      <c r="R8" s="34">
        <f>IF(ROW()-ROW(R$4)&lt;=AH$3,ROW()-ROW(R$4),"")</f>
        <v>4</v>
      </c>
      <c r="S8" s="34">
        <f>IF(ROW()-ROW(S$4)&lt;=AI$3,ROW()-ROW(S$4),"")</f>
        <v>4</v>
      </c>
      <c r="T8" s="34">
        <f>IF(ROW()-ROW(T$4)&lt;=AJ$3,ROW()-ROW(T$4),"")</f>
        <v>4</v>
      </c>
      <c r="U8" s="34">
        <f>IF(ROW()-ROW(U$4)&lt;=AK$3,ROW()-ROW(U$4),"")</f>
        <v>4</v>
      </c>
      <c r="V8" s="34">
        <f>IF(ROW()-ROW(V$4)&lt;=AL$3,ROW()-ROW(V$4),"")</f>
        <v>4</v>
      </c>
      <c r="W8" s="34">
        <f>IF(ROW()-ROW(W$4)&lt;=AM$3,ROW()-ROW(W$4),"")</f>
        <v>4</v>
      </c>
      <c r="X8" s="34" t="str">
        <f>IF(ROW()-ROW(X$4)&lt;=AN$3,ROW()-ROW(X$4),"")</f>
        <v/>
      </c>
      <c r="Y8" s="34"/>
      <c r="Z8" s="35" t="str">
        <f>IF(ISNUMBER(R8),INDEX($BE$5:$BE$2999,MATCH(R8,AH$5:AH$2999,0),1),"")</f>
        <v>.npf</v>
      </c>
      <c r="AA8" s="35" t="str">
        <f>IF(ISNUMBER(S8),INDEX($BE$5:$BE$2999,MATCH(S8,AI$5:AI$2999,0),1),"")</f>
        <v>.npf</v>
      </c>
      <c r="AB8" s="35" t="str">
        <f>IF(ISNUMBER(T8),INDEX($BE$5:$BE$2999,MATCH(T8,AJ$5:AJ$2999,0),1),"")</f>
        <v>.npf</v>
      </c>
      <c r="AC8" s="35" t="str">
        <f>IF(ISNUMBER(U8),INDEX($BE$5:$BE$2999,MATCH(U8,AK$5:AK$2999,0),1),"")</f>
        <v>.ims</v>
      </c>
      <c r="AD8" s="35" t="str">
        <f>IF(ISNUMBER(V8),INDEX($BE$5:$BE$2999,MATCH(V8,AL$5:AL$2999,0),1),"")</f>
        <v>.ims</v>
      </c>
      <c r="AE8" s="35" t="str">
        <f>IF(ISNUMBER(W8),INDEX($BE$5:$BE$2999,MATCH(W8,AM$5:AM$2999,0),1),"")</f>
        <v>.ims</v>
      </c>
      <c r="AF8" s="35" t="str">
        <f>IF(ISNUMBER(X8),INDEX($BE$5:$BE$2999,MATCH(X8,AN$5:AN$2999,0),1),"")</f>
        <v/>
      </c>
      <c r="AG8" s="35"/>
      <c r="AH8" s="34">
        <f>IF($BE8="","",IF(ISNUMBER(MATCH($BE8,AP$5:AP$29999,0)),MAX(AH$4:AH7)+1,0))</f>
        <v>3</v>
      </c>
      <c r="AI8" s="34">
        <f>IF($BE8="","",IF(ISNUMBER(MATCH($BE8,AQ$5:AQ$29999,0)),MAX(AI$4:AI7)+1,0))</f>
        <v>3</v>
      </c>
      <c r="AJ8" s="34">
        <f>IF($BE8="","",IF(ISNUMBER(MATCH($BE8,AR$5:AR$29999,0)),MAX(AJ$4:AJ7)+1,0))</f>
        <v>3</v>
      </c>
      <c r="AK8" s="34">
        <f>IF($BE8="","",IF(ISNUMBER(MATCH($BE8,AS$5:AS$29999,0)),MAX(AK$4:AK7)+1,0))</f>
        <v>4</v>
      </c>
      <c r="AL8" s="34">
        <f>IF($BE8="","",IF(ISNUMBER(MATCH($BE8,AT$5:AT$29999,0)),MAX(AL$4:AL7)+1,0))</f>
        <v>4</v>
      </c>
      <c r="AM8" s="34">
        <f>IF($BE8="","",IF(ISNUMBER(MATCH($BE8,AU$5:AU$29999,0)),MAX(AM$4:AM7)+1,0))</f>
        <v>4</v>
      </c>
      <c r="AN8" s="34">
        <f>IF($BE8="","",IF(ISNUMBER(MATCH($BE8,AV$5:AV$29999,0)),MAX(AN$4:AN7)+1,0))</f>
        <v>0</v>
      </c>
      <c r="AO8" s="16"/>
      <c r="AP8" s="33" t="s">
        <v>24</v>
      </c>
      <c r="AQ8" s="33" t="s">
        <v>44</v>
      </c>
      <c r="AR8" s="33" t="s">
        <v>12</v>
      </c>
      <c r="AS8" s="33" t="s">
        <v>30</v>
      </c>
      <c r="AT8" s="33" t="s">
        <v>30</v>
      </c>
      <c r="AU8" s="33" t="s">
        <v>30</v>
      </c>
      <c r="AV8" s="32" t="s">
        <v>0</v>
      </c>
      <c r="AW8" s="40" t="s">
        <v>30</v>
      </c>
      <c r="AX8" s="20" t="s">
        <v>0</v>
      </c>
      <c r="AY8" s="30" t="s">
        <v>44</v>
      </c>
      <c r="AZ8" s="30" t="s">
        <v>44</v>
      </c>
      <c r="BA8" s="39" t="s">
        <v>0</v>
      </c>
      <c r="BB8" s="44">
        <f>IF(ISTEXT(AW8),IF(ISNUMBER(MATCH(AW8,$AY$5:$AY$100,0)),0,MAX(BB$4:BB7)+1),"")</f>
        <v>0</v>
      </c>
      <c r="BC8" s="36">
        <f>IF(ISTEXT(AY8),MATCH(AY8,$AW$5:$AW$127,0),"")</f>
        <v>10</v>
      </c>
      <c r="BD8" s="36" t="str">
        <f>IF(ISNUMBER(BC8),AY8,ROW()-SUM($BC$4:$BD$4))</f>
        <v>.ims</v>
      </c>
      <c r="BE8" s="20" t="str">
        <f>IF(ISTEXT(AW8),IF(ISNUMBER(BC8),AY8,INDEX($AW$5:$AW$140,MATCH(BD8,$BB$5:$BB$185,0),1)),"")</f>
        <v>.ims</v>
      </c>
      <c r="BF8" s="36"/>
      <c r="BG8" s="19" t="str">
        <f>IF(ISNUMBER(MATCH($BE8,Z$5:Z$501,0)),INDEX(Z$5:Z$501,MATCH($BE8,Z$5:Z$501,0),1),"")</f>
        <v>.ims</v>
      </c>
      <c r="BH8" s="19" t="str">
        <f>IF(ISNUMBER(MATCH($BE8,AA$5:AA$501,0)),INDEX(AA$5:AA$501,MATCH($BE8,AA$5:AA$501,0),1),"")</f>
        <v>.ims</v>
      </c>
      <c r="BI8" s="19" t="str">
        <f>IF(ISNUMBER(MATCH($BE8,AB$5:AB$501,0)),INDEX(AB$5:AB$501,MATCH($BE8,AB$5:AB$501,0),1),"")</f>
        <v>.ims</v>
      </c>
      <c r="BJ8" s="19" t="str">
        <f>IF(ISNUMBER(MATCH($BE8,AC$5:AC$501,0)),INDEX(AC$5:AC$501,MATCH($BE8,AC$5:AC$501,0),1),"")</f>
        <v>.ims</v>
      </c>
      <c r="BK8" s="19" t="str">
        <f>IF(ISNUMBER(MATCH($BE8,AD$5:AD$501,0)),INDEX(AD$5:AD$501,MATCH($BE8,AD$5:AD$501,0),1),"")</f>
        <v>.ims</v>
      </c>
      <c r="BL8" s="19" t="str">
        <f>IF(ISNUMBER(MATCH($BE8,AE$5:AE$501,0)),INDEX(AE$5:AE$501,MATCH($BE8,AE$5:AE$501,0),1),"")</f>
        <v>.ims</v>
      </c>
      <c r="BM8" s="19" t="str">
        <f>IF(ISNUMBER(MATCH($BE8,AF$5:AF$501,0)),INDEX(AF$5:AF$501,MATCH($BE8,AF$5:AF$501,0),1),"")</f>
        <v/>
      </c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</row>
    <row r="9" spans="1:78" ht="12" customHeight="1" x14ac:dyDescent="0.25">
      <c r="A9" s="26"/>
      <c r="B9" s="28" t="str">
        <f>IF(ISNUMBER(MATCH(O9,$N$5:$N$1000,0)),MATCH(O9,$N$5:$N$1000,0),"")</f>
        <v/>
      </c>
      <c r="C9" s="15" t="str">
        <f>IF(ISNUMBER(B9),MAX(C$4:C8)+1,"")</f>
        <v/>
      </c>
      <c r="D9" s="15">
        <f>IF(IF(ISNUMBER(B9),"",MAX(D$4:D8)+1)&lt;=D$3,IF(ISNUMBER(B9),"",MAX(D$4:D8)+1),"")</f>
        <v>2</v>
      </c>
      <c r="E9" s="42">
        <f>IF(M9&lt;=D$3,MATCH(M9,D$5:D$1000,0),"")</f>
        <v>13</v>
      </c>
      <c r="F9" s="28" t="str">
        <f>IF(ISNUMBER(E9),INDEX($N$5:$N$1000,E9,1),"")</f>
        <v>.mvr.bud</v>
      </c>
      <c r="G9" s="27" t="str">
        <f>IF(ISNUMBER(C9),N9,IF(ISTEXT(N9),INDEX($F$5:$F$1000,MATCH(M9,$E$5:$E$1000,0),1),""))</f>
        <v>.hds</v>
      </c>
      <c r="H9" s="15">
        <f>IF(O9="","",IF(ISNUMBER(MATCH(O9,$G$5:$G$1000,0)),"",IF(D9=1,C$3,0)+MAX(H$4:H8)+1))</f>
        <v>24</v>
      </c>
      <c r="I9" s="15">
        <f>IF(O9="","",IF(ISNUMBER(MATCH(O9,$G$5:$G$1000,0)),"",IF(D9=1,B$4,0)+MAX(I$4:I8)+1))</f>
        <v>38</v>
      </c>
      <c r="J9" s="27" t="str">
        <f>IF(ISNUMBER(MATCH(M9,$I$5:$I$1000,0)),INDEX($O$5:$O$1000,MATCH(M9,$I$5:$I$1000,0),1),"")</f>
        <v/>
      </c>
      <c r="K9" s="27">
        <f>IF(P9="",0,1)</f>
        <v>1</v>
      </c>
      <c r="L9" s="26"/>
      <c r="M9" s="14">
        <f>IF(ROW()-ROW(M$4)&lt;=1000,ROW()-ROW(M$4),"")</f>
        <v>5</v>
      </c>
      <c r="N9" s="43" t="s">
        <v>15</v>
      </c>
      <c r="O9" s="43" t="s">
        <v>24</v>
      </c>
      <c r="P9" s="41" t="str">
        <f>IF(M9&lt;=$B$4,IF(ISTEXT(G9),G9,""),IF(ISTEXT(J9),J9,""))</f>
        <v>.hds</v>
      </c>
      <c r="Q9" s="16" t="s">
        <v>0</v>
      </c>
      <c r="R9" s="34">
        <f>IF(ROW()-ROW(R$4)&lt;=AH$3,ROW()-ROW(R$4),"")</f>
        <v>5</v>
      </c>
      <c r="S9" s="34">
        <f>IF(ROW()-ROW(S$4)&lt;=AI$3,ROW()-ROW(S$4),"")</f>
        <v>5</v>
      </c>
      <c r="T9" s="34">
        <f>IF(ROW()-ROW(T$4)&lt;=AJ$3,ROW()-ROW(T$4),"")</f>
        <v>5</v>
      </c>
      <c r="U9" s="34">
        <f>IF(ROW()-ROW(U$4)&lt;=AK$3,ROW()-ROW(U$4),"")</f>
        <v>5</v>
      </c>
      <c r="V9" s="34">
        <f>IF(ROW()-ROW(V$4)&lt;=AL$3,ROW()-ROW(V$4),"")</f>
        <v>5</v>
      </c>
      <c r="W9" s="34">
        <f>IF(ROW()-ROW(W$4)&lt;=AM$3,ROW()-ROW(W$4),"")</f>
        <v>5</v>
      </c>
      <c r="X9" s="34" t="str">
        <f>IF(ROW()-ROW(X$4)&lt;=AN$3,ROW()-ROW(X$4),"")</f>
        <v/>
      </c>
      <c r="Y9" s="34"/>
      <c r="Z9" s="35" t="str">
        <f>IF(ISNUMBER(R9),INDEX($BE$5:$BE$2999,MATCH(R9,AH$5:AH$2999,0),1),"")</f>
        <v>.lst</v>
      </c>
      <c r="AA9" s="35" t="str">
        <f>IF(ISNUMBER(S9),INDEX($BE$5:$BE$2999,MATCH(S9,AI$5:AI$2999,0),1),"")</f>
        <v>.lst</v>
      </c>
      <c r="AB9" s="35" t="str">
        <f>IF(ISNUMBER(T9),INDEX($BE$5:$BE$2999,MATCH(T9,AJ$5:AJ$2999,0),1),"")</f>
        <v>.lst</v>
      </c>
      <c r="AC9" s="35" t="str">
        <f>IF(ISNUMBER(U9),INDEX($BE$5:$BE$2999,MATCH(U9,AK$5:AK$2999,0),1),"")</f>
        <v>.npf</v>
      </c>
      <c r="AD9" s="35" t="str">
        <f>IF(ISNUMBER(V9),INDEX($BE$5:$BE$2999,MATCH(V9,AL$5:AL$2999,0),1),"")</f>
        <v>.npf</v>
      </c>
      <c r="AE9" s="35" t="str">
        <f>IF(ISNUMBER(W9),INDEX($BE$5:$BE$2999,MATCH(W9,AM$5:AM$2999,0),1),"")</f>
        <v>.npf</v>
      </c>
      <c r="AF9" s="35" t="str">
        <f>IF(ISNUMBER(X9),INDEX($BE$5:$BE$2999,MATCH(X9,AN$5:AN$2999,0),1),"")</f>
        <v/>
      </c>
      <c r="AG9" s="35"/>
      <c r="AH9" s="34">
        <f>IF($BE9="","",IF(ISNUMBER(MATCH($BE9,AP$5:AP$29999,0)),MAX(AH$4:AH8)+1,0))</f>
        <v>4</v>
      </c>
      <c r="AI9" s="34">
        <f>IF($BE9="","",IF(ISNUMBER(MATCH($BE9,AQ$5:AQ$29999,0)),MAX(AI$4:AI8)+1,0))</f>
        <v>4</v>
      </c>
      <c r="AJ9" s="34">
        <f>IF($BE9="","",IF(ISNUMBER(MATCH($BE9,AR$5:AR$29999,0)),MAX(AJ$4:AJ8)+1,0))</f>
        <v>4</v>
      </c>
      <c r="AK9" s="34">
        <f>IF($BE9="","",IF(ISNUMBER(MATCH($BE9,AS$5:AS$29999,0)),MAX(AK$4:AK8)+1,0))</f>
        <v>5</v>
      </c>
      <c r="AL9" s="34">
        <f>IF($BE9="","",IF(ISNUMBER(MATCH($BE9,AT$5:AT$29999,0)),MAX(AL$4:AL8)+1,0))</f>
        <v>5</v>
      </c>
      <c r="AM9" s="34">
        <f>IF($BE9="","",IF(ISNUMBER(MATCH($BE9,AU$5:AU$29999,0)),MAX(AM$4:AM8)+1,0))</f>
        <v>5</v>
      </c>
      <c r="AN9" s="34">
        <f>IF($BE9="","",IF(ISNUMBER(MATCH($BE9,AV$5:AV$29999,0)),MAX(AN$4:AN8)+1,0))</f>
        <v>0</v>
      </c>
      <c r="AO9" s="16"/>
      <c r="AP9" s="33" t="s">
        <v>12</v>
      </c>
      <c r="AQ9" s="33" t="s">
        <v>41</v>
      </c>
      <c r="AR9" s="33" t="s">
        <v>15</v>
      </c>
      <c r="AS9" s="33" t="s">
        <v>24</v>
      </c>
      <c r="AT9" s="33" t="s">
        <v>24</v>
      </c>
      <c r="AU9" s="33" t="s">
        <v>15</v>
      </c>
      <c r="AV9" s="32" t="s">
        <v>0</v>
      </c>
      <c r="AW9" s="40" t="s">
        <v>24</v>
      </c>
      <c r="AX9" s="20" t="s">
        <v>0</v>
      </c>
      <c r="AY9" s="30" t="s">
        <v>38</v>
      </c>
      <c r="AZ9" s="30" t="s">
        <v>38</v>
      </c>
      <c r="BA9" s="39" t="s">
        <v>0</v>
      </c>
      <c r="BB9" s="44">
        <f>IF(ISTEXT(AW9),IF(ISNUMBER(MATCH(AW9,$AY$5:$AY$100,0)),0,MAX(BB$4:BB8)+1),"")</f>
        <v>0</v>
      </c>
      <c r="BC9" s="36">
        <f>IF(ISTEXT(AY9),MATCH(AY9,$AW$5:$AW$127,0),"")</f>
        <v>17</v>
      </c>
      <c r="BD9" s="36" t="str">
        <f>IF(ISNUMBER(BC9),AY9,ROW()-SUM($BC$4:$BD$4))</f>
        <v>.npf</v>
      </c>
      <c r="BE9" s="20" t="str">
        <f>IF(ISTEXT(AW9),IF(ISNUMBER(BC9),AY9,INDEX($AW$5:$AW$140,MATCH(BD9,$BB$5:$BB$185,0),1)),"")</f>
        <v>.npf</v>
      </c>
      <c r="BF9" s="36"/>
      <c r="BG9" s="19" t="str">
        <f>IF(ISNUMBER(MATCH($BE9,Z$5:Z$501,0)),INDEX(Z$5:Z$501,MATCH($BE9,Z$5:Z$501,0),1),"")</f>
        <v>.npf</v>
      </c>
      <c r="BH9" s="19" t="str">
        <f>IF(ISNUMBER(MATCH($BE9,AA$5:AA$501,0)),INDEX(AA$5:AA$501,MATCH($BE9,AA$5:AA$501,0),1),"")</f>
        <v>.npf</v>
      </c>
      <c r="BI9" s="19" t="str">
        <f>IF(ISNUMBER(MATCH($BE9,AB$5:AB$501,0)),INDEX(AB$5:AB$501,MATCH($BE9,AB$5:AB$501,0),1),"")</f>
        <v>.npf</v>
      </c>
      <c r="BJ9" s="19" t="str">
        <f>IF(ISNUMBER(MATCH($BE9,AC$5:AC$501,0)),INDEX(AC$5:AC$501,MATCH($BE9,AC$5:AC$501,0),1),"")</f>
        <v>.npf</v>
      </c>
      <c r="BK9" s="19" t="str">
        <f>IF(ISNUMBER(MATCH($BE9,AD$5:AD$501,0)),INDEX(AD$5:AD$501,MATCH($BE9,AD$5:AD$501,0),1),"")</f>
        <v>.npf</v>
      </c>
      <c r="BL9" s="19" t="str">
        <f>IF(ISNUMBER(MATCH($BE9,AE$5:AE$501,0)),INDEX(AE$5:AE$501,MATCH($BE9,AE$5:AE$501,0),1),"")</f>
        <v>.npf</v>
      </c>
      <c r="BM9" s="19" t="str">
        <f>IF(ISNUMBER(MATCH($BE9,AF$5:AF$501,0)),INDEX(AF$5:AF$501,MATCH($BE9,AF$5:AF$501,0),1),"")</f>
        <v/>
      </c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 spans="1:78" ht="12" customHeight="1" x14ac:dyDescent="0.25">
      <c r="A10" s="26"/>
      <c r="B10" s="28" t="str">
        <f>IF(ISNUMBER(MATCH(O10,$N$5:$N$1000,0)),MATCH(O10,$N$5:$N$1000,0),"")</f>
        <v/>
      </c>
      <c r="C10" s="15" t="str">
        <f>IF(ISNUMBER(B10),MAX(C$4:C9)+1,"")</f>
        <v/>
      </c>
      <c r="D10" s="15">
        <f>IF(IF(ISNUMBER(B10),"",MAX(D$4:D9)+1)&lt;=D$3,IF(ISNUMBER(B10),"",MAX(D$4:D9)+1),"")</f>
        <v>3</v>
      </c>
      <c r="E10" s="42">
        <f>IF(M10&lt;=D$3,MATCH(M10,D$5:D$1000,0),"")</f>
        <v>19</v>
      </c>
      <c r="F10" s="28" t="str">
        <f>IF(ISNUMBER(E10),INDEX($N$5:$N$1000,E10,1),"")</f>
        <v>.sfr.obs</v>
      </c>
      <c r="G10" s="27" t="str">
        <f>IF(ISNUMBER(C10),N10,IF(ISTEXT(N10),INDEX($F$5:$F$1000,MATCH(M10,$E$5:$E$1000,0),1),""))</f>
        <v>.ic</v>
      </c>
      <c r="H10" s="15">
        <f>IF(O10="","",IF(ISNUMBER(MATCH(O10,$G$5:$G$1000,0)),"",IF(D10=1,C$3,0)+MAX(H$4:H9)+1))</f>
        <v>25</v>
      </c>
      <c r="I10" s="15">
        <f>IF(O10="","",IF(ISNUMBER(MATCH(O10,$G$5:$G$1000,0)),"",IF(D10=1,B$4,0)+MAX(I$4:I9)+1))</f>
        <v>39</v>
      </c>
      <c r="J10" s="27" t="str">
        <f>IF(ISNUMBER(MATCH(M10,$I$5:$I$1000,0)),INDEX($O$5:$O$1000,MATCH(M10,$I$5:$I$1000,0),1),"")</f>
        <v/>
      </c>
      <c r="K10" s="27">
        <f>IF(P10="",0,1)</f>
        <v>1</v>
      </c>
      <c r="L10" s="26"/>
      <c r="M10" s="14">
        <f>IF(ROW()-ROW(M$4)&lt;=1000,ROW()-ROW(M$4),"")</f>
        <v>6</v>
      </c>
      <c r="N10" s="43" t="s">
        <v>45</v>
      </c>
      <c r="O10" s="43" t="s">
        <v>22</v>
      </c>
      <c r="P10" s="41" t="str">
        <f>IF(M10&lt;=$B$4,IF(ISTEXT(G10),G10,""),IF(ISTEXT(J10),J10,""))</f>
        <v>.ic</v>
      </c>
      <c r="Q10" s="16" t="s">
        <v>0</v>
      </c>
      <c r="R10" s="34">
        <f>IF(ROW()-ROW(R$4)&lt;=AH$3,ROW()-ROW(R$4),"")</f>
        <v>6</v>
      </c>
      <c r="S10" s="34">
        <f>IF(ROW()-ROW(S$4)&lt;=AI$3,ROW()-ROW(S$4),"")</f>
        <v>6</v>
      </c>
      <c r="T10" s="34">
        <f>IF(ROW()-ROW(T$4)&lt;=AJ$3,ROW()-ROW(T$4),"")</f>
        <v>6</v>
      </c>
      <c r="U10" s="34">
        <f>IF(ROW()-ROW(U$4)&lt;=AK$3,ROW()-ROW(U$4),"")</f>
        <v>6</v>
      </c>
      <c r="V10" s="34">
        <f>IF(ROW()-ROW(V$4)&lt;=AL$3,ROW()-ROW(V$4),"")</f>
        <v>6</v>
      </c>
      <c r="W10" s="34">
        <f>IF(ROW()-ROW(W$4)&lt;=AM$3,ROW()-ROW(W$4),"")</f>
        <v>6</v>
      </c>
      <c r="X10" s="34" t="str">
        <f>IF(ROW()-ROW(X$4)&lt;=AN$3,ROW()-ROW(X$4),"")</f>
        <v/>
      </c>
      <c r="Y10" s="34"/>
      <c r="Z10" s="35" t="str">
        <f>IF(ISNUMBER(R10),INDEX($BE$5:$BE$2999,MATCH(R10,AH$5:AH$2999,0),1),"")</f>
        <v>.dis</v>
      </c>
      <c r="AA10" s="35" t="str">
        <f>IF(ISNUMBER(S10),INDEX($BE$5:$BE$2999,MATCH(S10,AI$5:AI$2999,0),1),"")</f>
        <v>.dis</v>
      </c>
      <c r="AB10" s="35" t="str">
        <f>IF(ISNUMBER(T10),INDEX($BE$5:$BE$2999,MATCH(T10,AJ$5:AJ$2999,0),1),"")</f>
        <v>.dis</v>
      </c>
      <c r="AC10" s="35" t="str">
        <f>IF(ISNUMBER(U10),INDEX($BE$5:$BE$2999,MATCH(U10,AK$5:AK$2999,0),1),"")</f>
        <v>.lst</v>
      </c>
      <c r="AD10" s="35" t="str">
        <f>IF(ISNUMBER(V10),INDEX($BE$5:$BE$2999,MATCH(V10,AL$5:AL$2999,0),1),"")</f>
        <v>.lst</v>
      </c>
      <c r="AE10" s="35" t="str">
        <f>IF(ISNUMBER(W10),INDEX($BE$5:$BE$2999,MATCH(W10,AM$5:AM$2999,0),1),"")</f>
        <v>.lst</v>
      </c>
      <c r="AF10" s="35" t="str">
        <f>IF(ISNUMBER(X10),INDEX($BE$5:$BE$2999,MATCH(X10,AN$5:AN$2999,0),1),"")</f>
        <v/>
      </c>
      <c r="AG10" s="35"/>
      <c r="AH10" s="34">
        <f>IF($BE10="","",IF(ISNUMBER(MATCH($BE10,AP$5:AP$29999,0)),MAX(AH$4:AH9)+1,0))</f>
        <v>5</v>
      </c>
      <c r="AI10" s="34">
        <f>IF($BE10="","",IF(ISNUMBER(MATCH($BE10,AQ$5:AQ$29999,0)),MAX(AI$4:AI9)+1,0))</f>
        <v>5</v>
      </c>
      <c r="AJ10" s="34">
        <f>IF($BE10="","",IF(ISNUMBER(MATCH($BE10,AR$5:AR$29999,0)),MAX(AJ$4:AJ9)+1,0))</f>
        <v>5</v>
      </c>
      <c r="AK10" s="34">
        <f>IF($BE10="","",IF(ISNUMBER(MATCH($BE10,AS$5:AS$29999,0)),MAX(AK$4:AK9)+1,0))</f>
        <v>6</v>
      </c>
      <c r="AL10" s="34">
        <f>IF($BE10="","",IF(ISNUMBER(MATCH($BE10,AT$5:AT$29999,0)),MAX(AL$4:AL9)+1,0))</f>
        <v>6</v>
      </c>
      <c r="AM10" s="34">
        <f>IF($BE10="","",IF(ISNUMBER(MATCH($BE10,AU$5:AU$29999,0)),MAX(AM$4:AM9)+1,0))</f>
        <v>6</v>
      </c>
      <c r="AN10" s="34">
        <f>IF($BE10="","",IF(ISNUMBER(MATCH($BE10,AV$5:AV$29999,0)),MAX(AN$4:AN9)+1,0))</f>
        <v>0</v>
      </c>
      <c r="AO10" s="16"/>
      <c r="AP10" s="33" t="s">
        <v>15</v>
      </c>
      <c r="AQ10" s="33" t="s">
        <v>34</v>
      </c>
      <c r="AR10" s="33" t="s">
        <v>45</v>
      </c>
      <c r="AS10" s="33" t="s">
        <v>22</v>
      </c>
      <c r="AT10" s="33" t="s">
        <v>22</v>
      </c>
      <c r="AU10" s="33" t="s">
        <v>45</v>
      </c>
      <c r="AV10" s="32" t="s">
        <v>0</v>
      </c>
      <c r="AW10" s="40" t="s">
        <v>22</v>
      </c>
      <c r="AX10" s="20" t="s">
        <v>0</v>
      </c>
      <c r="AY10" s="30" t="s">
        <v>41</v>
      </c>
      <c r="AZ10" s="30" t="s">
        <v>41</v>
      </c>
      <c r="BA10" s="39" t="s">
        <v>0</v>
      </c>
      <c r="BB10" s="44">
        <f>IF(ISTEXT(AW10),IF(ISNUMBER(MATCH(AW10,$AY$5:$AY$100,0)),0,MAX(BB$4:BB9)+1),"")</f>
        <v>0</v>
      </c>
      <c r="BC10" s="36">
        <f>IF(ISTEXT(AY10),MATCH(AY10,$AW$5:$AW$127,0),"")</f>
        <v>14</v>
      </c>
      <c r="BD10" s="36" t="str">
        <f>IF(ISNUMBER(BC10),AY10,ROW()-SUM($BC$4:$BD$4))</f>
        <v>.lst</v>
      </c>
      <c r="BE10" s="20" t="str">
        <f>IF(ISTEXT(AW10),IF(ISNUMBER(BC10),AY10,INDEX($AW$5:$AW$140,MATCH(BD10,$BB$5:$BB$185,0),1)),"")</f>
        <v>.lst</v>
      </c>
      <c r="BF10" s="36"/>
      <c r="BG10" s="19" t="str">
        <f>IF(ISNUMBER(MATCH($BE10,Z$5:Z$501,0)),INDEX(Z$5:Z$501,MATCH($BE10,Z$5:Z$501,0),1),"")</f>
        <v>.lst</v>
      </c>
      <c r="BH10" s="19" t="str">
        <f>IF(ISNUMBER(MATCH($BE10,AA$5:AA$501,0)),INDEX(AA$5:AA$501,MATCH($BE10,AA$5:AA$501,0),1),"")</f>
        <v>.lst</v>
      </c>
      <c r="BI10" s="19" t="str">
        <f>IF(ISNUMBER(MATCH($BE10,AB$5:AB$501,0)),INDEX(AB$5:AB$501,MATCH($BE10,AB$5:AB$501,0),1),"")</f>
        <v>.lst</v>
      </c>
      <c r="BJ10" s="19" t="str">
        <f>IF(ISNUMBER(MATCH($BE10,AC$5:AC$501,0)),INDEX(AC$5:AC$501,MATCH($BE10,AC$5:AC$501,0),1),"")</f>
        <v>.lst</v>
      </c>
      <c r="BK10" s="19" t="str">
        <f>IF(ISNUMBER(MATCH($BE10,AD$5:AD$501,0)),INDEX(AD$5:AD$501,MATCH($BE10,AD$5:AD$501,0),1),"")</f>
        <v>.lst</v>
      </c>
      <c r="BL10" s="19" t="str">
        <f>IF(ISNUMBER(MATCH($BE10,AE$5:AE$501,0)),INDEX(AE$5:AE$501,MATCH($BE10,AE$5:AE$501,0),1),"")</f>
        <v>.lst</v>
      </c>
      <c r="BM10" s="19" t="str">
        <f>IF(ISNUMBER(MATCH($BE10,AF$5:AF$501,0)),INDEX(AF$5:AF$501,MATCH($BE10,AF$5:AF$501,0),1),"")</f>
        <v/>
      </c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</row>
    <row r="11" spans="1:78" ht="12" customHeight="1" x14ac:dyDescent="0.25">
      <c r="A11" s="26"/>
      <c r="B11" s="28" t="str">
        <f>IF(ISNUMBER(MATCH(O11,$N$5:$N$1000,0)),MATCH(O11,$N$5:$N$1000,0),"")</f>
        <v/>
      </c>
      <c r="C11" s="15" t="str">
        <f>IF(ISNUMBER(B11),MAX(C$4:C10)+1,"")</f>
        <v/>
      </c>
      <c r="D11" s="15">
        <f>IF(IF(ISNUMBER(B11),"",MAX(D$4:D10)+1)&lt;=D$3,IF(ISNUMBER(B11),"",MAX(D$4:D10)+1),"")</f>
        <v>4</v>
      </c>
      <c r="E11" s="42">
        <f>IF(M11&lt;=D$3,MATCH(M11,D$5:D$1000,0),"")</f>
        <v>25</v>
      </c>
      <c r="F11" s="28" t="str">
        <f>IF(ISNUMBER(E11),INDEX($N$5:$N$1000,E11,1),"")</f>
        <v>.wel</v>
      </c>
      <c r="G11" s="27" t="str">
        <f>IF(ISNUMBER(C11),N11,IF(ISTEXT(N11),INDEX($F$5:$F$1000,MATCH(M11,$E$5:$E$1000,0),1),""))</f>
        <v>.ims</v>
      </c>
      <c r="H11" s="15">
        <f>IF(O11="","",IF(ISNUMBER(MATCH(O11,$G$5:$G$1000,0)),"",IF(D11=1,C$3,0)+MAX(H$4:H10)+1))</f>
        <v>26</v>
      </c>
      <c r="I11" s="15">
        <f>IF(O11="","",IF(ISNUMBER(MATCH(O11,$G$5:$G$1000,0)),"",IF(D11=1,B$4,0)+MAX(I$4:I10)+1))</f>
        <v>40</v>
      </c>
      <c r="J11" s="27" t="str">
        <f>IF(ISNUMBER(MATCH(M11,$I$5:$I$1000,0)),INDEX($O$5:$O$1000,MATCH(M11,$I$5:$I$1000,0),1),"")</f>
        <v/>
      </c>
      <c r="K11" s="27">
        <f>IF(P11="",0,1)</f>
        <v>1</v>
      </c>
      <c r="L11" s="26"/>
      <c r="M11" s="14">
        <f>IF(ROW()-ROW(M$4)&lt;=1000,ROW()-ROW(M$4),"")</f>
        <v>7</v>
      </c>
      <c r="N11" s="43" t="s">
        <v>44</v>
      </c>
      <c r="O11" s="43" t="s">
        <v>20</v>
      </c>
      <c r="P11" s="41" t="str">
        <f>IF(M11&lt;=$B$4,IF(ISTEXT(G11),G11,""),IF(ISTEXT(J11),J11,""))</f>
        <v>.ims</v>
      </c>
      <c r="Q11" s="16" t="s">
        <v>0</v>
      </c>
      <c r="R11" s="34">
        <f>IF(ROW()-ROW(R$4)&lt;=AH$3,ROW()-ROW(R$4),"")</f>
        <v>7</v>
      </c>
      <c r="S11" s="34">
        <f>IF(ROW()-ROW(S$4)&lt;=AI$3,ROW()-ROW(S$4),"")</f>
        <v>7</v>
      </c>
      <c r="T11" s="34">
        <f>IF(ROW()-ROW(T$4)&lt;=AJ$3,ROW()-ROW(T$4),"")</f>
        <v>7</v>
      </c>
      <c r="U11" s="34">
        <f>IF(ROW()-ROW(U$4)&lt;=AK$3,ROW()-ROW(U$4),"")</f>
        <v>7</v>
      </c>
      <c r="V11" s="34">
        <f>IF(ROW()-ROW(V$4)&lt;=AL$3,ROW()-ROW(V$4),"")</f>
        <v>7</v>
      </c>
      <c r="W11" s="34">
        <f>IF(ROW()-ROW(W$4)&lt;=AM$3,ROW()-ROW(W$4),"")</f>
        <v>7</v>
      </c>
      <c r="X11" s="34" t="str">
        <f>IF(ROW()-ROW(X$4)&lt;=AN$3,ROW()-ROW(X$4),"")</f>
        <v/>
      </c>
      <c r="Y11" s="34"/>
      <c r="Z11" s="35" t="str">
        <f>IF(ISNUMBER(R11),INDEX($BE$5:$BE$2999,MATCH(R11,AH$5:AH$2999,0),1),"")</f>
        <v>.sfr</v>
      </c>
      <c r="AA11" s="35" t="str">
        <f>IF(ISNUMBER(S11),INDEX($BE$5:$BE$2999,MATCH(S11,AI$5:AI$2999,0),1),"")</f>
        <v>.sfr</v>
      </c>
      <c r="AB11" s="35" t="str">
        <f>IF(ISNUMBER(T11),INDEX($BE$5:$BE$2999,MATCH(T11,AJ$5:AJ$2999,0),1),"")</f>
        <v>.sfr</v>
      </c>
      <c r="AC11" s="35" t="str">
        <f>IF(ISNUMBER(U11),INDEX($BE$5:$BE$2999,MATCH(U11,AK$5:AK$2999,0),1),"")</f>
        <v>.dis</v>
      </c>
      <c r="AD11" s="35" t="str">
        <f>IF(ISNUMBER(V11),INDEX($BE$5:$BE$2999,MATCH(V11,AL$5:AL$2999,0),1),"")</f>
        <v>.dis</v>
      </c>
      <c r="AE11" s="35" t="str">
        <f>IF(ISNUMBER(W11),INDEX($BE$5:$BE$2999,MATCH(W11,AM$5:AM$2999,0),1),"")</f>
        <v>.dis</v>
      </c>
      <c r="AF11" s="35" t="str">
        <f>IF(ISNUMBER(X11),INDEX($BE$5:$BE$2999,MATCH(X11,AN$5:AN$2999,0),1),"")</f>
        <v/>
      </c>
      <c r="AG11" s="35"/>
      <c r="AH11" s="34">
        <f>IF($BE11="","",IF(ISNUMBER(MATCH($BE11,AP$5:AP$29999,0)),MAX(AH$4:AH10)+1,0))</f>
        <v>6</v>
      </c>
      <c r="AI11" s="34">
        <f>IF($BE11="","",IF(ISNUMBER(MATCH($BE11,AQ$5:AQ$29999,0)),MAX(AI$4:AI10)+1,0))</f>
        <v>6</v>
      </c>
      <c r="AJ11" s="34">
        <f>IF($BE11="","",IF(ISNUMBER(MATCH($BE11,AR$5:AR$29999,0)),MAX(AJ$4:AJ10)+1,0))</f>
        <v>6</v>
      </c>
      <c r="AK11" s="34">
        <f>IF($BE11="","",IF(ISNUMBER(MATCH($BE11,AS$5:AS$29999,0)),MAX(AK$4:AK10)+1,0))</f>
        <v>7</v>
      </c>
      <c r="AL11" s="34">
        <f>IF($BE11="","",IF(ISNUMBER(MATCH($BE11,AT$5:AT$29999,0)),MAX(AL$4:AL10)+1,0))</f>
        <v>7</v>
      </c>
      <c r="AM11" s="34">
        <f>IF($BE11="","",IF(ISNUMBER(MATCH($BE11,AU$5:AU$29999,0)),MAX(AM$4:AM10)+1,0))</f>
        <v>7</v>
      </c>
      <c r="AN11" s="34">
        <f>IF($BE11="","",IF(ISNUMBER(MATCH($BE11,AV$5:AV$29999,0)),MAX(AN$4:AN10)+1,0))</f>
        <v>0</v>
      </c>
      <c r="AO11" s="16"/>
      <c r="AP11" s="33" t="s">
        <v>45</v>
      </c>
      <c r="AQ11" s="33" t="s">
        <v>38</v>
      </c>
      <c r="AR11" s="33" t="s">
        <v>44</v>
      </c>
      <c r="AS11" s="33" t="s">
        <v>20</v>
      </c>
      <c r="AT11" s="33" t="s">
        <v>20</v>
      </c>
      <c r="AU11" s="33" t="s">
        <v>44</v>
      </c>
      <c r="AV11" s="32" t="s">
        <v>0</v>
      </c>
      <c r="AW11" s="40" t="s">
        <v>20</v>
      </c>
      <c r="AX11" s="20" t="s">
        <v>0</v>
      </c>
      <c r="AY11" s="30" t="s">
        <v>46</v>
      </c>
      <c r="AZ11" s="30" t="s">
        <v>46</v>
      </c>
      <c r="BA11" s="39" t="s">
        <v>0</v>
      </c>
      <c r="BB11" s="44">
        <f>IF(ISTEXT(AW11),IF(ISNUMBER(MATCH(AW11,$AY$5:$AY$100,0)),0,MAX(BB$4:BB10)+1),"")</f>
        <v>0</v>
      </c>
      <c r="BC11" s="36">
        <f>IF(ISTEXT(AY11),MATCH(AY11,$AW$5:$AW$127,0),"")</f>
        <v>3</v>
      </c>
      <c r="BD11" s="36" t="str">
        <f>IF(ISNUMBER(BC11),AY11,ROW()-SUM($BC$4:$BD$4))</f>
        <v>.dis</v>
      </c>
      <c r="BE11" s="20" t="str">
        <f>IF(ISTEXT(AW11),IF(ISNUMBER(BC11),AY11,INDEX($AW$5:$AW$140,MATCH(BD11,$BB$5:$BB$185,0),1)),"")</f>
        <v>.dis</v>
      </c>
      <c r="BF11" s="36"/>
      <c r="BG11" s="19" t="str">
        <f>IF(ISNUMBER(MATCH($BE11,Z$5:Z$501,0)),INDEX(Z$5:Z$501,MATCH($BE11,Z$5:Z$501,0),1),"")</f>
        <v>.dis</v>
      </c>
      <c r="BH11" s="19" t="str">
        <f>IF(ISNUMBER(MATCH($BE11,AA$5:AA$501,0)),INDEX(AA$5:AA$501,MATCH($BE11,AA$5:AA$501,0),1),"")</f>
        <v>.dis</v>
      </c>
      <c r="BI11" s="19" t="str">
        <f>IF(ISNUMBER(MATCH($BE11,AB$5:AB$501,0)),INDEX(AB$5:AB$501,MATCH($BE11,AB$5:AB$501,0),1),"")</f>
        <v>.dis</v>
      </c>
      <c r="BJ11" s="19" t="str">
        <f>IF(ISNUMBER(MATCH($BE11,AC$5:AC$501,0)),INDEX(AC$5:AC$501,MATCH($BE11,AC$5:AC$501,0),1),"")</f>
        <v>.dis</v>
      </c>
      <c r="BK11" s="19" t="str">
        <f>IF(ISNUMBER(MATCH($BE11,AD$5:AD$501,0)),INDEX(AD$5:AD$501,MATCH($BE11,AD$5:AD$501,0),1),"")</f>
        <v>.dis</v>
      </c>
      <c r="BL11" s="19" t="str">
        <f>IF(ISNUMBER(MATCH($BE11,AE$5:AE$501,0)),INDEX(AE$5:AE$501,MATCH($BE11,AE$5:AE$501,0),1),"")</f>
        <v>.dis</v>
      </c>
      <c r="BM11" s="19" t="str">
        <f>IF(ISNUMBER(MATCH($BE11,AF$5:AF$501,0)),INDEX(AF$5:AF$501,MATCH($BE11,AF$5:AF$501,0),1),"")</f>
        <v/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</row>
    <row r="12" spans="1:78" ht="12" customHeight="1" x14ac:dyDescent="0.25">
      <c r="A12" s="26"/>
      <c r="B12" s="28">
        <f>IF(ISNUMBER(MATCH(O12,$N$5:$N$1000,0)),MATCH(O12,$N$5:$N$1000,0),"")</f>
        <v>5</v>
      </c>
      <c r="C12" s="15">
        <f>IF(ISNUMBER(B12),MAX(C$4:C11)+1,"")</f>
        <v>4</v>
      </c>
      <c r="D12" s="15" t="str">
        <f>IF(IF(ISNUMBER(B12),"",MAX(D$4:D11)+1)&lt;=D$3,IF(ISNUMBER(B12),"",MAX(D$4:D11)+1),"")</f>
        <v/>
      </c>
      <c r="E12" s="42">
        <f>IF(M12&lt;=D$3,MATCH(M12,D$5:D$1000,0),"")</f>
        <v>26</v>
      </c>
      <c r="F12" s="28" t="str">
        <f>IF(ISNUMBER(E12),INDEX($N$5:$N$1000,E12,1),"")</f>
        <v>mfsim.lst</v>
      </c>
      <c r="G12" s="27" t="str">
        <f>IF(ISNUMBER(C12),N12,IF(ISTEXT(N12),INDEX($F$5:$F$1000,MATCH(M12,$E$5:$E$1000,0),1),""))</f>
        <v>.lak</v>
      </c>
      <c r="H12" s="15" t="str">
        <f>IF(O12="","",IF(ISNUMBER(MATCH(O12,$G$5:$G$1000,0)),"",IF(D12=1,C$3,0)+MAX(H$4:H11)+1))</f>
        <v/>
      </c>
      <c r="I12" s="15" t="str">
        <f>IF(O12="","",IF(ISNUMBER(MATCH(O12,$G$5:$G$1000,0)),"",IF(D12=1,B$4,0)+MAX(I$4:I11)+1))</f>
        <v/>
      </c>
      <c r="J12" s="27" t="str">
        <f>IF(ISNUMBER(MATCH(M12,$I$5:$I$1000,0)),INDEX($O$5:$O$1000,MATCH(M12,$I$5:$I$1000,0),1),"")</f>
        <v/>
      </c>
      <c r="K12" s="27">
        <f>IF(P12="",0,1)</f>
        <v>1</v>
      </c>
      <c r="L12" s="26"/>
      <c r="M12" s="14">
        <f>IF(ROW()-ROW(M$4)&lt;=1000,ROW()-ROW(M$4),"")</f>
        <v>8</v>
      </c>
      <c r="N12" s="43" t="s">
        <v>42</v>
      </c>
      <c r="O12" s="43" t="s">
        <v>15</v>
      </c>
      <c r="P12" s="41" t="str">
        <f>IF(M12&lt;=$B$4,IF(ISTEXT(G12),G12,""),IF(ISTEXT(J12),J12,""))</f>
        <v>.lak</v>
      </c>
      <c r="Q12" s="16" t="s">
        <v>0</v>
      </c>
      <c r="R12" s="34">
        <f>IF(ROW()-ROW(R$4)&lt;=AH$3,ROW()-ROW(R$4),"")</f>
        <v>8</v>
      </c>
      <c r="S12" s="34">
        <f>IF(ROW()-ROW(S$4)&lt;=AI$3,ROW()-ROW(S$4),"")</f>
        <v>8</v>
      </c>
      <c r="T12" s="34">
        <f>IF(ROW()-ROW(T$4)&lt;=AJ$3,ROW()-ROW(T$4),"")</f>
        <v>8</v>
      </c>
      <c r="U12" s="34">
        <f>IF(ROW()-ROW(U$4)&lt;=AK$3,ROW()-ROW(U$4),"")</f>
        <v>8</v>
      </c>
      <c r="V12" s="34">
        <f>IF(ROW()-ROW(V$4)&lt;=AL$3,ROW()-ROW(V$4),"")</f>
        <v>8</v>
      </c>
      <c r="W12" s="34">
        <f>IF(ROW()-ROW(W$4)&lt;=AM$3,ROW()-ROW(W$4),"")</f>
        <v>8</v>
      </c>
      <c r="X12" s="34" t="str">
        <f>IF(ROW()-ROW(X$4)&lt;=AN$3,ROW()-ROW(X$4),"")</f>
        <v/>
      </c>
      <c r="Y12" s="34"/>
      <c r="Z12" s="35" t="str">
        <f>IF(ISNUMBER(R12),INDEX($BE$5:$BE$2999,MATCH(R12,AH$5:AH$2999,0),1),"")</f>
        <v>.sfr.obs</v>
      </c>
      <c r="AA12" s="35" t="str">
        <f>IF(ISNUMBER(S12),INDEX($BE$5:$BE$2999,MATCH(S12,AI$5:AI$2999,0),1),"")</f>
        <v>.sfr.obs</v>
      </c>
      <c r="AB12" s="35" t="str">
        <f>IF(ISNUMBER(T12),INDEX($BE$5:$BE$2999,MATCH(T12,AJ$5:AJ$2999,0),1),"")</f>
        <v>.sfr.obs</v>
      </c>
      <c r="AC12" s="35" t="str">
        <f>IF(ISNUMBER(U12),INDEX($BE$5:$BE$2999,MATCH(U12,AK$5:AK$2999,0),1),"")</f>
        <v>.lak</v>
      </c>
      <c r="AD12" s="35" t="str">
        <f>IF(ISNUMBER(V12),INDEX($BE$5:$BE$2999,MATCH(V12,AL$5:AL$2999,0),1),"")</f>
        <v>.sfr</v>
      </c>
      <c r="AE12" s="35" t="str">
        <f>IF(ISNUMBER(W12),INDEX($BE$5:$BE$2999,MATCH(W12,AM$5:AM$2999,0),1),"")</f>
        <v>.sfr</v>
      </c>
      <c r="AF12" s="35" t="str">
        <f>IF(ISNUMBER(X12),INDEX($BE$5:$BE$2999,MATCH(X12,AN$5:AN$2999,0),1),"")</f>
        <v/>
      </c>
      <c r="AG12" s="35"/>
      <c r="AH12" s="34">
        <f>IF($BE12="","",IF(ISNUMBER(MATCH($BE12,AP$5:AP$29999,0)),MAX(AH$4:AH11)+1,0))</f>
        <v>7</v>
      </c>
      <c r="AI12" s="34">
        <f>IF($BE12="","",IF(ISNUMBER(MATCH($BE12,AQ$5:AQ$29999,0)),MAX(AI$4:AI11)+1,0))</f>
        <v>7</v>
      </c>
      <c r="AJ12" s="34">
        <f>IF($BE12="","",IF(ISNUMBER(MATCH($BE12,AR$5:AR$29999,0)),MAX(AJ$4:AJ11)+1,0))</f>
        <v>7</v>
      </c>
      <c r="AK12" s="34">
        <f>IF($BE12="","",IF(ISNUMBER(MATCH($BE12,AS$5:AS$29999,0)),MAX(AK$4:AK11)+1,0))</f>
        <v>0</v>
      </c>
      <c r="AL12" s="34">
        <f>IF($BE12="","",IF(ISNUMBER(MATCH($BE12,AT$5:AT$29999,0)),MAX(AL$4:AL11)+1,0))</f>
        <v>8</v>
      </c>
      <c r="AM12" s="34">
        <f>IF($BE12="","",IF(ISNUMBER(MATCH($BE12,AU$5:AU$29999,0)),MAX(AM$4:AM11)+1,0))</f>
        <v>8</v>
      </c>
      <c r="AN12" s="34">
        <f>IF($BE12="","",IF(ISNUMBER(MATCH($BE12,AV$5:AV$29999,0)),MAX(AN$4:AN11)+1,0))</f>
        <v>0</v>
      </c>
      <c r="AO12" s="16"/>
      <c r="AP12" s="33" t="s">
        <v>44</v>
      </c>
      <c r="AQ12" s="33" t="s">
        <v>37</v>
      </c>
      <c r="AR12" s="33" t="s">
        <v>42</v>
      </c>
      <c r="AS12" s="33" t="s">
        <v>15</v>
      </c>
      <c r="AT12" s="33" t="s">
        <v>15</v>
      </c>
      <c r="AU12" s="33" t="s">
        <v>42</v>
      </c>
      <c r="AV12" s="32" t="s">
        <v>0</v>
      </c>
      <c r="AW12" s="40" t="s">
        <v>15</v>
      </c>
      <c r="AX12" s="20" t="s">
        <v>0</v>
      </c>
      <c r="AY12" s="48" t="s">
        <v>35</v>
      </c>
      <c r="AZ12" s="48" t="s">
        <v>35</v>
      </c>
      <c r="BA12" s="39" t="s">
        <v>0</v>
      </c>
      <c r="BB12" s="44">
        <f>IF(ISTEXT(AW12),IF(ISNUMBER(MATCH(AW12,$AY$5:$AY$100,0)),0,MAX(BB$4:BB11)+1),"")</f>
        <v>0</v>
      </c>
      <c r="BC12" s="36">
        <f>IF(ISTEXT(AY12),MATCH(AY12,$AW$5:$AW$127,0),"")</f>
        <v>20</v>
      </c>
      <c r="BD12" s="36" t="str">
        <f>IF(ISNUMBER(BC12),AY12,ROW()-SUM($BC$4:$BD$4))</f>
        <v>.sfr</v>
      </c>
      <c r="BE12" s="20" t="str">
        <f>IF(ISTEXT(AW12),IF(ISNUMBER(BC12),AY12,INDEX($AW$5:$AW$140,MATCH(BD12,$BB$5:$BB$185,0),1)),"")</f>
        <v>.sfr</v>
      </c>
      <c r="BF12" s="36"/>
      <c r="BG12" s="19" t="str">
        <f>IF(ISNUMBER(MATCH($BE12,Z$5:Z$501,0)),INDEX(Z$5:Z$501,MATCH($BE12,Z$5:Z$501,0),1),"")</f>
        <v>.sfr</v>
      </c>
      <c r="BH12" s="19" t="str">
        <f>IF(ISNUMBER(MATCH($BE12,AA$5:AA$501,0)),INDEX(AA$5:AA$501,MATCH($BE12,AA$5:AA$501,0),1),"")</f>
        <v>.sfr</v>
      </c>
      <c r="BI12" s="19" t="str">
        <f>IF(ISNUMBER(MATCH($BE12,AB$5:AB$501,0)),INDEX(AB$5:AB$501,MATCH($BE12,AB$5:AB$501,0),1),"")</f>
        <v>.sfr</v>
      </c>
      <c r="BJ12" s="19" t="str">
        <f>IF(ISNUMBER(MATCH($BE12,AC$5:AC$501,0)),INDEX(AC$5:AC$501,MATCH($BE12,AC$5:AC$501,0),1),"")</f>
        <v/>
      </c>
      <c r="BK12" s="19" t="str">
        <f>IF(ISNUMBER(MATCH($BE12,AD$5:AD$501,0)),INDEX(AD$5:AD$501,MATCH($BE12,AD$5:AD$501,0),1),"")</f>
        <v>.sfr</v>
      </c>
      <c r="BL12" s="19" t="str">
        <f>IF(ISNUMBER(MATCH($BE12,AE$5:AE$501,0)),INDEX(AE$5:AE$501,MATCH($BE12,AE$5:AE$501,0),1),"")</f>
        <v>.sfr</v>
      </c>
      <c r="BM12" s="19" t="str">
        <f>IF(ISNUMBER(MATCH($BE12,AF$5:AF$501,0)),INDEX(AF$5:AF$501,MATCH($BE12,AF$5:AF$501,0),1),"")</f>
        <v/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</row>
    <row r="13" spans="1:78" ht="12" customHeight="1" x14ac:dyDescent="0.25">
      <c r="A13" s="26"/>
      <c r="B13" s="28">
        <f>IF(ISNUMBER(MATCH(O13,$N$5:$N$1000,0)),MATCH(O13,$N$5:$N$1000,0),"")</f>
        <v>6</v>
      </c>
      <c r="C13" s="15">
        <f>IF(ISNUMBER(B13),MAX(C$4:C12)+1,"")</f>
        <v>5</v>
      </c>
      <c r="D13" s="15" t="str">
        <f>IF(IF(ISNUMBER(B13),"",MAX(D$4:D12)+1)&lt;=D$3,IF(ISNUMBER(B13),"",MAX(D$4:D12)+1),"")</f>
        <v/>
      </c>
      <c r="E13" s="42">
        <f>IF(M13&lt;=D$3,MATCH(M13,D$5:D$1000,0),"")</f>
        <v>29</v>
      </c>
      <c r="F13" s="28" t="str">
        <f>IF(ISNUMBER(E13),INDEX($N$5:$N$1000,E13,1),"")</f>
        <v>obs_uzf.csv</v>
      </c>
      <c r="G13" s="27" t="str">
        <f>IF(ISNUMBER(C13),N13,IF(ISTEXT(N13),INDEX($F$5:$F$1000,MATCH(M13,$E$5:$E$1000,0),1),""))</f>
        <v>.lak.bud</v>
      </c>
      <c r="H13" s="15" t="str">
        <f>IF(O13="","",IF(ISNUMBER(MATCH(O13,$G$5:$G$1000,0)),"",IF(D13=1,C$3,0)+MAX(H$4:H12)+1))</f>
        <v/>
      </c>
      <c r="I13" s="15" t="str">
        <f>IF(O13="","",IF(ISNUMBER(MATCH(O13,$G$5:$G$1000,0)),"",IF(D13=1,B$4,0)+MAX(I$4:I12)+1))</f>
        <v/>
      </c>
      <c r="J13" s="27" t="str">
        <f>IF(ISNUMBER(MATCH(M13,$I$5:$I$1000,0)),INDEX($O$5:$O$1000,MATCH(M13,$I$5:$I$1000,0),1),"")</f>
        <v/>
      </c>
      <c r="K13" s="27">
        <f>IF(P13="",0,1)</f>
        <v>1</v>
      </c>
      <c r="L13" s="26"/>
      <c r="M13" s="14">
        <f>IF(ROW()-ROW(M$4)&lt;=1000,ROW()-ROW(M$4),"")</f>
        <v>9</v>
      </c>
      <c r="N13" s="43" t="s">
        <v>29</v>
      </c>
      <c r="O13" s="43" t="s">
        <v>45</v>
      </c>
      <c r="P13" s="41" t="str">
        <f>IF(M13&lt;=$B$4,IF(ISTEXT(G13),G13,""),IF(ISTEXT(J13),J13,""))</f>
        <v>.lak.bud</v>
      </c>
      <c r="Q13" s="16" t="s">
        <v>0</v>
      </c>
      <c r="R13" s="34">
        <f>IF(ROW()-ROW(R$4)&lt;=AH$3,ROW()-ROW(R$4),"")</f>
        <v>9</v>
      </c>
      <c r="S13" s="34">
        <f>IF(ROW()-ROW(S$4)&lt;=AI$3,ROW()-ROW(S$4),"")</f>
        <v>9</v>
      </c>
      <c r="T13" s="34">
        <f>IF(ROW()-ROW(T$4)&lt;=AJ$3,ROW()-ROW(T$4),"")</f>
        <v>9</v>
      </c>
      <c r="U13" s="34">
        <f>IF(ROW()-ROW(U$4)&lt;=AK$3,ROW()-ROW(U$4),"")</f>
        <v>9</v>
      </c>
      <c r="V13" s="34">
        <f>IF(ROW()-ROW(V$4)&lt;=AL$3,ROW()-ROW(V$4),"")</f>
        <v>9</v>
      </c>
      <c r="W13" s="34">
        <f>IF(ROW()-ROW(W$4)&lt;=AM$3,ROW()-ROW(W$4),"")</f>
        <v>9</v>
      </c>
      <c r="X13" s="34" t="str">
        <f>IF(ROW()-ROW(X$4)&lt;=AN$3,ROW()-ROW(X$4),"")</f>
        <v/>
      </c>
      <c r="Y13" s="34"/>
      <c r="Z13" s="35" t="str">
        <f>IF(ISNUMBER(R13),INDEX($BE$5:$BE$2999,MATCH(R13,AH$5:AH$2999,0),1),"")</f>
        <v>.sfr.obs.csv</v>
      </c>
      <c r="AA13" s="35" t="str">
        <f>IF(ISNUMBER(S13),INDEX($BE$5:$BE$2999,MATCH(S13,AI$5:AI$2999,0),1),"")</f>
        <v>.sfr.obs.csv</v>
      </c>
      <c r="AB13" s="35" t="str">
        <f>IF(ISNUMBER(T13),INDEX($BE$5:$BE$2999,MATCH(T13,AJ$5:AJ$2999,0),1),"")</f>
        <v>.sfr.bud</v>
      </c>
      <c r="AC13" s="35" t="str">
        <f>IF(ISNUMBER(U13),INDEX($BE$5:$BE$2999,MATCH(U13,AK$5:AK$2999,0),1),"")</f>
        <v>.lak.obs</v>
      </c>
      <c r="AD13" s="35" t="str">
        <f>IF(ISNUMBER(V13),INDEX($BE$5:$BE$2999,MATCH(V13,AL$5:AL$2999,0),1),"")</f>
        <v>.lak</v>
      </c>
      <c r="AE13" s="35" t="str">
        <f>IF(ISNUMBER(W13),INDEX($BE$5:$BE$2999,MATCH(W13,AM$5:AM$2999,0),1),"")</f>
        <v>.sfr.obs</v>
      </c>
      <c r="AF13" s="35" t="str">
        <f>IF(ISNUMBER(X13),INDEX($BE$5:$BE$2999,MATCH(X13,AN$5:AN$2999,0),1),"")</f>
        <v/>
      </c>
      <c r="AG13" s="35"/>
      <c r="AH13" s="34">
        <f>IF($BE13="","",IF(ISNUMBER(MATCH($BE13,AP$5:AP$29999,0)),MAX(AH$4:AH12)+1,0))</f>
        <v>8</v>
      </c>
      <c r="AI13" s="34">
        <f>IF($BE13="","",IF(ISNUMBER(MATCH($BE13,AQ$5:AQ$29999,0)),MAX(AI$4:AI12)+1,0))</f>
        <v>8</v>
      </c>
      <c r="AJ13" s="34">
        <f>IF($BE13="","",IF(ISNUMBER(MATCH($BE13,AR$5:AR$29999,0)),MAX(AJ$4:AJ12)+1,0))</f>
        <v>8</v>
      </c>
      <c r="AK13" s="34">
        <f>IF($BE13="","",IF(ISNUMBER(MATCH($BE13,AS$5:AS$29999,0)),MAX(AK$4:AK12)+1,0))</f>
        <v>0</v>
      </c>
      <c r="AL13" s="34">
        <f>IF($BE13="","",IF(ISNUMBER(MATCH($BE13,AT$5:AT$29999,0)),MAX(AL$4:AL12)+1,0))</f>
        <v>0</v>
      </c>
      <c r="AM13" s="34">
        <f>IF($BE13="","",IF(ISNUMBER(MATCH($BE13,AU$5:AU$29999,0)),MAX(AM$4:AM12)+1,0))</f>
        <v>9</v>
      </c>
      <c r="AN13" s="34">
        <f>IF($BE13="","",IF(ISNUMBER(MATCH($BE13,AV$5:AV$29999,0)),MAX(AN$4:AN12)+1,0))</f>
        <v>0</v>
      </c>
      <c r="AO13" s="16"/>
      <c r="AP13" s="33" t="s">
        <v>41</v>
      </c>
      <c r="AQ13" s="33" t="s">
        <v>35</v>
      </c>
      <c r="AR13" s="33" t="s">
        <v>29</v>
      </c>
      <c r="AS13" s="33" t="s">
        <v>45</v>
      </c>
      <c r="AT13" s="33" t="s">
        <v>45</v>
      </c>
      <c r="AU13" s="33" t="s">
        <v>31</v>
      </c>
      <c r="AV13" s="32" t="s">
        <v>0</v>
      </c>
      <c r="AW13" s="40" t="s">
        <v>45</v>
      </c>
      <c r="AX13" s="20" t="s">
        <v>0</v>
      </c>
      <c r="AY13" s="48" t="s">
        <v>21</v>
      </c>
      <c r="AZ13" s="48" t="s">
        <v>21</v>
      </c>
      <c r="BA13" s="39" t="s">
        <v>0</v>
      </c>
      <c r="BB13" s="44">
        <f>IF(ISTEXT(AW13),IF(ISNUMBER(MATCH(AW13,$AY$5:$AY$100,0)),0,MAX(BB$4:BB12)+1),"")</f>
        <v>0</v>
      </c>
      <c r="BC13" s="36">
        <f>IF(ISTEXT(AY13),MATCH(AY13,$AW$5:$AW$127,0),"")</f>
        <v>31</v>
      </c>
      <c r="BD13" s="36" t="str">
        <f>IF(ISNUMBER(BC13),AY13,ROW()-SUM($BC$4:$BD$4))</f>
        <v>.sfr.obs</v>
      </c>
      <c r="BE13" s="20" t="str">
        <f>IF(ISTEXT(AW13),IF(ISNUMBER(BC13),AY13,INDEX($AW$5:$AW$140,MATCH(BD13,$BB$5:$BB$185,0),1)),"")</f>
        <v>.sfr.obs</v>
      </c>
      <c r="BF13" s="36"/>
      <c r="BG13" s="19" t="str">
        <f>IF(ISNUMBER(MATCH($BE13,Z$5:Z$501,0)),INDEX(Z$5:Z$501,MATCH($BE13,Z$5:Z$501,0),1),"")</f>
        <v>.sfr.obs</v>
      </c>
      <c r="BH13" s="19" t="str">
        <f>IF(ISNUMBER(MATCH($BE13,AA$5:AA$501,0)),INDEX(AA$5:AA$501,MATCH($BE13,AA$5:AA$501,0),1),"")</f>
        <v>.sfr.obs</v>
      </c>
      <c r="BI13" s="19" t="str">
        <f>IF(ISNUMBER(MATCH($BE13,AB$5:AB$501,0)),INDEX(AB$5:AB$501,MATCH($BE13,AB$5:AB$501,0),1),"")</f>
        <v>.sfr.obs</v>
      </c>
      <c r="BJ13" s="19" t="str">
        <f>IF(ISNUMBER(MATCH($BE13,AC$5:AC$501,0)),INDEX(AC$5:AC$501,MATCH($BE13,AC$5:AC$501,0),1),"")</f>
        <v/>
      </c>
      <c r="BK13" s="19" t="str">
        <f>IF(ISNUMBER(MATCH($BE13,AD$5:AD$501,0)),INDEX(AD$5:AD$501,MATCH($BE13,AD$5:AD$501,0),1),"")</f>
        <v/>
      </c>
      <c r="BL13" s="19" t="str">
        <f>IF(ISNUMBER(MATCH($BE13,AE$5:AE$501,0)),INDEX(AE$5:AE$501,MATCH($BE13,AE$5:AE$501,0),1),"")</f>
        <v>.sfr.obs</v>
      </c>
      <c r="BM13" s="19" t="str">
        <f>IF(ISNUMBER(MATCH($BE13,AF$5:AF$501,0)),INDEX(AF$5:AF$501,MATCH($BE13,AF$5:AF$501,0),1),"")</f>
        <v/>
      </c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</row>
    <row r="14" spans="1:78" ht="12" customHeight="1" x14ac:dyDescent="0.25">
      <c r="A14" s="26"/>
      <c r="B14" s="28">
        <f>IF(ISNUMBER(MATCH(O14,$N$5:$N$1000,0)),MATCH(O14,$N$5:$N$1000,0),"")</f>
        <v>7</v>
      </c>
      <c r="C14" s="15">
        <f>IF(ISNUMBER(B14),MAX(C$4:C13)+1,"")</f>
        <v>6</v>
      </c>
      <c r="D14" s="15" t="str">
        <f>IF(IF(ISNUMBER(B14),"",MAX(D$4:D13)+1)&lt;=D$3,IF(ISNUMBER(B14),"",MAX(D$4:D13)+1),"")</f>
        <v/>
      </c>
      <c r="E14" s="42">
        <f>IF(M14&lt;=D$3,MATCH(M14,D$5:D$1000,0),"")</f>
        <v>32</v>
      </c>
      <c r="F14" s="28" t="str">
        <f>IF(ISNUMBER(E14),INDEX($N$5:$N$1000,E14,1),"")</f>
        <v>sfr.reach01.csv</v>
      </c>
      <c r="G14" s="27" t="str">
        <f>IF(ISNUMBER(C14),N14,IF(ISTEXT(N14),INDEX($F$5:$F$1000,MATCH(M14,$E$5:$E$1000,0),1),""))</f>
        <v>.lak.obs</v>
      </c>
      <c r="H14" s="15" t="str">
        <f>IF(O14="","",IF(ISNUMBER(MATCH(O14,$G$5:$G$1000,0)),"",IF(D14=1,C$3,0)+MAX(H$4:H13)+1))</f>
        <v/>
      </c>
      <c r="I14" s="15" t="str">
        <f>IF(O14="","",IF(ISNUMBER(MATCH(O14,$G$5:$G$1000,0)),"",IF(D14=1,B$4,0)+MAX(I$4:I13)+1))</f>
        <v/>
      </c>
      <c r="J14" s="27" t="str">
        <f>IF(ISNUMBER(MATCH(M14,$I$5:$I$1000,0)),INDEX($O$5:$O$1000,MATCH(M14,$I$5:$I$1000,0),1),"")</f>
        <v/>
      </c>
      <c r="K14" s="27">
        <f>IF(P14="",0,1)</f>
        <v>1</v>
      </c>
      <c r="L14" s="26"/>
      <c r="M14" s="14">
        <f>IF(ROW()-ROW(M$4)&lt;=1000,ROW()-ROW(M$4),"")</f>
        <v>10</v>
      </c>
      <c r="N14" s="43" t="s">
        <v>40</v>
      </c>
      <c r="O14" s="43" t="s">
        <v>44</v>
      </c>
      <c r="P14" s="41" t="str">
        <f>IF(M14&lt;=$B$4,IF(ISTEXT(G14),G14,""),IF(ISTEXT(J14),J14,""))</f>
        <v>.lak.obs</v>
      </c>
      <c r="Q14" s="16" t="s">
        <v>0</v>
      </c>
      <c r="R14" s="34">
        <f>IF(ROW()-ROW(R$4)&lt;=AH$3,ROW()-ROW(R$4),"")</f>
        <v>10</v>
      </c>
      <c r="S14" s="34">
        <f>IF(ROW()-ROW(S$4)&lt;=AI$3,ROW()-ROW(S$4),"")</f>
        <v>10</v>
      </c>
      <c r="T14" s="34">
        <f>IF(ROW()-ROW(T$4)&lt;=AJ$3,ROW()-ROW(T$4),"")</f>
        <v>10</v>
      </c>
      <c r="U14" s="34">
        <f>IF(ROW()-ROW(U$4)&lt;=AK$3,ROW()-ROW(U$4),"")</f>
        <v>10</v>
      </c>
      <c r="V14" s="34">
        <f>IF(ROW()-ROW(V$4)&lt;=AL$3,ROW()-ROW(V$4),"")</f>
        <v>10</v>
      </c>
      <c r="W14" s="34">
        <f>IF(ROW()-ROW(W$4)&lt;=AM$3,ROW()-ROW(W$4),"")</f>
        <v>10</v>
      </c>
      <c r="X14" s="34" t="str">
        <f>IF(ROW()-ROW(X$4)&lt;=AN$3,ROW()-ROW(X$4),"")</f>
        <v/>
      </c>
      <c r="Y14" s="34"/>
      <c r="Z14" s="35" t="str">
        <f>IF(ISNUMBER(R14),INDEX($BE$5:$BE$2999,MATCH(R14,AH$5:AH$2999,0),1),"")</f>
        <v>.nam</v>
      </c>
      <c r="AA14" s="35" t="str">
        <f>IF(ISNUMBER(S14),INDEX($BE$5:$BE$2999,MATCH(S14,AI$5:AI$2999,0),1),"")</f>
        <v>.nam</v>
      </c>
      <c r="AB14" s="35" t="str">
        <f>IF(ISNUMBER(T14),INDEX($BE$5:$BE$2999,MATCH(T14,AJ$5:AJ$2999,0),1),"")</f>
        <v>.lak</v>
      </c>
      <c r="AC14" s="35" t="str">
        <f>IF(ISNUMBER(U14),INDEX($BE$5:$BE$2999,MATCH(U14,AK$5:AK$2999,0),1),"")</f>
        <v>.lak.obs.csv</v>
      </c>
      <c r="AD14" s="35" t="str">
        <f>IF(ISNUMBER(V14),INDEX($BE$5:$BE$2999,MATCH(V14,AL$5:AL$2999,0),1),"")</f>
        <v>.lak.obs</v>
      </c>
      <c r="AE14" s="35" t="str">
        <f>IF(ISNUMBER(W14),INDEX($BE$5:$BE$2999,MATCH(W14,AM$5:AM$2999,0),1),"")</f>
        <v>.sfr.obs.csv</v>
      </c>
      <c r="AF14" s="35" t="str">
        <f>IF(ISNUMBER(X14),INDEX($BE$5:$BE$2999,MATCH(X14,AN$5:AN$2999,0),1),"")</f>
        <v/>
      </c>
      <c r="AG14" s="35"/>
      <c r="AH14" s="34">
        <f>IF($BE14="","",IF(ISNUMBER(MATCH($BE14,AP$5:AP$29999,0)),MAX(AH$4:AH13)+1,0))</f>
        <v>9</v>
      </c>
      <c r="AI14" s="34">
        <f>IF($BE14="","",IF(ISNUMBER(MATCH($BE14,AQ$5:AQ$29999,0)),MAX(AI$4:AI13)+1,0))</f>
        <v>9</v>
      </c>
      <c r="AJ14" s="34">
        <f>IF($BE14="","",IF(ISNUMBER(MATCH($BE14,AR$5:AR$29999,0)),MAX(AJ$4:AJ13)+1,0))</f>
        <v>0</v>
      </c>
      <c r="AK14" s="34">
        <f>IF($BE14="","",IF(ISNUMBER(MATCH($BE14,AS$5:AS$29999,0)),MAX(AK$4:AK13)+1,0))</f>
        <v>0</v>
      </c>
      <c r="AL14" s="34">
        <f>IF($BE14="","",IF(ISNUMBER(MATCH($BE14,AT$5:AT$29999,0)),MAX(AL$4:AL13)+1,0))</f>
        <v>0</v>
      </c>
      <c r="AM14" s="34">
        <f>IF($BE14="","",IF(ISNUMBER(MATCH($BE14,AU$5:AU$29999,0)),MAX(AM$4:AM13)+1,0))</f>
        <v>10</v>
      </c>
      <c r="AN14" s="34">
        <f>IF($BE14="","",IF(ISNUMBER(MATCH($BE14,AV$5:AV$29999,0)),MAX(AN$4:AN13)+1,0))</f>
        <v>0</v>
      </c>
      <c r="AO14" s="16"/>
      <c r="AP14" s="33" t="s">
        <v>34</v>
      </c>
      <c r="AQ14" s="33" t="s">
        <v>21</v>
      </c>
      <c r="AR14" s="33" t="s">
        <v>40</v>
      </c>
      <c r="AS14" s="33" t="s">
        <v>44</v>
      </c>
      <c r="AT14" s="33" t="s">
        <v>44</v>
      </c>
      <c r="AU14" s="33" t="s">
        <v>29</v>
      </c>
      <c r="AV14" s="32" t="s">
        <v>0</v>
      </c>
      <c r="AW14" s="40" t="s">
        <v>44</v>
      </c>
      <c r="AX14" s="20" t="s">
        <v>0</v>
      </c>
      <c r="AY14" s="48" t="s">
        <v>19</v>
      </c>
      <c r="AZ14" s="48" t="s">
        <v>19</v>
      </c>
      <c r="BA14" s="39" t="s">
        <v>0</v>
      </c>
      <c r="BB14" s="44">
        <f>IF(ISTEXT(AW14),IF(ISNUMBER(MATCH(AW14,$AY$5:$AY$100,0)),0,MAX(BB$4:BB13)+1),"")</f>
        <v>0</v>
      </c>
      <c r="BC14" s="36">
        <f>IF(ISTEXT(AY14),MATCH(AY14,$AW$5:$AW$127,0),"")</f>
        <v>32</v>
      </c>
      <c r="BD14" s="36" t="str">
        <f>IF(ISNUMBER(BC14),AY14,ROW()-SUM($BC$4:$BD$4))</f>
        <v>.sfr.obs.csv</v>
      </c>
      <c r="BE14" s="20" t="str">
        <f>IF(ISTEXT(AW14),IF(ISNUMBER(BC14),AY14,INDEX($AW$5:$AW$140,MATCH(BD14,$BB$5:$BB$185,0),1)),"")</f>
        <v>.sfr.obs.csv</v>
      </c>
      <c r="BF14" s="36"/>
      <c r="BG14" s="19" t="str">
        <f>IF(ISNUMBER(MATCH($BE14,Z$5:Z$501,0)),INDEX(Z$5:Z$501,MATCH($BE14,Z$5:Z$501,0),1),"")</f>
        <v>.sfr.obs.csv</v>
      </c>
      <c r="BH14" s="19" t="str">
        <f>IF(ISNUMBER(MATCH($BE14,AA$5:AA$501,0)),INDEX(AA$5:AA$501,MATCH($BE14,AA$5:AA$501,0),1),"")</f>
        <v>.sfr.obs.csv</v>
      </c>
      <c r="BI14" s="19" t="str">
        <f>IF(ISNUMBER(MATCH($BE14,AB$5:AB$501,0)),INDEX(AB$5:AB$501,MATCH($BE14,AB$5:AB$501,0),1),"")</f>
        <v/>
      </c>
      <c r="BJ14" s="19" t="str">
        <f>IF(ISNUMBER(MATCH($BE14,AC$5:AC$501,0)),INDEX(AC$5:AC$501,MATCH($BE14,AC$5:AC$501,0),1),"")</f>
        <v/>
      </c>
      <c r="BK14" s="19" t="str">
        <f>IF(ISNUMBER(MATCH($BE14,AD$5:AD$501,0)),INDEX(AD$5:AD$501,MATCH($BE14,AD$5:AD$501,0),1),"")</f>
        <v/>
      </c>
      <c r="BL14" s="19" t="str">
        <f>IF(ISNUMBER(MATCH($BE14,AE$5:AE$501,0)),INDEX(AE$5:AE$501,MATCH($BE14,AE$5:AE$501,0),1),"")</f>
        <v>.sfr.obs.csv</v>
      </c>
      <c r="BM14" s="19" t="str">
        <f>IF(ISNUMBER(MATCH($BE14,AF$5:AF$501,0)),INDEX(AF$5:AF$501,MATCH($BE14,AF$5:AF$501,0),1),"")</f>
        <v/>
      </c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</row>
    <row r="15" spans="1:78" ht="12" customHeight="1" x14ac:dyDescent="0.25">
      <c r="A15" s="26"/>
      <c r="B15" s="28">
        <f>IF(ISNUMBER(MATCH(O15,$N$5:$N$1000,0)),MATCH(O15,$N$5:$N$1000,0),"")</f>
        <v>8</v>
      </c>
      <c r="C15" s="15">
        <f>IF(ISNUMBER(B15),MAX(C$4:C14)+1,"")</f>
        <v>7</v>
      </c>
      <c r="D15" s="15" t="str">
        <f>IF(IF(ISNUMBER(B15),"",MAX(D$4:D14)+1)&lt;=D$3,IF(ISNUMBER(B15),"",MAX(D$4:D14)+1),"")</f>
        <v/>
      </c>
      <c r="E15" s="42">
        <f>IF(M15&lt;=D$3,MATCH(M15,D$5:D$1000,0),"")</f>
        <v>33</v>
      </c>
      <c r="F15" s="28" t="str">
        <f>IF(ISNUMBER(E15),INDEX($N$5:$N$1000,E15,1),"")</f>
        <v>sfr.reach24.csv</v>
      </c>
      <c r="G15" s="27" t="str">
        <f>IF(ISNUMBER(C15),N15,IF(ISTEXT(N15),INDEX($F$5:$F$1000,MATCH(M15,$E$5:$E$1000,0),1),""))</f>
        <v>.lst</v>
      </c>
      <c r="H15" s="15" t="str">
        <f>IF(O15="","",IF(ISNUMBER(MATCH(O15,$G$5:$G$1000,0)),"",IF(D15=1,C$3,0)+MAX(H$4:H14)+1))</f>
        <v/>
      </c>
      <c r="I15" s="15" t="str">
        <f>IF(O15="","",IF(ISNUMBER(MATCH(O15,$G$5:$G$1000,0)),"",IF(D15=1,B$4,0)+MAX(I$4:I14)+1))</f>
        <v/>
      </c>
      <c r="J15" s="27" t="str">
        <f>IF(ISNUMBER(MATCH(M15,$I$5:$I$1000,0)),INDEX($O$5:$O$1000,MATCH(M15,$I$5:$I$1000,0),1),"")</f>
        <v/>
      </c>
      <c r="K15" s="27">
        <f>IF(P15="",0,1)</f>
        <v>1</v>
      </c>
      <c r="L15" s="26"/>
      <c r="M15" s="14">
        <f>IF(ROW()-ROW(M$4)&lt;=1000,ROW()-ROW(M$4),"")</f>
        <v>11</v>
      </c>
      <c r="N15" s="43" t="s">
        <v>41</v>
      </c>
      <c r="O15" s="43" t="s">
        <v>42</v>
      </c>
      <c r="P15" s="41" t="str">
        <f>IF(M15&lt;=$B$4,IF(ISTEXT(G15),G15,""),IF(ISTEXT(J15),J15,""))</f>
        <v>.lst</v>
      </c>
      <c r="Q15" s="16" t="s">
        <v>0</v>
      </c>
      <c r="R15" s="34">
        <f>IF(ROW()-ROW(R$4)&lt;=AH$3,ROW()-ROW(R$4),"")</f>
        <v>11</v>
      </c>
      <c r="S15" s="34">
        <f>IF(ROW()-ROW(S$4)&lt;=AI$3,ROW()-ROW(S$4),"")</f>
        <v>11</v>
      </c>
      <c r="T15" s="34">
        <f>IF(ROW()-ROW(T$4)&lt;=AJ$3,ROW()-ROW(T$4),"")</f>
        <v>11</v>
      </c>
      <c r="U15" s="34">
        <f>IF(ROW()-ROW(U$4)&lt;=AK$3,ROW()-ROW(U$4),"")</f>
        <v>11</v>
      </c>
      <c r="V15" s="34">
        <f>IF(ROW()-ROW(V$4)&lt;=AL$3,ROW()-ROW(V$4),"")</f>
        <v>11</v>
      </c>
      <c r="W15" s="34">
        <f>IF(ROW()-ROW(W$4)&lt;=AM$3,ROW()-ROW(W$4),"")</f>
        <v>11</v>
      </c>
      <c r="X15" s="34" t="str">
        <f>IF(ROW()-ROW(X$4)&lt;=AN$3,ROW()-ROW(X$4),"")</f>
        <v/>
      </c>
      <c r="Y15" s="34"/>
      <c r="Z15" s="35" t="str">
        <f>IF(ISNUMBER(R15),INDEX($BE$5:$BE$2999,MATCH(R15,AH$5:AH$2999,0),1),"")</f>
        <v>.tdis</v>
      </c>
      <c r="AA15" s="35" t="str">
        <f>IF(ISNUMBER(S15),INDEX($BE$5:$BE$2999,MATCH(S15,AI$5:AI$2999,0),1),"")</f>
        <v>.tdis</v>
      </c>
      <c r="AB15" s="35" t="str">
        <f>IF(ISNUMBER(T15),INDEX($BE$5:$BE$2999,MATCH(T15,AJ$5:AJ$2999,0),1),"")</f>
        <v>.lak.obs</v>
      </c>
      <c r="AC15" s="35" t="str">
        <f>IF(ISNUMBER(U15),INDEX($BE$5:$BE$2999,MATCH(U15,AK$5:AK$2999,0),1),"")</f>
        <v>.nam</v>
      </c>
      <c r="AD15" s="35" t="str">
        <f>IF(ISNUMBER(V15),INDEX($BE$5:$BE$2999,MATCH(V15,AL$5:AL$2999,0),1),"")</f>
        <v>.lak.obs.csv</v>
      </c>
      <c r="AE15" s="35" t="str">
        <f>IF(ISNUMBER(W15),INDEX($BE$5:$BE$2999,MATCH(W15,AM$5:AM$2999,0),1),"")</f>
        <v>.sfr.bud</v>
      </c>
      <c r="AF15" s="35" t="str">
        <f>IF(ISNUMBER(X15),INDEX($BE$5:$BE$2999,MATCH(X15,AN$5:AN$2999,0),1),"")</f>
        <v/>
      </c>
      <c r="AG15" s="35"/>
      <c r="AH15" s="34">
        <f>IF($BE15="","",IF(ISNUMBER(MATCH($BE15,AP$5:AP$29999,0)),MAX(AH$4:AH14)+1,0))</f>
        <v>0</v>
      </c>
      <c r="AI15" s="34">
        <f>IF($BE15="","",IF(ISNUMBER(MATCH($BE15,AQ$5:AQ$29999,0)),MAX(AI$4:AI14)+1,0))</f>
        <v>0</v>
      </c>
      <c r="AJ15" s="34">
        <f>IF($BE15="","",IF(ISNUMBER(MATCH($BE15,AR$5:AR$29999,0)),MAX(AJ$4:AJ14)+1,0))</f>
        <v>9</v>
      </c>
      <c r="AK15" s="34">
        <f>IF($BE15="","",IF(ISNUMBER(MATCH($BE15,AS$5:AS$29999,0)),MAX(AK$4:AK14)+1,0))</f>
        <v>0</v>
      </c>
      <c r="AL15" s="34">
        <f>IF($BE15="","",IF(ISNUMBER(MATCH($BE15,AT$5:AT$29999,0)),MAX(AL$4:AL14)+1,0))</f>
        <v>0</v>
      </c>
      <c r="AM15" s="34">
        <f>IF($BE15="","",IF(ISNUMBER(MATCH($BE15,AU$5:AU$29999,0)),MAX(AM$4:AM14)+1,0))</f>
        <v>11</v>
      </c>
      <c r="AN15" s="34">
        <f>IF($BE15="","",IF(ISNUMBER(MATCH($BE15,AV$5:AV$29999,0)),MAX(AN$4:AN14)+1,0))</f>
        <v>0</v>
      </c>
      <c r="AO15" s="16"/>
      <c r="AP15" s="33" t="s">
        <v>38</v>
      </c>
      <c r="AQ15" s="33" t="s">
        <v>19</v>
      </c>
      <c r="AR15" s="33" t="s">
        <v>41</v>
      </c>
      <c r="AS15" s="33" t="s">
        <v>42</v>
      </c>
      <c r="AT15" s="33" t="s">
        <v>42</v>
      </c>
      <c r="AU15" s="33" t="s">
        <v>41</v>
      </c>
      <c r="AV15" s="32" t="s">
        <v>0</v>
      </c>
      <c r="AW15" s="40" t="s">
        <v>42</v>
      </c>
      <c r="AX15" s="20" t="s">
        <v>0</v>
      </c>
      <c r="AY15" s="48" t="s">
        <v>23</v>
      </c>
      <c r="AZ15" s="48" t="s">
        <v>23</v>
      </c>
      <c r="BA15" s="39" t="s">
        <v>0</v>
      </c>
      <c r="BB15" s="44">
        <f>IF(ISTEXT(AW15),IF(ISNUMBER(MATCH(AW15,$AY$5:$AY$100,0)),0,MAX(BB$4:BB14)+1),"")</f>
        <v>0</v>
      </c>
      <c r="BC15" s="36">
        <f>IF(ISTEXT(AY15),MATCH(AY15,$AW$5:$AW$127,0),"")</f>
        <v>30</v>
      </c>
      <c r="BD15" s="36" t="str">
        <f>IF(ISNUMBER(BC15),AY15,ROW()-SUM($BC$4:$BD$4))</f>
        <v>.sfr.bud</v>
      </c>
      <c r="BE15" s="20" t="str">
        <f>IF(ISTEXT(AW15),IF(ISNUMBER(BC15),AY15,INDEX($AW$5:$AW$140,MATCH(BD15,$BB$5:$BB$185,0),1)),"")</f>
        <v>.sfr.bud</v>
      </c>
      <c r="BF15" s="36"/>
      <c r="BG15" s="19" t="str">
        <f>IF(ISNUMBER(MATCH($BE15,Z$5:Z$501,0)),INDEX(Z$5:Z$501,MATCH($BE15,Z$5:Z$501,0),1),"")</f>
        <v/>
      </c>
      <c r="BH15" s="19" t="str">
        <f>IF(ISNUMBER(MATCH($BE15,AA$5:AA$501,0)),INDEX(AA$5:AA$501,MATCH($BE15,AA$5:AA$501,0),1),"")</f>
        <v/>
      </c>
      <c r="BI15" s="19" t="str">
        <f>IF(ISNUMBER(MATCH($BE15,AB$5:AB$501,0)),INDEX(AB$5:AB$501,MATCH($BE15,AB$5:AB$501,0),1),"")</f>
        <v>.sfr.bud</v>
      </c>
      <c r="BJ15" s="19" t="str">
        <f>IF(ISNUMBER(MATCH($BE15,AC$5:AC$501,0)),INDEX(AC$5:AC$501,MATCH($BE15,AC$5:AC$501,0),1),"")</f>
        <v/>
      </c>
      <c r="BK15" s="19" t="str">
        <f>IF(ISNUMBER(MATCH($BE15,AD$5:AD$501,0)),INDEX(AD$5:AD$501,MATCH($BE15,AD$5:AD$501,0),1),"")</f>
        <v/>
      </c>
      <c r="BL15" s="19" t="str">
        <f>IF(ISNUMBER(MATCH($BE15,AE$5:AE$501,0)),INDEX(AE$5:AE$501,MATCH($BE15,AE$5:AE$501,0),1),"")</f>
        <v>.sfr.bud</v>
      </c>
      <c r="BM15" s="19" t="str">
        <f>IF(ISNUMBER(MATCH($BE15,AF$5:AF$501,0)),INDEX(AF$5:AF$501,MATCH($BE15,AF$5:AF$501,0),1),"")</f>
        <v/>
      </c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</row>
    <row r="16" spans="1:78" ht="12" customHeight="1" x14ac:dyDescent="0.25">
      <c r="A16" s="26"/>
      <c r="B16" s="28">
        <f>IF(ISNUMBER(MATCH(O16,$N$5:$N$1000,0)),MATCH(O16,$N$5:$N$1000,0),"")</f>
        <v>10</v>
      </c>
      <c r="C16" s="15">
        <f>IF(ISNUMBER(B16),MAX(C$4:C15)+1,"")</f>
        <v>8</v>
      </c>
      <c r="D16" s="15" t="str">
        <f>IF(IF(ISNUMBER(B16),"",MAX(D$4:D15)+1)&lt;=D$3,IF(ISNUMBER(B16),"",MAX(D$4:D15)+1),"")</f>
        <v/>
      </c>
      <c r="E16" s="42">
        <f>IF(M16&lt;=D$3,MATCH(M16,D$5:D$1000,0),"")</f>
        <v>34</v>
      </c>
      <c r="F16" s="28" t="str">
        <f>IF(ISNUMBER(E16),INDEX($N$5:$N$1000,E16,1),"")</f>
        <v>sfr.reach29.csv</v>
      </c>
      <c r="G16" s="27" t="str">
        <f>IF(ISNUMBER(C16),N16,IF(ISTEXT(N16),INDEX($F$5:$F$1000,MATCH(M16,$E$5:$E$1000,0),1),""))</f>
        <v>.mvr</v>
      </c>
      <c r="H16" s="15" t="str">
        <f>IF(O16="","",IF(ISNUMBER(MATCH(O16,$G$5:$G$1000,0)),"",IF(D16=1,C$3,0)+MAX(H$4:H15)+1))</f>
        <v/>
      </c>
      <c r="I16" s="15" t="str">
        <f>IF(O16="","",IF(ISNUMBER(MATCH(O16,$G$5:$G$1000,0)),"",IF(D16=1,B$4,0)+MAX(I$4:I15)+1))</f>
        <v/>
      </c>
      <c r="J16" s="27" t="str">
        <f>IF(ISNUMBER(MATCH(M16,$I$5:$I$1000,0)),INDEX($O$5:$O$1000,MATCH(M16,$I$5:$I$1000,0),1),"")</f>
        <v/>
      </c>
      <c r="K16" s="27">
        <f>IF(P16="",0,1)</f>
        <v>1</v>
      </c>
      <c r="L16" s="26"/>
      <c r="M16" s="14">
        <f>IF(ROW()-ROW(M$4)&lt;=1000,ROW()-ROW(M$4),"")</f>
        <v>12</v>
      </c>
      <c r="N16" s="43" t="s">
        <v>36</v>
      </c>
      <c r="O16" s="43" t="s">
        <v>40</v>
      </c>
      <c r="P16" s="41" t="str">
        <f>IF(M16&lt;=$B$4,IF(ISTEXT(G16),G16,""),IF(ISTEXT(J16),J16,""))</f>
        <v>.mvr</v>
      </c>
      <c r="Q16" s="16" t="s">
        <v>0</v>
      </c>
      <c r="R16" s="34">
        <f>IF(ROW()-ROW(R$4)&lt;=AH$3,ROW()-ROW(R$4),"")</f>
        <v>12</v>
      </c>
      <c r="S16" s="34">
        <f>IF(ROW()-ROW(S$4)&lt;=AI$3,ROW()-ROW(S$4),"")</f>
        <v>12</v>
      </c>
      <c r="T16" s="34">
        <f>IF(ROW()-ROW(T$4)&lt;=AJ$3,ROW()-ROW(T$4),"")</f>
        <v>12</v>
      </c>
      <c r="U16" s="34">
        <f>IF(ROW()-ROW(U$4)&lt;=AK$3,ROW()-ROW(U$4),"")</f>
        <v>12</v>
      </c>
      <c r="V16" s="34">
        <f>IF(ROW()-ROW(V$4)&lt;=AL$3,ROW()-ROW(V$4),"")</f>
        <v>12</v>
      </c>
      <c r="W16" s="34">
        <f>IF(ROW()-ROW(W$4)&lt;=AM$3,ROW()-ROW(W$4),"")</f>
        <v>12</v>
      </c>
      <c r="X16" s="34" t="str">
        <f>IF(ROW()-ROW(X$4)&lt;=AN$3,ROW()-ROW(X$4),"")</f>
        <v/>
      </c>
      <c r="Y16" s="34"/>
      <c r="Z16" s="35" t="str">
        <f>IF(ISNUMBER(R16),INDEX($BE$5:$BE$2999,MATCH(R16,AH$5:AH$2999,0),1),"")</f>
        <v>mfsim.lst</v>
      </c>
      <c r="AA16" s="35" t="str">
        <f>IF(ISNUMBER(S16),INDEX($BE$5:$BE$2999,MATCH(S16,AI$5:AI$2999,0),1),"")</f>
        <v>mfsim.lst</v>
      </c>
      <c r="AB16" s="35" t="str">
        <f>IF(ISNUMBER(T16),INDEX($BE$5:$BE$2999,MATCH(T16,AJ$5:AJ$2999,0),1),"")</f>
        <v>.lak.bud</v>
      </c>
      <c r="AC16" s="35" t="str">
        <f>IF(ISNUMBER(U16),INDEX($BE$5:$BE$2999,MATCH(U16,AK$5:AK$2999,0),1),"")</f>
        <v>.tdis</v>
      </c>
      <c r="AD16" s="35" t="str">
        <f>IF(ISNUMBER(V16),INDEX($BE$5:$BE$2999,MATCH(V16,AL$5:AL$2999,0),1),"")</f>
        <v>.mvr</v>
      </c>
      <c r="AE16" s="35" t="str">
        <f>IF(ISNUMBER(W16),INDEX($BE$5:$BE$2999,MATCH(W16,AM$5:AM$2999,0),1),"")</f>
        <v>.sfr.bin</v>
      </c>
      <c r="AF16" s="35" t="str">
        <f>IF(ISNUMBER(X16),INDEX($BE$5:$BE$2999,MATCH(X16,AN$5:AN$2999,0),1),"")</f>
        <v/>
      </c>
      <c r="AG16" s="35"/>
      <c r="AH16" s="34">
        <f>IF($BE16="","",IF(ISNUMBER(MATCH($BE16,AP$5:AP$29999,0)),MAX(AH$4:AH15)+1,0))</f>
        <v>0</v>
      </c>
      <c r="AI16" s="34">
        <f>IF($BE16="","",IF(ISNUMBER(MATCH($BE16,AQ$5:AQ$29999,0)),MAX(AI$4:AI15)+1,0))</f>
        <v>0</v>
      </c>
      <c r="AJ16" s="34">
        <f>IF($BE16="","",IF(ISNUMBER(MATCH($BE16,AR$5:AR$29999,0)),MAX(AJ$4:AJ15)+1,0))</f>
        <v>0</v>
      </c>
      <c r="AK16" s="34">
        <f>IF($BE16="","",IF(ISNUMBER(MATCH($BE16,AS$5:AS$29999,0)),MAX(AK$4:AK15)+1,0))</f>
        <v>0</v>
      </c>
      <c r="AL16" s="34">
        <f>IF($BE16="","",IF(ISNUMBER(MATCH($BE16,AT$5:AT$29999,0)),MAX(AL$4:AL15)+1,0))</f>
        <v>0</v>
      </c>
      <c r="AM16" s="34">
        <f>IF($BE16="","",IF(ISNUMBER(MATCH($BE16,AU$5:AU$29999,0)),MAX(AM$4:AM15)+1,0))</f>
        <v>12</v>
      </c>
      <c r="AN16" s="34">
        <f>IF($BE16="","",IF(ISNUMBER(MATCH($BE16,AV$5:AV$29999,0)),MAX(AN$4:AN15)+1,0))</f>
        <v>0</v>
      </c>
      <c r="AO16" s="16"/>
      <c r="AP16" s="33" t="s">
        <v>37</v>
      </c>
      <c r="AQ16" s="33" t="s">
        <v>43</v>
      </c>
      <c r="AR16" s="33" t="s">
        <v>36</v>
      </c>
      <c r="AS16" s="33" t="s">
        <v>40</v>
      </c>
      <c r="AT16" s="33" t="s">
        <v>40</v>
      </c>
      <c r="AU16" s="33" t="s">
        <v>36</v>
      </c>
      <c r="AV16" s="32" t="s">
        <v>0</v>
      </c>
      <c r="AW16" s="40" t="s">
        <v>40</v>
      </c>
      <c r="AX16" s="20" t="s">
        <v>0</v>
      </c>
      <c r="AY16" s="48" t="s">
        <v>25</v>
      </c>
      <c r="AZ16" s="48" t="s">
        <v>25</v>
      </c>
      <c r="BA16" s="39" t="s">
        <v>0</v>
      </c>
      <c r="BB16" s="44">
        <f>IF(ISTEXT(AW16),IF(ISNUMBER(MATCH(AW16,$AY$5:$AY$100,0)),0,MAX(BB$4:BB15)+1),"")</f>
        <v>0</v>
      </c>
      <c r="BC16" s="36">
        <f>IF(ISTEXT(AY16),MATCH(AY16,$AW$5:$AW$127,0),"")</f>
        <v>29</v>
      </c>
      <c r="BD16" s="36" t="str">
        <f>IF(ISNUMBER(BC16),AY16,ROW()-SUM($BC$4:$BD$4))</f>
        <v>.sfr.bin</v>
      </c>
      <c r="BE16" s="20" t="str">
        <f>IF(ISTEXT(AW16),IF(ISNUMBER(BC16),AY16,INDEX($AW$5:$AW$140,MATCH(BD16,$BB$5:$BB$185,0),1)),"")</f>
        <v>.sfr.bin</v>
      </c>
      <c r="BF16" s="36"/>
      <c r="BG16" s="19" t="str">
        <f>IF(ISNUMBER(MATCH($BE16,Z$5:Z$501,0)),INDEX(Z$5:Z$501,MATCH($BE16,Z$5:Z$501,0),1),"")</f>
        <v/>
      </c>
      <c r="BH16" s="19" t="str">
        <f>IF(ISNUMBER(MATCH($BE16,AA$5:AA$501,0)),INDEX(AA$5:AA$501,MATCH($BE16,AA$5:AA$501,0),1),"")</f>
        <v/>
      </c>
      <c r="BI16" s="19" t="str">
        <f>IF(ISNUMBER(MATCH($BE16,AB$5:AB$501,0)),INDEX(AB$5:AB$501,MATCH($BE16,AB$5:AB$501,0),1),"")</f>
        <v/>
      </c>
      <c r="BJ16" s="19" t="str">
        <f>IF(ISNUMBER(MATCH($BE16,AC$5:AC$501,0)),INDEX(AC$5:AC$501,MATCH($BE16,AC$5:AC$501,0),1),"")</f>
        <v/>
      </c>
      <c r="BK16" s="19" t="str">
        <f>IF(ISNUMBER(MATCH($BE16,AD$5:AD$501,0)),INDEX(AD$5:AD$501,MATCH($BE16,AD$5:AD$501,0),1),"")</f>
        <v/>
      </c>
      <c r="BL16" s="19" t="str">
        <f>IF(ISNUMBER(MATCH($BE16,AE$5:AE$501,0)),INDEX(AE$5:AE$501,MATCH($BE16,AE$5:AE$501,0),1),"")</f>
        <v>.sfr.bin</v>
      </c>
      <c r="BM16" s="19" t="str">
        <f>IF(ISNUMBER(MATCH($BE16,AF$5:AF$501,0)),INDEX(AF$5:AF$501,MATCH($BE16,AF$5:AF$501,0),1),"")</f>
        <v/>
      </c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</row>
    <row r="17" spans="1:78" ht="12" customHeight="1" x14ac:dyDescent="0.25">
      <c r="A17" s="26"/>
      <c r="B17" s="28" t="str">
        <f>IF(ISNUMBER(MATCH(O17,$N$5:$N$1000,0)),MATCH(O17,$N$5:$N$1000,0),"")</f>
        <v/>
      </c>
      <c r="C17" s="15" t="str">
        <f>IF(ISNUMBER(B17),MAX(C$4:C16)+1,"")</f>
        <v/>
      </c>
      <c r="D17" s="15">
        <f>IF(IF(ISNUMBER(B17),"",MAX(D$4:D16)+1)&lt;=D$3,IF(ISNUMBER(B17),"",MAX(D$4:D16)+1),"")</f>
        <v>5</v>
      </c>
      <c r="E17" s="42">
        <f>IF(M17&lt;=D$3,MATCH(M17,D$5:D$1000,0),"")</f>
        <v>35</v>
      </c>
      <c r="F17" s="28" t="str">
        <f>IF(ISNUMBER(E17),INDEX($N$5:$N$1000,E17,1),"")</f>
        <v>sfr.reach31.csv</v>
      </c>
      <c r="G17" s="27" t="str">
        <f>IF(ISNUMBER(C17),N17,IF(ISTEXT(N17),INDEX($F$5:$F$1000,MATCH(M17,$E$5:$E$1000,0),1),""))</f>
        <v>.mvr.bud</v>
      </c>
      <c r="H17" s="15">
        <f>IF(O17="","",IF(ISNUMBER(MATCH(O17,$G$5:$G$1000,0)),"",IF(D17=1,C$3,0)+MAX(H$4:H16)+1))</f>
        <v>27</v>
      </c>
      <c r="I17" s="15">
        <f>IF(O17="","",IF(ISNUMBER(MATCH(O17,$G$5:$G$1000,0)),"",IF(D17=1,B$4,0)+MAX(I$4:I16)+1))</f>
        <v>41</v>
      </c>
      <c r="J17" s="27" t="str">
        <f>IF(ISNUMBER(MATCH(M17,$I$5:$I$1000,0)),INDEX($O$5:$O$1000,MATCH(M17,$I$5:$I$1000,0),1),"")</f>
        <v/>
      </c>
      <c r="K17" s="27">
        <f>IF(P17="",0,1)</f>
        <v>1</v>
      </c>
      <c r="L17" s="26"/>
      <c r="M17" s="14">
        <f>IF(ROW()-ROW(M$4)&lt;=1000,ROW()-ROW(M$4),"")</f>
        <v>13</v>
      </c>
      <c r="N17" s="43" t="s">
        <v>27</v>
      </c>
      <c r="O17" s="43" t="s">
        <v>39</v>
      </c>
      <c r="P17" s="41" t="str">
        <f>IF(M17&lt;=$B$4,IF(ISTEXT(G17),G17,""),IF(ISTEXT(J17),J17,""))</f>
        <v>.mvr.bud</v>
      </c>
      <c r="Q17" s="16" t="s">
        <v>0</v>
      </c>
      <c r="R17" s="34">
        <f>IF(ROW()-ROW(R$4)&lt;=AH$3,ROW()-ROW(R$4),"")</f>
        <v>13</v>
      </c>
      <c r="S17" s="34">
        <f>IF(ROW()-ROW(S$4)&lt;=AI$3,ROW()-ROW(S$4),"")</f>
        <v>13</v>
      </c>
      <c r="T17" s="34">
        <f>IF(ROW()-ROW(T$4)&lt;=AJ$3,ROW()-ROW(T$4),"")</f>
        <v>13</v>
      </c>
      <c r="U17" s="34">
        <f>IF(ROW()-ROW(U$4)&lt;=AK$3,ROW()-ROW(U$4),"")</f>
        <v>13</v>
      </c>
      <c r="V17" s="34">
        <f>IF(ROW()-ROW(V$4)&lt;=AL$3,ROW()-ROW(V$4),"")</f>
        <v>13</v>
      </c>
      <c r="W17" s="34">
        <f>IF(ROW()-ROW(W$4)&lt;=AM$3,ROW()-ROW(W$4),"")</f>
        <v>13</v>
      </c>
      <c r="X17" s="34" t="str">
        <f>IF(ROW()-ROW(X$4)&lt;=AN$3,ROW()-ROW(X$4),"")</f>
        <v/>
      </c>
      <c r="Y17" s="34"/>
      <c r="Z17" s="35" t="str">
        <f>IF(ISNUMBER(R17),INDEX($BE$5:$BE$2999,MATCH(R17,AH$5:AH$2999,0),1),"")</f>
        <v>.dis.grb</v>
      </c>
      <c r="AA17" s="35" t="str">
        <f>IF(ISNUMBER(S17),INDEX($BE$5:$BE$2999,MATCH(S17,AI$5:AI$2999,0),1),"")</f>
        <v>.dis.grb</v>
      </c>
      <c r="AB17" s="35" t="str">
        <f>IF(ISNUMBER(T17),INDEX($BE$5:$BE$2999,MATCH(T17,AJ$5:AJ$2999,0),1),"")</f>
        <v>.mvr</v>
      </c>
      <c r="AC17" s="35" t="str">
        <f>IF(ISNUMBER(U17),INDEX($BE$5:$BE$2999,MATCH(U17,AK$5:AK$2999,0),1),"")</f>
        <v>mfsim.lst</v>
      </c>
      <c r="AD17" s="35" t="str">
        <f>IF(ISNUMBER(V17),INDEX($BE$5:$BE$2999,MATCH(V17,AL$5:AL$2999,0),1),"")</f>
        <v>.nam</v>
      </c>
      <c r="AE17" s="35" t="str">
        <f>IF(ISNUMBER(W17),INDEX($BE$5:$BE$2999,MATCH(W17,AM$5:AM$2999,0),1),"")</f>
        <v>.lak</v>
      </c>
      <c r="AF17" s="35" t="str">
        <f>IF(ISNUMBER(X17),INDEX($BE$5:$BE$2999,MATCH(X17,AN$5:AN$2999,0),1),"")</f>
        <v/>
      </c>
      <c r="AG17" s="35"/>
      <c r="AH17" s="34">
        <f>IF($BE17="","",IF(ISNUMBER(MATCH($BE17,AP$5:AP$29999,0)),MAX(AH$4:AH16)+1,0))</f>
        <v>0</v>
      </c>
      <c r="AI17" s="34">
        <f>IF($BE17="","",IF(ISNUMBER(MATCH($BE17,AQ$5:AQ$29999,0)),MAX(AI$4:AI16)+1,0))</f>
        <v>0</v>
      </c>
      <c r="AJ17" s="34">
        <f>IF($BE17="","",IF(ISNUMBER(MATCH($BE17,AR$5:AR$29999,0)),MAX(AJ$4:AJ16)+1,0))</f>
        <v>10</v>
      </c>
      <c r="AK17" s="34">
        <f>IF($BE17="","",IF(ISNUMBER(MATCH($BE17,AS$5:AS$29999,0)),MAX(AK$4:AK16)+1,0))</f>
        <v>8</v>
      </c>
      <c r="AL17" s="34">
        <f>IF($BE17="","",IF(ISNUMBER(MATCH($BE17,AT$5:AT$29999,0)),MAX(AL$4:AL16)+1,0))</f>
        <v>9</v>
      </c>
      <c r="AM17" s="34">
        <f>IF($BE17="","",IF(ISNUMBER(MATCH($BE17,AU$5:AU$29999,0)),MAX(AM$4:AM16)+1,0))</f>
        <v>13</v>
      </c>
      <c r="AN17" s="34">
        <f>IF($BE17="","",IF(ISNUMBER(MATCH($BE17,AV$5:AV$29999,0)),MAX(AN$4:AN16)+1,0))</f>
        <v>0</v>
      </c>
      <c r="AO17" s="16"/>
      <c r="AP17" s="33" t="s">
        <v>17</v>
      </c>
      <c r="AQ17" s="33" t="s">
        <v>26</v>
      </c>
      <c r="AR17" s="33" t="s">
        <v>27</v>
      </c>
      <c r="AS17" s="33" t="s">
        <v>39</v>
      </c>
      <c r="AT17" s="33" t="s">
        <v>39</v>
      </c>
      <c r="AU17" s="33" t="s">
        <v>27</v>
      </c>
      <c r="AV17" s="32" t="s">
        <v>0</v>
      </c>
      <c r="AW17" s="40" t="s">
        <v>39</v>
      </c>
      <c r="AX17" s="20" t="s">
        <v>0</v>
      </c>
      <c r="AY17" s="47" t="s">
        <v>42</v>
      </c>
      <c r="AZ17" s="47" t="s">
        <v>42</v>
      </c>
      <c r="BA17" s="39" t="s">
        <v>0</v>
      </c>
      <c r="BB17" s="44">
        <f>IF(ISTEXT(AW17),IF(ISNUMBER(MATCH(AW17,$AY$5:$AY$100,0)),0,MAX(BB$4:BB16)+1),"")</f>
        <v>0</v>
      </c>
      <c r="BC17" s="36">
        <f>IF(ISTEXT(AY17),MATCH(AY17,$AW$5:$AW$127,0),"")</f>
        <v>11</v>
      </c>
      <c r="BD17" s="36" t="str">
        <f>IF(ISNUMBER(BC17),AY17,ROW()-SUM($BC$4:$BD$4))</f>
        <v>.lak</v>
      </c>
      <c r="BE17" s="20" t="str">
        <f>IF(ISTEXT(AW17),IF(ISNUMBER(BC17),AY17,INDEX($AW$5:$AW$140,MATCH(BD17,$BB$5:$BB$185,0),1)),"")</f>
        <v>.lak</v>
      </c>
      <c r="BF17" s="36"/>
      <c r="BG17" s="19" t="str">
        <f>IF(ISNUMBER(MATCH($BE17,Z$5:Z$501,0)),INDEX(Z$5:Z$501,MATCH($BE17,Z$5:Z$501,0),1),"")</f>
        <v/>
      </c>
      <c r="BH17" s="19" t="str">
        <f>IF(ISNUMBER(MATCH($BE17,AA$5:AA$501,0)),INDEX(AA$5:AA$501,MATCH($BE17,AA$5:AA$501,0),1),"")</f>
        <v/>
      </c>
      <c r="BI17" s="19" t="str">
        <f>IF(ISNUMBER(MATCH($BE17,AB$5:AB$501,0)),INDEX(AB$5:AB$501,MATCH($BE17,AB$5:AB$501,0),1),"")</f>
        <v>.lak</v>
      </c>
      <c r="BJ17" s="19" t="str">
        <f>IF(ISNUMBER(MATCH($BE17,AC$5:AC$501,0)),INDEX(AC$5:AC$501,MATCH($BE17,AC$5:AC$501,0),1),"")</f>
        <v>.lak</v>
      </c>
      <c r="BK17" s="19" t="str">
        <f>IF(ISNUMBER(MATCH($BE17,AD$5:AD$501,0)),INDEX(AD$5:AD$501,MATCH($BE17,AD$5:AD$501,0),1),"")</f>
        <v>.lak</v>
      </c>
      <c r="BL17" s="19" t="str">
        <f>IF(ISNUMBER(MATCH($BE17,AE$5:AE$501,0)),INDEX(AE$5:AE$501,MATCH($BE17,AE$5:AE$501,0),1),"")</f>
        <v>.lak</v>
      </c>
      <c r="BM17" s="19" t="str">
        <f>IF(ISNUMBER(MATCH($BE17,AF$5:AF$501,0)),INDEX(AF$5:AF$501,MATCH($BE17,AF$5:AF$501,0),1),"")</f>
        <v/>
      </c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</row>
    <row r="18" spans="1:78" ht="12" customHeight="1" x14ac:dyDescent="0.25">
      <c r="A18" s="26"/>
      <c r="B18" s="28">
        <f>IF(ISNUMBER(MATCH(O18,$N$5:$N$1000,0)),MATCH(O18,$N$5:$N$1000,0),"")</f>
        <v>11</v>
      </c>
      <c r="C18" s="15">
        <f>IF(ISNUMBER(B18),MAX(C$4:C17)+1,"")</f>
        <v>9</v>
      </c>
      <c r="D18" s="15" t="str">
        <f>IF(IF(ISNUMBER(B18),"",MAX(D$4:D17)+1)&lt;=D$3,IF(ISNUMBER(B18),"",MAX(D$4:D17)+1),"")</f>
        <v/>
      </c>
      <c r="E18" s="42">
        <f>IF(M18&lt;=D$3,MATCH(M18,D$5:D$1000,0),"")</f>
        <v>36</v>
      </c>
      <c r="F18" s="28" t="str">
        <f>IF(ISNUMBER(E18),INDEX($N$5:$N$1000,E18,1),"")</f>
        <v>sfr.stage.csv</v>
      </c>
      <c r="G18" s="27" t="str">
        <f>IF(ISNUMBER(C18),N18,IF(ISTEXT(N18),INDEX($F$5:$F$1000,MATCH(M18,$E$5:$E$1000,0),1),""))</f>
        <v>.nam</v>
      </c>
      <c r="H18" s="15" t="str">
        <f>IF(O18="","",IF(ISNUMBER(MATCH(O18,$G$5:$G$1000,0)),"",IF(D18=1,C$3,0)+MAX(H$4:H17)+1))</f>
        <v/>
      </c>
      <c r="I18" s="15" t="str">
        <f>IF(O18="","",IF(ISNUMBER(MATCH(O18,$G$5:$G$1000,0)),"",IF(D18=1,B$4,0)+MAX(I$4:I17)+1))</f>
        <v/>
      </c>
      <c r="J18" s="27" t="str">
        <f>IF(ISNUMBER(MATCH(M18,$I$5:$I$1000,0)),INDEX($O$5:$O$1000,MATCH(M18,$I$5:$I$1000,0),1),"")</f>
        <v/>
      </c>
      <c r="K18" s="27">
        <f>IF(P18="",0,1)</f>
        <v>1</v>
      </c>
      <c r="L18" s="26"/>
      <c r="M18" s="14">
        <f>IF(ROW()-ROW(M$4)&lt;=1000,ROW()-ROW(M$4),"")</f>
        <v>14</v>
      </c>
      <c r="N18" s="43" t="s">
        <v>34</v>
      </c>
      <c r="O18" s="43" t="s">
        <v>41</v>
      </c>
      <c r="P18" s="41" t="str">
        <f>IF(M18&lt;=$B$4,IF(ISTEXT(G18),G18,""),IF(ISTEXT(J18),J18,""))</f>
        <v>.nam</v>
      </c>
      <c r="Q18" s="16" t="s">
        <v>0</v>
      </c>
      <c r="R18" s="34">
        <f>IF(ROW()-ROW(R$4)&lt;=AH$3,ROW()-ROW(R$4),"")</f>
        <v>14</v>
      </c>
      <c r="S18" s="34">
        <f>IF(ROW()-ROW(S$4)&lt;=AI$3,ROW()-ROW(S$4),"")</f>
        <v>14</v>
      </c>
      <c r="T18" s="34">
        <f>IF(ROW()-ROW(T$4)&lt;=AJ$3,ROW()-ROW(T$4),"")</f>
        <v>14</v>
      </c>
      <c r="U18" s="34">
        <f>IF(ROW()-ROW(U$4)&lt;=AK$3,ROW()-ROW(U$4),"")</f>
        <v>14</v>
      </c>
      <c r="V18" s="34">
        <f>IF(ROW()-ROW(V$4)&lt;=AL$3,ROW()-ROW(V$4),"")</f>
        <v>14</v>
      </c>
      <c r="W18" s="34">
        <f>IF(ROW()-ROW(W$4)&lt;=AM$3,ROW()-ROW(W$4),"")</f>
        <v>14</v>
      </c>
      <c r="X18" s="34" t="str">
        <f>IF(ROW()-ROW(X$4)&lt;=AN$3,ROW()-ROW(X$4),"")</f>
        <v/>
      </c>
      <c r="Y18" s="34"/>
      <c r="Z18" s="35" t="str">
        <f>IF(ISNUMBER(R18),INDEX($BE$5:$BE$2999,MATCH(R18,AH$5:AH$2999,0),1),"")</f>
        <v>mfsim.nam</v>
      </c>
      <c r="AA18" s="35" t="str">
        <f>IF(ISNUMBER(S18),INDEX($BE$5:$BE$2999,MATCH(S18,AI$5:AI$2999,0),1),"")</f>
        <v>mfsim.nam</v>
      </c>
      <c r="AB18" s="35" t="str">
        <f>IF(ISNUMBER(T18),INDEX($BE$5:$BE$2999,MATCH(T18,AJ$5:AJ$2999,0),1),"")</f>
        <v>.mvr.bud</v>
      </c>
      <c r="AC18" s="35" t="str">
        <f>IF(ISNUMBER(U18),INDEX($BE$5:$BE$2999,MATCH(U18,AK$5:AK$2999,0),1),"")</f>
        <v>.dis.grb</v>
      </c>
      <c r="AD18" s="35" t="str">
        <f>IF(ISNUMBER(V18),INDEX($BE$5:$BE$2999,MATCH(V18,AL$5:AL$2999,0),1),"")</f>
        <v>.tdis</v>
      </c>
      <c r="AE18" s="35" t="str">
        <f>IF(ISNUMBER(W18),INDEX($BE$5:$BE$2999,MATCH(W18,AM$5:AM$2999,0),1),"")</f>
        <v>.lak.bud</v>
      </c>
      <c r="AF18" s="35" t="str">
        <f>IF(ISNUMBER(X18),INDEX($BE$5:$BE$2999,MATCH(X18,AN$5:AN$2999,0),1),"")</f>
        <v/>
      </c>
      <c r="AG18" s="35"/>
      <c r="AH18" s="34">
        <f>IF($BE18="","",IF(ISNUMBER(MATCH($BE18,AP$5:AP$29999,0)),MAX(AH$4:AH17)+1,0))</f>
        <v>0</v>
      </c>
      <c r="AI18" s="34">
        <f>IF($BE18="","",IF(ISNUMBER(MATCH($BE18,AQ$5:AQ$29999,0)),MAX(AI$4:AI17)+1,0))</f>
        <v>0</v>
      </c>
      <c r="AJ18" s="34">
        <f>IF($BE18="","",IF(ISNUMBER(MATCH($BE18,AR$5:AR$29999,0)),MAX(AJ$4:AJ17)+1,0))</f>
        <v>11</v>
      </c>
      <c r="AK18" s="34">
        <f>IF($BE18="","",IF(ISNUMBER(MATCH($BE18,AS$5:AS$29999,0)),MAX(AK$4:AK17)+1,0))</f>
        <v>9</v>
      </c>
      <c r="AL18" s="34">
        <f>IF($BE18="","",IF(ISNUMBER(MATCH($BE18,AT$5:AT$29999,0)),MAX(AL$4:AL17)+1,0))</f>
        <v>10</v>
      </c>
      <c r="AM18" s="34">
        <f>IF($BE18="","",IF(ISNUMBER(MATCH($BE18,AU$5:AU$29999,0)),MAX(AM$4:AM17)+1,0))</f>
        <v>0</v>
      </c>
      <c r="AN18" s="34">
        <f>IF($BE18="","",IF(ISNUMBER(MATCH($BE18,AV$5:AV$29999,0)),MAX(AN$4:AN17)+1,0))</f>
        <v>0</v>
      </c>
      <c r="AO18" s="16"/>
      <c r="AP18" s="33" t="s">
        <v>35</v>
      </c>
      <c r="AQ18" s="33" t="s">
        <v>33</v>
      </c>
      <c r="AR18" s="33" t="s">
        <v>34</v>
      </c>
      <c r="AS18" s="33" t="s">
        <v>41</v>
      </c>
      <c r="AT18" s="33" t="s">
        <v>41</v>
      </c>
      <c r="AU18" s="33" t="s">
        <v>34</v>
      </c>
      <c r="AV18" s="32" t="s">
        <v>0</v>
      </c>
      <c r="AW18" s="40" t="s">
        <v>41</v>
      </c>
      <c r="AX18" s="20" t="s">
        <v>0</v>
      </c>
      <c r="AY18" s="47" t="s">
        <v>40</v>
      </c>
      <c r="AZ18" s="47" t="s">
        <v>40</v>
      </c>
      <c r="BA18" s="39" t="s">
        <v>0</v>
      </c>
      <c r="BB18" s="44">
        <f>IF(ISTEXT(AW18),IF(ISNUMBER(MATCH(AW18,$AY$5:$AY$100,0)),0,MAX(BB$4:BB17)+1),"")</f>
        <v>0</v>
      </c>
      <c r="BC18" s="36">
        <f>IF(ISTEXT(AY18),MATCH(AY18,$AW$5:$AW$127,0),"")</f>
        <v>12</v>
      </c>
      <c r="BD18" s="36" t="str">
        <f>IF(ISNUMBER(BC18),AY18,ROW()-SUM($BC$4:$BD$4))</f>
        <v>.lak.obs</v>
      </c>
      <c r="BE18" s="20" t="str">
        <f>IF(ISTEXT(AW18),IF(ISNUMBER(BC18),AY18,INDEX($AW$5:$AW$140,MATCH(BD18,$BB$5:$BB$185,0),1)),"")</f>
        <v>.lak.obs</v>
      </c>
      <c r="BF18" s="36"/>
      <c r="BG18" s="19" t="str">
        <f>IF(ISNUMBER(MATCH($BE18,Z$5:Z$501,0)),INDEX(Z$5:Z$501,MATCH($BE18,Z$5:Z$501,0),1),"")</f>
        <v/>
      </c>
      <c r="BH18" s="19" t="str">
        <f>IF(ISNUMBER(MATCH($BE18,AA$5:AA$501,0)),INDEX(AA$5:AA$501,MATCH($BE18,AA$5:AA$501,0),1),"")</f>
        <v/>
      </c>
      <c r="BI18" s="19" t="str">
        <f>IF(ISNUMBER(MATCH($BE18,AB$5:AB$501,0)),INDEX(AB$5:AB$501,MATCH($BE18,AB$5:AB$501,0),1),"")</f>
        <v>.lak.obs</v>
      </c>
      <c r="BJ18" s="19" t="str">
        <f>IF(ISNUMBER(MATCH($BE18,AC$5:AC$501,0)),INDEX(AC$5:AC$501,MATCH($BE18,AC$5:AC$501,0),1),"")</f>
        <v>.lak.obs</v>
      </c>
      <c r="BK18" s="19" t="str">
        <f>IF(ISNUMBER(MATCH($BE18,AD$5:AD$501,0)),INDEX(AD$5:AD$501,MATCH($BE18,AD$5:AD$501,0),1),"")</f>
        <v>.lak.obs</v>
      </c>
      <c r="BL18" s="19" t="str">
        <f>IF(ISNUMBER(MATCH($BE18,AE$5:AE$501,0)),INDEX(AE$5:AE$501,MATCH($BE18,AE$5:AE$501,0),1),"")</f>
        <v/>
      </c>
      <c r="BM18" s="19" t="str">
        <f>IF(ISNUMBER(MATCH($BE18,AF$5:AF$501,0)),INDEX(AF$5:AF$501,MATCH($BE18,AF$5:AF$501,0),1),"")</f>
        <v/>
      </c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</row>
    <row r="19" spans="1:78" ht="12" customHeight="1" x14ac:dyDescent="0.25">
      <c r="A19" s="26"/>
      <c r="B19" s="28">
        <f>IF(ISNUMBER(MATCH(O19,$N$5:$N$1000,0)),MATCH(O19,$N$5:$N$1000,0),"")</f>
        <v>12</v>
      </c>
      <c r="C19" s="15">
        <f>IF(ISNUMBER(B19),MAX(C$4:C18)+1,"")</f>
        <v>10</v>
      </c>
      <c r="D19" s="15" t="str">
        <f>IF(IF(ISNUMBER(B19),"",MAX(D$4:D18)+1)&lt;=D$3,IF(ISNUMBER(B19),"",MAX(D$4:D18)+1),"")</f>
        <v/>
      </c>
      <c r="E19" s="42" t="str">
        <f>IF(M19&lt;=D$3,MATCH(M19,D$5:D$1000,0),"")</f>
        <v/>
      </c>
      <c r="F19" s="28" t="str">
        <f>IF(ISNUMBER(E19),INDEX($N$5:$N$1000,E19,1),"")</f>
        <v/>
      </c>
      <c r="G19" s="27" t="str">
        <f>IF(ISNUMBER(C19),N19,IF(ISTEXT(N19),INDEX($F$5:$F$1000,MATCH(M19,$E$5:$E$1000,0),1),""))</f>
        <v>.npf</v>
      </c>
      <c r="H19" s="15" t="str">
        <f>IF(O19="","",IF(ISNUMBER(MATCH(O19,$G$5:$G$1000,0)),"",IF(D19=1,C$3,0)+MAX(H$4:H18)+1))</f>
        <v/>
      </c>
      <c r="I19" s="15" t="str">
        <f>IF(O19="","",IF(ISNUMBER(MATCH(O19,$G$5:$G$1000,0)),"",IF(D19=1,B$4,0)+MAX(I$4:I18)+1))</f>
        <v/>
      </c>
      <c r="J19" s="27" t="str">
        <f>IF(ISNUMBER(MATCH(M19,$I$5:$I$1000,0)),INDEX($O$5:$O$1000,MATCH(M19,$I$5:$I$1000,0),1),"")</f>
        <v/>
      </c>
      <c r="K19" s="27">
        <f>IF(P19="",0,1)</f>
        <v>1</v>
      </c>
      <c r="L19" s="26"/>
      <c r="M19" s="14">
        <f>IF(ROW()-ROW(M$4)&lt;=1000,ROW()-ROW(M$4),"")</f>
        <v>15</v>
      </c>
      <c r="N19" s="43" t="s">
        <v>38</v>
      </c>
      <c r="O19" s="43" t="s">
        <v>36</v>
      </c>
      <c r="P19" s="41" t="str">
        <f>IF(M19&lt;=$B$4,IF(ISTEXT(G19),G19,""),IF(ISTEXT(J19),J19,""))</f>
        <v>.npf</v>
      </c>
      <c r="Q19" s="16" t="s">
        <v>0</v>
      </c>
      <c r="R19" s="34">
        <f>IF(ROW()-ROW(R$4)&lt;=AH$3,ROW()-ROW(R$4),"")</f>
        <v>15</v>
      </c>
      <c r="S19" s="34">
        <f>IF(ROW()-ROW(S$4)&lt;=AI$3,ROW()-ROW(S$4),"")</f>
        <v>15</v>
      </c>
      <c r="T19" s="34">
        <f>IF(ROW()-ROW(T$4)&lt;=AJ$3,ROW()-ROW(T$4),"")</f>
        <v>15</v>
      </c>
      <c r="U19" s="34">
        <f>IF(ROW()-ROW(U$4)&lt;=AK$3,ROW()-ROW(U$4),"")</f>
        <v>15</v>
      </c>
      <c r="V19" s="34">
        <f>IF(ROW()-ROW(V$4)&lt;=AL$3,ROW()-ROW(V$4),"")</f>
        <v>15</v>
      </c>
      <c r="W19" s="34">
        <f>IF(ROW()-ROW(W$4)&lt;=AM$3,ROW()-ROW(W$4),"")</f>
        <v>15</v>
      </c>
      <c r="X19" s="34" t="str">
        <f>IF(ROW()-ROW(X$4)&lt;=AN$3,ROW()-ROW(X$4),"")</f>
        <v/>
      </c>
      <c r="Y19" s="34"/>
      <c r="Z19" s="35" t="str">
        <f>IF(ISNUMBER(R19),INDEX($BE$5:$BE$2999,MATCH(R19,AH$5:AH$2999,0),1),"")</f>
        <v>.sto</v>
      </c>
      <c r="AA19" s="35" t="str">
        <f>IF(ISNUMBER(S19),INDEX($BE$5:$BE$2999,MATCH(S19,AI$5:AI$2999,0),1),"")</f>
        <v>.sto</v>
      </c>
      <c r="AB19" s="35" t="str">
        <f>IF(ISNUMBER(T19),INDEX($BE$5:$BE$2999,MATCH(T19,AJ$5:AJ$2999,0),1),"")</f>
        <v>.uzf</v>
      </c>
      <c r="AC19" s="35" t="str">
        <f>IF(ISNUMBER(U19),INDEX($BE$5:$BE$2999,MATCH(U19,AK$5:AK$2999,0),1),"")</f>
        <v>mfsim.nam</v>
      </c>
      <c r="AD19" s="35" t="str">
        <f>IF(ISNUMBER(V19),INDEX($BE$5:$BE$2999,MATCH(V19,AL$5:AL$2999,0),1),"")</f>
        <v>mfsim.lst</v>
      </c>
      <c r="AE19" s="35" t="str">
        <f>IF(ISNUMBER(W19),INDEX($BE$5:$BE$2999,MATCH(W19,AM$5:AM$2999,0),1),"")</f>
        <v>.lak.bin</v>
      </c>
      <c r="AF19" s="35" t="str">
        <f>IF(ISNUMBER(X19),INDEX($BE$5:$BE$2999,MATCH(X19,AN$5:AN$2999,0),1),"")</f>
        <v/>
      </c>
      <c r="AG19" s="35"/>
      <c r="AH19" s="34">
        <f>IF($BE19="","",IF(ISNUMBER(MATCH($BE19,AP$5:AP$29999,0)),MAX(AH$4:AH18)+1,0))</f>
        <v>0</v>
      </c>
      <c r="AI19" s="34">
        <f>IF($BE19="","",IF(ISNUMBER(MATCH($BE19,AQ$5:AQ$29999,0)),MAX(AI$4:AI18)+1,0))</f>
        <v>0</v>
      </c>
      <c r="AJ19" s="34">
        <f>IF($BE19="","",IF(ISNUMBER(MATCH($BE19,AR$5:AR$29999,0)),MAX(AJ$4:AJ18)+1,0))</f>
        <v>0</v>
      </c>
      <c r="AK19" s="34">
        <f>IF($BE19="","",IF(ISNUMBER(MATCH($BE19,AS$5:AS$29999,0)),MAX(AK$4:AK18)+1,0))</f>
        <v>10</v>
      </c>
      <c r="AL19" s="34">
        <f>IF($BE19="","",IF(ISNUMBER(MATCH($BE19,AT$5:AT$29999,0)),MAX(AL$4:AL18)+1,0))</f>
        <v>11</v>
      </c>
      <c r="AM19" s="34">
        <f>IF($BE19="","",IF(ISNUMBER(MATCH($BE19,AU$5:AU$29999,0)),MAX(AM$4:AM18)+1,0))</f>
        <v>0</v>
      </c>
      <c r="AN19" s="34">
        <f>IF($BE19="","",IF(ISNUMBER(MATCH($BE19,AV$5:AV$29999,0)),MAX(AN$4:AN18)+1,0))</f>
        <v>0</v>
      </c>
      <c r="AO19" s="16"/>
      <c r="AP19" s="33" t="s">
        <v>21</v>
      </c>
      <c r="AQ19" s="33" t="s">
        <v>32</v>
      </c>
      <c r="AR19" s="33" t="s">
        <v>38</v>
      </c>
      <c r="AS19" s="33" t="s">
        <v>34</v>
      </c>
      <c r="AT19" s="33" t="s">
        <v>36</v>
      </c>
      <c r="AU19" s="33" t="s">
        <v>38</v>
      </c>
      <c r="AV19" s="32" t="s">
        <v>0</v>
      </c>
      <c r="AW19" s="40" t="s">
        <v>36</v>
      </c>
      <c r="AX19" s="20" t="s">
        <v>0</v>
      </c>
      <c r="AY19" s="47" t="s">
        <v>39</v>
      </c>
      <c r="AZ19" s="47" t="s">
        <v>39</v>
      </c>
      <c r="BA19" s="39" t="s">
        <v>0</v>
      </c>
      <c r="BB19" s="44">
        <f>IF(ISTEXT(AW19),IF(ISNUMBER(MATCH(AW19,$AY$5:$AY$100,0)),0,MAX(BB$4:BB18)+1),"")</f>
        <v>0</v>
      </c>
      <c r="BC19" s="36">
        <f>IF(ISTEXT(AY19),MATCH(AY19,$AW$5:$AW$127,0),"")</f>
        <v>13</v>
      </c>
      <c r="BD19" s="36" t="str">
        <f>IF(ISNUMBER(BC19),AY19,ROW()-SUM($BC$4:$BD$4))</f>
        <v>.lak.obs.csv</v>
      </c>
      <c r="BE19" s="20" t="str">
        <f>IF(ISTEXT(AW19),IF(ISNUMBER(BC19),AY19,INDEX($AW$5:$AW$140,MATCH(BD19,$BB$5:$BB$185,0),1)),"")</f>
        <v>.lak.obs.csv</v>
      </c>
      <c r="BF19" s="36"/>
      <c r="BG19" s="19" t="str">
        <f>IF(ISNUMBER(MATCH($BE19,Z$5:Z$501,0)),INDEX(Z$5:Z$501,MATCH($BE19,Z$5:Z$501,0),1),"")</f>
        <v/>
      </c>
      <c r="BH19" s="19" t="str">
        <f>IF(ISNUMBER(MATCH($BE19,AA$5:AA$501,0)),INDEX(AA$5:AA$501,MATCH($BE19,AA$5:AA$501,0),1),"")</f>
        <v/>
      </c>
      <c r="BI19" s="19" t="str">
        <f>IF(ISNUMBER(MATCH($BE19,AB$5:AB$501,0)),INDEX(AB$5:AB$501,MATCH($BE19,AB$5:AB$501,0),1),"")</f>
        <v/>
      </c>
      <c r="BJ19" s="19" t="str">
        <f>IF(ISNUMBER(MATCH($BE19,AC$5:AC$501,0)),INDEX(AC$5:AC$501,MATCH($BE19,AC$5:AC$501,0),1),"")</f>
        <v>.lak.obs.csv</v>
      </c>
      <c r="BK19" s="19" t="str">
        <f>IF(ISNUMBER(MATCH($BE19,AD$5:AD$501,0)),INDEX(AD$5:AD$501,MATCH($BE19,AD$5:AD$501,0),1),"")</f>
        <v>.lak.obs.csv</v>
      </c>
      <c r="BL19" s="19" t="str">
        <f>IF(ISNUMBER(MATCH($BE19,AE$5:AE$501,0)),INDEX(AE$5:AE$501,MATCH($BE19,AE$5:AE$501,0),1),"")</f>
        <v/>
      </c>
      <c r="BM19" s="19" t="str">
        <f>IF(ISNUMBER(MATCH($BE19,AF$5:AF$501,0)),INDEX(AF$5:AF$501,MATCH($BE19,AF$5:AF$501,0),1),"")</f>
        <v/>
      </c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</row>
    <row r="20" spans="1:78" ht="12" customHeight="1" x14ac:dyDescent="0.25">
      <c r="A20" s="26"/>
      <c r="B20" s="28">
        <f>IF(ISNUMBER(MATCH(O20,$N$5:$N$1000,0)),MATCH(O20,$N$5:$N$1000,0),"")</f>
        <v>14</v>
      </c>
      <c r="C20" s="15">
        <f>IF(ISNUMBER(B20),MAX(C$4:C19)+1,"")</f>
        <v>11</v>
      </c>
      <c r="D20" s="15" t="str">
        <f>IF(IF(ISNUMBER(B20),"",MAX(D$4:D19)+1)&lt;=D$3,IF(ISNUMBER(B20),"",MAX(D$4:D19)+1),"")</f>
        <v/>
      </c>
      <c r="E20" s="42" t="str">
        <f>IF(M20&lt;=D$3,MATCH(M20,D$5:D$1000,0),"")</f>
        <v/>
      </c>
      <c r="F20" s="28" t="str">
        <f>IF(ISNUMBER(E20),INDEX($N$5:$N$1000,E20,1),"")</f>
        <v/>
      </c>
      <c r="G20" s="27" t="str">
        <f>IF(ISNUMBER(C20),N20,IF(ISTEXT(N20),INDEX($F$5:$F$1000,MATCH(M20,$E$5:$E$1000,0),1),""))</f>
        <v>.oc</v>
      </c>
      <c r="H20" s="15" t="str">
        <f>IF(O20="","",IF(ISNUMBER(MATCH(O20,$G$5:$G$1000,0)),"",IF(D20=1,C$3,0)+MAX(H$4:H19)+1))</f>
        <v/>
      </c>
      <c r="I20" s="15" t="str">
        <f>IF(O20="","",IF(ISNUMBER(MATCH(O20,$G$5:$G$1000,0)),"",IF(D20=1,B$4,0)+MAX(I$4:I19)+1))</f>
        <v/>
      </c>
      <c r="J20" s="27" t="str">
        <f>IF(ISNUMBER(MATCH(M20,$I$5:$I$1000,0)),INDEX($O$5:$O$1000,MATCH(M20,$I$5:$I$1000,0),1),"")</f>
        <v/>
      </c>
      <c r="K20" s="27">
        <f>IF(P20="",0,1)</f>
        <v>1</v>
      </c>
      <c r="L20" s="26"/>
      <c r="M20" s="14">
        <f>IF(ROW()-ROW(M$4)&lt;=1000,ROW()-ROW(M$4),"")</f>
        <v>16</v>
      </c>
      <c r="N20" s="43" t="s">
        <v>37</v>
      </c>
      <c r="O20" s="43" t="s">
        <v>34</v>
      </c>
      <c r="P20" s="41" t="str">
        <f>IF(M20&lt;=$B$4,IF(ISTEXT(G20),G20,""),IF(ISTEXT(J20),J20,""))</f>
        <v>.oc</v>
      </c>
      <c r="Q20" s="16" t="s">
        <v>0</v>
      </c>
      <c r="R20" s="34">
        <f>IF(ROW()-ROW(R$4)&lt;=AH$3,ROW()-ROW(R$4),"")</f>
        <v>16</v>
      </c>
      <c r="S20" s="34" t="str">
        <f>IF(ROW()-ROW(S$4)&lt;=AI$3,ROW()-ROW(S$4),"")</f>
        <v/>
      </c>
      <c r="T20" s="34">
        <f>IF(ROW()-ROW(T$4)&lt;=AJ$3,ROW()-ROW(T$4),"")</f>
        <v>16</v>
      </c>
      <c r="U20" s="34">
        <f>IF(ROW()-ROW(U$4)&lt;=AK$3,ROW()-ROW(U$4),"")</f>
        <v>16</v>
      </c>
      <c r="V20" s="34">
        <f>IF(ROW()-ROW(V$4)&lt;=AL$3,ROW()-ROW(V$4),"")</f>
        <v>16</v>
      </c>
      <c r="W20" s="34">
        <f>IF(ROW()-ROW(W$4)&lt;=AM$3,ROW()-ROW(W$4),"")</f>
        <v>16</v>
      </c>
      <c r="X20" s="34" t="str">
        <f>IF(ROW()-ROW(X$4)&lt;=AN$3,ROW()-ROW(X$4),"")</f>
        <v/>
      </c>
      <c r="Y20" s="34"/>
      <c r="Z20" s="35" t="str">
        <f>IF(ISNUMBER(R20),INDEX($BE$5:$BE$2999,MATCH(R20,AH$5:AH$2999,0),1),"")</f>
        <v>.evta</v>
      </c>
      <c r="AA20" s="35" t="str">
        <f>IF(ISNUMBER(S20),INDEX($BE$5:$BE$2999,MATCH(S20,AI$5:AI$2999,0),1),"")</f>
        <v/>
      </c>
      <c r="AB20" s="35" t="str">
        <f>IF(ISNUMBER(T20),INDEX($BE$5:$BE$2999,MATCH(T20,AJ$5:AJ$2999,0),1),"")</f>
        <v>.uzf.bud</v>
      </c>
      <c r="AC20" s="35" t="str">
        <f>IF(ISNUMBER(U20),INDEX($BE$5:$BE$2999,MATCH(U20,AK$5:AK$2999,0),1),"")</f>
        <v>.sto</v>
      </c>
      <c r="AD20" s="35" t="str">
        <f>IF(ISNUMBER(V20),INDEX($BE$5:$BE$2999,MATCH(V20,AL$5:AL$2999,0),1),"")</f>
        <v>.dis.grb</v>
      </c>
      <c r="AE20" s="35" t="str">
        <f>IF(ISNUMBER(W20),INDEX($BE$5:$BE$2999,MATCH(W20,AM$5:AM$2999,0),1),"")</f>
        <v>.mvr</v>
      </c>
      <c r="AF20" s="35" t="str">
        <f>IF(ISNUMBER(X20),INDEX($BE$5:$BE$2999,MATCH(X20,AN$5:AN$2999,0),1),"")</f>
        <v/>
      </c>
      <c r="AG20" s="35"/>
      <c r="AH20" s="34">
        <f>IF($BE20="","",IF(ISNUMBER(MATCH($BE20,AP$5:AP$29999,0)),MAX(AH$4:AH19)+1,0))</f>
        <v>0</v>
      </c>
      <c r="AI20" s="34">
        <f>IF($BE20="","",IF(ISNUMBER(MATCH($BE20,AQ$5:AQ$29999,0)),MAX(AI$4:AI19)+1,0))</f>
        <v>0</v>
      </c>
      <c r="AJ20" s="34">
        <f>IF($BE20="","",IF(ISNUMBER(MATCH($BE20,AR$5:AR$29999,0)),MAX(AJ$4:AJ19)+1,0))</f>
        <v>12</v>
      </c>
      <c r="AK20" s="34">
        <f>IF($BE20="","",IF(ISNUMBER(MATCH($BE20,AS$5:AS$29999,0)),MAX(AK$4:AK19)+1,0))</f>
        <v>0</v>
      </c>
      <c r="AL20" s="34">
        <f>IF($BE20="","",IF(ISNUMBER(MATCH($BE20,AT$5:AT$29999,0)),MAX(AL$4:AL19)+1,0))</f>
        <v>0</v>
      </c>
      <c r="AM20" s="34">
        <f>IF($BE20="","",IF(ISNUMBER(MATCH($BE20,AU$5:AU$29999,0)),MAX(AM$4:AM19)+1,0))</f>
        <v>14</v>
      </c>
      <c r="AN20" s="34">
        <f>IF($BE20="","",IF(ISNUMBER(MATCH($BE20,AV$5:AV$29999,0)),MAX(AN$4:AN19)+1,0))</f>
        <v>0</v>
      </c>
      <c r="AO20" s="16"/>
      <c r="AP20" s="33" t="s">
        <v>19</v>
      </c>
      <c r="AQ20" s="33" t="s">
        <v>28</v>
      </c>
      <c r="AR20" s="33" t="s">
        <v>37</v>
      </c>
      <c r="AS20" s="33" t="s">
        <v>38</v>
      </c>
      <c r="AT20" s="33" t="s">
        <v>34</v>
      </c>
      <c r="AU20" s="33" t="s">
        <v>37</v>
      </c>
      <c r="AV20" s="32" t="s">
        <v>0</v>
      </c>
      <c r="AW20" s="40" t="s">
        <v>34</v>
      </c>
      <c r="AX20" s="20" t="s">
        <v>0</v>
      </c>
      <c r="AY20" s="47" t="s">
        <v>29</v>
      </c>
      <c r="AZ20" s="47" t="s">
        <v>29</v>
      </c>
      <c r="BA20" s="39" t="s">
        <v>0</v>
      </c>
      <c r="BB20" s="44">
        <f>IF(ISTEXT(AW20),IF(ISNUMBER(MATCH(AW20,$AY$5:$AY$100,0)),0,MAX(BB$4:BB19)+1),"")</f>
        <v>0</v>
      </c>
      <c r="BC20" s="36">
        <f>IF(ISTEXT(AY20),MATCH(AY20,$AW$5:$AW$127,0),"")</f>
        <v>27</v>
      </c>
      <c r="BD20" s="36" t="str">
        <f>IF(ISNUMBER(BC20),AY20,ROW()-SUM($BC$4:$BD$4))</f>
        <v>.lak.bud</v>
      </c>
      <c r="BE20" s="20" t="str">
        <f>IF(ISTEXT(AW20),IF(ISNUMBER(BC20),AY20,INDEX($AW$5:$AW$140,MATCH(BD20,$BB$5:$BB$185,0),1)),"")</f>
        <v>.lak.bud</v>
      </c>
      <c r="BF20" s="36"/>
      <c r="BG20" s="19" t="str">
        <f>IF(ISNUMBER(MATCH($BE20,Z$5:Z$501,0)),INDEX(Z$5:Z$501,MATCH($BE20,Z$5:Z$501,0),1),"")</f>
        <v/>
      </c>
      <c r="BH20" s="19" t="str">
        <f>IF(ISNUMBER(MATCH($BE20,AA$5:AA$501,0)),INDEX(AA$5:AA$501,MATCH($BE20,AA$5:AA$501,0),1),"")</f>
        <v/>
      </c>
      <c r="BI20" s="19" t="str">
        <f>IF(ISNUMBER(MATCH($BE20,AB$5:AB$501,0)),INDEX(AB$5:AB$501,MATCH($BE20,AB$5:AB$501,0),1),"")</f>
        <v>.lak.bud</v>
      </c>
      <c r="BJ20" s="19" t="str">
        <f>IF(ISNUMBER(MATCH($BE20,AC$5:AC$501,0)),INDEX(AC$5:AC$501,MATCH($BE20,AC$5:AC$501,0),1),"")</f>
        <v/>
      </c>
      <c r="BK20" s="19" t="str">
        <f>IF(ISNUMBER(MATCH($BE20,AD$5:AD$501,0)),INDEX(AD$5:AD$501,MATCH($BE20,AD$5:AD$501,0),1),"")</f>
        <v/>
      </c>
      <c r="BL20" s="19" t="str">
        <f>IF(ISNUMBER(MATCH($BE20,AE$5:AE$501,0)),INDEX(AE$5:AE$501,MATCH($BE20,AE$5:AE$501,0),1),"")</f>
        <v>.lak.bud</v>
      </c>
      <c r="BM20" s="19" t="str">
        <f>IF(ISNUMBER(MATCH($BE20,AF$5:AF$501,0)),INDEX(AF$5:AF$501,MATCH($BE20,AF$5:AF$501,0),1),"")</f>
        <v/>
      </c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</row>
    <row r="21" spans="1:78" ht="12" customHeight="1" x14ac:dyDescent="0.25">
      <c r="A21" s="26"/>
      <c r="B21" s="28">
        <f>IF(ISNUMBER(MATCH(O21,$N$5:$N$1000,0)),MATCH(O21,$N$5:$N$1000,0),"")</f>
        <v>15</v>
      </c>
      <c r="C21" s="15">
        <f>IF(ISNUMBER(B21),MAX(C$4:C20)+1,"")</f>
        <v>12</v>
      </c>
      <c r="D21" s="15" t="str">
        <f>IF(IF(ISNUMBER(B21),"",MAX(D$4:D20)+1)&lt;=D$3,IF(ISNUMBER(B21),"",MAX(D$4:D20)+1),"")</f>
        <v/>
      </c>
      <c r="E21" s="42" t="str">
        <f>IF(M21&lt;=D$3,MATCH(M21,D$5:D$1000,0),"")</f>
        <v/>
      </c>
      <c r="F21" s="28" t="str">
        <f>IF(ISNUMBER(E21),INDEX($N$5:$N$1000,E21,1),"")</f>
        <v/>
      </c>
      <c r="G21" s="27" t="str">
        <f>IF(ISNUMBER(C21),N21,IF(ISTEXT(N21),INDEX($F$5:$F$1000,MATCH(M21,$E$5:$E$1000,0),1),""))</f>
        <v>.sfr</v>
      </c>
      <c r="H21" s="15" t="str">
        <f>IF(O21="","",IF(ISNUMBER(MATCH(O21,$G$5:$G$1000,0)),"",IF(D21=1,C$3,0)+MAX(H$4:H20)+1))</f>
        <v/>
      </c>
      <c r="I21" s="15" t="str">
        <f>IF(O21="","",IF(ISNUMBER(MATCH(O21,$G$5:$G$1000,0)),"",IF(D21=1,B$4,0)+MAX(I$4:I20)+1))</f>
        <v/>
      </c>
      <c r="J21" s="27" t="str">
        <f>IF(ISNUMBER(MATCH(M21,$I$5:$I$1000,0)),INDEX($O$5:$O$1000,MATCH(M21,$I$5:$I$1000,0),1),"")</f>
        <v/>
      </c>
      <c r="K21" s="27">
        <f>IF(P21="",0,1)</f>
        <v>1</v>
      </c>
      <c r="L21" s="26"/>
      <c r="M21" s="14">
        <f>IF(ROW()-ROW(M$4)&lt;=1000,ROW()-ROW(M$4),"")</f>
        <v>17</v>
      </c>
      <c r="N21" s="43" t="s">
        <v>35</v>
      </c>
      <c r="O21" s="43" t="s">
        <v>38</v>
      </c>
      <c r="P21" s="41" t="str">
        <f>IF(M21&lt;=$B$4,IF(ISTEXT(G21),G21,""),IF(ISTEXT(J21),J21,""))</f>
        <v>.sfr</v>
      </c>
      <c r="Q21" s="16" t="s">
        <v>0</v>
      </c>
      <c r="R21" s="34">
        <f>IF(ROW()-ROW(R$4)&lt;=AH$3,ROW()-ROW(R$4),"")</f>
        <v>17</v>
      </c>
      <c r="S21" s="34" t="str">
        <f>IF(ROW()-ROW(S$4)&lt;=AI$3,ROW()-ROW(S$4),"")</f>
        <v/>
      </c>
      <c r="T21" s="34">
        <f>IF(ROW()-ROW(T$4)&lt;=AJ$3,ROW()-ROW(T$4),"")</f>
        <v>17</v>
      </c>
      <c r="U21" s="34">
        <f>IF(ROW()-ROW(U$4)&lt;=AK$3,ROW()-ROW(U$4),"")</f>
        <v>17</v>
      </c>
      <c r="V21" s="34">
        <f>IF(ROW()-ROW(V$4)&lt;=AL$3,ROW()-ROW(V$4),"")</f>
        <v>17</v>
      </c>
      <c r="W21" s="34">
        <f>IF(ROW()-ROW(W$4)&lt;=AM$3,ROW()-ROW(W$4),"")</f>
        <v>17</v>
      </c>
      <c r="X21" s="34" t="str">
        <f>IF(ROW()-ROW(X$4)&lt;=AN$3,ROW()-ROW(X$4),"")</f>
        <v/>
      </c>
      <c r="Y21" s="34"/>
      <c r="Z21" s="35" t="str">
        <f>IF(ISNUMBER(R21),INDEX($BE$5:$BE$2999,MATCH(R21,AH$5:AH$2999,0),1),"")</f>
        <v>.cbc</v>
      </c>
      <c r="AA21" s="35" t="str">
        <f>IF(ISNUMBER(S21),INDEX($BE$5:$BE$2999,MATCH(S21,AI$5:AI$2999,0),1),"")</f>
        <v/>
      </c>
      <c r="AB21" s="35" t="str">
        <f>IF(ISNUMBER(T21),INDEX($BE$5:$BE$2999,MATCH(T21,AJ$5:AJ$2999,0),1),"")</f>
        <v>.uzf.obs</v>
      </c>
      <c r="AC21" s="35" t="str">
        <f>IF(ISNUMBER(U21),INDEX($BE$5:$BE$2999,MATCH(U21,AK$5:AK$2999,0),1),"")</f>
        <v>.evta</v>
      </c>
      <c r="AD21" s="35" t="str">
        <f>IF(ISNUMBER(V21),INDEX($BE$5:$BE$2999,MATCH(V21,AL$5:AL$2999,0),1),"")</f>
        <v>mfsim.nam</v>
      </c>
      <c r="AE21" s="35" t="str">
        <f>IF(ISNUMBER(W21),INDEX($BE$5:$BE$2999,MATCH(W21,AM$5:AM$2999,0),1),"")</f>
        <v>.mvr.bud</v>
      </c>
      <c r="AF21" s="35" t="str">
        <f>IF(ISNUMBER(X21),INDEX($BE$5:$BE$2999,MATCH(X21,AN$5:AN$2999,0),1),"")</f>
        <v/>
      </c>
      <c r="AG21" s="35"/>
      <c r="AH21" s="34">
        <f>IF($BE21="","",IF(ISNUMBER(MATCH($BE21,AP$5:AP$29999,0)),MAX(AH$4:AH20)+1,0))</f>
        <v>0</v>
      </c>
      <c r="AI21" s="34">
        <f>IF($BE21="","",IF(ISNUMBER(MATCH($BE21,AQ$5:AQ$29999,0)),MAX(AI$4:AI20)+1,0))</f>
        <v>0</v>
      </c>
      <c r="AJ21" s="34">
        <f>IF($BE21="","",IF(ISNUMBER(MATCH($BE21,AR$5:AR$29999,0)),MAX(AJ$4:AJ20)+1,0))</f>
        <v>0</v>
      </c>
      <c r="AK21" s="34">
        <f>IF($BE21="","",IF(ISNUMBER(MATCH($BE21,AS$5:AS$29999,0)),MAX(AK$4:AK20)+1,0))</f>
        <v>0</v>
      </c>
      <c r="AL21" s="34">
        <f>IF($BE21="","",IF(ISNUMBER(MATCH($BE21,AT$5:AT$29999,0)),MAX(AL$4:AL20)+1,0))</f>
        <v>0</v>
      </c>
      <c r="AM21" s="34">
        <f>IF($BE21="","",IF(ISNUMBER(MATCH($BE21,AU$5:AU$29999,0)),MAX(AM$4:AM20)+1,0))</f>
        <v>15</v>
      </c>
      <c r="AN21" s="34">
        <f>IF($BE21="","",IF(ISNUMBER(MATCH($BE21,AV$5:AV$29999,0)),MAX(AN$4:AN20)+1,0))</f>
        <v>0</v>
      </c>
      <c r="AO21" s="16"/>
      <c r="AP21" s="33" t="s">
        <v>26</v>
      </c>
      <c r="AQ21" s="33"/>
      <c r="AR21" s="33" t="s">
        <v>35</v>
      </c>
      <c r="AS21" s="33" t="s">
        <v>37</v>
      </c>
      <c r="AT21" s="33" t="s">
        <v>38</v>
      </c>
      <c r="AU21" s="33" t="s">
        <v>17</v>
      </c>
      <c r="AV21" s="32" t="s">
        <v>0</v>
      </c>
      <c r="AW21" s="40" t="s">
        <v>38</v>
      </c>
      <c r="AX21" s="20" t="s">
        <v>0</v>
      </c>
      <c r="AY21" s="47" t="s">
        <v>31</v>
      </c>
      <c r="AZ21" s="47" t="s">
        <v>31</v>
      </c>
      <c r="BA21" s="39" t="s">
        <v>0</v>
      </c>
      <c r="BB21" s="44">
        <f>IF(ISTEXT(AW21),IF(ISNUMBER(MATCH(AW21,$AY$5:$AY$100,0)),0,MAX(BB$4:BB20)+1),"")</f>
        <v>0</v>
      </c>
      <c r="BC21" s="36">
        <f>IF(ISTEXT(AY21),MATCH(AY21,$AW$5:$AW$127,0),"")</f>
        <v>26</v>
      </c>
      <c r="BD21" s="36" t="str">
        <f>IF(ISNUMBER(BC21),AY21,ROW()-SUM($BC$4:$BD$4))</f>
        <v>.lak.bin</v>
      </c>
      <c r="BE21" s="20" t="str">
        <f>IF(ISTEXT(AW21),IF(ISNUMBER(BC21),AY21,INDEX($AW$5:$AW$140,MATCH(BD21,$BB$5:$BB$185,0),1)),"")</f>
        <v>.lak.bin</v>
      </c>
      <c r="BF21" s="36"/>
      <c r="BG21" s="19" t="str">
        <f>IF(ISNUMBER(MATCH($BE21,Z$5:Z$501,0)),INDEX(Z$5:Z$501,MATCH($BE21,Z$5:Z$501,0),1),"")</f>
        <v/>
      </c>
      <c r="BH21" s="19" t="str">
        <f>IF(ISNUMBER(MATCH($BE21,AA$5:AA$501,0)),INDEX(AA$5:AA$501,MATCH($BE21,AA$5:AA$501,0),1),"")</f>
        <v/>
      </c>
      <c r="BI21" s="19" t="str">
        <f>IF(ISNUMBER(MATCH($BE21,AB$5:AB$501,0)),INDEX(AB$5:AB$501,MATCH($BE21,AB$5:AB$501,0),1),"")</f>
        <v/>
      </c>
      <c r="BJ21" s="19" t="str">
        <f>IF(ISNUMBER(MATCH($BE21,AC$5:AC$501,0)),INDEX(AC$5:AC$501,MATCH($BE21,AC$5:AC$501,0),1),"")</f>
        <v/>
      </c>
      <c r="BK21" s="19" t="str">
        <f>IF(ISNUMBER(MATCH($BE21,AD$5:AD$501,0)),INDEX(AD$5:AD$501,MATCH($BE21,AD$5:AD$501,0),1),"")</f>
        <v/>
      </c>
      <c r="BL21" s="19" t="str">
        <f>IF(ISNUMBER(MATCH($BE21,AE$5:AE$501,0)),INDEX(AE$5:AE$501,MATCH($BE21,AE$5:AE$501,0),1),"")</f>
        <v>.lak.bin</v>
      </c>
      <c r="BM21" s="19" t="str">
        <f>IF(ISNUMBER(MATCH($BE21,AF$5:AF$501,0)),INDEX(AF$5:AF$501,MATCH($BE21,AF$5:AF$501,0),1),"")</f>
        <v/>
      </c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</row>
    <row r="22" spans="1:78" ht="12" customHeight="1" x14ac:dyDescent="0.25">
      <c r="A22" s="26"/>
      <c r="B22" s="28">
        <f>IF(ISNUMBER(MATCH(O22,$N$5:$N$1000,0)),MATCH(O22,$N$5:$N$1000,0),"")</f>
        <v>16</v>
      </c>
      <c r="C22" s="15">
        <f>IF(ISNUMBER(B22),MAX(C$4:C21)+1,"")</f>
        <v>13</v>
      </c>
      <c r="D22" s="15" t="str">
        <f>IF(IF(ISNUMBER(B22),"",MAX(D$4:D21)+1)&lt;=D$3,IF(ISNUMBER(B22),"",MAX(D$4:D21)+1),"")</f>
        <v/>
      </c>
      <c r="E22" s="42" t="str">
        <f>IF(M22&lt;=D$3,MATCH(M22,D$5:D$1000,0),"")</f>
        <v/>
      </c>
      <c r="F22" s="28" t="str">
        <f>IF(ISNUMBER(E22),INDEX($N$5:$N$1000,E22,1),"")</f>
        <v/>
      </c>
      <c r="G22" s="27" t="str">
        <f>IF(ISNUMBER(C22),N22,IF(ISTEXT(N22),INDEX($F$5:$F$1000,MATCH(M22,$E$5:$E$1000,0),1),""))</f>
        <v>.sfr.bud</v>
      </c>
      <c r="H22" s="15" t="str">
        <f>IF(O22="","",IF(ISNUMBER(MATCH(O22,$G$5:$G$1000,0)),"",IF(D22=1,C$3,0)+MAX(H$4:H21)+1))</f>
        <v/>
      </c>
      <c r="I22" s="15" t="str">
        <f>IF(O22="","",IF(ISNUMBER(MATCH(O22,$G$5:$G$1000,0)),"",IF(D22=1,B$4,0)+MAX(I$4:I21)+1))</f>
        <v/>
      </c>
      <c r="J22" s="27" t="str">
        <f>IF(ISNUMBER(MATCH(M22,$I$5:$I$1000,0)),INDEX($O$5:$O$1000,MATCH(M22,$I$5:$I$1000,0),1),"")</f>
        <v/>
      </c>
      <c r="K22" s="27">
        <f>IF(P22="",0,1)</f>
        <v>1</v>
      </c>
      <c r="L22" s="26"/>
      <c r="M22" s="14">
        <f>IF(ROW()-ROW(M$4)&lt;=1000,ROW()-ROW(M$4),"")</f>
        <v>18</v>
      </c>
      <c r="N22" s="43" t="s">
        <v>23</v>
      </c>
      <c r="O22" s="43" t="s">
        <v>37</v>
      </c>
      <c r="P22" s="41" t="str">
        <f>IF(M22&lt;=$B$4,IF(ISTEXT(G22),G22,""),IF(ISTEXT(J22),J22,""))</f>
        <v>.sfr.bud</v>
      </c>
      <c r="Q22" s="16" t="s">
        <v>0</v>
      </c>
      <c r="R22" s="34">
        <f>IF(ROW()-ROW(R$4)&lt;=AH$3,ROW()-ROW(R$4),"")</f>
        <v>18</v>
      </c>
      <c r="S22" s="34" t="str">
        <f>IF(ROW()-ROW(S$4)&lt;=AI$3,ROW()-ROW(S$4),"")</f>
        <v/>
      </c>
      <c r="T22" s="34">
        <f>IF(ROW()-ROW(T$4)&lt;=AJ$3,ROW()-ROW(T$4),"")</f>
        <v>18</v>
      </c>
      <c r="U22" s="34">
        <f>IF(ROW()-ROW(U$4)&lt;=AK$3,ROW()-ROW(U$4),"")</f>
        <v>18</v>
      </c>
      <c r="V22" s="34">
        <f>IF(ROW()-ROW(V$4)&lt;=AL$3,ROW()-ROW(V$4),"")</f>
        <v>18</v>
      </c>
      <c r="W22" s="34">
        <f>IF(ROW()-ROW(W$4)&lt;=AM$3,ROW()-ROW(W$4),"")</f>
        <v>18</v>
      </c>
      <c r="X22" s="34" t="str">
        <f>IF(ROW()-ROW(X$4)&lt;=AN$3,ROW()-ROW(X$4),"")</f>
        <v/>
      </c>
      <c r="Y22" s="34"/>
      <c r="Z22" s="35" t="str">
        <f>IF(ISNUMBER(R22),INDEX($BE$5:$BE$2999,MATCH(R22,AH$5:AH$2999,0),1),"")</f>
        <v>.rcha</v>
      </c>
      <c r="AA22" s="35" t="str">
        <f>IF(ISNUMBER(S22),INDEX($BE$5:$BE$2999,MATCH(S22,AI$5:AI$2999,0),1),"")</f>
        <v/>
      </c>
      <c r="AB22" s="35" t="str">
        <f>IF(ISNUMBER(T22),INDEX($BE$5:$BE$2999,MATCH(T22,AJ$5:AJ$2999,0),1),"")</f>
        <v>.nam</v>
      </c>
      <c r="AC22" s="35" t="str">
        <f>IF(ISNUMBER(U22),INDEX($BE$5:$BE$2999,MATCH(U22,AK$5:AK$2999,0),1),"")</f>
        <v>.gwf.obs</v>
      </c>
      <c r="AD22" s="35" t="str">
        <f>IF(ISNUMBER(V22),INDEX($BE$5:$BE$2999,MATCH(V22,AL$5:AL$2999,0),1),"")</f>
        <v>.sto</v>
      </c>
      <c r="AE22" s="35" t="str">
        <f>IF(ISNUMBER(W22),INDEX($BE$5:$BE$2999,MATCH(W22,AM$5:AM$2999,0),1),"")</f>
        <v>.nam</v>
      </c>
      <c r="AF22" s="35" t="str">
        <f>IF(ISNUMBER(X22),INDEX($BE$5:$BE$2999,MATCH(X22,AN$5:AN$2999,0),1),"")</f>
        <v/>
      </c>
      <c r="AG22" s="35"/>
      <c r="AH22" s="34">
        <f>IF($BE22="","",IF(ISNUMBER(MATCH($BE22,AP$5:AP$29999,0)),MAX(AH$4:AH21)+1,0))</f>
        <v>0</v>
      </c>
      <c r="AI22" s="34">
        <f>IF($BE22="","",IF(ISNUMBER(MATCH($BE22,AQ$5:AQ$29999,0)),MAX(AI$4:AI21)+1,0))</f>
        <v>0</v>
      </c>
      <c r="AJ22" s="34">
        <f>IF($BE22="","",IF(ISNUMBER(MATCH($BE22,AR$5:AR$29999,0)),MAX(AJ$4:AJ21)+1,0))</f>
        <v>13</v>
      </c>
      <c r="AK22" s="34">
        <f>IF($BE22="","",IF(ISNUMBER(MATCH($BE22,AS$5:AS$29999,0)),MAX(AK$4:AK21)+1,0))</f>
        <v>0</v>
      </c>
      <c r="AL22" s="34">
        <f>IF($BE22="","",IF(ISNUMBER(MATCH($BE22,AT$5:AT$29999,0)),MAX(AL$4:AL21)+1,0))</f>
        <v>12</v>
      </c>
      <c r="AM22" s="34">
        <f>IF($BE22="","",IF(ISNUMBER(MATCH($BE22,AU$5:AU$29999,0)),MAX(AM$4:AM21)+1,0))</f>
        <v>16</v>
      </c>
      <c r="AN22" s="34">
        <f>IF($BE22="","",IF(ISNUMBER(MATCH($BE22,AV$5:AV$29999,0)),MAX(AN$4:AN21)+1,0))</f>
        <v>0</v>
      </c>
      <c r="AO22" s="16"/>
      <c r="AP22" s="33" t="s">
        <v>33</v>
      </c>
      <c r="AQ22" s="33"/>
      <c r="AR22" s="33" t="s">
        <v>23</v>
      </c>
      <c r="AS22" s="33" t="s">
        <v>17</v>
      </c>
      <c r="AT22" s="33" t="s">
        <v>37</v>
      </c>
      <c r="AU22" s="33" t="s">
        <v>35</v>
      </c>
      <c r="AV22" s="32" t="s">
        <v>0</v>
      </c>
      <c r="AW22" s="40" t="s">
        <v>37</v>
      </c>
      <c r="AX22" s="20" t="s">
        <v>0</v>
      </c>
      <c r="AY22" s="46" t="s">
        <v>36</v>
      </c>
      <c r="AZ22" s="46" t="s">
        <v>36</v>
      </c>
      <c r="BA22" s="39" t="s">
        <v>0</v>
      </c>
      <c r="BB22" s="44">
        <f>IF(ISTEXT(AW22),IF(ISNUMBER(MATCH(AW22,$AY$5:$AY$100,0)),0,MAX(BB$4:BB21)+1),"")</f>
        <v>0</v>
      </c>
      <c r="BC22" s="36">
        <f>IF(ISTEXT(AY22),MATCH(AY22,$AW$5:$AW$127,0),"")</f>
        <v>15</v>
      </c>
      <c r="BD22" s="36" t="str">
        <f>IF(ISNUMBER(BC22),AY22,ROW()-SUM($BC$4:$BD$4))</f>
        <v>.mvr</v>
      </c>
      <c r="BE22" s="20" t="str">
        <f>IF(ISTEXT(AW22),IF(ISNUMBER(BC22),AY22,INDEX($AW$5:$AW$140,MATCH(BD22,$BB$5:$BB$185,0),1)),"")</f>
        <v>.mvr</v>
      </c>
      <c r="BF22" s="36"/>
      <c r="BG22" s="19" t="str">
        <f>IF(ISNUMBER(MATCH($BE22,Z$5:Z$501,0)),INDEX(Z$5:Z$501,MATCH($BE22,Z$5:Z$501,0),1),"")</f>
        <v/>
      </c>
      <c r="BH22" s="19" t="str">
        <f>IF(ISNUMBER(MATCH($BE22,AA$5:AA$501,0)),INDEX(AA$5:AA$501,MATCH($BE22,AA$5:AA$501,0),1),"")</f>
        <v/>
      </c>
      <c r="BI22" s="19" t="str">
        <f>IF(ISNUMBER(MATCH($BE22,AB$5:AB$501,0)),INDEX(AB$5:AB$501,MATCH($BE22,AB$5:AB$501,0),1),"")</f>
        <v>.mvr</v>
      </c>
      <c r="BJ22" s="19" t="str">
        <f>IF(ISNUMBER(MATCH($BE22,AC$5:AC$501,0)),INDEX(AC$5:AC$501,MATCH($BE22,AC$5:AC$501,0),1),"")</f>
        <v/>
      </c>
      <c r="BK22" s="19" t="str">
        <f>IF(ISNUMBER(MATCH($BE22,AD$5:AD$501,0)),INDEX(AD$5:AD$501,MATCH($BE22,AD$5:AD$501,0),1),"")</f>
        <v>.mvr</v>
      </c>
      <c r="BL22" s="19" t="str">
        <f>IF(ISNUMBER(MATCH($BE22,AE$5:AE$501,0)),INDEX(AE$5:AE$501,MATCH($BE22,AE$5:AE$501,0),1),"")</f>
        <v>.mvr</v>
      </c>
      <c r="BM22" s="19" t="str">
        <f>IF(ISNUMBER(MATCH($BE22,AF$5:AF$501,0)),INDEX(AF$5:AF$501,MATCH($BE22,AF$5:AF$501,0),1),"")</f>
        <v/>
      </c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</row>
    <row r="23" spans="1:78" ht="12" customHeight="1" x14ac:dyDescent="0.25">
      <c r="A23" s="26"/>
      <c r="B23" s="28" t="str">
        <f>IF(ISNUMBER(MATCH(O23,$N$5:$N$1000,0)),MATCH(O23,$N$5:$N$1000,0),"")</f>
        <v/>
      </c>
      <c r="C23" s="15" t="str">
        <f>IF(ISNUMBER(B23),MAX(C$4:C22)+1,"")</f>
        <v/>
      </c>
      <c r="D23" s="15">
        <f>IF(IF(ISNUMBER(B23),"",MAX(D$4:D22)+1)&lt;=D$3,IF(ISNUMBER(B23),"",MAX(D$4:D22)+1),"")</f>
        <v>6</v>
      </c>
      <c r="E23" s="42" t="str">
        <f>IF(M23&lt;=D$3,MATCH(M23,D$5:D$1000,0),"")</f>
        <v/>
      </c>
      <c r="F23" s="28" t="str">
        <f>IF(ISNUMBER(E23),INDEX($N$5:$N$1000,E23,1),"")</f>
        <v/>
      </c>
      <c r="G23" s="27" t="str">
        <f>IF(ISNUMBER(C23),N23,IF(ISTEXT(N23),INDEX($F$5:$F$1000,MATCH(M23,$E$5:$E$1000,0),1),""))</f>
        <v>.sfr.obs</v>
      </c>
      <c r="H23" s="15">
        <f>IF(O23="","",IF(ISNUMBER(MATCH(O23,$G$5:$G$1000,0)),"",IF(D23=1,C$3,0)+MAX(H$4:H22)+1))</f>
        <v>28</v>
      </c>
      <c r="I23" s="15">
        <f>IF(O23="","",IF(ISNUMBER(MATCH(O23,$G$5:$G$1000,0)),"",IF(D23=1,B$4,0)+MAX(I$4:I22)+1))</f>
        <v>42</v>
      </c>
      <c r="J23" s="27" t="str">
        <f>IF(ISNUMBER(MATCH(M23,$I$5:$I$1000,0)),INDEX($O$5:$O$1000,MATCH(M23,$I$5:$I$1000,0),1),"")</f>
        <v/>
      </c>
      <c r="K23" s="27">
        <f>IF(P23="",0,1)</f>
        <v>1</v>
      </c>
      <c r="L23" s="26"/>
      <c r="M23" s="14">
        <f>IF(ROW()-ROW(M$4)&lt;=1000,ROW()-ROW(M$4),"")</f>
        <v>19</v>
      </c>
      <c r="N23" s="43" t="s">
        <v>21</v>
      </c>
      <c r="O23" s="43" t="s">
        <v>17</v>
      </c>
      <c r="P23" s="41" t="str">
        <f>IF(M23&lt;=$B$4,IF(ISTEXT(G23),G23,""),IF(ISTEXT(J23),J23,""))</f>
        <v>.sfr.obs</v>
      </c>
      <c r="Q23" s="16" t="s">
        <v>0</v>
      </c>
      <c r="R23" s="34">
        <f>IF(ROW()-ROW(R$4)&lt;=AH$3,ROW()-ROW(R$4),"")</f>
        <v>19</v>
      </c>
      <c r="S23" s="34" t="str">
        <f>IF(ROW()-ROW(S$4)&lt;=AI$3,ROW()-ROW(S$4),"")</f>
        <v/>
      </c>
      <c r="T23" s="34">
        <f>IF(ROW()-ROW(T$4)&lt;=AJ$3,ROW()-ROW(T$4),"")</f>
        <v>19</v>
      </c>
      <c r="U23" s="34">
        <f>IF(ROW()-ROW(U$4)&lt;=AK$3,ROW()-ROW(U$4),"")</f>
        <v>19</v>
      </c>
      <c r="V23" s="34">
        <f>IF(ROW()-ROW(V$4)&lt;=AL$3,ROW()-ROW(V$4),"")</f>
        <v>19</v>
      </c>
      <c r="W23" s="34">
        <f>IF(ROW()-ROW(W$4)&lt;=AM$3,ROW()-ROW(W$4),"")</f>
        <v>19</v>
      </c>
      <c r="X23" s="34" t="str">
        <f>IF(ROW()-ROW(X$4)&lt;=AN$3,ROW()-ROW(X$4),"")</f>
        <v/>
      </c>
      <c r="Y23" s="34"/>
      <c r="Z23" s="35" t="str">
        <f>IF(ISNUMBER(R23),INDEX($BE$5:$BE$2999,MATCH(R23,AH$5:AH$2999,0),1),"")</f>
        <v>.hds</v>
      </c>
      <c r="AA23" s="35" t="str">
        <f>IF(ISNUMBER(S23),INDEX($BE$5:$BE$2999,MATCH(S23,AI$5:AI$2999,0),1),"")</f>
        <v/>
      </c>
      <c r="AB23" s="35" t="str">
        <f>IF(ISNUMBER(T23),INDEX($BE$5:$BE$2999,MATCH(T23,AJ$5:AJ$2999,0),1),"")</f>
        <v>.tdis</v>
      </c>
      <c r="AC23" s="35" t="str">
        <f>IF(ISNUMBER(U23),INDEX($BE$5:$BE$2999,MATCH(U23,AK$5:AK$2999,0),1),"")</f>
        <v>.gwf.obs.csv</v>
      </c>
      <c r="AD23" s="35" t="str">
        <f>IF(ISNUMBER(V23),INDEX($BE$5:$BE$2999,MATCH(V23,AL$5:AL$2999,0),1),"")</f>
        <v>.evta</v>
      </c>
      <c r="AE23" s="35" t="str">
        <f>IF(ISNUMBER(W23),INDEX($BE$5:$BE$2999,MATCH(W23,AM$5:AM$2999,0),1),"")</f>
        <v>.tdis</v>
      </c>
      <c r="AF23" s="35" t="str">
        <f>IF(ISNUMBER(X23),INDEX($BE$5:$BE$2999,MATCH(X23,AN$5:AN$2999,0),1),"")</f>
        <v/>
      </c>
      <c r="AG23" s="35"/>
      <c r="AH23" s="34">
        <f>IF($BE23="","",IF(ISNUMBER(MATCH($BE23,AP$5:AP$29999,0)),MAX(AH$4:AH22)+1,0))</f>
        <v>0</v>
      </c>
      <c r="AI23" s="34">
        <f>IF($BE23="","",IF(ISNUMBER(MATCH($BE23,AQ$5:AQ$29999,0)),MAX(AI$4:AI22)+1,0))</f>
        <v>0</v>
      </c>
      <c r="AJ23" s="34">
        <f>IF($BE23="","",IF(ISNUMBER(MATCH($BE23,AR$5:AR$29999,0)),MAX(AJ$4:AJ22)+1,0))</f>
        <v>14</v>
      </c>
      <c r="AK23" s="34">
        <f>IF($BE23="","",IF(ISNUMBER(MATCH($BE23,AS$5:AS$29999,0)),MAX(AK$4:AK22)+1,0))</f>
        <v>0</v>
      </c>
      <c r="AL23" s="34">
        <f>IF($BE23="","",IF(ISNUMBER(MATCH($BE23,AT$5:AT$29999,0)),MAX(AL$4:AL22)+1,0))</f>
        <v>0</v>
      </c>
      <c r="AM23" s="34">
        <f>IF($BE23="","",IF(ISNUMBER(MATCH($BE23,AU$5:AU$29999,0)),MAX(AM$4:AM22)+1,0))</f>
        <v>17</v>
      </c>
      <c r="AN23" s="34">
        <f>IF($BE23="","",IF(ISNUMBER(MATCH($BE23,AV$5:AV$29999,0)),MAX(AN$4:AN22)+1,0))</f>
        <v>0</v>
      </c>
      <c r="AO23" s="16"/>
      <c r="AP23" s="33" t="s">
        <v>10</v>
      </c>
      <c r="AQ23" s="33"/>
      <c r="AR23" s="33" t="s">
        <v>21</v>
      </c>
      <c r="AS23" s="33" t="s">
        <v>26</v>
      </c>
      <c r="AT23" s="33" t="s">
        <v>17</v>
      </c>
      <c r="AU23" s="33" t="s">
        <v>25</v>
      </c>
      <c r="AV23" s="32" t="s">
        <v>0</v>
      </c>
      <c r="AW23" s="40" t="s">
        <v>17</v>
      </c>
      <c r="AX23" s="20" t="s">
        <v>0</v>
      </c>
      <c r="AY23" s="46" t="s">
        <v>27</v>
      </c>
      <c r="AZ23" s="46" t="s">
        <v>27</v>
      </c>
      <c r="BA23" s="39" t="s">
        <v>0</v>
      </c>
      <c r="BB23" s="44">
        <f>IF(ISTEXT(AW23),IF(ISNUMBER(MATCH(AW23,$AY$5:$AY$100,0)),0,MAX(BB$4:BB22)+1),"")</f>
        <v>0</v>
      </c>
      <c r="BC23" s="36">
        <f>IF(ISTEXT(AY23),MATCH(AY23,$AW$5:$AW$127,0),"")</f>
        <v>28</v>
      </c>
      <c r="BD23" s="36" t="str">
        <f>IF(ISNUMBER(BC23),AY23,ROW()-SUM($BC$4:$BD$4))</f>
        <v>.mvr.bud</v>
      </c>
      <c r="BE23" s="20" t="str">
        <f>IF(ISTEXT(AW23),IF(ISNUMBER(BC23),AY23,INDEX($AW$5:$AW$140,MATCH(BD23,$BB$5:$BB$185,0),1)),"")</f>
        <v>.mvr.bud</v>
      </c>
      <c r="BF23" s="36"/>
      <c r="BG23" s="19" t="str">
        <f>IF(ISNUMBER(MATCH($BE23,Z$5:Z$501,0)),INDEX(Z$5:Z$501,MATCH($BE23,Z$5:Z$501,0),1),"")</f>
        <v/>
      </c>
      <c r="BH23" s="19" t="str">
        <f>IF(ISNUMBER(MATCH($BE23,AA$5:AA$501,0)),INDEX(AA$5:AA$501,MATCH($BE23,AA$5:AA$501,0),1),"")</f>
        <v/>
      </c>
      <c r="BI23" s="19" t="str">
        <f>IF(ISNUMBER(MATCH($BE23,AB$5:AB$501,0)),INDEX(AB$5:AB$501,MATCH($BE23,AB$5:AB$501,0),1),"")</f>
        <v>.mvr.bud</v>
      </c>
      <c r="BJ23" s="19" t="str">
        <f>IF(ISNUMBER(MATCH($BE23,AC$5:AC$501,0)),INDEX(AC$5:AC$501,MATCH($BE23,AC$5:AC$501,0),1),"")</f>
        <v/>
      </c>
      <c r="BK23" s="19" t="str">
        <f>IF(ISNUMBER(MATCH($BE23,AD$5:AD$501,0)),INDEX(AD$5:AD$501,MATCH($BE23,AD$5:AD$501,0),1),"")</f>
        <v/>
      </c>
      <c r="BL23" s="19" t="str">
        <f>IF(ISNUMBER(MATCH($BE23,AE$5:AE$501,0)),INDEX(AE$5:AE$501,MATCH($BE23,AE$5:AE$501,0),1),"")</f>
        <v>.mvr.bud</v>
      </c>
      <c r="BM23" s="19" t="str">
        <f>IF(ISNUMBER(MATCH($BE23,AF$5:AF$501,0)),INDEX(AF$5:AF$501,MATCH($BE23,AF$5:AF$501,0),1),"")</f>
        <v/>
      </c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</row>
    <row r="24" spans="1:78" ht="12" customHeight="1" x14ac:dyDescent="0.25">
      <c r="A24" s="26"/>
      <c r="B24" s="28">
        <f>IF(ISNUMBER(MATCH(O24,$N$5:$N$1000,0)),MATCH(O24,$N$5:$N$1000,0),"")</f>
        <v>17</v>
      </c>
      <c r="C24" s="15">
        <f>IF(ISNUMBER(B24),MAX(C$4:C23)+1,"")</f>
        <v>14</v>
      </c>
      <c r="D24" s="15" t="str">
        <f>IF(IF(ISNUMBER(B24),"",MAX(D$4:D23)+1)&lt;=D$3,IF(ISNUMBER(B24),"",MAX(D$4:D23)+1),"")</f>
        <v/>
      </c>
      <c r="E24" s="42" t="str">
        <f>IF(M24&lt;=D$3,MATCH(M24,D$5:D$1000,0),"")</f>
        <v/>
      </c>
      <c r="F24" s="28" t="str">
        <f>IF(ISNUMBER(E24),INDEX($N$5:$N$1000,E24,1),"")</f>
        <v/>
      </c>
      <c r="G24" s="27" t="str">
        <f>IF(ISNUMBER(C24),N24,IF(ISTEXT(N24),INDEX($F$5:$F$1000,MATCH(M24,$E$5:$E$1000,0),1),""))</f>
        <v>.sto</v>
      </c>
      <c r="H24" s="15" t="str">
        <f>IF(O24="","",IF(ISNUMBER(MATCH(O24,$G$5:$G$1000,0)),"",IF(D24=1,C$3,0)+MAX(H$4:H23)+1))</f>
        <v/>
      </c>
      <c r="I24" s="15" t="str">
        <f>IF(O24="","",IF(ISNUMBER(MATCH(O24,$G$5:$G$1000,0)),"",IF(D24=1,B$4,0)+MAX(I$4:I23)+1))</f>
        <v/>
      </c>
      <c r="J24" s="27" t="str">
        <f>IF(ISNUMBER(MATCH(M24,$I$5:$I$1000,0)),INDEX($O$5:$O$1000,MATCH(M24,$I$5:$I$1000,0),1),"")</f>
        <v/>
      </c>
      <c r="K24" s="27">
        <f>IF(P24="",0,1)</f>
        <v>1</v>
      </c>
      <c r="L24" s="26"/>
      <c r="M24" s="14">
        <f>IF(ROW()-ROW(M$4)&lt;=1000,ROW()-ROW(M$4),"")</f>
        <v>20</v>
      </c>
      <c r="N24" s="43" t="s">
        <v>26</v>
      </c>
      <c r="O24" s="43" t="s">
        <v>35</v>
      </c>
      <c r="P24" s="41" t="str">
        <f>IF(M24&lt;=$B$4,IF(ISTEXT(G24),G24,""),IF(ISTEXT(J24),J24,""))</f>
        <v>.sto</v>
      </c>
      <c r="Q24" s="16" t="s">
        <v>0</v>
      </c>
      <c r="R24" s="34">
        <f>IF(ROW()-ROW(R$4)&lt;=AH$3,ROW()-ROW(R$4),"")</f>
        <v>20</v>
      </c>
      <c r="S24" s="34" t="str">
        <f>IF(ROW()-ROW(S$4)&lt;=AI$3,ROW()-ROW(S$4),"")</f>
        <v/>
      </c>
      <c r="T24" s="34">
        <f>IF(ROW()-ROW(T$4)&lt;=AJ$3,ROW()-ROW(T$4),"")</f>
        <v>20</v>
      </c>
      <c r="U24" s="34">
        <f>IF(ROW()-ROW(U$4)&lt;=AK$3,ROW()-ROW(U$4),"")</f>
        <v>20</v>
      </c>
      <c r="V24" s="34">
        <f>IF(ROW()-ROW(V$4)&lt;=AL$3,ROW()-ROW(V$4),"")</f>
        <v>20</v>
      </c>
      <c r="W24" s="34">
        <f>IF(ROW()-ROW(W$4)&lt;=AM$3,ROW()-ROW(W$4),"")</f>
        <v>20</v>
      </c>
      <c r="X24" s="34" t="str">
        <f>IF(ROW()-ROW(X$4)&lt;=AN$3,ROW()-ROW(X$4),"")</f>
        <v/>
      </c>
      <c r="Y24" s="34"/>
      <c r="Z24" s="35" t="str">
        <f>IF(ISNUMBER(R24),INDEX($BE$5:$BE$2999,MATCH(R24,AH$5:AH$2999,0),1),"")</f>
        <v>.wel</v>
      </c>
      <c r="AA24" s="35" t="str">
        <f>IF(ISNUMBER(S24),INDEX($BE$5:$BE$2999,MATCH(S24,AI$5:AI$2999,0),1),"")</f>
        <v/>
      </c>
      <c r="AB24" s="35" t="str">
        <f>IF(ISNUMBER(T24),INDEX($BE$5:$BE$2999,MATCH(T24,AJ$5:AJ$2999,0),1),"")</f>
        <v>mfsim.lst</v>
      </c>
      <c r="AC24" s="35" t="str">
        <f>IF(ISNUMBER(U24),INDEX($BE$5:$BE$2999,MATCH(U24,AK$5:AK$2999,0),1),"")</f>
        <v>.cbc</v>
      </c>
      <c r="AD24" s="35" t="str">
        <f>IF(ISNUMBER(V24),INDEX($BE$5:$BE$2999,MATCH(V24,AL$5:AL$2999,0),1),"")</f>
        <v>.gwf.obs</v>
      </c>
      <c r="AE24" s="35" t="str">
        <f>IF(ISNUMBER(W24),INDEX($BE$5:$BE$2999,MATCH(W24,AM$5:AM$2999,0),1),"")</f>
        <v>mfsim.lst</v>
      </c>
      <c r="AF24" s="35" t="str">
        <f>IF(ISNUMBER(X24),INDEX($BE$5:$BE$2999,MATCH(X24,AN$5:AN$2999,0),1),"")</f>
        <v/>
      </c>
      <c r="AG24" s="35"/>
      <c r="AH24" s="34">
        <f>IF($BE24="","",IF(ISNUMBER(MATCH($BE24,AP$5:AP$29999,0)),MAX(AH$4:AH23)+1,0))</f>
        <v>0</v>
      </c>
      <c r="AI24" s="34">
        <f>IF($BE24="","",IF(ISNUMBER(MATCH($BE24,AQ$5:AQ$29999,0)),MAX(AI$4:AI23)+1,0))</f>
        <v>0</v>
      </c>
      <c r="AJ24" s="34">
        <f>IF($BE24="","",IF(ISNUMBER(MATCH($BE24,AR$5:AR$29999,0)),MAX(AJ$4:AJ23)+1,0))</f>
        <v>15</v>
      </c>
      <c r="AK24" s="34">
        <f>IF($BE24="","",IF(ISNUMBER(MATCH($BE24,AS$5:AS$29999,0)),MAX(AK$4:AK23)+1,0))</f>
        <v>0</v>
      </c>
      <c r="AL24" s="34">
        <f>IF($BE24="","",IF(ISNUMBER(MATCH($BE24,AT$5:AT$29999,0)),MAX(AL$4:AL23)+1,0))</f>
        <v>0</v>
      </c>
      <c r="AM24" s="34">
        <f>IF($BE24="","",IF(ISNUMBER(MATCH($BE24,AU$5:AU$29999,0)),MAX(AM$4:AM23)+1,0))</f>
        <v>0</v>
      </c>
      <c r="AN24" s="34">
        <f>IF($BE24="","",IF(ISNUMBER(MATCH($BE24,AV$5:AV$29999,0)),MAX(AN$4:AN23)+1,0))</f>
        <v>0</v>
      </c>
      <c r="AO24" s="16"/>
      <c r="AP24" s="33" t="s">
        <v>32</v>
      </c>
      <c r="AQ24" s="33"/>
      <c r="AR24" s="33" t="s">
        <v>26</v>
      </c>
      <c r="AS24" s="33" t="s">
        <v>33</v>
      </c>
      <c r="AT24" s="33" t="s">
        <v>35</v>
      </c>
      <c r="AU24" s="33" t="s">
        <v>23</v>
      </c>
      <c r="AV24" s="32" t="s">
        <v>0</v>
      </c>
      <c r="AW24" s="40" t="s">
        <v>35</v>
      </c>
      <c r="AX24" s="20" t="s">
        <v>0</v>
      </c>
      <c r="AY24" s="45" t="s">
        <v>16</v>
      </c>
      <c r="AZ24" s="45" t="s">
        <v>16</v>
      </c>
      <c r="BA24" s="39" t="s">
        <v>0</v>
      </c>
      <c r="BB24" s="44">
        <f>IF(ISTEXT(AW24),IF(ISNUMBER(MATCH(AW24,$AY$5:$AY$100,0)),0,MAX(BB$4:BB23)+1),"")</f>
        <v>0</v>
      </c>
      <c r="BC24" s="36">
        <f>IF(ISTEXT(AY24),MATCH(AY24,$AW$5:$AW$127,0),"")</f>
        <v>34</v>
      </c>
      <c r="BD24" s="36" t="str">
        <f>IF(ISNUMBER(BC24),AY24,ROW()-SUM($BC$4:$BD$4))</f>
        <v>.uzf</v>
      </c>
      <c r="BE24" s="20" t="str">
        <f>IF(ISTEXT(AW24),IF(ISNUMBER(BC24),AY24,INDEX($AW$5:$AW$140,MATCH(BD24,$BB$5:$BB$185,0),1)),"")</f>
        <v>.uzf</v>
      </c>
      <c r="BF24" s="36"/>
      <c r="BG24" s="19" t="str">
        <f>IF(ISNUMBER(MATCH($BE24,Z$5:Z$501,0)),INDEX(Z$5:Z$501,MATCH($BE24,Z$5:Z$501,0),1),"")</f>
        <v/>
      </c>
      <c r="BH24" s="19" t="str">
        <f>IF(ISNUMBER(MATCH($BE24,AA$5:AA$501,0)),INDEX(AA$5:AA$501,MATCH($BE24,AA$5:AA$501,0),1),"")</f>
        <v/>
      </c>
      <c r="BI24" s="19" t="str">
        <f>IF(ISNUMBER(MATCH($BE24,AB$5:AB$501,0)),INDEX(AB$5:AB$501,MATCH($BE24,AB$5:AB$501,0),1),"")</f>
        <v>.uzf</v>
      </c>
      <c r="BJ24" s="19" t="str">
        <f>IF(ISNUMBER(MATCH($BE24,AC$5:AC$501,0)),INDEX(AC$5:AC$501,MATCH($BE24,AC$5:AC$501,0),1),"")</f>
        <v/>
      </c>
      <c r="BK24" s="19" t="str">
        <f>IF(ISNUMBER(MATCH($BE24,AD$5:AD$501,0)),INDEX(AD$5:AD$501,MATCH($BE24,AD$5:AD$501,0),1),"")</f>
        <v/>
      </c>
      <c r="BL24" s="19" t="str">
        <f>IF(ISNUMBER(MATCH($BE24,AE$5:AE$501,0)),INDEX(AE$5:AE$501,MATCH($BE24,AE$5:AE$501,0),1),"")</f>
        <v/>
      </c>
      <c r="BM24" s="19" t="str">
        <f>IF(ISNUMBER(MATCH($BE24,AF$5:AF$501,0)),INDEX(AF$5:AF$501,MATCH($BE24,AF$5:AF$501,0),1),"")</f>
        <v/>
      </c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 spans="1:78" ht="12" customHeight="1" x14ac:dyDescent="0.25">
      <c r="A25" s="26"/>
      <c r="B25" s="28">
        <f>IF(ISNUMBER(MATCH(O25,$N$5:$N$1000,0)),MATCH(O25,$N$5:$N$1000,0),"")</f>
        <v>20</v>
      </c>
      <c r="C25" s="15">
        <f>IF(ISNUMBER(B25),MAX(C$4:C24)+1,"")</f>
        <v>15</v>
      </c>
      <c r="D25" s="15" t="str">
        <f>IF(IF(ISNUMBER(B25),"",MAX(D$4:D24)+1)&lt;=D$3,IF(ISNUMBER(B25),"",MAX(D$4:D24)+1),"")</f>
        <v/>
      </c>
      <c r="E25" s="42" t="str">
        <f>IF(M25&lt;=D$3,MATCH(M25,D$5:D$1000,0),"")</f>
        <v/>
      </c>
      <c r="F25" s="28" t="str">
        <f>IF(ISNUMBER(E25),INDEX($N$5:$N$1000,E25,1),"")</f>
        <v/>
      </c>
      <c r="G25" s="27" t="str">
        <f>IF(ISNUMBER(C25),N25,IF(ISTEXT(N25),INDEX($F$5:$F$1000,MATCH(M25,$E$5:$E$1000,0),1),""))</f>
        <v>.tdis</v>
      </c>
      <c r="H25" s="15" t="str">
        <f>IF(O25="","",IF(ISNUMBER(MATCH(O25,$G$5:$G$1000,0)),"",IF(D25=1,C$3,0)+MAX(H$4:H24)+1))</f>
        <v/>
      </c>
      <c r="I25" s="15" t="str">
        <f>IF(O25="","",IF(ISNUMBER(MATCH(O25,$G$5:$G$1000,0)),"",IF(D25=1,B$4,0)+MAX(I$4:I24)+1))</f>
        <v/>
      </c>
      <c r="J25" s="27" t="str">
        <f>IF(ISNUMBER(MATCH(M25,$I$5:$I$1000,0)),INDEX($O$5:$O$1000,MATCH(M25,$I$5:$I$1000,0),1),"")</f>
        <v/>
      </c>
      <c r="K25" s="27">
        <f>IF(P25="",0,1)</f>
        <v>1</v>
      </c>
      <c r="L25" s="26"/>
      <c r="M25" s="14">
        <f>IF(ROW()-ROW(M$4)&lt;=1000,ROW()-ROW(M$4),"")</f>
        <v>21</v>
      </c>
      <c r="N25" s="43" t="s">
        <v>33</v>
      </c>
      <c r="O25" s="43" t="s">
        <v>26</v>
      </c>
      <c r="P25" s="41" t="str">
        <f>IF(M25&lt;=$B$4,IF(ISTEXT(G25),G25,""),IF(ISTEXT(J25),J25,""))</f>
        <v>.tdis</v>
      </c>
      <c r="Q25" s="16" t="s">
        <v>0</v>
      </c>
      <c r="R25" s="34">
        <f>IF(ROW()-ROW(R$4)&lt;=AH$3,ROW()-ROW(R$4),"")</f>
        <v>21</v>
      </c>
      <c r="S25" s="34" t="str">
        <f>IF(ROW()-ROW(S$4)&lt;=AI$3,ROW()-ROW(S$4),"")</f>
        <v/>
      </c>
      <c r="T25" s="34">
        <f>IF(ROW()-ROW(T$4)&lt;=AJ$3,ROW()-ROW(T$4),"")</f>
        <v>21</v>
      </c>
      <c r="U25" s="34">
        <f>IF(ROW()-ROW(U$4)&lt;=AK$3,ROW()-ROW(U$4),"")</f>
        <v>21</v>
      </c>
      <c r="V25" s="34">
        <f>IF(ROW()-ROW(V$4)&lt;=AL$3,ROW()-ROW(V$4),"")</f>
        <v>21</v>
      </c>
      <c r="W25" s="34">
        <f>IF(ROW()-ROW(W$4)&lt;=AM$3,ROW()-ROW(W$4),"")</f>
        <v>21</v>
      </c>
      <c r="X25" s="34" t="str">
        <f>IF(ROW()-ROW(X$4)&lt;=AN$3,ROW()-ROW(X$4),"")</f>
        <v/>
      </c>
      <c r="Y25" s="34"/>
      <c r="Z25" s="35" t="str">
        <f>IF(ISNUMBER(R25),INDEX($BE$5:$BE$2999,MATCH(R25,AH$5:AH$2999,0),1),"")</f>
        <v>.ghb</v>
      </c>
      <c r="AA25" s="35" t="str">
        <f>IF(ISNUMBER(S25),INDEX($BE$5:$BE$2999,MATCH(S25,AI$5:AI$2999,0),1),"")</f>
        <v/>
      </c>
      <c r="AB25" s="35" t="str">
        <f>IF(ISNUMBER(T25),INDEX($BE$5:$BE$2999,MATCH(T25,AJ$5:AJ$2999,0),1),"")</f>
        <v>.dis.grb</v>
      </c>
      <c r="AC25" s="35" t="str">
        <f>IF(ISNUMBER(U25),INDEX($BE$5:$BE$2999,MATCH(U25,AK$5:AK$2999,0),1),"")</f>
        <v>.rcha</v>
      </c>
      <c r="AD25" s="35" t="str">
        <f>IF(ISNUMBER(V25),INDEX($BE$5:$BE$2999,MATCH(V25,AL$5:AL$2999,0),1),"")</f>
        <v>.gwf.obs.csv</v>
      </c>
      <c r="AE25" s="35" t="str">
        <f>IF(ISNUMBER(W25),INDEX($BE$5:$BE$2999,MATCH(W25,AM$5:AM$2999,0),1),"")</f>
        <v>.dis.grb</v>
      </c>
      <c r="AF25" s="35" t="str">
        <f>IF(ISNUMBER(X25),INDEX($BE$5:$BE$2999,MATCH(X25,AN$5:AN$2999,0),1),"")</f>
        <v/>
      </c>
      <c r="AG25" s="35"/>
      <c r="AH25" s="34">
        <f>IF($BE25="","",IF(ISNUMBER(MATCH($BE25,AP$5:AP$29999,0)),MAX(AH$4:AH24)+1,0))</f>
        <v>0</v>
      </c>
      <c r="AI25" s="34">
        <f>IF($BE25="","",IF(ISNUMBER(MATCH($BE25,AQ$5:AQ$29999,0)),MAX(AI$4:AI24)+1,0))</f>
        <v>0</v>
      </c>
      <c r="AJ25" s="34">
        <f>IF($BE25="","",IF(ISNUMBER(MATCH($BE25,AR$5:AR$29999,0)),MAX(AJ$4:AJ24)+1,0))</f>
        <v>16</v>
      </c>
      <c r="AK25" s="34">
        <f>IF($BE25="","",IF(ISNUMBER(MATCH($BE25,AS$5:AS$29999,0)),MAX(AK$4:AK24)+1,0))</f>
        <v>0</v>
      </c>
      <c r="AL25" s="34">
        <f>IF($BE25="","",IF(ISNUMBER(MATCH($BE25,AT$5:AT$29999,0)),MAX(AL$4:AL24)+1,0))</f>
        <v>0</v>
      </c>
      <c r="AM25" s="34">
        <f>IF($BE25="","",IF(ISNUMBER(MATCH($BE25,AU$5:AU$29999,0)),MAX(AM$4:AM24)+1,0))</f>
        <v>0</v>
      </c>
      <c r="AN25" s="34">
        <f>IF($BE25="","",IF(ISNUMBER(MATCH($BE25,AV$5:AV$29999,0)),MAX(AN$4:AN24)+1,0))</f>
        <v>0</v>
      </c>
      <c r="AO25" s="16"/>
      <c r="AP25" s="33" t="s">
        <v>28</v>
      </c>
      <c r="AQ25" s="33"/>
      <c r="AR25" s="33" t="s">
        <v>33</v>
      </c>
      <c r="AS25" s="33" t="s">
        <v>32</v>
      </c>
      <c r="AT25" s="33" t="s">
        <v>26</v>
      </c>
      <c r="AU25" s="33" t="s">
        <v>21</v>
      </c>
      <c r="AV25" s="32" t="s">
        <v>0</v>
      </c>
      <c r="AW25" s="40" t="s">
        <v>26</v>
      </c>
      <c r="AX25" s="20" t="s">
        <v>0</v>
      </c>
      <c r="AY25" s="45" t="s">
        <v>14</v>
      </c>
      <c r="AZ25" s="45" t="s">
        <v>14</v>
      </c>
      <c r="BA25" s="39" t="s">
        <v>0</v>
      </c>
      <c r="BB25" s="44">
        <f>IF(ISTEXT(AW25),IF(ISNUMBER(MATCH(AW25,$AY$5:$AY$100,0)),0,MAX(BB$4:BB24)+1),"")</f>
        <v>0</v>
      </c>
      <c r="BC25" s="36">
        <f>IF(ISTEXT(AY25),MATCH(AY25,$AW$5:$AW$127,0),"")</f>
        <v>35</v>
      </c>
      <c r="BD25" s="36" t="str">
        <f>IF(ISNUMBER(BC25),AY25,ROW()-SUM($BC$4:$BD$4))</f>
        <v>.uzf.bud</v>
      </c>
      <c r="BE25" s="20" t="str">
        <f>IF(ISTEXT(AW25),IF(ISNUMBER(BC25),AY25,INDEX($AW$5:$AW$140,MATCH(BD25,$BB$5:$BB$185,0),1)),"")</f>
        <v>.uzf.bud</v>
      </c>
      <c r="BF25" s="36"/>
      <c r="BG25" s="19" t="str">
        <f>IF(ISNUMBER(MATCH($BE25,Z$5:Z$501,0)),INDEX(Z$5:Z$501,MATCH($BE25,Z$5:Z$501,0),1),"")</f>
        <v/>
      </c>
      <c r="BH25" s="19" t="str">
        <f>IF(ISNUMBER(MATCH($BE25,AA$5:AA$501,0)),INDEX(AA$5:AA$501,MATCH($BE25,AA$5:AA$501,0),1),"")</f>
        <v/>
      </c>
      <c r="BI25" s="19" t="str">
        <f>IF(ISNUMBER(MATCH($BE25,AB$5:AB$501,0)),INDEX(AB$5:AB$501,MATCH($BE25,AB$5:AB$501,0),1),"")</f>
        <v>.uzf.bud</v>
      </c>
      <c r="BJ25" s="19" t="str">
        <f>IF(ISNUMBER(MATCH($BE25,AC$5:AC$501,0)),INDEX(AC$5:AC$501,MATCH($BE25,AC$5:AC$501,0),1),"")</f>
        <v/>
      </c>
      <c r="BK25" s="19" t="str">
        <f>IF(ISNUMBER(MATCH($BE25,AD$5:AD$501,0)),INDEX(AD$5:AD$501,MATCH($BE25,AD$5:AD$501,0),1),"")</f>
        <v/>
      </c>
      <c r="BL25" s="19" t="str">
        <f>IF(ISNUMBER(MATCH($BE25,AE$5:AE$501,0)),INDEX(AE$5:AE$501,MATCH($BE25,AE$5:AE$501,0),1),"")</f>
        <v/>
      </c>
      <c r="BM25" s="19" t="str">
        <f>IF(ISNUMBER(MATCH($BE25,AF$5:AF$501,0)),INDEX(AF$5:AF$501,MATCH($BE25,AF$5:AF$501,0),1),"")</f>
        <v/>
      </c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</row>
    <row r="26" spans="1:78" ht="12" customHeight="1" x14ac:dyDescent="0.25">
      <c r="A26" s="26"/>
      <c r="B26" s="28">
        <f>IF(ISNUMBER(MATCH(O26,$N$5:$N$1000,0)),MATCH(O26,$N$5:$N$1000,0),"")</f>
        <v>21</v>
      </c>
      <c r="C26" s="15">
        <f>IF(ISNUMBER(B26),MAX(C$4:C25)+1,"")</f>
        <v>16</v>
      </c>
      <c r="D26" s="15" t="str">
        <f>IF(IF(ISNUMBER(B26),"",MAX(D$4:D25)+1)&lt;=D$3,IF(ISNUMBER(B26),"",MAX(D$4:D25)+1),"")</f>
        <v/>
      </c>
      <c r="E26" s="42" t="str">
        <f>IF(M26&lt;=D$3,MATCH(M26,D$5:D$1000,0),"")</f>
        <v/>
      </c>
      <c r="F26" s="28" t="str">
        <f>IF(ISNUMBER(E26),INDEX($N$5:$N$1000,E26,1),"")</f>
        <v/>
      </c>
      <c r="G26" s="27" t="str">
        <f>IF(ISNUMBER(C26),N26,IF(ISTEXT(N26),INDEX($F$5:$F$1000,MATCH(M26,$E$5:$E$1000,0),1),""))</f>
        <v>.uzf</v>
      </c>
      <c r="H26" s="15" t="str">
        <f>IF(O26="","",IF(ISNUMBER(MATCH(O26,$G$5:$G$1000,0)),"",IF(D26=1,C$3,0)+MAX(H$4:H25)+1))</f>
        <v/>
      </c>
      <c r="I26" s="15" t="str">
        <f>IF(O26="","",IF(ISNUMBER(MATCH(O26,$G$5:$G$1000,0)),"",IF(D26=1,B$4,0)+MAX(I$4:I25)+1))</f>
        <v/>
      </c>
      <c r="J26" s="27" t="str">
        <f>IF(ISNUMBER(MATCH(M26,$I$5:$I$1000,0)),INDEX($O$5:$O$1000,MATCH(M26,$I$5:$I$1000,0),1),"")</f>
        <v/>
      </c>
      <c r="K26" s="27">
        <f>IF(P26="",0,1)</f>
        <v>1</v>
      </c>
      <c r="L26" s="26"/>
      <c r="M26" s="14">
        <f>IF(ROW()-ROW(M$4)&lt;=1000,ROW()-ROW(M$4),"")</f>
        <v>22</v>
      </c>
      <c r="N26" s="43" t="s">
        <v>16</v>
      </c>
      <c r="O26" s="43" t="s">
        <v>33</v>
      </c>
      <c r="P26" s="41" t="str">
        <f>IF(M26&lt;=$B$4,IF(ISTEXT(G26),G26,""),IF(ISTEXT(J26),J26,""))</f>
        <v>.uzf</v>
      </c>
      <c r="Q26" s="16" t="s">
        <v>0</v>
      </c>
      <c r="R26" s="34" t="str">
        <f>IF(ROW()-ROW(R$4)&lt;=AH$3,ROW()-ROW(R$4),"")</f>
        <v/>
      </c>
      <c r="S26" s="34" t="str">
        <f>IF(ROW()-ROW(S$4)&lt;=AI$3,ROW()-ROW(S$4),"")</f>
        <v/>
      </c>
      <c r="T26" s="34">
        <f>IF(ROW()-ROW(T$4)&lt;=AJ$3,ROW()-ROW(T$4),"")</f>
        <v>22</v>
      </c>
      <c r="U26" s="34">
        <f>IF(ROW()-ROW(U$4)&lt;=AK$3,ROW()-ROW(U$4),"")</f>
        <v>22</v>
      </c>
      <c r="V26" s="34">
        <f>IF(ROW()-ROW(V$4)&lt;=AL$3,ROW()-ROW(V$4),"")</f>
        <v>22</v>
      </c>
      <c r="W26" s="34">
        <f>IF(ROW()-ROW(W$4)&lt;=AM$3,ROW()-ROW(W$4),"")</f>
        <v>22</v>
      </c>
      <c r="X26" s="34" t="str">
        <f>IF(ROW()-ROW(X$4)&lt;=AN$3,ROW()-ROW(X$4),"")</f>
        <v/>
      </c>
      <c r="Y26" s="34"/>
      <c r="Z26" s="35" t="str">
        <f>IF(ISNUMBER(R26),INDEX($BE$5:$BE$2999,MATCH(R26,AH$5:AH$2999,0),1),"")</f>
        <v/>
      </c>
      <c r="AA26" s="35" t="str">
        <f>IF(ISNUMBER(S26),INDEX($BE$5:$BE$2999,MATCH(S26,AI$5:AI$2999,0),1),"")</f>
        <v/>
      </c>
      <c r="AB26" s="35" t="str">
        <f>IF(ISNUMBER(T26),INDEX($BE$5:$BE$2999,MATCH(T26,AJ$5:AJ$2999,0),1),"")</f>
        <v>mfsim.nam</v>
      </c>
      <c r="AC26" s="35" t="str">
        <f>IF(ISNUMBER(U26),INDEX($BE$5:$BE$2999,MATCH(U26,AK$5:AK$2999,0),1),"")</f>
        <v>.hds</v>
      </c>
      <c r="AD26" s="35" t="str">
        <f>IF(ISNUMBER(V26),INDEX($BE$5:$BE$2999,MATCH(V26,AL$5:AL$2999,0),1),"")</f>
        <v>.cbc</v>
      </c>
      <c r="AE26" s="35" t="str">
        <f>IF(ISNUMBER(W26),INDEX($BE$5:$BE$2999,MATCH(W26,AM$5:AM$2999,0),1),"")</f>
        <v>.rcha</v>
      </c>
      <c r="AF26" s="35" t="str">
        <f>IF(ISNUMBER(X26),INDEX($BE$5:$BE$2999,MATCH(X26,AN$5:AN$2999,0),1),"")</f>
        <v/>
      </c>
      <c r="AG26" s="35"/>
      <c r="AH26" s="34">
        <f>IF($BE26="","",IF(ISNUMBER(MATCH($BE26,AP$5:AP$29999,0)),MAX(AH$4:AH25)+1,0))</f>
        <v>0</v>
      </c>
      <c r="AI26" s="34">
        <f>IF($BE26="","",IF(ISNUMBER(MATCH($BE26,AQ$5:AQ$29999,0)),MAX(AI$4:AI25)+1,0))</f>
        <v>0</v>
      </c>
      <c r="AJ26" s="34">
        <f>IF($BE26="","",IF(ISNUMBER(MATCH($BE26,AR$5:AR$29999,0)),MAX(AJ$4:AJ25)+1,0))</f>
        <v>17</v>
      </c>
      <c r="AK26" s="34">
        <f>IF($BE26="","",IF(ISNUMBER(MATCH($BE26,AS$5:AS$29999,0)),MAX(AK$4:AK25)+1,0))</f>
        <v>0</v>
      </c>
      <c r="AL26" s="34">
        <f>IF($BE26="","",IF(ISNUMBER(MATCH($BE26,AT$5:AT$29999,0)),MAX(AL$4:AL25)+1,0))</f>
        <v>0</v>
      </c>
      <c r="AM26" s="34">
        <f>IF($BE26="","",IF(ISNUMBER(MATCH($BE26,AU$5:AU$29999,0)),MAX(AM$4:AM25)+1,0))</f>
        <v>0</v>
      </c>
      <c r="AN26" s="34">
        <f>IF($BE26="","",IF(ISNUMBER(MATCH($BE26,AV$5:AV$29999,0)),MAX(AN$4:AN25)+1,0))</f>
        <v>0</v>
      </c>
      <c r="AO26" s="16"/>
      <c r="AP26" s="33"/>
      <c r="AQ26" s="33"/>
      <c r="AR26" s="33" t="s">
        <v>16</v>
      </c>
      <c r="AS26" s="33" t="s">
        <v>28</v>
      </c>
      <c r="AT26" s="33" t="s">
        <v>33</v>
      </c>
      <c r="AU26" s="33" t="s">
        <v>19</v>
      </c>
      <c r="AV26" s="32" t="s">
        <v>0</v>
      </c>
      <c r="AW26" s="40" t="s">
        <v>33</v>
      </c>
      <c r="AX26" s="20" t="s">
        <v>0</v>
      </c>
      <c r="AY26" s="45" t="s">
        <v>13</v>
      </c>
      <c r="AZ26" s="45" t="s">
        <v>13</v>
      </c>
      <c r="BA26" s="39" t="s">
        <v>0</v>
      </c>
      <c r="BB26" s="44">
        <f>IF(ISTEXT(AW26),IF(ISNUMBER(MATCH(AW26,$AY$5:$AY$100,0)),0,MAX(BB$4:BB25)+1),"")</f>
        <v>0</v>
      </c>
      <c r="BC26" s="36">
        <f>IF(ISTEXT(AY26),MATCH(AY26,$AW$5:$AW$127,0),"")</f>
        <v>36</v>
      </c>
      <c r="BD26" s="36" t="str">
        <f>IF(ISNUMBER(BC26),AY26,ROW()-SUM($BC$4:$BD$4))</f>
        <v>.uzf.obs</v>
      </c>
      <c r="BE26" s="20" t="str">
        <f>IF(ISTEXT(AW26),IF(ISNUMBER(BC26),AY26,INDEX($AW$5:$AW$140,MATCH(BD26,$BB$5:$BB$185,0),1)),"")</f>
        <v>.uzf.obs</v>
      </c>
      <c r="BF26" s="36"/>
      <c r="BG26" s="19" t="str">
        <f>IF(ISNUMBER(MATCH($BE26,Z$5:Z$501,0)),INDEX(Z$5:Z$501,MATCH($BE26,Z$5:Z$501,0),1),"")</f>
        <v/>
      </c>
      <c r="BH26" s="19" t="str">
        <f>IF(ISNUMBER(MATCH($BE26,AA$5:AA$501,0)),INDEX(AA$5:AA$501,MATCH($BE26,AA$5:AA$501,0),1),"")</f>
        <v/>
      </c>
      <c r="BI26" s="19" t="str">
        <f>IF(ISNUMBER(MATCH($BE26,AB$5:AB$501,0)),INDEX(AB$5:AB$501,MATCH($BE26,AB$5:AB$501,0),1),"")</f>
        <v>.uzf.obs</v>
      </c>
      <c r="BJ26" s="19" t="str">
        <f>IF(ISNUMBER(MATCH($BE26,AC$5:AC$501,0)),INDEX(AC$5:AC$501,MATCH($BE26,AC$5:AC$501,0),1),"")</f>
        <v/>
      </c>
      <c r="BK26" s="19" t="str">
        <f>IF(ISNUMBER(MATCH($BE26,AD$5:AD$501,0)),INDEX(AD$5:AD$501,MATCH($BE26,AD$5:AD$501,0),1),"")</f>
        <v/>
      </c>
      <c r="BL26" s="19" t="str">
        <f>IF(ISNUMBER(MATCH($BE26,AE$5:AE$501,0)),INDEX(AE$5:AE$501,MATCH($BE26,AE$5:AE$501,0),1),"")</f>
        <v/>
      </c>
      <c r="BM26" s="19" t="str">
        <f>IF(ISNUMBER(MATCH($BE26,AF$5:AF$501,0)),INDEX(AF$5:AF$501,MATCH($BE26,AF$5:AF$501,0),1),"")</f>
        <v/>
      </c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</row>
    <row r="27" spans="1:78" ht="12" customHeight="1" x14ac:dyDescent="0.25">
      <c r="A27" s="26"/>
      <c r="B27" s="28">
        <f>IF(ISNUMBER(MATCH(O27,$N$5:$N$1000,0)),MATCH(O27,$N$5:$N$1000,0),"")</f>
        <v>26</v>
      </c>
      <c r="C27" s="15">
        <f>IF(ISNUMBER(B27),MAX(C$4:C26)+1,"")</f>
        <v>17</v>
      </c>
      <c r="D27" s="15" t="str">
        <f>IF(IF(ISNUMBER(B27),"",MAX(D$4:D26)+1)&lt;=D$3,IF(ISNUMBER(B27),"",MAX(D$4:D26)+1),"")</f>
        <v/>
      </c>
      <c r="E27" s="42" t="str">
        <f>IF(M27&lt;=D$3,MATCH(M27,D$5:D$1000,0),"")</f>
        <v/>
      </c>
      <c r="F27" s="28" t="str">
        <f>IF(ISNUMBER(E27),INDEX($N$5:$N$1000,E27,1),"")</f>
        <v/>
      </c>
      <c r="G27" s="27" t="str">
        <f>IF(ISNUMBER(C27),N27,IF(ISTEXT(N27),INDEX($F$5:$F$1000,MATCH(M27,$E$5:$E$1000,0),1),""))</f>
        <v>.uzf.bud</v>
      </c>
      <c r="H27" s="15" t="str">
        <f>IF(O27="","",IF(ISNUMBER(MATCH(O27,$G$5:$G$1000,0)),"",IF(D27=1,C$3,0)+MAX(H$4:H26)+1))</f>
        <v/>
      </c>
      <c r="I27" s="15" t="str">
        <f>IF(O27="","",IF(ISNUMBER(MATCH(O27,$G$5:$G$1000,0)),"",IF(D27=1,B$4,0)+MAX(I$4:I26)+1))</f>
        <v/>
      </c>
      <c r="J27" s="27" t="str">
        <f>IF(ISNUMBER(MATCH(M27,$I$5:$I$1000,0)),INDEX($O$5:$O$1000,MATCH(M27,$I$5:$I$1000,0),1),"")</f>
        <v/>
      </c>
      <c r="K27" s="27">
        <f>IF(P27="",0,1)</f>
        <v>1</v>
      </c>
      <c r="L27" s="26"/>
      <c r="M27" s="14">
        <f>IF(ROW()-ROW(M$4)&lt;=1000,ROW()-ROW(M$4),"")</f>
        <v>23</v>
      </c>
      <c r="N27" s="43" t="s">
        <v>14</v>
      </c>
      <c r="O27" s="43" t="s">
        <v>32</v>
      </c>
      <c r="P27" s="41" t="str">
        <f>IF(M27&lt;=$B$4,IF(ISTEXT(G27),G27,""),IF(ISTEXT(J27),J27,""))</f>
        <v>.uzf.bud</v>
      </c>
      <c r="Q27" s="16" t="s">
        <v>0</v>
      </c>
      <c r="R27" s="34" t="str">
        <f>IF(ROW()-ROW(R$4)&lt;=AH$3,ROW()-ROW(R$4),"")</f>
        <v/>
      </c>
      <c r="S27" s="34" t="str">
        <f>IF(ROW()-ROW(S$4)&lt;=AI$3,ROW()-ROW(S$4),"")</f>
        <v/>
      </c>
      <c r="T27" s="34">
        <f>IF(ROW()-ROW(T$4)&lt;=AJ$3,ROW()-ROW(T$4),"")</f>
        <v>23</v>
      </c>
      <c r="U27" s="34" t="str">
        <f>IF(ROW()-ROW(U$4)&lt;=AK$3,ROW()-ROW(U$4),"")</f>
        <v/>
      </c>
      <c r="V27" s="34">
        <f>IF(ROW()-ROW(V$4)&lt;=AL$3,ROW()-ROW(V$4),"")</f>
        <v>23</v>
      </c>
      <c r="W27" s="34">
        <f>IF(ROW()-ROW(W$4)&lt;=AM$3,ROW()-ROW(W$4),"")</f>
        <v>23</v>
      </c>
      <c r="X27" s="34" t="str">
        <f>IF(ROW()-ROW(X$4)&lt;=AN$3,ROW()-ROW(X$4),"")</f>
        <v/>
      </c>
      <c r="Y27" s="34"/>
      <c r="Z27" s="35" t="str">
        <f>IF(ISNUMBER(R27),INDEX($BE$5:$BE$2999,MATCH(R27,AH$5:AH$2999,0),1),"")</f>
        <v/>
      </c>
      <c r="AA27" s="35" t="str">
        <f>IF(ISNUMBER(S27),INDEX($BE$5:$BE$2999,MATCH(S27,AI$5:AI$2999,0),1),"")</f>
        <v/>
      </c>
      <c r="AB27" s="35" t="str">
        <f>IF(ISNUMBER(T27),INDEX($BE$5:$BE$2999,MATCH(T27,AJ$5:AJ$2999,0),1),"")</f>
        <v>.sto</v>
      </c>
      <c r="AC27" s="35" t="str">
        <f>IF(ISNUMBER(U27),INDEX($BE$5:$BE$2999,MATCH(U27,AK$5:AK$2999,0),1),"")</f>
        <v/>
      </c>
      <c r="AD27" s="35" t="str">
        <f>IF(ISNUMBER(V27),INDEX($BE$5:$BE$2999,MATCH(V27,AL$5:AL$2999,0),1),"")</f>
        <v>.rcha</v>
      </c>
      <c r="AE27" s="35" t="str">
        <f>IF(ISNUMBER(W27),INDEX($BE$5:$BE$2999,MATCH(W27,AM$5:AM$2999,0),1),"")</f>
        <v>.hds</v>
      </c>
      <c r="AF27" s="35" t="str">
        <f>IF(ISNUMBER(X27),INDEX($BE$5:$BE$2999,MATCH(X27,AN$5:AN$2999,0),1),"")</f>
        <v/>
      </c>
      <c r="AG27" s="35"/>
      <c r="AH27" s="34">
        <f>IF($BE27="","",IF(ISNUMBER(MATCH($BE27,AP$5:AP$29999,0)),MAX(AH$4:AH26)+1,0))</f>
        <v>10</v>
      </c>
      <c r="AI27" s="34">
        <f>IF($BE27="","",IF(ISNUMBER(MATCH($BE27,AQ$5:AQ$29999,0)),MAX(AI$4:AI26)+1,0))</f>
        <v>10</v>
      </c>
      <c r="AJ27" s="34">
        <f>IF($BE27="","",IF(ISNUMBER(MATCH($BE27,AR$5:AR$29999,0)),MAX(AJ$4:AJ26)+1,0))</f>
        <v>18</v>
      </c>
      <c r="AK27" s="34">
        <f>IF($BE27="","",IF(ISNUMBER(MATCH($BE27,AS$5:AS$29999,0)),MAX(AK$4:AK26)+1,0))</f>
        <v>11</v>
      </c>
      <c r="AL27" s="34">
        <f>IF($BE27="","",IF(ISNUMBER(MATCH($BE27,AT$5:AT$29999,0)),MAX(AL$4:AL26)+1,0))</f>
        <v>13</v>
      </c>
      <c r="AM27" s="34">
        <f>IF($BE27="","",IF(ISNUMBER(MATCH($BE27,AU$5:AU$29999,0)),MAX(AM$4:AM26)+1,0))</f>
        <v>18</v>
      </c>
      <c r="AN27" s="34">
        <f>IF($BE27="","",IF(ISNUMBER(MATCH($BE27,AV$5:AV$29999,0)),MAX(AN$4:AN26)+1,0))</f>
        <v>0</v>
      </c>
      <c r="AO27" s="16"/>
      <c r="AP27" s="33"/>
      <c r="AQ27" s="33"/>
      <c r="AR27" s="33" t="s">
        <v>14</v>
      </c>
      <c r="AS27" s="33"/>
      <c r="AT27" s="33" t="s">
        <v>32</v>
      </c>
      <c r="AU27" s="33" t="s">
        <v>33</v>
      </c>
      <c r="AV27" s="32" t="s">
        <v>0</v>
      </c>
      <c r="AW27" s="40" t="s">
        <v>32</v>
      </c>
      <c r="AX27" s="20" t="s">
        <v>0</v>
      </c>
      <c r="AY27" s="30" t="s">
        <v>34</v>
      </c>
      <c r="AZ27" s="30" t="s">
        <v>34</v>
      </c>
      <c r="BA27" s="39" t="s">
        <v>0</v>
      </c>
      <c r="BB27" s="44">
        <f>IF(ISTEXT(AW27),IF(ISNUMBER(MATCH(AW27,$AY$5:$AY$100,0)),0,MAX(BB$4:BB26)+1),"")</f>
        <v>0</v>
      </c>
      <c r="BC27" s="36">
        <f>IF(ISTEXT(AY27),MATCH(AY27,$AW$5:$AW$127,0),"")</f>
        <v>16</v>
      </c>
      <c r="BD27" s="36" t="str">
        <f>IF(ISNUMBER(BC27),AY27,ROW()-SUM($BC$4:$BD$4))</f>
        <v>.nam</v>
      </c>
      <c r="BE27" s="20" t="str">
        <f>IF(ISTEXT(AW27),IF(ISNUMBER(BC27),AY27,INDEX($AW$5:$AW$140,MATCH(BD27,$BB$5:$BB$185,0),1)),"")</f>
        <v>.nam</v>
      </c>
      <c r="BF27" s="36"/>
      <c r="BG27" s="19" t="str">
        <f>IF(ISNUMBER(MATCH($BE27,Z$5:Z$501,0)),INDEX(Z$5:Z$501,MATCH($BE27,Z$5:Z$501,0),1),"")</f>
        <v>.nam</v>
      </c>
      <c r="BH27" s="19" t="str">
        <f>IF(ISNUMBER(MATCH($BE27,AA$5:AA$501,0)),INDEX(AA$5:AA$501,MATCH($BE27,AA$5:AA$501,0),1),"")</f>
        <v>.nam</v>
      </c>
      <c r="BI27" s="19" t="str">
        <f>IF(ISNUMBER(MATCH($BE27,AB$5:AB$501,0)),INDEX(AB$5:AB$501,MATCH($BE27,AB$5:AB$501,0),1),"")</f>
        <v>.nam</v>
      </c>
      <c r="BJ27" s="19" t="str">
        <f>IF(ISNUMBER(MATCH($BE27,AC$5:AC$501,0)),INDEX(AC$5:AC$501,MATCH($BE27,AC$5:AC$501,0),1),"")</f>
        <v>.nam</v>
      </c>
      <c r="BK27" s="19" t="str">
        <f>IF(ISNUMBER(MATCH($BE27,AD$5:AD$501,0)),INDEX(AD$5:AD$501,MATCH($BE27,AD$5:AD$501,0),1),"")</f>
        <v>.nam</v>
      </c>
      <c r="BL27" s="19" t="str">
        <f>IF(ISNUMBER(MATCH($BE27,AE$5:AE$501,0)),INDEX(AE$5:AE$501,MATCH($BE27,AE$5:AE$501,0),1),"")</f>
        <v>.nam</v>
      </c>
      <c r="BM27" s="19" t="str">
        <f>IF(ISNUMBER(MATCH($BE27,AF$5:AF$501,0)),INDEX(AF$5:AF$501,MATCH($BE27,AF$5:AF$501,0),1),"")</f>
        <v/>
      </c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</row>
    <row r="28" spans="1:78" ht="12" customHeight="1" x14ac:dyDescent="0.25">
      <c r="A28" s="26"/>
      <c r="B28" s="28">
        <f>IF(ISNUMBER(MATCH(O28,$N$5:$N$1000,0)),MATCH(O28,$N$5:$N$1000,0),"")</f>
        <v>27</v>
      </c>
      <c r="C28" s="15">
        <f>IF(ISNUMBER(B28),MAX(C$4:C27)+1,"")</f>
        <v>18</v>
      </c>
      <c r="D28" s="15" t="str">
        <f>IF(IF(ISNUMBER(B28),"",MAX(D$4:D27)+1)&lt;=D$3,IF(ISNUMBER(B28),"",MAX(D$4:D27)+1),"")</f>
        <v/>
      </c>
      <c r="E28" s="42" t="str">
        <f>IF(M28&lt;=D$3,MATCH(M28,D$5:D$1000,0),"")</f>
        <v/>
      </c>
      <c r="F28" s="28" t="str">
        <f>IF(ISNUMBER(E28),INDEX($N$5:$N$1000,E28,1),"")</f>
        <v/>
      </c>
      <c r="G28" s="27" t="str">
        <f>IF(ISNUMBER(C28),N28,IF(ISTEXT(N28),INDEX($F$5:$F$1000,MATCH(M28,$E$5:$E$1000,0),1),""))</f>
        <v>.uzf.obs</v>
      </c>
      <c r="H28" s="15" t="str">
        <f>IF(O28="","",IF(ISNUMBER(MATCH(O28,$G$5:$G$1000,0)),"",IF(D28=1,C$3,0)+MAX(H$4:H27)+1))</f>
        <v/>
      </c>
      <c r="I28" s="15" t="str">
        <f>IF(O28="","",IF(ISNUMBER(MATCH(O28,$G$5:$G$1000,0)),"",IF(D28=1,B$4,0)+MAX(I$4:I27)+1))</f>
        <v/>
      </c>
      <c r="J28" s="27" t="str">
        <f>IF(ISNUMBER(MATCH(M28,$I$5:$I$1000,0)),INDEX($O$5:$O$1000,MATCH(M28,$I$5:$I$1000,0),1),"")</f>
        <v/>
      </c>
      <c r="K28" s="27">
        <f>IF(P28="",0,1)</f>
        <v>1</v>
      </c>
      <c r="L28" s="26"/>
      <c r="M28" s="14">
        <f>IF(ROW()-ROW(M$4)&lt;=1000,ROW()-ROW(M$4),"")</f>
        <v>24</v>
      </c>
      <c r="N28" s="43" t="s">
        <v>13</v>
      </c>
      <c r="O28" s="43" t="s">
        <v>28</v>
      </c>
      <c r="P28" s="41" t="str">
        <f>IF(M28&lt;=$B$4,IF(ISTEXT(G28),G28,""),IF(ISTEXT(J28),J28,""))</f>
        <v>.uzf.obs</v>
      </c>
      <c r="Q28" s="16" t="s">
        <v>0</v>
      </c>
      <c r="R28" s="34" t="str">
        <f>IF(ROW()-ROW(R$4)&lt;=AH$3,ROW()-ROW(R$4),"")</f>
        <v/>
      </c>
      <c r="S28" s="34" t="str">
        <f>IF(ROW()-ROW(S$4)&lt;=AI$3,ROW()-ROW(S$4),"")</f>
        <v/>
      </c>
      <c r="T28" s="34">
        <f>IF(ROW()-ROW(T$4)&lt;=AJ$3,ROW()-ROW(T$4),"")</f>
        <v>24</v>
      </c>
      <c r="U28" s="34" t="str">
        <f>IF(ROW()-ROW(U$4)&lt;=AK$3,ROW()-ROW(U$4),"")</f>
        <v/>
      </c>
      <c r="V28" s="34">
        <f>IF(ROW()-ROW(V$4)&lt;=AL$3,ROW()-ROW(V$4),"")</f>
        <v>24</v>
      </c>
      <c r="W28" s="34">
        <f>IF(ROW()-ROW(W$4)&lt;=AM$3,ROW()-ROW(W$4),"")</f>
        <v>24</v>
      </c>
      <c r="X28" s="34" t="str">
        <f>IF(ROW()-ROW(X$4)&lt;=AN$3,ROW()-ROW(X$4),"")</f>
        <v/>
      </c>
      <c r="Y28" s="34"/>
      <c r="Z28" s="35" t="str">
        <f>IF(ISNUMBER(R28),INDEX($BE$5:$BE$2999,MATCH(R28,AH$5:AH$2999,0),1),"")</f>
        <v/>
      </c>
      <c r="AA28" s="35" t="str">
        <f>IF(ISNUMBER(S28),INDEX($BE$5:$BE$2999,MATCH(S28,AI$5:AI$2999,0),1),"")</f>
        <v/>
      </c>
      <c r="AB28" s="35" t="str">
        <f>IF(ISNUMBER(T28),INDEX($BE$5:$BE$2999,MATCH(T28,AJ$5:AJ$2999,0),1),"")</f>
        <v>.cbc</v>
      </c>
      <c r="AC28" s="35" t="str">
        <f>IF(ISNUMBER(U28),INDEX($BE$5:$BE$2999,MATCH(U28,AK$5:AK$2999,0),1),"")</f>
        <v/>
      </c>
      <c r="AD28" s="35" t="str">
        <f>IF(ISNUMBER(V28),INDEX($BE$5:$BE$2999,MATCH(V28,AL$5:AL$2999,0),1),"")</f>
        <v>.hds</v>
      </c>
      <c r="AE28" s="35" t="str">
        <f>IF(ISNUMBER(W28),INDEX($BE$5:$BE$2999,MATCH(W28,AM$5:AM$2999,0),1),"")</f>
        <v>.bud</v>
      </c>
      <c r="AF28" s="35" t="str">
        <f>IF(ISNUMBER(X28),INDEX($BE$5:$BE$2999,MATCH(X28,AN$5:AN$2999,0),1),"")</f>
        <v/>
      </c>
      <c r="AG28" s="35"/>
      <c r="AH28" s="34">
        <f>IF($BE28="","",IF(ISNUMBER(MATCH($BE28,AP$5:AP$29999,0)),MAX(AH$4:AH27)+1,0))</f>
        <v>11</v>
      </c>
      <c r="AI28" s="34">
        <f>IF($BE28="","",IF(ISNUMBER(MATCH($BE28,AQ$5:AQ$29999,0)),MAX(AI$4:AI27)+1,0))</f>
        <v>11</v>
      </c>
      <c r="AJ28" s="34">
        <f>IF($BE28="","",IF(ISNUMBER(MATCH($BE28,AR$5:AR$29999,0)),MAX(AJ$4:AJ27)+1,0))</f>
        <v>19</v>
      </c>
      <c r="AK28" s="34">
        <f>IF($BE28="","",IF(ISNUMBER(MATCH($BE28,AS$5:AS$29999,0)),MAX(AK$4:AK27)+1,0))</f>
        <v>12</v>
      </c>
      <c r="AL28" s="34">
        <f>IF($BE28="","",IF(ISNUMBER(MATCH($BE28,AT$5:AT$29999,0)),MAX(AL$4:AL27)+1,0))</f>
        <v>14</v>
      </c>
      <c r="AM28" s="34">
        <f>IF($BE28="","",IF(ISNUMBER(MATCH($BE28,AU$5:AU$29999,0)),MAX(AM$4:AM27)+1,0))</f>
        <v>19</v>
      </c>
      <c r="AN28" s="34">
        <f>IF($BE28="","",IF(ISNUMBER(MATCH($BE28,AV$5:AV$29999,0)),MAX(AN$4:AN27)+1,0))</f>
        <v>0</v>
      </c>
      <c r="AO28" s="16"/>
      <c r="AP28" s="33"/>
      <c r="AQ28" s="33"/>
      <c r="AR28" s="33" t="s">
        <v>13</v>
      </c>
      <c r="AS28" s="33"/>
      <c r="AT28" s="33" t="s">
        <v>28</v>
      </c>
      <c r="AU28" s="33" t="s">
        <v>32</v>
      </c>
      <c r="AV28" s="32" t="s">
        <v>0</v>
      </c>
      <c r="AW28" s="40" t="s">
        <v>28</v>
      </c>
      <c r="AX28" s="20" t="s">
        <v>0</v>
      </c>
      <c r="AY28" s="30" t="s">
        <v>33</v>
      </c>
      <c r="AZ28" s="30" t="s">
        <v>33</v>
      </c>
      <c r="BA28" s="39" t="s">
        <v>0</v>
      </c>
      <c r="BB28" s="44">
        <f>IF(ISTEXT(AW28),IF(ISNUMBER(MATCH(AW28,$AY$5:$AY$100,0)),0,MAX(BB$4:BB27)+1),"")</f>
        <v>0</v>
      </c>
      <c r="BC28" s="36">
        <f>IF(ISTEXT(AY28),MATCH(AY28,$AW$5:$AW$127,0),"")</f>
        <v>22</v>
      </c>
      <c r="BD28" s="36" t="str">
        <f>IF(ISNUMBER(BC28),AY28,ROW()-SUM($BC$4:$BD$4))</f>
        <v>.tdis</v>
      </c>
      <c r="BE28" s="20" t="str">
        <f>IF(ISTEXT(AW28),IF(ISNUMBER(BC28),AY28,INDEX($AW$5:$AW$140,MATCH(BD28,$BB$5:$BB$185,0),1)),"")</f>
        <v>.tdis</v>
      </c>
      <c r="BF28" s="36"/>
      <c r="BG28" s="19" t="str">
        <f>IF(ISNUMBER(MATCH($BE28,Z$5:Z$501,0)),INDEX(Z$5:Z$501,MATCH($BE28,Z$5:Z$501,0),1),"")</f>
        <v>.tdis</v>
      </c>
      <c r="BH28" s="19" t="str">
        <f>IF(ISNUMBER(MATCH($BE28,AA$5:AA$501,0)),INDEX(AA$5:AA$501,MATCH($BE28,AA$5:AA$501,0),1),"")</f>
        <v>.tdis</v>
      </c>
      <c r="BI28" s="19" t="str">
        <f>IF(ISNUMBER(MATCH($BE28,AB$5:AB$501,0)),INDEX(AB$5:AB$501,MATCH($BE28,AB$5:AB$501,0),1),"")</f>
        <v>.tdis</v>
      </c>
      <c r="BJ28" s="19" t="str">
        <f>IF(ISNUMBER(MATCH($BE28,AC$5:AC$501,0)),INDEX(AC$5:AC$501,MATCH($BE28,AC$5:AC$501,0),1),"")</f>
        <v>.tdis</v>
      </c>
      <c r="BK28" s="19" t="str">
        <f>IF(ISNUMBER(MATCH($BE28,AD$5:AD$501,0)),INDEX(AD$5:AD$501,MATCH($BE28,AD$5:AD$501,0),1),"")</f>
        <v>.tdis</v>
      </c>
      <c r="BL28" s="19" t="str">
        <f>IF(ISNUMBER(MATCH($BE28,AE$5:AE$501,0)),INDEX(AE$5:AE$501,MATCH($BE28,AE$5:AE$501,0),1),"")</f>
        <v>.tdis</v>
      </c>
      <c r="BM28" s="19" t="str">
        <f>IF(ISNUMBER(MATCH($BE28,AF$5:AF$501,0)),INDEX(AF$5:AF$501,MATCH($BE28,AF$5:AF$501,0),1),"")</f>
        <v/>
      </c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</row>
    <row r="29" spans="1:78" ht="12" customHeight="1" x14ac:dyDescent="0.25">
      <c r="A29" s="26"/>
      <c r="B29" s="28" t="str">
        <f>IF(ISNUMBER(MATCH(O29,$N$5:$N$1000,0)),MATCH(O29,$N$5:$N$1000,0),"")</f>
        <v/>
      </c>
      <c r="C29" s="15" t="str">
        <f>IF(ISNUMBER(B29),MAX(C$4:C28)+1,"")</f>
        <v/>
      </c>
      <c r="D29" s="15">
        <f>IF(IF(ISNUMBER(B29),"",MAX(D$4:D28)+1)&lt;=D$3,IF(ISNUMBER(B29),"",MAX(D$4:D28)+1),"")</f>
        <v>7</v>
      </c>
      <c r="E29" s="42" t="str">
        <f>IF(M29&lt;=D$3,MATCH(M29,D$5:D$1000,0),"")</f>
        <v/>
      </c>
      <c r="F29" s="28" t="str">
        <f>IF(ISNUMBER(E29),INDEX($N$5:$N$1000,E29,1),"")</f>
        <v/>
      </c>
      <c r="G29" s="27" t="str">
        <f>IF(ISNUMBER(C29),N29,IF(ISTEXT(N29),INDEX($F$5:$F$1000,MATCH(M29,$E$5:$E$1000,0),1),""))</f>
        <v>.wel</v>
      </c>
      <c r="H29" s="15">
        <f>IF(O29="","",IF(ISNUMBER(MATCH(O29,$G$5:$G$1000,0)),"",IF(D29=1,C$3,0)+MAX(H$4:H28)+1))</f>
        <v>29</v>
      </c>
      <c r="I29" s="15">
        <f>IF(O29="","",IF(ISNUMBER(MATCH(O29,$G$5:$G$1000,0)),"",IF(D29=1,B$4,0)+MAX(I$4:I28)+1))</f>
        <v>43</v>
      </c>
      <c r="J29" s="27" t="str">
        <f>IF(ISNUMBER(MATCH(M29,$I$5:$I$1000,0)),INDEX($O$5:$O$1000,MATCH(M29,$I$5:$I$1000,0),1),"")</f>
        <v/>
      </c>
      <c r="K29" s="27">
        <f>IF(P29="",0,1)</f>
        <v>1</v>
      </c>
      <c r="L29" s="26"/>
      <c r="M29" s="14">
        <f>IF(ROW()-ROW(M$4)&lt;=1000,ROW()-ROW(M$4),"")</f>
        <v>25</v>
      </c>
      <c r="N29" s="43" t="s">
        <v>10</v>
      </c>
      <c r="O29" s="43" t="s">
        <v>11</v>
      </c>
      <c r="P29" s="41" t="str">
        <f>IF(M29&lt;=$B$4,IF(ISTEXT(G29),G29,""),IF(ISTEXT(J29),J29,""))</f>
        <v>.wel</v>
      </c>
      <c r="Q29" s="16" t="s">
        <v>0</v>
      </c>
      <c r="R29" s="34" t="str">
        <f>IF(ROW()-ROW(R$4)&lt;=AH$3,ROW()-ROW(R$4),"")</f>
        <v/>
      </c>
      <c r="S29" s="34" t="str">
        <f>IF(ROW()-ROW(S$4)&lt;=AI$3,ROW()-ROW(S$4),"")</f>
        <v/>
      </c>
      <c r="T29" s="34">
        <f>IF(ROW()-ROW(T$4)&lt;=AJ$3,ROW()-ROW(T$4),"")</f>
        <v>25</v>
      </c>
      <c r="U29" s="34" t="str">
        <f>IF(ROW()-ROW(U$4)&lt;=AK$3,ROW()-ROW(U$4),"")</f>
        <v/>
      </c>
      <c r="V29" s="34" t="str">
        <f>IF(ROW()-ROW(V$4)&lt;=AL$3,ROW()-ROW(V$4),"")</f>
        <v/>
      </c>
      <c r="W29" s="34" t="str">
        <f>IF(ROW()-ROW(W$4)&lt;=AM$3,ROW()-ROW(W$4),"")</f>
        <v/>
      </c>
      <c r="X29" s="34" t="str">
        <f>IF(ROW()-ROW(X$4)&lt;=AN$3,ROW()-ROW(X$4),"")</f>
        <v/>
      </c>
      <c r="Y29" s="34"/>
      <c r="Z29" s="35" t="str">
        <f>IF(ISNUMBER(R29),INDEX($BE$5:$BE$2999,MATCH(R29,AH$5:AH$2999,0),1),"")</f>
        <v/>
      </c>
      <c r="AA29" s="35" t="str">
        <f>IF(ISNUMBER(S29),INDEX($BE$5:$BE$2999,MATCH(S29,AI$5:AI$2999,0),1),"")</f>
        <v/>
      </c>
      <c r="AB29" s="35" t="str">
        <f>IF(ISNUMBER(T29),INDEX($BE$5:$BE$2999,MATCH(T29,AJ$5:AJ$2999,0),1),"")</f>
        <v>.hds</v>
      </c>
      <c r="AC29" s="35" t="str">
        <f>IF(ISNUMBER(U29),INDEX($BE$5:$BE$2999,MATCH(U29,AK$5:AK$2999,0),1),"")</f>
        <v/>
      </c>
      <c r="AD29" s="35" t="str">
        <f>IF(ISNUMBER(V29),INDEX($BE$5:$BE$2999,MATCH(V29,AL$5:AL$2999,0),1),"")</f>
        <v/>
      </c>
      <c r="AE29" s="35" t="str">
        <f>IF(ISNUMBER(W29),INDEX($BE$5:$BE$2999,MATCH(W29,AM$5:AM$2999,0),1),"")</f>
        <v/>
      </c>
      <c r="AF29" s="35" t="str">
        <f>IF(ISNUMBER(X29),INDEX($BE$5:$BE$2999,MATCH(X29,AN$5:AN$2999,0),1),"")</f>
        <v/>
      </c>
      <c r="AG29" s="35"/>
      <c r="AH29" s="34">
        <f>IF($BE29="","",IF(ISNUMBER(MATCH($BE29,AP$5:AP$29999,0)),MAX(AH$4:AH28)+1,0))</f>
        <v>12</v>
      </c>
      <c r="AI29" s="34">
        <f>IF($BE29="","",IF(ISNUMBER(MATCH($BE29,AQ$5:AQ$29999,0)),MAX(AI$4:AI28)+1,0))</f>
        <v>12</v>
      </c>
      <c r="AJ29" s="34">
        <f>IF($BE29="","",IF(ISNUMBER(MATCH($BE29,AR$5:AR$29999,0)),MAX(AJ$4:AJ28)+1,0))</f>
        <v>20</v>
      </c>
      <c r="AK29" s="34">
        <f>IF($BE29="","",IF(ISNUMBER(MATCH($BE29,AS$5:AS$29999,0)),MAX(AK$4:AK28)+1,0))</f>
        <v>13</v>
      </c>
      <c r="AL29" s="34">
        <f>IF($BE29="","",IF(ISNUMBER(MATCH($BE29,AT$5:AT$29999,0)),MAX(AL$4:AL28)+1,0))</f>
        <v>15</v>
      </c>
      <c r="AM29" s="34">
        <f>IF($BE29="","",IF(ISNUMBER(MATCH($BE29,AU$5:AU$29999,0)),MAX(AM$4:AM28)+1,0))</f>
        <v>20</v>
      </c>
      <c r="AN29" s="34">
        <f>IF($BE29="","",IF(ISNUMBER(MATCH($BE29,AV$5:AV$29999,0)),MAX(AN$4:AN28)+1,0))</f>
        <v>0</v>
      </c>
      <c r="AO29" s="16"/>
      <c r="AP29" s="33"/>
      <c r="AQ29" s="33"/>
      <c r="AR29" s="33" t="s">
        <v>10</v>
      </c>
      <c r="AS29" s="33"/>
      <c r="AT29" s="33"/>
      <c r="AU29" s="33"/>
      <c r="AV29" s="32" t="s">
        <v>0</v>
      </c>
      <c r="AW29" s="40" t="s">
        <v>11</v>
      </c>
      <c r="AX29" s="20" t="s">
        <v>0</v>
      </c>
      <c r="AY29" s="30" t="s">
        <v>32</v>
      </c>
      <c r="AZ29" s="30" t="s">
        <v>32</v>
      </c>
      <c r="BA29" s="39" t="s">
        <v>0</v>
      </c>
      <c r="BB29" s="44">
        <f>IF(ISTEXT(AW29),IF(ISNUMBER(MATCH(AW29,$AY$5:$AY$100,0)),0,MAX(BB$4:BB28)+1),"")</f>
        <v>0</v>
      </c>
      <c r="BC29" s="36">
        <f>IF(ISTEXT(AY29),MATCH(AY29,$AW$5:$AW$127,0),"")</f>
        <v>23</v>
      </c>
      <c r="BD29" s="36" t="str">
        <f>IF(ISNUMBER(BC29),AY29,ROW()-SUM($BC$4:$BD$4))</f>
        <v>mfsim.lst</v>
      </c>
      <c r="BE29" s="20" t="str">
        <f>IF(ISTEXT(AW29),IF(ISNUMBER(BC29),AY29,INDEX($AW$5:$AW$140,MATCH(BD29,$BB$5:$BB$185,0),1)),"")</f>
        <v>mfsim.lst</v>
      </c>
      <c r="BF29" s="36"/>
      <c r="BG29" s="19" t="str">
        <f>IF(ISNUMBER(MATCH($BE29,Z$5:Z$501,0)),INDEX(Z$5:Z$501,MATCH($BE29,Z$5:Z$501,0),1),"")</f>
        <v>mfsim.lst</v>
      </c>
      <c r="BH29" s="19" t="str">
        <f>IF(ISNUMBER(MATCH($BE29,AA$5:AA$501,0)),INDEX(AA$5:AA$501,MATCH($BE29,AA$5:AA$501,0),1),"")</f>
        <v>mfsim.lst</v>
      </c>
      <c r="BI29" s="19" t="str">
        <f>IF(ISNUMBER(MATCH($BE29,AB$5:AB$501,0)),INDEX(AB$5:AB$501,MATCH($BE29,AB$5:AB$501,0),1),"")</f>
        <v>mfsim.lst</v>
      </c>
      <c r="BJ29" s="19" t="str">
        <f>IF(ISNUMBER(MATCH($BE29,AC$5:AC$501,0)),INDEX(AC$5:AC$501,MATCH($BE29,AC$5:AC$501,0),1),"")</f>
        <v>mfsim.lst</v>
      </c>
      <c r="BK29" s="19" t="str">
        <f>IF(ISNUMBER(MATCH($BE29,AD$5:AD$501,0)),INDEX(AD$5:AD$501,MATCH($BE29,AD$5:AD$501,0),1),"")</f>
        <v>mfsim.lst</v>
      </c>
      <c r="BL29" s="19" t="str">
        <f>IF(ISNUMBER(MATCH($BE29,AE$5:AE$501,0)),INDEX(AE$5:AE$501,MATCH($BE29,AE$5:AE$501,0),1),"")</f>
        <v>mfsim.lst</v>
      </c>
      <c r="BM29" s="19" t="str">
        <f>IF(ISNUMBER(MATCH($BE29,AF$5:AF$501,0)),INDEX(AF$5:AF$501,MATCH($BE29,AF$5:AF$501,0),1),"")</f>
        <v/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</row>
    <row r="30" spans="1:78" ht="12" customHeight="1" x14ac:dyDescent="0.25">
      <c r="A30" s="26"/>
      <c r="B30" s="28" t="str">
        <f>IF(ISNUMBER(MATCH(O30,$N$5:$N$1000,0)),MATCH(O30,$N$5:$N$1000,0),"")</f>
        <v/>
      </c>
      <c r="C30" s="15" t="str">
        <f>IF(ISNUMBER(B30),MAX(C$4:C29)+1,"")</f>
        <v/>
      </c>
      <c r="D30" s="15">
        <f>IF(IF(ISNUMBER(B30),"",MAX(D$4:D29)+1)&lt;=D$3,IF(ISNUMBER(B30),"",MAX(D$4:D29)+1),"")</f>
        <v>8</v>
      </c>
      <c r="E30" s="42" t="str">
        <f>IF(M30&lt;=D$3,MATCH(M30,D$5:D$1000,0),"")</f>
        <v/>
      </c>
      <c r="F30" s="28" t="str">
        <f>IF(ISNUMBER(E30),INDEX($N$5:$N$1000,E30,1),"")</f>
        <v/>
      </c>
      <c r="G30" s="27" t="str">
        <f>IF(ISNUMBER(C30),N30,IF(ISTEXT(N30),INDEX($F$5:$F$1000,MATCH(M30,$E$5:$E$1000,0),1),""))</f>
        <v>mfsim.lst</v>
      </c>
      <c r="H30" s="15">
        <f>IF(O30="","",IF(ISNUMBER(MATCH(O30,$G$5:$G$1000,0)),"",IF(D30=1,C$3,0)+MAX(H$4:H29)+1))</f>
        <v>30</v>
      </c>
      <c r="I30" s="15">
        <f>IF(O30="","",IF(ISNUMBER(MATCH(O30,$G$5:$G$1000,0)),"",IF(D30=1,B$4,0)+MAX(I$4:I29)+1))</f>
        <v>44</v>
      </c>
      <c r="J30" s="27" t="str">
        <f>IF(ISNUMBER(MATCH(M30,$I$5:$I$1000,0)),INDEX($O$5:$O$1000,MATCH(M30,$I$5:$I$1000,0),1),"")</f>
        <v/>
      </c>
      <c r="K30" s="27">
        <f>IF(P30="",0,1)</f>
        <v>1</v>
      </c>
      <c r="L30" s="26"/>
      <c r="M30" s="14">
        <f>IF(ROW()-ROW(M$4)&lt;=1000,ROW()-ROW(M$4),"")</f>
        <v>26</v>
      </c>
      <c r="N30" s="43" t="s">
        <v>32</v>
      </c>
      <c r="O30" s="43" t="s">
        <v>31</v>
      </c>
      <c r="P30" s="41" t="str">
        <f>IF(M30&lt;=$B$4,IF(ISTEXT(G30),G30,""),IF(ISTEXT(J30),J30,""))</f>
        <v>mfsim.lst</v>
      </c>
      <c r="Q30" s="16" t="s">
        <v>0</v>
      </c>
      <c r="R30" s="34" t="str">
        <f>IF(ROW()-ROW(R$4)&lt;=AH$3,ROW()-ROW(R$4),"")</f>
        <v/>
      </c>
      <c r="S30" s="34" t="str">
        <f>IF(ROW()-ROW(S$4)&lt;=AI$3,ROW()-ROW(S$4),"")</f>
        <v/>
      </c>
      <c r="T30" s="34">
        <f>IF(ROW()-ROW(T$4)&lt;=AJ$3,ROW()-ROW(T$4),"")</f>
        <v>26</v>
      </c>
      <c r="U30" s="34" t="str">
        <f>IF(ROW()-ROW(U$4)&lt;=AK$3,ROW()-ROW(U$4),"")</f>
        <v/>
      </c>
      <c r="V30" s="34" t="str">
        <f>IF(ROW()-ROW(V$4)&lt;=AL$3,ROW()-ROW(V$4),"")</f>
        <v/>
      </c>
      <c r="W30" s="34" t="str">
        <f>IF(ROW()-ROW(W$4)&lt;=AM$3,ROW()-ROW(W$4),"")</f>
        <v/>
      </c>
      <c r="X30" s="34" t="str">
        <f>IF(ROW()-ROW(X$4)&lt;=AN$3,ROW()-ROW(X$4),"")</f>
        <v/>
      </c>
      <c r="Y30" s="34"/>
      <c r="Z30" s="35" t="str">
        <f>IF(ISNUMBER(R30),INDEX($BE$5:$BE$2999,MATCH(R30,AH$5:AH$2999,0),1),"")</f>
        <v/>
      </c>
      <c r="AA30" s="35" t="str">
        <f>IF(ISNUMBER(S30),INDEX($BE$5:$BE$2999,MATCH(S30,AI$5:AI$2999,0),1),"")</f>
        <v/>
      </c>
      <c r="AB30" s="35" t="str">
        <f>IF(ISNUMBER(T30),INDEX($BE$5:$BE$2999,MATCH(T30,AJ$5:AJ$2999,0),1),"")</f>
        <v>.wel</v>
      </c>
      <c r="AC30" s="35" t="str">
        <f>IF(ISNUMBER(U30),INDEX($BE$5:$BE$2999,MATCH(U30,AK$5:AK$2999,0),1),"")</f>
        <v/>
      </c>
      <c r="AD30" s="35" t="str">
        <f>IF(ISNUMBER(V30),INDEX($BE$5:$BE$2999,MATCH(V30,AL$5:AL$2999,0),1),"")</f>
        <v/>
      </c>
      <c r="AE30" s="35" t="str">
        <f>IF(ISNUMBER(W30),INDEX($BE$5:$BE$2999,MATCH(W30,AM$5:AM$2999,0),1),"")</f>
        <v/>
      </c>
      <c r="AF30" s="35" t="str">
        <f>IF(ISNUMBER(X30),INDEX($BE$5:$BE$2999,MATCH(X30,AN$5:AN$2999,0),1),"")</f>
        <v/>
      </c>
      <c r="AG30" s="35"/>
      <c r="AH30" s="34">
        <f>IF($BE30="","",IF(ISNUMBER(MATCH($BE30,AP$5:AP$29999,0)),MAX(AH$4:AH29)+1,0))</f>
        <v>13</v>
      </c>
      <c r="AI30" s="34">
        <f>IF($BE30="","",IF(ISNUMBER(MATCH($BE30,AQ$5:AQ$29999,0)),MAX(AI$4:AI29)+1,0))</f>
        <v>13</v>
      </c>
      <c r="AJ30" s="34">
        <f>IF($BE30="","",IF(ISNUMBER(MATCH($BE30,AR$5:AR$29999,0)),MAX(AJ$4:AJ29)+1,0))</f>
        <v>21</v>
      </c>
      <c r="AK30" s="34">
        <f>IF($BE30="","",IF(ISNUMBER(MATCH($BE30,AS$5:AS$29999,0)),MAX(AK$4:AK29)+1,0))</f>
        <v>14</v>
      </c>
      <c r="AL30" s="34">
        <f>IF($BE30="","",IF(ISNUMBER(MATCH($BE30,AT$5:AT$29999,0)),MAX(AL$4:AL29)+1,0))</f>
        <v>16</v>
      </c>
      <c r="AM30" s="34">
        <f>IF($BE30="","",IF(ISNUMBER(MATCH($BE30,AU$5:AU$29999,0)),MAX(AM$4:AM29)+1,0))</f>
        <v>21</v>
      </c>
      <c r="AN30" s="34">
        <f>IF($BE30="","",IF(ISNUMBER(MATCH($BE30,AV$5:AV$29999,0)),MAX(AN$4:AN29)+1,0))</f>
        <v>0</v>
      </c>
      <c r="AO30" s="16"/>
      <c r="AP30" s="33"/>
      <c r="AQ30" s="33"/>
      <c r="AR30" s="33" t="s">
        <v>32</v>
      </c>
      <c r="AS30" s="33"/>
      <c r="AT30" s="33"/>
      <c r="AU30" s="33"/>
      <c r="AV30" s="32" t="s">
        <v>0</v>
      </c>
      <c r="AW30" s="40" t="s">
        <v>31</v>
      </c>
      <c r="AX30" s="20" t="s">
        <v>0</v>
      </c>
      <c r="AY30" s="30" t="s">
        <v>30</v>
      </c>
      <c r="AZ30" s="30" t="s">
        <v>30</v>
      </c>
      <c r="BA30" s="39" t="s">
        <v>0</v>
      </c>
      <c r="BB30" s="44">
        <f>IF(ISTEXT(AW30),IF(ISNUMBER(MATCH(AW30,$AY$5:$AY$100,0)),0,MAX(BB$4:BB29)+1),"")</f>
        <v>0</v>
      </c>
      <c r="BC30" s="36">
        <f>IF(ISTEXT(AY30),MATCH(AY30,$AW$5:$AW$127,0),"")</f>
        <v>4</v>
      </c>
      <c r="BD30" s="36" t="str">
        <f>IF(ISNUMBER(BC30),AY30,ROW()-SUM($BC$4:$BD$4))</f>
        <v>.dis.grb</v>
      </c>
      <c r="BE30" s="20" t="str">
        <f>IF(ISTEXT(AW30),IF(ISNUMBER(BC30),AY30,INDEX($AW$5:$AW$140,MATCH(BD30,$BB$5:$BB$185,0),1)),"")</f>
        <v>.dis.grb</v>
      </c>
      <c r="BF30" s="36"/>
      <c r="BG30" s="19" t="str">
        <f>IF(ISNUMBER(MATCH($BE30,Z$5:Z$501,0)),INDEX(Z$5:Z$501,MATCH($BE30,Z$5:Z$501,0),1),"")</f>
        <v>.dis.grb</v>
      </c>
      <c r="BH30" s="19" t="str">
        <f>IF(ISNUMBER(MATCH($BE30,AA$5:AA$501,0)),INDEX(AA$5:AA$501,MATCH($BE30,AA$5:AA$501,0),1),"")</f>
        <v>.dis.grb</v>
      </c>
      <c r="BI30" s="19" t="str">
        <f>IF(ISNUMBER(MATCH($BE30,AB$5:AB$501,0)),INDEX(AB$5:AB$501,MATCH($BE30,AB$5:AB$501,0),1),"")</f>
        <v>.dis.grb</v>
      </c>
      <c r="BJ30" s="19" t="str">
        <f>IF(ISNUMBER(MATCH($BE30,AC$5:AC$501,0)),INDEX(AC$5:AC$501,MATCH($BE30,AC$5:AC$501,0),1),"")</f>
        <v>.dis.grb</v>
      </c>
      <c r="BK30" s="19" t="str">
        <f>IF(ISNUMBER(MATCH($BE30,AD$5:AD$501,0)),INDEX(AD$5:AD$501,MATCH($BE30,AD$5:AD$501,0),1),"")</f>
        <v>.dis.grb</v>
      </c>
      <c r="BL30" s="19" t="str">
        <f>IF(ISNUMBER(MATCH($BE30,AE$5:AE$501,0)),INDEX(AE$5:AE$501,MATCH($BE30,AE$5:AE$501,0),1),"")</f>
        <v>.dis.grb</v>
      </c>
      <c r="BM30" s="19" t="str">
        <f>IF(ISNUMBER(MATCH($BE30,AF$5:AF$501,0)),INDEX(AF$5:AF$501,MATCH($BE30,AF$5:AF$501,0),1),"")</f>
        <v/>
      </c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</row>
    <row r="31" spans="1:78" ht="12" customHeight="1" x14ac:dyDescent="0.25">
      <c r="A31" s="26"/>
      <c r="B31" s="28">
        <f>IF(ISNUMBER(MATCH(O31,$N$5:$N$1000,0)),MATCH(O31,$N$5:$N$1000,0),"")</f>
        <v>9</v>
      </c>
      <c r="C31" s="15">
        <f>IF(ISNUMBER(B31),MAX(C$4:C30)+1,"")</f>
        <v>19</v>
      </c>
      <c r="D31" s="15" t="str">
        <f>IF(IF(ISNUMBER(B31),"",MAX(D$4:D30)+1)&lt;=D$3,IF(ISNUMBER(B31),"",MAX(D$4:D30)+1),"")</f>
        <v/>
      </c>
      <c r="E31" s="42" t="str">
        <f>IF(M31&lt;=D$3,MATCH(M31,D$5:D$1000,0),"")</f>
        <v/>
      </c>
      <c r="F31" s="28" t="str">
        <f>IF(ISNUMBER(E31),INDEX($N$5:$N$1000,E31,1),"")</f>
        <v/>
      </c>
      <c r="G31" s="27" t="str">
        <f>IF(ISNUMBER(C31),N31,IF(ISTEXT(N31),INDEX($F$5:$F$1000,MATCH(M31,$E$5:$E$1000,0),1),""))</f>
        <v>mfsim.nam</v>
      </c>
      <c r="H31" s="15" t="str">
        <f>IF(O31="","",IF(ISNUMBER(MATCH(O31,$G$5:$G$1000,0)),"",IF(D31=1,C$3,0)+MAX(H$4:H30)+1))</f>
        <v/>
      </c>
      <c r="I31" s="15" t="str">
        <f>IF(O31="","",IF(ISNUMBER(MATCH(O31,$G$5:$G$1000,0)),"",IF(D31=1,B$4,0)+MAX(I$4:I30)+1))</f>
        <v/>
      </c>
      <c r="J31" s="27" t="str">
        <f>IF(ISNUMBER(MATCH(M31,$I$5:$I$1000,0)),INDEX($O$5:$O$1000,MATCH(M31,$I$5:$I$1000,0),1),"")</f>
        <v/>
      </c>
      <c r="K31" s="27">
        <f>IF(P31="",0,1)</f>
        <v>1</v>
      </c>
      <c r="L31" s="26"/>
      <c r="M31" s="14">
        <f>IF(ROW()-ROW(M$4)&lt;=1000,ROW()-ROW(M$4),"")</f>
        <v>27</v>
      </c>
      <c r="N31" s="43" t="s">
        <v>28</v>
      </c>
      <c r="O31" s="43" t="s">
        <v>29</v>
      </c>
      <c r="P31" s="41" t="str">
        <f>IF(M31&lt;=$B$4,IF(ISTEXT(G31),G31,""),IF(ISTEXT(J31),J31,""))</f>
        <v>mfsim.nam</v>
      </c>
      <c r="Q31" s="16" t="s">
        <v>0</v>
      </c>
      <c r="R31" s="34" t="str">
        <f>IF(ROW()-ROW(R$4)&lt;=AH$3,ROW()-ROW(R$4),"")</f>
        <v/>
      </c>
      <c r="S31" s="34" t="str">
        <f>IF(ROW()-ROW(S$4)&lt;=AI$3,ROW()-ROW(S$4),"")</f>
        <v/>
      </c>
      <c r="T31" s="34">
        <f>IF(ROW()-ROW(T$4)&lt;=AJ$3,ROW()-ROW(T$4),"")</f>
        <v>27</v>
      </c>
      <c r="U31" s="34" t="str">
        <f>IF(ROW()-ROW(U$4)&lt;=AK$3,ROW()-ROW(U$4),"")</f>
        <v/>
      </c>
      <c r="V31" s="34" t="str">
        <f>IF(ROW()-ROW(V$4)&lt;=AL$3,ROW()-ROW(V$4),"")</f>
        <v/>
      </c>
      <c r="W31" s="34" t="str">
        <f>IF(ROW()-ROW(W$4)&lt;=AM$3,ROW()-ROW(W$4),"")</f>
        <v/>
      </c>
      <c r="X31" s="34" t="str">
        <f>IF(ROW()-ROW(X$4)&lt;=AN$3,ROW()-ROW(X$4),"")</f>
        <v/>
      </c>
      <c r="Y31" s="34"/>
      <c r="Z31" s="35" t="str">
        <f>IF(ISNUMBER(R31),INDEX($BE$5:$BE$2999,MATCH(R31,AH$5:AH$2999,0),1),"")</f>
        <v/>
      </c>
      <c r="AA31" s="35" t="str">
        <f>IF(ISNUMBER(S31),INDEX($BE$5:$BE$2999,MATCH(S31,AI$5:AI$2999,0),1),"")</f>
        <v/>
      </c>
      <c r="AB31" s="35" t="str">
        <f>IF(ISNUMBER(T31),INDEX($BE$5:$BE$2999,MATCH(T31,AJ$5:AJ$2999,0),1),"")</f>
        <v>.ghb</v>
      </c>
      <c r="AC31" s="35" t="str">
        <f>IF(ISNUMBER(U31),INDEX($BE$5:$BE$2999,MATCH(U31,AK$5:AK$2999,0),1),"")</f>
        <v/>
      </c>
      <c r="AD31" s="35" t="str">
        <f>IF(ISNUMBER(V31),INDEX($BE$5:$BE$2999,MATCH(V31,AL$5:AL$2999,0),1),"")</f>
        <v/>
      </c>
      <c r="AE31" s="35" t="str">
        <f>IF(ISNUMBER(W31),INDEX($BE$5:$BE$2999,MATCH(W31,AM$5:AM$2999,0),1),"")</f>
        <v/>
      </c>
      <c r="AF31" s="35" t="str">
        <f>IF(ISNUMBER(X31),INDEX($BE$5:$BE$2999,MATCH(X31,AN$5:AN$2999,0),1),"")</f>
        <v/>
      </c>
      <c r="AG31" s="35"/>
      <c r="AH31" s="34">
        <f>IF($BE31="","",IF(ISNUMBER(MATCH($BE31,AP$5:AP$29999,0)),MAX(AH$4:AH30)+1,0))</f>
        <v>14</v>
      </c>
      <c r="AI31" s="34">
        <f>IF($BE31="","",IF(ISNUMBER(MATCH($BE31,AQ$5:AQ$29999,0)),MAX(AI$4:AI30)+1,0))</f>
        <v>14</v>
      </c>
      <c r="AJ31" s="34">
        <f>IF($BE31="","",IF(ISNUMBER(MATCH($BE31,AR$5:AR$29999,0)),MAX(AJ$4:AJ30)+1,0))</f>
        <v>22</v>
      </c>
      <c r="AK31" s="34">
        <f>IF($BE31="","",IF(ISNUMBER(MATCH($BE31,AS$5:AS$29999,0)),MAX(AK$4:AK30)+1,0))</f>
        <v>15</v>
      </c>
      <c r="AL31" s="34">
        <f>IF($BE31="","",IF(ISNUMBER(MATCH($BE31,AT$5:AT$29999,0)),MAX(AL$4:AL30)+1,0))</f>
        <v>17</v>
      </c>
      <c r="AM31" s="34">
        <f>IF($BE31="","",IF(ISNUMBER(MATCH($BE31,AU$5:AU$29999,0)),MAX(AM$4:AM30)+1,0))</f>
        <v>0</v>
      </c>
      <c r="AN31" s="34">
        <f>IF($BE31="","",IF(ISNUMBER(MATCH($BE31,AV$5:AV$29999,0)),MAX(AN$4:AN30)+1,0))</f>
        <v>0</v>
      </c>
      <c r="AO31" s="16"/>
      <c r="AP31" s="33"/>
      <c r="AQ31" s="33"/>
      <c r="AR31" s="33" t="s">
        <v>28</v>
      </c>
      <c r="AS31" s="33"/>
      <c r="AT31" s="33"/>
      <c r="AU31" s="33"/>
      <c r="AV31" s="32" t="s">
        <v>0</v>
      </c>
      <c r="AW31" s="40" t="s">
        <v>29</v>
      </c>
      <c r="AX31" s="20" t="s">
        <v>0</v>
      </c>
      <c r="AY31" s="30" t="s">
        <v>28</v>
      </c>
      <c r="AZ31" s="30" t="s">
        <v>28</v>
      </c>
      <c r="BA31" s="39" t="s">
        <v>0</v>
      </c>
      <c r="BB31" s="44">
        <f>IF(ISTEXT(AW31),IF(ISNUMBER(MATCH(AW31,$AY$5:$AY$100,0)),0,MAX(BB$4:BB30)+1),"")</f>
        <v>0</v>
      </c>
      <c r="BC31" s="36">
        <f>IF(ISTEXT(AY31),MATCH(AY31,$AW$5:$AW$127,0),"")</f>
        <v>24</v>
      </c>
      <c r="BD31" s="36" t="str">
        <f>IF(ISNUMBER(BC31),AY31,ROW()-SUM($BC$4:$BD$4))</f>
        <v>mfsim.nam</v>
      </c>
      <c r="BE31" s="20" t="str">
        <f>IF(ISTEXT(AW31),IF(ISNUMBER(BC31),AY31,INDEX($AW$5:$AW$140,MATCH(BD31,$BB$5:$BB$185,0),1)),"")</f>
        <v>mfsim.nam</v>
      </c>
      <c r="BF31" s="36"/>
      <c r="BG31" s="19" t="str">
        <f>IF(ISNUMBER(MATCH($BE31,Z$5:Z$501,0)),INDEX(Z$5:Z$501,MATCH($BE31,Z$5:Z$501,0),1),"")</f>
        <v>mfsim.nam</v>
      </c>
      <c r="BH31" s="19" t="str">
        <f>IF(ISNUMBER(MATCH($BE31,AA$5:AA$501,0)),INDEX(AA$5:AA$501,MATCH($BE31,AA$5:AA$501,0),1),"")</f>
        <v>mfsim.nam</v>
      </c>
      <c r="BI31" s="19" t="str">
        <f>IF(ISNUMBER(MATCH($BE31,AB$5:AB$501,0)),INDEX(AB$5:AB$501,MATCH($BE31,AB$5:AB$501,0),1),"")</f>
        <v>mfsim.nam</v>
      </c>
      <c r="BJ31" s="19" t="str">
        <f>IF(ISNUMBER(MATCH($BE31,AC$5:AC$501,0)),INDEX(AC$5:AC$501,MATCH($BE31,AC$5:AC$501,0),1),"")</f>
        <v>mfsim.nam</v>
      </c>
      <c r="BK31" s="19" t="str">
        <f>IF(ISNUMBER(MATCH($BE31,AD$5:AD$501,0)),INDEX(AD$5:AD$501,MATCH($BE31,AD$5:AD$501,0),1),"")</f>
        <v>mfsim.nam</v>
      </c>
      <c r="BL31" s="19" t="str">
        <f>IF(ISNUMBER(MATCH($BE31,AE$5:AE$501,0)),INDEX(AE$5:AE$501,MATCH($BE31,AE$5:AE$501,0),1),"")</f>
        <v/>
      </c>
      <c r="BM31" s="19" t="str">
        <f>IF(ISNUMBER(MATCH($BE31,AF$5:AF$501,0)),INDEX(AF$5:AF$501,MATCH($BE31,AF$5:AF$501,0),1),"")</f>
        <v/>
      </c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</row>
    <row r="32" spans="1:78" ht="12" customHeight="1" x14ac:dyDescent="0.25">
      <c r="A32" s="26"/>
      <c r="B32" s="28">
        <f>IF(ISNUMBER(MATCH(O32,$N$5:$N$1000,0)),MATCH(O32,$N$5:$N$1000,0),"")</f>
        <v>13</v>
      </c>
      <c r="C32" s="15">
        <f>IF(ISNUMBER(B32),MAX(C$4:C31)+1,"")</f>
        <v>20</v>
      </c>
      <c r="D32" s="15" t="str">
        <f>IF(IF(ISNUMBER(B32),"",MAX(D$4:D31)+1)&lt;=D$3,IF(ISNUMBER(B32),"",MAX(D$4:D31)+1),"")</f>
        <v/>
      </c>
      <c r="E32" s="42" t="str">
        <f>IF(M32&lt;=D$3,MATCH(M32,D$5:D$1000,0),"")</f>
        <v/>
      </c>
      <c r="F32" s="28" t="str">
        <f>IF(ISNUMBER(E32),INDEX($N$5:$N$1000,E32,1),"")</f>
        <v/>
      </c>
      <c r="G32" s="27" t="str">
        <f>IF(ISNUMBER(C32),N32,IF(ISTEXT(N32),INDEX($F$5:$F$1000,MATCH(M32,$E$5:$E$1000,0),1),""))</f>
        <v>obs_lak.csv</v>
      </c>
      <c r="H32" s="15" t="str">
        <f>IF(O32="","",IF(ISNUMBER(MATCH(O32,$G$5:$G$1000,0)),"",IF(D32=1,C$3,0)+MAX(H$4:H31)+1))</f>
        <v/>
      </c>
      <c r="I32" s="15" t="str">
        <f>IF(O32="","",IF(ISNUMBER(MATCH(O32,$G$5:$G$1000,0)),"",IF(D32=1,B$4,0)+MAX(I$4:I31)+1))</f>
        <v/>
      </c>
      <c r="J32" s="27" t="str">
        <f>IF(ISNUMBER(MATCH(M32,$I$5:$I$1000,0)),INDEX($O$5:$O$1000,MATCH(M32,$I$5:$I$1000,0),1),"")</f>
        <v/>
      </c>
      <c r="K32" s="27">
        <f>IF(P32="",0,1)</f>
        <v>1</v>
      </c>
      <c r="L32" s="26"/>
      <c r="M32" s="14">
        <f>IF(ROW()-ROW(M$4)&lt;=1000,ROW()-ROW(M$4),"")</f>
        <v>28</v>
      </c>
      <c r="N32" s="43" t="s">
        <v>9</v>
      </c>
      <c r="O32" s="43" t="s">
        <v>27</v>
      </c>
      <c r="P32" s="41" t="str">
        <f>IF(M32&lt;=$B$4,IF(ISTEXT(G32),G32,""),IF(ISTEXT(J32),J32,""))</f>
        <v>obs_lak.csv</v>
      </c>
      <c r="Q32" s="16" t="s">
        <v>0</v>
      </c>
      <c r="R32" s="34" t="str">
        <f>IF(ROW()-ROW(R$4)&lt;=AH$3,ROW()-ROW(R$4),"")</f>
        <v/>
      </c>
      <c r="S32" s="34" t="str">
        <f>IF(ROW()-ROW(S$4)&lt;=AI$3,ROW()-ROW(S$4),"")</f>
        <v/>
      </c>
      <c r="T32" s="34">
        <f>IF(ROW()-ROW(T$4)&lt;=AJ$3,ROW()-ROW(T$4),"")</f>
        <v>28</v>
      </c>
      <c r="U32" s="34" t="str">
        <f>IF(ROW()-ROW(U$4)&lt;=AK$3,ROW()-ROW(U$4),"")</f>
        <v/>
      </c>
      <c r="V32" s="34" t="str">
        <f>IF(ROW()-ROW(V$4)&lt;=AL$3,ROW()-ROW(V$4),"")</f>
        <v/>
      </c>
      <c r="W32" s="34" t="str">
        <f>IF(ROW()-ROW(W$4)&lt;=AM$3,ROW()-ROW(W$4),"")</f>
        <v/>
      </c>
      <c r="X32" s="34" t="str">
        <f>IF(ROW()-ROW(X$4)&lt;=AN$3,ROW()-ROW(X$4),"")</f>
        <v/>
      </c>
      <c r="Y32" s="34"/>
      <c r="Z32" s="35" t="str">
        <f>IF(ISNUMBER(R32),INDEX($BE$5:$BE$2999,MATCH(R32,AH$5:AH$2999,0),1),"")</f>
        <v/>
      </c>
      <c r="AA32" s="35" t="str">
        <f>IF(ISNUMBER(S32),INDEX($BE$5:$BE$2999,MATCH(S32,AI$5:AI$2999,0),1),"")</f>
        <v/>
      </c>
      <c r="AB32" s="35" t="str">
        <f>IF(ISNUMBER(T32),INDEX($BE$5:$BE$2999,MATCH(T32,AJ$5:AJ$2999,0),1),"")</f>
        <v>obs_lak.csv</v>
      </c>
      <c r="AC32" s="35" t="str">
        <f>IF(ISNUMBER(U32),INDEX($BE$5:$BE$2999,MATCH(U32,AK$5:AK$2999,0),1),"")</f>
        <v/>
      </c>
      <c r="AD32" s="35" t="str">
        <f>IF(ISNUMBER(V32),INDEX($BE$5:$BE$2999,MATCH(V32,AL$5:AL$2999,0),1),"")</f>
        <v/>
      </c>
      <c r="AE32" s="35" t="str">
        <f>IF(ISNUMBER(W32),INDEX($BE$5:$BE$2999,MATCH(W32,AM$5:AM$2999,0),1),"")</f>
        <v/>
      </c>
      <c r="AF32" s="35" t="str">
        <f>IF(ISNUMBER(X32),INDEX($BE$5:$BE$2999,MATCH(X32,AN$5:AN$2999,0),1),"")</f>
        <v/>
      </c>
      <c r="AG32" s="35"/>
      <c r="AH32" s="34">
        <f>IF($BE32="","",IF(ISNUMBER(MATCH($BE32,AP$5:AP$29999,0)),MAX(AH$4:AH31)+1,0))</f>
        <v>15</v>
      </c>
      <c r="AI32" s="34">
        <f>IF($BE32="","",IF(ISNUMBER(MATCH($BE32,AQ$5:AQ$29999,0)),MAX(AI$4:AI31)+1,0))</f>
        <v>15</v>
      </c>
      <c r="AJ32" s="34">
        <f>IF($BE32="","",IF(ISNUMBER(MATCH($BE32,AR$5:AR$29999,0)),MAX(AJ$4:AJ31)+1,0))</f>
        <v>23</v>
      </c>
      <c r="AK32" s="34">
        <f>IF($BE32="","",IF(ISNUMBER(MATCH($BE32,AS$5:AS$29999,0)),MAX(AK$4:AK31)+1,0))</f>
        <v>16</v>
      </c>
      <c r="AL32" s="34">
        <f>IF($BE32="","",IF(ISNUMBER(MATCH($BE32,AT$5:AT$29999,0)),MAX(AL$4:AL31)+1,0))</f>
        <v>18</v>
      </c>
      <c r="AM32" s="34">
        <f>IF($BE32="","",IF(ISNUMBER(MATCH($BE32,AU$5:AU$29999,0)),MAX(AM$4:AM31)+1,0))</f>
        <v>0</v>
      </c>
      <c r="AN32" s="34">
        <f>IF($BE32="","",IF(ISNUMBER(MATCH($BE32,AV$5:AV$29999,0)),MAX(AN$4:AN31)+1,0))</f>
        <v>0</v>
      </c>
      <c r="AO32" s="16"/>
      <c r="AP32" s="33"/>
      <c r="AQ32" s="33"/>
      <c r="AR32" s="33" t="s">
        <v>9</v>
      </c>
      <c r="AS32" s="33"/>
      <c r="AT32" s="33"/>
      <c r="AU32" s="33"/>
      <c r="AV32" s="32" t="s">
        <v>0</v>
      </c>
      <c r="AW32" s="40" t="s">
        <v>27</v>
      </c>
      <c r="AX32" s="20" t="s">
        <v>0</v>
      </c>
      <c r="AY32" s="30" t="s">
        <v>26</v>
      </c>
      <c r="AZ32" s="30" t="s">
        <v>26</v>
      </c>
      <c r="BA32" s="39" t="s">
        <v>0</v>
      </c>
      <c r="BB32" s="44">
        <f>IF(ISTEXT(AW32),IF(ISNUMBER(MATCH(AW32,$AY$5:$AY$100,0)),0,MAX(BB$4:BB31)+1),"")</f>
        <v>0</v>
      </c>
      <c r="BC32" s="36">
        <f>IF(ISTEXT(AY32),MATCH(AY32,$AW$5:$AW$127,0),"")</f>
        <v>21</v>
      </c>
      <c r="BD32" s="36" t="str">
        <f>IF(ISNUMBER(BC32),AY32,ROW()-SUM($BC$4:$BD$4))</f>
        <v>.sto</v>
      </c>
      <c r="BE32" s="20" t="str">
        <f>IF(ISTEXT(AW32),IF(ISNUMBER(BC32),AY32,INDEX($AW$5:$AW$140,MATCH(BD32,$BB$5:$BB$185,0),1)),"")</f>
        <v>.sto</v>
      </c>
      <c r="BF32" s="36"/>
      <c r="BG32" s="19" t="str">
        <f>IF(ISNUMBER(MATCH($BE32,Z$5:Z$501,0)),INDEX(Z$5:Z$501,MATCH($BE32,Z$5:Z$501,0),1),"")</f>
        <v>.sto</v>
      </c>
      <c r="BH32" s="19" t="str">
        <f>IF(ISNUMBER(MATCH($BE32,AA$5:AA$501,0)),INDEX(AA$5:AA$501,MATCH($BE32,AA$5:AA$501,0),1),"")</f>
        <v>.sto</v>
      </c>
      <c r="BI32" s="19" t="str">
        <f>IF(ISNUMBER(MATCH($BE32,AB$5:AB$501,0)),INDEX(AB$5:AB$501,MATCH($BE32,AB$5:AB$501,0),1),"")</f>
        <v>.sto</v>
      </c>
      <c r="BJ32" s="19" t="str">
        <f>IF(ISNUMBER(MATCH($BE32,AC$5:AC$501,0)),INDEX(AC$5:AC$501,MATCH($BE32,AC$5:AC$501,0),1),"")</f>
        <v>.sto</v>
      </c>
      <c r="BK32" s="19" t="str">
        <f>IF(ISNUMBER(MATCH($BE32,AD$5:AD$501,0)),INDEX(AD$5:AD$501,MATCH($BE32,AD$5:AD$501,0),1),"")</f>
        <v>.sto</v>
      </c>
      <c r="BL32" s="19" t="str">
        <f>IF(ISNUMBER(MATCH($BE32,AE$5:AE$501,0)),INDEX(AE$5:AE$501,MATCH($BE32,AE$5:AE$501,0),1),"")</f>
        <v/>
      </c>
      <c r="BM32" s="19" t="str">
        <f>IF(ISNUMBER(MATCH($BE32,AF$5:AF$501,0)),INDEX(AF$5:AF$501,MATCH($BE32,AF$5:AF$501,0),1),"")</f>
        <v/>
      </c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</row>
    <row r="33" spans="1:78" ht="12" customHeight="1" x14ac:dyDescent="0.25">
      <c r="A33" s="26"/>
      <c r="B33" s="28" t="str">
        <f>IF(ISNUMBER(MATCH(O33,$N$5:$N$1000,0)),MATCH(O33,$N$5:$N$1000,0),"")</f>
        <v/>
      </c>
      <c r="C33" s="15" t="str">
        <f>IF(ISNUMBER(B33),MAX(C$4:C32)+1,"")</f>
        <v/>
      </c>
      <c r="D33" s="15">
        <f>IF(IF(ISNUMBER(B33),"",MAX(D$4:D32)+1)&lt;=D$3,IF(ISNUMBER(B33),"",MAX(D$4:D32)+1),"")</f>
        <v>9</v>
      </c>
      <c r="E33" s="42" t="str">
        <f>IF(M33&lt;=D$3,MATCH(M33,D$5:D$1000,0),"")</f>
        <v/>
      </c>
      <c r="F33" s="28" t="str">
        <f>IF(ISNUMBER(E33),INDEX($N$5:$N$1000,E33,1),"")</f>
        <v/>
      </c>
      <c r="G33" s="27" t="str">
        <f>IF(ISNUMBER(C33),N33,IF(ISTEXT(N33),INDEX($F$5:$F$1000,MATCH(M33,$E$5:$E$1000,0),1),""))</f>
        <v>obs_uzf.csv</v>
      </c>
      <c r="H33" s="15">
        <f>IF(O33="","",IF(ISNUMBER(MATCH(O33,$G$5:$G$1000,0)),"",IF(D33=1,C$3,0)+MAX(H$4:H32)+1))</f>
        <v>31</v>
      </c>
      <c r="I33" s="15">
        <f>IF(O33="","",IF(ISNUMBER(MATCH(O33,$G$5:$G$1000,0)),"",IF(D33=1,B$4,0)+MAX(I$4:I32)+1))</f>
        <v>45</v>
      </c>
      <c r="J33" s="27" t="str">
        <f>IF(ISNUMBER(MATCH(M33,$I$5:$I$1000,0)),INDEX($O$5:$O$1000,MATCH(M33,$I$5:$I$1000,0),1),"")</f>
        <v/>
      </c>
      <c r="K33" s="27">
        <f>IF(P33="",0,1)</f>
        <v>1</v>
      </c>
      <c r="L33" s="26"/>
      <c r="M33" s="14">
        <f>IF(ROW()-ROW(M$4)&lt;=1000,ROW()-ROW(M$4),"")</f>
        <v>29</v>
      </c>
      <c r="N33" s="43" t="s">
        <v>8</v>
      </c>
      <c r="O33" s="43" t="s">
        <v>25</v>
      </c>
      <c r="P33" s="41" t="str">
        <f>IF(M33&lt;=$B$4,IF(ISTEXT(G33),G33,""),IF(ISTEXT(J33),J33,""))</f>
        <v>obs_uzf.csv</v>
      </c>
      <c r="Q33" s="16" t="s">
        <v>0</v>
      </c>
      <c r="R33" s="34" t="str">
        <f>IF(ROW()-ROW(R$4)&lt;=AH$3,ROW()-ROW(R$4),"")</f>
        <v/>
      </c>
      <c r="S33" s="34" t="str">
        <f>IF(ROW()-ROW(S$4)&lt;=AI$3,ROW()-ROW(S$4),"")</f>
        <v/>
      </c>
      <c r="T33" s="34">
        <f>IF(ROW()-ROW(T$4)&lt;=AJ$3,ROW()-ROW(T$4),"")</f>
        <v>29</v>
      </c>
      <c r="U33" s="34" t="str">
        <f>IF(ROW()-ROW(U$4)&lt;=AK$3,ROW()-ROW(U$4),"")</f>
        <v/>
      </c>
      <c r="V33" s="34" t="str">
        <f>IF(ROW()-ROW(V$4)&lt;=AL$3,ROW()-ROW(V$4),"")</f>
        <v/>
      </c>
      <c r="W33" s="34" t="str">
        <f>IF(ROW()-ROW(W$4)&lt;=AM$3,ROW()-ROW(W$4),"")</f>
        <v/>
      </c>
      <c r="X33" s="34" t="str">
        <f>IF(ROW()-ROW(X$4)&lt;=AN$3,ROW()-ROW(X$4),"")</f>
        <v/>
      </c>
      <c r="Y33" s="34"/>
      <c r="Z33" s="35" t="str">
        <f>IF(ISNUMBER(R33),INDEX($BE$5:$BE$2999,MATCH(R33,AH$5:AH$2999,0),1),"")</f>
        <v/>
      </c>
      <c r="AA33" s="35" t="str">
        <f>IF(ISNUMBER(S33),INDEX($BE$5:$BE$2999,MATCH(S33,AI$5:AI$2999,0),1),"")</f>
        <v/>
      </c>
      <c r="AB33" s="35" t="str">
        <f>IF(ISNUMBER(T33),INDEX($BE$5:$BE$2999,MATCH(T33,AJ$5:AJ$2999,0),1),"")</f>
        <v>obs_uzf.csv</v>
      </c>
      <c r="AC33" s="35" t="str">
        <f>IF(ISNUMBER(U33),INDEX($BE$5:$BE$2999,MATCH(U33,AK$5:AK$2999,0),1),"")</f>
        <v/>
      </c>
      <c r="AD33" s="35" t="str">
        <f>IF(ISNUMBER(V33),INDEX($BE$5:$BE$2999,MATCH(V33,AL$5:AL$2999,0),1),"")</f>
        <v/>
      </c>
      <c r="AE33" s="35" t="str">
        <f>IF(ISNUMBER(W33),INDEX($BE$5:$BE$2999,MATCH(W33,AM$5:AM$2999,0),1),"")</f>
        <v/>
      </c>
      <c r="AF33" s="35" t="str">
        <f>IF(ISNUMBER(X33),INDEX($BE$5:$BE$2999,MATCH(X33,AN$5:AN$2999,0),1),"")</f>
        <v/>
      </c>
      <c r="AG33" s="35"/>
      <c r="AH33" s="34">
        <f>IF($BE33="","",IF(ISNUMBER(MATCH($BE33,AP$5:AP$29999,0)),MAX(AH$4:AH32)+1,0))</f>
        <v>16</v>
      </c>
      <c r="AI33" s="34">
        <f>IF($BE33="","",IF(ISNUMBER(MATCH($BE33,AQ$5:AQ$29999,0)),MAX(AI$4:AI32)+1,0))</f>
        <v>0</v>
      </c>
      <c r="AJ33" s="34">
        <f>IF($BE33="","",IF(ISNUMBER(MATCH($BE33,AR$5:AR$29999,0)),MAX(AJ$4:AJ32)+1,0))</f>
        <v>0</v>
      </c>
      <c r="AK33" s="34">
        <f>IF($BE33="","",IF(ISNUMBER(MATCH($BE33,AS$5:AS$29999,0)),MAX(AK$4:AK32)+1,0))</f>
        <v>17</v>
      </c>
      <c r="AL33" s="34">
        <f>IF($BE33="","",IF(ISNUMBER(MATCH($BE33,AT$5:AT$29999,0)),MAX(AL$4:AL32)+1,0))</f>
        <v>19</v>
      </c>
      <c r="AM33" s="34">
        <f>IF($BE33="","",IF(ISNUMBER(MATCH($BE33,AU$5:AU$29999,0)),MAX(AM$4:AM32)+1,0))</f>
        <v>0</v>
      </c>
      <c r="AN33" s="34">
        <f>IF($BE33="","",IF(ISNUMBER(MATCH($BE33,AV$5:AV$29999,0)),MAX(AN$4:AN32)+1,0))</f>
        <v>0</v>
      </c>
      <c r="AO33" s="16"/>
      <c r="AP33" s="33"/>
      <c r="AQ33" s="33"/>
      <c r="AR33" s="33" t="s">
        <v>8</v>
      </c>
      <c r="AS33" s="33"/>
      <c r="AT33" s="33"/>
      <c r="AU33" s="33"/>
      <c r="AV33" s="32" t="s">
        <v>0</v>
      </c>
      <c r="AW33" s="40" t="s">
        <v>25</v>
      </c>
      <c r="AX33" s="20" t="s">
        <v>0</v>
      </c>
      <c r="AY33" s="30" t="s">
        <v>24</v>
      </c>
      <c r="AZ33" s="30" t="s">
        <v>24</v>
      </c>
      <c r="BA33" s="39" t="s">
        <v>0</v>
      </c>
      <c r="BB33" s="44">
        <f>IF(ISTEXT(AW33),IF(ISNUMBER(MATCH(AW33,$AY$5:$AY$100,0)),0,MAX(BB$4:BB32)+1),"")</f>
        <v>0</v>
      </c>
      <c r="BC33" s="36">
        <f>IF(ISTEXT(AY33),MATCH(AY33,$AW$5:$AW$127,0),"")</f>
        <v>5</v>
      </c>
      <c r="BD33" s="36" t="str">
        <f>IF(ISNUMBER(BC33),AY33,ROW()-SUM($BC$4:$BD$4))</f>
        <v>.evta</v>
      </c>
      <c r="BE33" s="20" t="str">
        <f>IF(ISTEXT(AW33),IF(ISNUMBER(BC33),AY33,INDEX($AW$5:$AW$140,MATCH(BD33,$BB$5:$BB$185,0),1)),"")</f>
        <v>.evta</v>
      </c>
      <c r="BF33" s="36"/>
      <c r="BG33" s="19" t="str">
        <f>IF(ISNUMBER(MATCH($BE33,Z$5:Z$501,0)),INDEX(Z$5:Z$501,MATCH($BE33,Z$5:Z$501,0),1),"")</f>
        <v>.evta</v>
      </c>
      <c r="BH33" s="19" t="str">
        <f>IF(ISNUMBER(MATCH($BE33,AA$5:AA$501,0)),INDEX(AA$5:AA$501,MATCH($BE33,AA$5:AA$501,0),1),"")</f>
        <v/>
      </c>
      <c r="BI33" s="19" t="str">
        <f>IF(ISNUMBER(MATCH($BE33,AB$5:AB$501,0)),INDEX(AB$5:AB$501,MATCH($BE33,AB$5:AB$501,0),1),"")</f>
        <v/>
      </c>
      <c r="BJ33" s="19" t="str">
        <f>IF(ISNUMBER(MATCH($BE33,AC$5:AC$501,0)),INDEX(AC$5:AC$501,MATCH($BE33,AC$5:AC$501,0),1),"")</f>
        <v>.evta</v>
      </c>
      <c r="BK33" s="19" t="str">
        <f>IF(ISNUMBER(MATCH($BE33,AD$5:AD$501,0)),INDEX(AD$5:AD$501,MATCH($BE33,AD$5:AD$501,0),1),"")</f>
        <v>.evta</v>
      </c>
      <c r="BL33" s="19" t="str">
        <f>IF(ISNUMBER(MATCH($BE33,AE$5:AE$501,0)),INDEX(AE$5:AE$501,MATCH($BE33,AE$5:AE$501,0),1),"")</f>
        <v/>
      </c>
      <c r="BM33" s="19" t="str">
        <f>IF(ISNUMBER(MATCH($BE33,AF$5:AF$501,0)),INDEX(AF$5:AF$501,MATCH($BE33,AF$5:AF$501,0),1),"")</f>
        <v/>
      </c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</row>
    <row r="34" spans="1:78" ht="12" customHeight="1" x14ac:dyDescent="0.25">
      <c r="A34" s="26"/>
      <c r="B34" s="28">
        <f>IF(ISNUMBER(MATCH(O34,$N$5:$N$1000,0)),MATCH(O34,$N$5:$N$1000,0),"")</f>
        <v>18</v>
      </c>
      <c r="C34" s="15">
        <f>IF(ISNUMBER(B34),MAX(C$4:C33)+1,"")</f>
        <v>21</v>
      </c>
      <c r="D34" s="15" t="str">
        <f>IF(IF(ISNUMBER(B34),"",MAX(D$4:D33)+1)&lt;=D$3,IF(ISNUMBER(B34),"",MAX(D$4:D33)+1),"")</f>
        <v/>
      </c>
      <c r="E34" s="42" t="str">
        <f>IF(M34&lt;=D$3,MATCH(M34,D$5:D$1000,0),"")</f>
        <v/>
      </c>
      <c r="F34" s="28" t="str">
        <f>IF(ISNUMBER(E34),INDEX($N$5:$N$1000,E34,1),"")</f>
        <v/>
      </c>
      <c r="G34" s="27" t="str">
        <f>IF(ISNUMBER(C34),N34,IF(ISTEXT(N34),INDEX($F$5:$F$1000,MATCH(M34,$E$5:$E$1000,0),1),""))</f>
        <v>obs_uzf_column.csv</v>
      </c>
      <c r="H34" s="15" t="str">
        <f>IF(O34="","",IF(ISNUMBER(MATCH(O34,$G$5:$G$1000,0)),"",IF(D34=1,C$3,0)+MAX(H$4:H33)+1))</f>
        <v/>
      </c>
      <c r="I34" s="15" t="str">
        <f>IF(O34="","",IF(ISNUMBER(MATCH(O34,$G$5:$G$1000,0)),"",IF(D34=1,B$4,0)+MAX(I$4:I33)+1))</f>
        <v/>
      </c>
      <c r="J34" s="27" t="str">
        <f>IF(ISNUMBER(MATCH(M34,$I$5:$I$1000,0)),INDEX($O$5:$O$1000,MATCH(M34,$I$5:$I$1000,0),1),"")</f>
        <v/>
      </c>
      <c r="K34" s="27">
        <f>IF(P34="",0,1)</f>
        <v>1</v>
      </c>
      <c r="L34" s="26"/>
      <c r="M34" s="14">
        <f>IF(ROW()-ROW(M$4)&lt;=1000,ROW()-ROW(M$4),"")</f>
        <v>30</v>
      </c>
      <c r="N34" s="43" t="s">
        <v>7</v>
      </c>
      <c r="O34" s="43" t="s">
        <v>23</v>
      </c>
      <c r="P34" s="41" t="str">
        <f>IF(M34&lt;=$B$4,IF(ISTEXT(G34),G34,""),IF(ISTEXT(J34),J34,""))</f>
        <v>obs_uzf_column.csv</v>
      </c>
      <c r="Q34" s="16" t="s">
        <v>0</v>
      </c>
      <c r="R34" s="34" t="str">
        <f>IF(ROW()-ROW(R$4)&lt;=AH$3,ROW()-ROW(R$4),"")</f>
        <v/>
      </c>
      <c r="S34" s="34" t="str">
        <f>IF(ROW()-ROW(S$4)&lt;=AI$3,ROW()-ROW(S$4),"")</f>
        <v/>
      </c>
      <c r="T34" s="34">
        <f>IF(ROW()-ROW(T$4)&lt;=AJ$3,ROW()-ROW(T$4),"")</f>
        <v>30</v>
      </c>
      <c r="U34" s="34" t="str">
        <f>IF(ROW()-ROW(U$4)&lt;=AK$3,ROW()-ROW(U$4),"")</f>
        <v/>
      </c>
      <c r="V34" s="34" t="str">
        <f>IF(ROW()-ROW(V$4)&lt;=AL$3,ROW()-ROW(V$4),"")</f>
        <v/>
      </c>
      <c r="W34" s="34" t="str">
        <f>IF(ROW()-ROW(W$4)&lt;=AM$3,ROW()-ROW(W$4),"")</f>
        <v/>
      </c>
      <c r="X34" s="34" t="str">
        <f>IF(ROW()-ROW(X$4)&lt;=AN$3,ROW()-ROW(X$4),"")</f>
        <v/>
      </c>
      <c r="Y34" s="34"/>
      <c r="Z34" s="35" t="str">
        <f>IF(ISNUMBER(R34),INDEX($BE$5:$BE$2999,MATCH(R34,AH$5:AH$2999,0),1),"")</f>
        <v/>
      </c>
      <c r="AA34" s="35" t="str">
        <f>IF(ISNUMBER(S34),INDEX($BE$5:$BE$2999,MATCH(S34,AI$5:AI$2999,0),1),"")</f>
        <v/>
      </c>
      <c r="AB34" s="35" t="str">
        <f>IF(ISNUMBER(T34),INDEX($BE$5:$BE$2999,MATCH(T34,AJ$5:AJ$2999,0),1),"")</f>
        <v>obs_uzf_column.csv</v>
      </c>
      <c r="AC34" s="35" t="str">
        <f>IF(ISNUMBER(U34),INDEX($BE$5:$BE$2999,MATCH(U34,AK$5:AK$2999,0),1),"")</f>
        <v/>
      </c>
      <c r="AD34" s="35" t="str">
        <f>IF(ISNUMBER(V34),INDEX($BE$5:$BE$2999,MATCH(V34,AL$5:AL$2999,0),1),"")</f>
        <v/>
      </c>
      <c r="AE34" s="35" t="str">
        <f>IF(ISNUMBER(W34),INDEX($BE$5:$BE$2999,MATCH(W34,AM$5:AM$2999,0),1),"")</f>
        <v/>
      </c>
      <c r="AF34" s="35" t="str">
        <f>IF(ISNUMBER(X34),INDEX($BE$5:$BE$2999,MATCH(X34,AN$5:AN$2999,0),1),"")</f>
        <v/>
      </c>
      <c r="AG34" s="35"/>
      <c r="AH34" s="34">
        <f>IF($BE34="","",IF(ISNUMBER(MATCH($BE34,AP$5:AP$29999,0)),MAX(AH$4:AH33)+1,0))</f>
        <v>0</v>
      </c>
      <c r="AI34" s="34">
        <f>IF($BE34="","",IF(ISNUMBER(MATCH($BE34,AQ$5:AQ$29999,0)),MAX(AI$4:AI33)+1,0))</f>
        <v>0</v>
      </c>
      <c r="AJ34" s="34">
        <f>IF($BE34="","",IF(ISNUMBER(MATCH($BE34,AR$5:AR$29999,0)),MAX(AJ$4:AJ33)+1,0))</f>
        <v>0</v>
      </c>
      <c r="AK34" s="34">
        <f>IF($BE34="","",IF(ISNUMBER(MATCH($BE34,AS$5:AS$29999,0)),MAX(AK$4:AK33)+1,0))</f>
        <v>18</v>
      </c>
      <c r="AL34" s="34">
        <f>IF($BE34="","",IF(ISNUMBER(MATCH($BE34,AT$5:AT$29999,0)),MAX(AL$4:AL33)+1,0))</f>
        <v>20</v>
      </c>
      <c r="AM34" s="34">
        <f>IF($BE34="","",IF(ISNUMBER(MATCH($BE34,AU$5:AU$29999,0)),MAX(AM$4:AM33)+1,0))</f>
        <v>0</v>
      </c>
      <c r="AN34" s="34">
        <f>IF($BE34="","",IF(ISNUMBER(MATCH($BE34,AV$5:AV$29999,0)),MAX(AN$4:AN33)+1,0))</f>
        <v>0</v>
      </c>
      <c r="AO34" s="16"/>
      <c r="AP34" s="33"/>
      <c r="AQ34" s="33"/>
      <c r="AR34" s="33" t="s">
        <v>7</v>
      </c>
      <c r="AS34" s="33"/>
      <c r="AT34" s="33"/>
      <c r="AU34" s="33"/>
      <c r="AV34" s="32" t="s">
        <v>0</v>
      </c>
      <c r="AW34" s="40" t="s">
        <v>23</v>
      </c>
      <c r="AX34" s="20" t="s">
        <v>0</v>
      </c>
      <c r="AY34" s="30" t="s">
        <v>22</v>
      </c>
      <c r="AZ34" s="30" t="s">
        <v>22</v>
      </c>
      <c r="BA34" s="39" t="s">
        <v>0</v>
      </c>
      <c r="BB34" s="44">
        <f>IF(ISTEXT(AW34),IF(ISNUMBER(MATCH(AW34,$AY$5:$AY$100,0)),0,MAX(BB$4:BB33)+1),"")</f>
        <v>0</v>
      </c>
      <c r="BC34" s="36">
        <f>IF(ISTEXT(AY34),MATCH(AY34,$AW$5:$AW$127,0),"")</f>
        <v>6</v>
      </c>
      <c r="BD34" s="36" t="str">
        <f>IF(ISNUMBER(BC34),AY34,ROW()-SUM($BC$4:$BD$4))</f>
        <v>.gwf.obs</v>
      </c>
      <c r="BE34" s="20" t="str">
        <f>IF(ISTEXT(AW34),IF(ISNUMBER(BC34),AY34,INDEX($AW$5:$AW$140,MATCH(BD34,$BB$5:$BB$185,0),1)),"")</f>
        <v>.gwf.obs</v>
      </c>
      <c r="BF34" s="36"/>
      <c r="BG34" s="19" t="str">
        <f>IF(ISNUMBER(MATCH($BE34,Z$5:Z$501,0)),INDEX(Z$5:Z$501,MATCH($BE34,Z$5:Z$501,0),1),"")</f>
        <v/>
      </c>
      <c r="BH34" s="19" t="str">
        <f>IF(ISNUMBER(MATCH($BE34,AA$5:AA$501,0)),INDEX(AA$5:AA$501,MATCH($BE34,AA$5:AA$501,0),1),"")</f>
        <v/>
      </c>
      <c r="BI34" s="19" t="str">
        <f>IF(ISNUMBER(MATCH($BE34,AB$5:AB$501,0)),INDEX(AB$5:AB$501,MATCH($BE34,AB$5:AB$501,0),1),"")</f>
        <v/>
      </c>
      <c r="BJ34" s="19" t="str">
        <f>IF(ISNUMBER(MATCH($BE34,AC$5:AC$501,0)),INDEX(AC$5:AC$501,MATCH($BE34,AC$5:AC$501,0),1),"")</f>
        <v>.gwf.obs</v>
      </c>
      <c r="BK34" s="19" t="str">
        <f>IF(ISNUMBER(MATCH($BE34,AD$5:AD$501,0)),INDEX(AD$5:AD$501,MATCH($BE34,AD$5:AD$501,0),1),"")</f>
        <v>.gwf.obs</v>
      </c>
      <c r="BL34" s="19" t="str">
        <f>IF(ISNUMBER(MATCH($BE34,AE$5:AE$501,0)),INDEX(AE$5:AE$501,MATCH($BE34,AE$5:AE$501,0),1),"")</f>
        <v/>
      </c>
      <c r="BM34" s="19" t="str">
        <f>IF(ISNUMBER(MATCH($BE34,AF$5:AF$501,0)),INDEX(AF$5:AF$501,MATCH($BE34,AF$5:AF$501,0),1),"")</f>
        <v/>
      </c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</row>
    <row r="35" spans="1:78" ht="12" customHeight="1" x14ac:dyDescent="0.25">
      <c r="A35" s="26"/>
      <c r="B35" s="28">
        <f>IF(ISNUMBER(MATCH(O35,$N$5:$N$1000,0)),MATCH(O35,$N$5:$N$1000,0),"")</f>
        <v>19</v>
      </c>
      <c r="C35" s="15">
        <f>IF(ISNUMBER(B35),MAX(C$4:C34)+1,"")</f>
        <v>22</v>
      </c>
      <c r="D35" s="15" t="str">
        <f>IF(IF(ISNUMBER(B35),"",MAX(D$4:D34)+1)&lt;=D$3,IF(ISNUMBER(B35),"",MAX(D$4:D34)+1),"")</f>
        <v/>
      </c>
      <c r="E35" s="42" t="str">
        <f>IF(M35&lt;=D$3,MATCH(M35,D$5:D$1000,0),"")</f>
        <v/>
      </c>
      <c r="F35" s="28" t="str">
        <f>IF(ISNUMBER(E35),INDEX($N$5:$N$1000,E35,1),"")</f>
        <v/>
      </c>
      <c r="G35" s="27" t="str">
        <f>IF(ISNUMBER(C35),N35,IF(ISTEXT(N35),INDEX($F$5:$F$1000,MATCH(M35,$E$5:$E$1000,0),1),""))</f>
        <v>sfr.allreaches.csv</v>
      </c>
      <c r="H35" s="15" t="str">
        <f>IF(O35="","",IF(ISNUMBER(MATCH(O35,$G$5:$G$1000,0)),"",IF(D35=1,C$3,0)+MAX(H$4:H34)+1))</f>
        <v/>
      </c>
      <c r="I35" s="15" t="str">
        <f>IF(O35="","",IF(ISNUMBER(MATCH(O35,$G$5:$G$1000,0)),"",IF(D35=1,B$4,0)+MAX(I$4:I34)+1))</f>
        <v/>
      </c>
      <c r="J35" s="27" t="str">
        <f>IF(ISNUMBER(MATCH(M35,$I$5:$I$1000,0)),INDEX($O$5:$O$1000,MATCH(M35,$I$5:$I$1000,0),1),"")</f>
        <v/>
      </c>
      <c r="K35" s="27">
        <f>IF(P35="",0,1)</f>
        <v>1</v>
      </c>
      <c r="L35" s="26"/>
      <c r="M35" s="14">
        <f>IF(ROW()-ROW(M$4)&lt;=1000,ROW()-ROW(M$4),"")</f>
        <v>31</v>
      </c>
      <c r="N35" s="43" t="s">
        <v>6</v>
      </c>
      <c r="O35" s="43" t="s">
        <v>21</v>
      </c>
      <c r="P35" s="41" t="str">
        <f>IF(M35&lt;=$B$4,IF(ISTEXT(G35),G35,""),IF(ISTEXT(J35),J35,""))</f>
        <v>sfr.allreaches.csv</v>
      </c>
      <c r="Q35" s="16" t="s">
        <v>0</v>
      </c>
      <c r="R35" s="34" t="str">
        <f>IF(ROW()-ROW(R$4)&lt;=AH$3,ROW()-ROW(R$4),"")</f>
        <v/>
      </c>
      <c r="S35" s="34" t="str">
        <f>IF(ROW()-ROW(S$4)&lt;=AI$3,ROW()-ROW(S$4),"")</f>
        <v/>
      </c>
      <c r="T35" s="34">
        <f>IF(ROW()-ROW(T$4)&lt;=AJ$3,ROW()-ROW(T$4),"")</f>
        <v>31</v>
      </c>
      <c r="U35" s="34" t="str">
        <f>IF(ROW()-ROW(U$4)&lt;=AK$3,ROW()-ROW(U$4),"")</f>
        <v/>
      </c>
      <c r="V35" s="34" t="str">
        <f>IF(ROW()-ROW(V$4)&lt;=AL$3,ROW()-ROW(V$4),"")</f>
        <v/>
      </c>
      <c r="W35" s="34" t="str">
        <f>IF(ROW()-ROW(W$4)&lt;=AM$3,ROW()-ROW(W$4),"")</f>
        <v/>
      </c>
      <c r="X35" s="34" t="str">
        <f>IF(ROW()-ROW(X$4)&lt;=AN$3,ROW()-ROW(X$4),"")</f>
        <v/>
      </c>
      <c r="Y35" s="34"/>
      <c r="Z35" s="35" t="str">
        <f>IF(ISNUMBER(R35),INDEX($BE$5:$BE$2999,MATCH(R35,AH$5:AH$2999,0),1),"")</f>
        <v/>
      </c>
      <c r="AA35" s="35" t="str">
        <f>IF(ISNUMBER(S35),INDEX($BE$5:$BE$2999,MATCH(S35,AI$5:AI$2999,0),1),"")</f>
        <v/>
      </c>
      <c r="AB35" s="35" t="str">
        <f>IF(ISNUMBER(T35),INDEX($BE$5:$BE$2999,MATCH(T35,AJ$5:AJ$2999,0),1),"")</f>
        <v>sfr.allreaches.csv</v>
      </c>
      <c r="AC35" s="35" t="str">
        <f>IF(ISNUMBER(U35),INDEX($BE$5:$BE$2999,MATCH(U35,AK$5:AK$2999,0),1),"")</f>
        <v/>
      </c>
      <c r="AD35" s="35" t="str">
        <f>IF(ISNUMBER(V35),INDEX($BE$5:$BE$2999,MATCH(V35,AL$5:AL$2999,0),1),"")</f>
        <v/>
      </c>
      <c r="AE35" s="35" t="str">
        <f>IF(ISNUMBER(W35),INDEX($BE$5:$BE$2999,MATCH(W35,AM$5:AM$2999,0),1),"")</f>
        <v/>
      </c>
      <c r="AF35" s="35" t="str">
        <f>IF(ISNUMBER(X35),INDEX($BE$5:$BE$2999,MATCH(X35,AN$5:AN$2999,0),1),"")</f>
        <v/>
      </c>
      <c r="AG35" s="35"/>
      <c r="AH35" s="34">
        <f>IF($BE35="","",IF(ISNUMBER(MATCH($BE35,AP$5:AP$29999,0)),MAX(AH$4:AH34)+1,0))</f>
        <v>0</v>
      </c>
      <c r="AI35" s="34">
        <f>IF($BE35="","",IF(ISNUMBER(MATCH($BE35,AQ$5:AQ$29999,0)),MAX(AI$4:AI34)+1,0))</f>
        <v>0</v>
      </c>
      <c r="AJ35" s="34">
        <f>IF($BE35="","",IF(ISNUMBER(MATCH($BE35,AR$5:AR$29999,0)),MAX(AJ$4:AJ34)+1,0))</f>
        <v>0</v>
      </c>
      <c r="AK35" s="34">
        <f>IF($BE35="","",IF(ISNUMBER(MATCH($BE35,AS$5:AS$29999,0)),MAX(AK$4:AK34)+1,0))</f>
        <v>19</v>
      </c>
      <c r="AL35" s="34">
        <f>IF($BE35="","",IF(ISNUMBER(MATCH($BE35,AT$5:AT$29999,0)),MAX(AL$4:AL34)+1,0))</f>
        <v>21</v>
      </c>
      <c r="AM35" s="34">
        <f>IF($BE35="","",IF(ISNUMBER(MATCH($BE35,AU$5:AU$29999,0)),MAX(AM$4:AM34)+1,0))</f>
        <v>0</v>
      </c>
      <c r="AN35" s="34">
        <f>IF($BE35="","",IF(ISNUMBER(MATCH($BE35,AV$5:AV$29999,0)),MAX(AN$4:AN34)+1,0))</f>
        <v>0</v>
      </c>
      <c r="AO35" s="16"/>
      <c r="AP35" s="33"/>
      <c r="AQ35" s="33"/>
      <c r="AR35" s="33" t="s">
        <v>6</v>
      </c>
      <c r="AS35" s="33"/>
      <c r="AT35" s="33"/>
      <c r="AU35" s="33"/>
      <c r="AV35" s="32" t="s">
        <v>0</v>
      </c>
      <c r="AW35" s="40" t="s">
        <v>21</v>
      </c>
      <c r="AX35" s="20" t="s">
        <v>0</v>
      </c>
      <c r="AY35" s="30" t="s">
        <v>20</v>
      </c>
      <c r="AZ35" s="30" t="s">
        <v>20</v>
      </c>
      <c r="BA35" s="39" t="s">
        <v>0</v>
      </c>
      <c r="BB35" s="44">
        <f>IF(ISTEXT(AW35),IF(ISNUMBER(MATCH(AW35,$AY$5:$AY$100,0)),0,MAX(BB$4:BB34)+1),"")</f>
        <v>0</v>
      </c>
      <c r="BC35" s="36">
        <f>IF(ISTEXT(AY35),MATCH(AY35,$AW$5:$AW$127,0),"")</f>
        <v>7</v>
      </c>
      <c r="BD35" s="36" t="str">
        <f>IF(ISNUMBER(BC35),AY35,ROW()-SUM($BC$4:$BD$4))</f>
        <v>.gwf.obs.csv</v>
      </c>
      <c r="BE35" s="20" t="str">
        <f>IF(ISTEXT(AW35),IF(ISNUMBER(BC35),AY35,INDEX($AW$5:$AW$140,MATCH(BD35,$BB$5:$BB$185,0),1)),"")</f>
        <v>.gwf.obs.csv</v>
      </c>
      <c r="BF35" s="36"/>
      <c r="BG35" s="19" t="str">
        <f>IF(ISNUMBER(MATCH($BE35,Z$5:Z$501,0)),INDEX(Z$5:Z$501,MATCH($BE35,Z$5:Z$501,0),1),"")</f>
        <v/>
      </c>
      <c r="BH35" s="19" t="str">
        <f>IF(ISNUMBER(MATCH($BE35,AA$5:AA$501,0)),INDEX(AA$5:AA$501,MATCH($BE35,AA$5:AA$501,0),1),"")</f>
        <v/>
      </c>
      <c r="BI35" s="19" t="str">
        <f>IF(ISNUMBER(MATCH($BE35,AB$5:AB$501,0)),INDEX(AB$5:AB$501,MATCH($BE35,AB$5:AB$501,0),1),"")</f>
        <v/>
      </c>
      <c r="BJ35" s="19" t="str">
        <f>IF(ISNUMBER(MATCH($BE35,AC$5:AC$501,0)),INDEX(AC$5:AC$501,MATCH($BE35,AC$5:AC$501,0),1),"")</f>
        <v>.gwf.obs.csv</v>
      </c>
      <c r="BK35" s="19" t="str">
        <f>IF(ISNUMBER(MATCH($BE35,AD$5:AD$501,0)),INDEX(AD$5:AD$501,MATCH($BE35,AD$5:AD$501,0),1),"")</f>
        <v>.gwf.obs.csv</v>
      </c>
      <c r="BL35" s="19" t="str">
        <f>IF(ISNUMBER(MATCH($BE35,AE$5:AE$501,0)),INDEX(AE$5:AE$501,MATCH($BE35,AE$5:AE$501,0),1),"")</f>
        <v/>
      </c>
      <c r="BM35" s="19" t="str">
        <f>IF(ISNUMBER(MATCH($BE35,AF$5:AF$501,0)),INDEX(AF$5:AF$501,MATCH($BE35,AF$5:AF$501,0),1),"")</f>
        <v/>
      </c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</row>
    <row r="36" spans="1:78" ht="12" customHeight="1" x14ac:dyDescent="0.25">
      <c r="A36" s="26"/>
      <c r="B36" s="28" t="str">
        <f>IF(ISNUMBER(MATCH(O36,$N$5:$N$1000,0)),MATCH(O36,$N$5:$N$1000,0),"")</f>
        <v/>
      </c>
      <c r="C36" s="15" t="str">
        <f>IF(ISNUMBER(B36),MAX(C$4:C35)+1,"")</f>
        <v/>
      </c>
      <c r="D36" s="15">
        <f>IF(IF(ISNUMBER(B36),"",MAX(D$4:D35)+1)&lt;=D$3,IF(ISNUMBER(B36),"",MAX(D$4:D35)+1),"")</f>
        <v>10</v>
      </c>
      <c r="E36" s="42" t="str">
        <f>IF(M36&lt;=D$3,MATCH(M36,D$5:D$1000,0),"")</f>
        <v/>
      </c>
      <c r="F36" s="28" t="str">
        <f>IF(ISNUMBER(E36),INDEX($N$5:$N$1000,E36,1),"")</f>
        <v/>
      </c>
      <c r="G36" s="27" t="str">
        <f>IF(ISNUMBER(C36),N36,IF(ISTEXT(N36),INDEX($F$5:$F$1000,MATCH(M36,$E$5:$E$1000,0),1),""))</f>
        <v>sfr.reach01.csv</v>
      </c>
      <c r="H36" s="15">
        <f>IF(O36="","",IF(ISNUMBER(MATCH(O36,$G$5:$G$1000,0)),"",IF(D36=1,C$3,0)+MAX(H$4:H35)+1))</f>
        <v>32</v>
      </c>
      <c r="I36" s="15">
        <f>IF(O36="","",IF(ISNUMBER(MATCH(O36,$G$5:$G$1000,0)),"",IF(D36=1,B$4,0)+MAX(I$4:I35)+1))</f>
        <v>46</v>
      </c>
      <c r="J36" s="27" t="str">
        <f>IF(ISNUMBER(MATCH(M36,$I$5:$I$1000,0)),INDEX($O$5:$O$1000,MATCH(M36,$I$5:$I$1000,0),1),"")</f>
        <v/>
      </c>
      <c r="K36" s="27">
        <f>IF(P36="",0,1)</f>
        <v>1</v>
      </c>
      <c r="L36" s="26"/>
      <c r="M36" s="14">
        <f>IF(ROW()-ROW(M$4)&lt;=1000,ROW()-ROW(M$4),"")</f>
        <v>32</v>
      </c>
      <c r="N36" s="43" t="s">
        <v>5</v>
      </c>
      <c r="O36" s="43" t="s">
        <v>19</v>
      </c>
      <c r="P36" s="41" t="str">
        <f>IF(M36&lt;=$B$4,IF(ISTEXT(G36),G36,""),IF(ISTEXT(J36),J36,""))</f>
        <v>sfr.reach01.csv</v>
      </c>
      <c r="Q36" s="16" t="s">
        <v>0</v>
      </c>
      <c r="R36" s="34" t="str">
        <f>IF(ROW()-ROW(R$4)&lt;=AH$3,ROW()-ROW(R$4),"")</f>
        <v/>
      </c>
      <c r="S36" s="34" t="str">
        <f>IF(ROW()-ROW(S$4)&lt;=AI$3,ROW()-ROW(S$4),"")</f>
        <v/>
      </c>
      <c r="T36" s="34">
        <f>IF(ROW()-ROW(T$4)&lt;=AJ$3,ROW()-ROW(T$4),"")</f>
        <v>32</v>
      </c>
      <c r="U36" s="34" t="str">
        <f>IF(ROW()-ROW(U$4)&lt;=AK$3,ROW()-ROW(U$4),"")</f>
        <v/>
      </c>
      <c r="V36" s="34" t="str">
        <f>IF(ROW()-ROW(V$4)&lt;=AL$3,ROW()-ROW(V$4),"")</f>
        <v/>
      </c>
      <c r="W36" s="34" t="str">
        <f>IF(ROW()-ROW(W$4)&lt;=AM$3,ROW()-ROW(W$4),"")</f>
        <v/>
      </c>
      <c r="X36" s="34" t="str">
        <f>IF(ROW()-ROW(X$4)&lt;=AN$3,ROW()-ROW(X$4),"")</f>
        <v/>
      </c>
      <c r="Y36" s="34"/>
      <c r="Z36" s="35" t="str">
        <f>IF(ISNUMBER(R36),INDEX($BE$5:$BE$2999,MATCH(R36,AH$5:AH$2999,0),1),"")</f>
        <v/>
      </c>
      <c r="AA36" s="35" t="str">
        <f>IF(ISNUMBER(S36),INDEX($BE$5:$BE$2999,MATCH(S36,AI$5:AI$2999,0),1),"")</f>
        <v/>
      </c>
      <c r="AB36" s="35" t="str">
        <f>IF(ISNUMBER(T36),INDEX($BE$5:$BE$2999,MATCH(T36,AJ$5:AJ$2999,0),1),"")</f>
        <v>sfr.reach01.csv</v>
      </c>
      <c r="AC36" s="35" t="str">
        <f>IF(ISNUMBER(U36),INDEX($BE$5:$BE$2999,MATCH(U36,AK$5:AK$2999,0),1),"")</f>
        <v/>
      </c>
      <c r="AD36" s="35" t="str">
        <f>IF(ISNUMBER(V36),INDEX($BE$5:$BE$2999,MATCH(V36,AL$5:AL$2999,0),1),"")</f>
        <v/>
      </c>
      <c r="AE36" s="35" t="str">
        <f>IF(ISNUMBER(W36),INDEX($BE$5:$BE$2999,MATCH(W36,AM$5:AM$2999,0),1),"")</f>
        <v/>
      </c>
      <c r="AF36" s="35" t="str">
        <f>IF(ISNUMBER(X36),INDEX($BE$5:$BE$2999,MATCH(X36,AN$5:AN$2999,0),1),"")</f>
        <v/>
      </c>
      <c r="AG36" s="35"/>
      <c r="AH36" s="34">
        <f>IF($BE36="","",IF(ISNUMBER(MATCH($BE36,AP$5:AP$29999,0)),MAX(AH$4:AH35)+1,0))</f>
        <v>17</v>
      </c>
      <c r="AI36" s="34">
        <f>IF($BE36="","",IF(ISNUMBER(MATCH($BE36,AQ$5:AQ$29999,0)),MAX(AI$4:AI35)+1,0))</f>
        <v>0</v>
      </c>
      <c r="AJ36" s="34">
        <f>IF($BE36="","",IF(ISNUMBER(MATCH($BE36,AR$5:AR$29999,0)),MAX(AJ$4:AJ35)+1,0))</f>
        <v>24</v>
      </c>
      <c r="AK36" s="34">
        <f>IF($BE36="","",IF(ISNUMBER(MATCH($BE36,AS$5:AS$29999,0)),MAX(AK$4:AK35)+1,0))</f>
        <v>20</v>
      </c>
      <c r="AL36" s="34">
        <f>IF($BE36="","",IF(ISNUMBER(MATCH($BE36,AT$5:AT$29999,0)),MAX(AL$4:AL35)+1,0))</f>
        <v>22</v>
      </c>
      <c r="AM36" s="34">
        <f>IF($BE36="","",IF(ISNUMBER(MATCH($BE36,AU$5:AU$29999,0)),MAX(AM$4:AM35)+1,0))</f>
        <v>0</v>
      </c>
      <c r="AN36" s="34">
        <f>IF($BE36="","",IF(ISNUMBER(MATCH($BE36,AV$5:AV$29999,0)),MAX(AN$4:AN35)+1,0))</f>
        <v>0</v>
      </c>
      <c r="AO36" s="16"/>
      <c r="AP36" s="33"/>
      <c r="AQ36" s="33"/>
      <c r="AR36" s="33" t="s">
        <v>5</v>
      </c>
      <c r="AS36" s="33"/>
      <c r="AT36" s="33"/>
      <c r="AU36" s="33"/>
      <c r="AV36" s="32" t="s">
        <v>0</v>
      </c>
      <c r="AW36" s="40" t="s">
        <v>19</v>
      </c>
      <c r="AX36" s="20" t="s">
        <v>0</v>
      </c>
      <c r="AY36" s="30" t="s">
        <v>18</v>
      </c>
      <c r="AZ36" s="30" t="s">
        <v>18</v>
      </c>
      <c r="BA36" s="39" t="s">
        <v>0</v>
      </c>
      <c r="BB36" s="44">
        <f>IF(ISTEXT(AW36),IF(ISNUMBER(MATCH(AW36,$AY$5:$AY$100,0)),0,MAX(BB$4:BB35)+1),"")</f>
        <v>0</v>
      </c>
      <c r="BC36" s="36">
        <f>IF(ISTEXT(AY36),MATCH(AY36,$AW$5:$AW$127,0),"")</f>
        <v>1</v>
      </c>
      <c r="BD36" s="36" t="str">
        <f>IF(ISNUMBER(BC36),AY36,ROW()-SUM($BC$4:$BD$4))</f>
        <v>.cbc</v>
      </c>
      <c r="BE36" s="20" t="str">
        <f>IF(ISTEXT(AW36),IF(ISNUMBER(BC36),AY36,INDEX($AW$5:$AW$140,MATCH(BD36,$BB$5:$BB$185,0),1)),"")</f>
        <v>.cbc</v>
      </c>
      <c r="BF36" s="36"/>
      <c r="BG36" s="19" t="str">
        <f>IF(ISNUMBER(MATCH($BE36,Z$5:Z$501,0)),INDEX(Z$5:Z$501,MATCH($BE36,Z$5:Z$501,0),1),"")</f>
        <v>.cbc</v>
      </c>
      <c r="BH36" s="19" t="str">
        <f>IF(ISNUMBER(MATCH($BE36,AA$5:AA$501,0)),INDEX(AA$5:AA$501,MATCH($BE36,AA$5:AA$501,0),1),"")</f>
        <v/>
      </c>
      <c r="BI36" s="19" t="str">
        <f>IF(ISNUMBER(MATCH($BE36,AB$5:AB$501,0)),INDEX(AB$5:AB$501,MATCH($BE36,AB$5:AB$501,0),1),"")</f>
        <v>.cbc</v>
      </c>
      <c r="BJ36" s="19" t="str">
        <f>IF(ISNUMBER(MATCH($BE36,AC$5:AC$501,0)),INDEX(AC$5:AC$501,MATCH($BE36,AC$5:AC$501,0),1),"")</f>
        <v>.cbc</v>
      </c>
      <c r="BK36" s="19" t="str">
        <f>IF(ISNUMBER(MATCH($BE36,AD$5:AD$501,0)),INDEX(AD$5:AD$501,MATCH($BE36,AD$5:AD$501,0),1),"")</f>
        <v>.cbc</v>
      </c>
      <c r="BL36" s="19" t="str">
        <f>IF(ISNUMBER(MATCH($BE36,AE$5:AE$501,0)),INDEX(AE$5:AE$501,MATCH($BE36,AE$5:AE$501,0),1),"")</f>
        <v/>
      </c>
      <c r="BM36" s="19" t="str">
        <f>IF(ISNUMBER(MATCH($BE36,AF$5:AF$501,0)),INDEX(AF$5:AF$501,MATCH($BE36,AF$5:AF$501,0),1),"")</f>
        <v/>
      </c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</row>
    <row r="37" spans="1:78" ht="12" customHeight="1" x14ac:dyDescent="0.25">
      <c r="A37" s="26"/>
      <c r="B37" s="28" t="str">
        <f>IF(ISNUMBER(MATCH(O37,$N$5:$N$1000,0)),MATCH(O37,$N$5:$N$1000,0),"")</f>
        <v/>
      </c>
      <c r="C37" s="15" t="str">
        <f>IF(ISNUMBER(B37),MAX(C$4:C36)+1,"")</f>
        <v/>
      </c>
      <c r="D37" s="15">
        <f>IF(IF(ISNUMBER(B37),"",MAX(D$4:D36)+1)&lt;=D$3,IF(ISNUMBER(B37),"",MAX(D$4:D36)+1),"")</f>
        <v>11</v>
      </c>
      <c r="E37" s="42" t="str">
        <f>IF(M37&lt;=D$3,MATCH(M37,D$5:D$1000,0),"")</f>
        <v/>
      </c>
      <c r="F37" s="28" t="str">
        <f>IF(ISNUMBER(E37),INDEX($N$5:$N$1000,E37,1),"")</f>
        <v/>
      </c>
      <c r="G37" s="27" t="str">
        <f>IF(ISNUMBER(C37),N37,IF(ISTEXT(N37),INDEX($F$5:$F$1000,MATCH(M37,$E$5:$E$1000,0),1),""))</f>
        <v>sfr.reach24.csv</v>
      </c>
      <c r="H37" s="15" t="str">
        <f>IF(O37="","",IF(ISNUMBER(MATCH(O37,$G$5:$G$1000,0)),"",IF(D37=1,C$3,0)+MAX(H$4:H36)+1))</f>
        <v/>
      </c>
      <c r="I37" s="15" t="str">
        <f>IF(O37="","",IF(ISNUMBER(MATCH(O37,$G$5:$G$1000,0)),"",IF(D37=1,B$4,0)+MAX(I$4:I36)+1))</f>
        <v/>
      </c>
      <c r="J37" s="27" t="str">
        <f>IF(ISNUMBER(MATCH(M37,$I$5:$I$1000,0)),INDEX($O$5:$O$1000,MATCH(M37,$I$5:$I$1000,0),1),"")</f>
        <v/>
      </c>
      <c r="K37" s="27">
        <f>IF(P37="",0,1)</f>
        <v>1</v>
      </c>
      <c r="L37" s="26"/>
      <c r="M37" s="14">
        <f>IF(ROW()-ROW(M$4)&lt;=1000,ROW()-ROW(M$4),"")</f>
        <v>33</v>
      </c>
      <c r="N37" s="43" t="s">
        <v>4</v>
      </c>
      <c r="O37" s="43"/>
      <c r="P37" s="41" t="str">
        <f>IF(M37&lt;=$B$4,IF(ISTEXT(G37),G37,""),IF(ISTEXT(J37),J37,""))</f>
        <v>sfr.reach24.csv</v>
      </c>
      <c r="Q37" s="16" t="s">
        <v>0</v>
      </c>
      <c r="R37" s="34" t="str">
        <f>IF(ROW()-ROW(R$4)&lt;=AH$3,ROW()-ROW(R$4),"")</f>
        <v/>
      </c>
      <c r="S37" s="34" t="str">
        <f>IF(ROW()-ROW(S$4)&lt;=AI$3,ROW()-ROW(S$4),"")</f>
        <v/>
      </c>
      <c r="T37" s="34">
        <f>IF(ROW()-ROW(T$4)&lt;=AJ$3,ROW()-ROW(T$4),"")</f>
        <v>33</v>
      </c>
      <c r="U37" s="34" t="str">
        <f>IF(ROW()-ROW(U$4)&lt;=AK$3,ROW()-ROW(U$4),"")</f>
        <v/>
      </c>
      <c r="V37" s="34" t="str">
        <f>IF(ROW()-ROW(V$4)&lt;=AL$3,ROW()-ROW(V$4),"")</f>
        <v/>
      </c>
      <c r="W37" s="34" t="str">
        <f>IF(ROW()-ROW(W$4)&lt;=AM$3,ROW()-ROW(W$4),"")</f>
        <v/>
      </c>
      <c r="X37" s="34" t="str">
        <f>IF(ROW()-ROW(X$4)&lt;=AN$3,ROW()-ROW(X$4),"")</f>
        <v/>
      </c>
      <c r="Y37" s="34"/>
      <c r="Z37" s="35" t="str">
        <f>IF(ISNUMBER(R37),INDEX($BE$5:$BE$2999,MATCH(R37,AH$5:AH$2999,0),1),"")</f>
        <v/>
      </c>
      <c r="AA37" s="35" t="str">
        <f>IF(ISNUMBER(S37),INDEX($BE$5:$BE$2999,MATCH(S37,AI$5:AI$2999,0),1),"")</f>
        <v/>
      </c>
      <c r="AB37" s="35" t="str">
        <f>IF(ISNUMBER(T37),INDEX($BE$5:$BE$2999,MATCH(T37,AJ$5:AJ$2999,0),1),"")</f>
        <v>sfr.reach24.csv</v>
      </c>
      <c r="AC37" s="35" t="str">
        <f>IF(ISNUMBER(U37),INDEX($BE$5:$BE$2999,MATCH(U37,AK$5:AK$2999,0),1),"")</f>
        <v/>
      </c>
      <c r="AD37" s="35" t="str">
        <f>IF(ISNUMBER(V37),INDEX($BE$5:$BE$2999,MATCH(V37,AL$5:AL$2999,0),1),"")</f>
        <v/>
      </c>
      <c r="AE37" s="35" t="str">
        <f>IF(ISNUMBER(W37),INDEX($BE$5:$BE$2999,MATCH(W37,AM$5:AM$2999,0),1),"")</f>
        <v/>
      </c>
      <c r="AF37" s="35" t="str">
        <f>IF(ISNUMBER(X37),INDEX($BE$5:$BE$2999,MATCH(X37,AN$5:AN$2999,0),1),"")</f>
        <v/>
      </c>
      <c r="AG37" s="35"/>
      <c r="AH37" s="34">
        <f>IF($BE37="","",IF(ISNUMBER(MATCH($BE37,AP$5:AP$29999,0)),MAX(AH$4:AH36)+1,0))</f>
        <v>18</v>
      </c>
      <c r="AI37" s="34">
        <f>IF($BE37="","",IF(ISNUMBER(MATCH($BE37,AQ$5:AQ$29999,0)),MAX(AI$4:AI36)+1,0))</f>
        <v>0</v>
      </c>
      <c r="AJ37" s="34">
        <f>IF($BE37="","",IF(ISNUMBER(MATCH($BE37,AR$5:AR$29999,0)),MAX(AJ$4:AJ36)+1,0))</f>
        <v>0</v>
      </c>
      <c r="AK37" s="34">
        <f>IF($BE37="","",IF(ISNUMBER(MATCH($BE37,AS$5:AS$29999,0)),MAX(AK$4:AK36)+1,0))</f>
        <v>21</v>
      </c>
      <c r="AL37" s="34">
        <f>IF($BE37="","",IF(ISNUMBER(MATCH($BE37,AT$5:AT$29999,0)),MAX(AL$4:AL36)+1,0))</f>
        <v>23</v>
      </c>
      <c r="AM37" s="34">
        <f>IF($BE37="","",IF(ISNUMBER(MATCH($BE37,AU$5:AU$29999,0)),MAX(AM$4:AM36)+1,0))</f>
        <v>22</v>
      </c>
      <c r="AN37" s="34">
        <f>IF($BE37="","",IF(ISNUMBER(MATCH($BE37,AV$5:AV$29999,0)),MAX(AN$4:AN36)+1,0))</f>
        <v>0</v>
      </c>
      <c r="AO37" s="16"/>
      <c r="AP37" s="33"/>
      <c r="AQ37" s="33"/>
      <c r="AR37" s="33" t="s">
        <v>4</v>
      </c>
      <c r="AS37" s="33"/>
      <c r="AT37" s="33"/>
      <c r="AU37" s="33"/>
      <c r="AV37" s="32" t="s">
        <v>0</v>
      </c>
      <c r="AW37" s="40" t="s">
        <v>12</v>
      </c>
      <c r="AX37" s="20" t="s">
        <v>0</v>
      </c>
      <c r="AY37" s="30" t="s">
        <v>17</v>
      </c>
      <c r="AZ37" s="30" t="s">
        <v>17</v>
      </c>
      <c r="BA37" s="39" t="s">
        <v>0</v>
      </c>
      <c r="BB37" s="44">
        <f>IF(ISTEXT(AW37),IF(ISNUMBER(MATCH(AW37,$AY$5:$AY$100,0)),0,MAX(BB$4:BB36)+1),"")</f>
        <v>0</v>
      </c>
      <c r="BC37" s="36">
        <f>IF(ISTEXT(AY37),MATCH(AY37,$AW$5:$AW$127,0),"")</f>
        <v>19</v>
      </c>
      <c r="BD37" s="36" t="str">
        <f>IF(ISNUMBER(BC37),AY37,ROW()-SUM($BC$4:$BD$4))</f>
        <v>.rcha</v>
      </c>
      <c r="BE37" s="20" t="str">
        <f>IF(ISTEXT(AW37),IF(ISNUMBER(BC37),AY37,INDEX($AW$5:$AW$140,MATCH(BD37,$BB$5:$BB$185,0),1)),"")</f>
        <v>.rcha</v>
      </c>
      <c r="BF37" s="36"/>
      <c r="BG37" s="19" t="str">
        <f>IF(ISNUMBER(MATCH($BE37,Z$5:Z$501,0)),INDEX(Z$5:Z$501,MATCH($BE37,Z$5:Z$501,0),1),"")</f>
        <v>.rcha</v>
      </c>
      <c r="BH37" s="19" t="str">
        <f>IF(ISNUMBER(MATCH($BE37,AA$5:AA$501,0)),INDEX(AA$5:AA$501,MATCH($BE37,AA$5:AA$501,0),1),"")</f>
        <v/>
      </c>
      <c r="BI37" s="19" t="str">
        <f>IF(ISNUMBER(MATCH($BE37,AB$5:AB$501,0)),INDEX(AB$5:AB$501,MATCH($BE37,AB$5:AB$501,0),1),"")</f>
        <v/>
      </c>
      <c r="BJ37" s="19" t="str">
        <f>IF(ISNUMBER(MATCH($BE37,AC$5:AC$501,0)),INDEX(AC$5:AC$501,MATCH($BE37,AC$5:AC$501,0),1),"")</f>
        <v>.rcha</v>
      </c>
      <c r="BK37" s="19" t="str">
        <f>IF(ISNUMBER(MATCH($BE37,AD$5:AD$501,0)),INDEX(AD$5:AD$501,MATCH($BE37,AD$5:AD$501,0),1),"")</f>
        <v>.rcha</v>
      </c>
      <c r="BL37" s="19" t="str">
        <f>IF(ISNUMBER(MATCH($BE37,AE$5:AE$501,0)),INDEX(AE$5:AE$501,MATCH($BE37,AE$5:AE$501,0),1),"")</f>
        <v>.rcha</v>
      </c>
      <c r="BM37" s="19" t="str">
        <f>IF(ISNUMBER(MATCH($BE37,AF$5:AF$501,0)),INDEX(AF$5:AF$501,MATCH($BE37,AF$5:AF$501,0),1),"")</f>
        <v/>
      </c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</row>
    <row r="38" spans="1:78" ht="12" customHeight="1" x14ac:dyDescent="0.25">
      <c r="A38" s="26"/>
      <c r="B38" s="28" t="str">
        <f>IF(ISNUMBER(MATCH(O38,$N$5:$N$1000,0)),MATCH(O38,$N$5:$N$1000,0),"")</f>
        <v/>
      </c>
      <c r="C38" s="15" t="str">
        <f>IF(ISNUMBER(B38),MAX(C$4:C37)+1,"")</f>
        <v/>
      </c>
      <c r="D38" s="15">
        <f>IF(IF(ISNUMBER(B38),"",MAX(D$4:D37)+1)&lt;=D$3,IF(ISNUMBER(B38),"",MAX(D$4:D37)+1),"")</f>
        <v>12</v>
      </c>
      <c r="E38" s="42" t="str">
        <f>IF(M38&lt;=D$3,MATCH(M38,D$5:D$1000,0),"")</f>
        <v/>
      </c>
      <c r="F38" s="28" t="str">
        <f>IF(ISNUMBER(E38),INDEX($N$5:$N$1000,E38,1),"")</f>
        <v/>
      </c>
      <c r="G38" s="27" t="str">
        <f>IF(ISNUMBER(C38),N38,IF(ISTEXT(N38),INDEX($F$5:$F$1000,MATCH(M38,$E$5:$E$1000,0),1),""))</f>
        <v>sfr.reach29.csv</v>
      </c>
      <c r="H38" s="15" t="str">
        <f>IF(O38="","",IF(ISNUMBER(MATCH(O38,$G$5:$G$1000,0)),"",IF(D38=1,C$3,0)+MAX(H$4:H37)+1))</f>
        <v/>
      </c>
      <c r="I38" s="15" t="str">
        <f>IF(O38="","",IF(ISNUMBER(MATCH(O38,$G$5:$G$1000,0)),"",IF(D38=1,B$4,0)+MAX(I$4:I37)+1))</f>
        <v/>
      </c>
      <c r="J38" s="27" t="str">
        <f>IF(ISNUMBER(MATCH(M38,$I$5:$I$1000,0)),INDEX($O$5:$O$1000,MATCH(M38,$I$5:$I$1000,0),1),"")</f>
        <v/>
      </c>
      <c r="K38" s="27">
        <f>IF(P38="",0,1)</f>
        <v>1</v>
      </c>
      <c r="L38" s="26"/>
      <c r="M38" s="14">
        <f>IF(ROW()-ROW(M$4)&lt;=1000,ROW()-ROW(M$4),"")</f>
        <v>34</v>
      </c>
      <c r="N38" s="43" t="s">
        <v>3</v>
      </c>
      <c r="O38" s="43"/>
      <c r="P38" s="41" t="str">
        <f>IF(M38&lt;=$B$4,IF(ISTEXT(G38),G38,""),IF(ISTEXT(J38),J38,""))</f>
        <v>sfr.reach29.csv</v>
      </c>
      <c r="Q38" s="16" t="s">
        <v>0</v>
      </c>
      <c r="R38" s="34" t="str">
        <f>IF(ROW()-ROW(R$4)&lt;=AH$3,ROW()-ROW(R$4),"")</f>
        <v/>
      </c>
      <c r="S38" s="34" t="str">
        <f>IF(ROW()-ROW(S$4)&lt;=AI$3,ROW()-ROW(S$4),"")</f>
        <v/>
      </c>
      <c r="T38" s="34">
        <f>IF(ROW()-ROW(T$4)&lt;=AJ$3,ROW()-ROW(T$4),"")</f>
        <v>34</v>
      </c>
      <c r="U38" s="34" t="str">
        <f>IF(ROW()-ROW(U$4)&lt;=AK$3,ROW()-ROW(U$4),"")</f>
        <v/>
      </c>
      <c r="V38" s="34" t="str">
        <f>IF(ROW()-ROW(V$4)&lt;=AL$3,ROW()-ROW(V$4),"")</f>
        <v/>
      </c>
      <c r="W38" s="34" t="str">
        <f>IF(ROW()-ROW(W$4)&lt;=AM$3,ROW()-ROW(W$4),"")</f>
        <v/>
      </c>
      <c r="X38" s="34" t="str">
        <f>IF(ROW()-ROW(X$4)&lt;=AN$3,ROW()-ROW(X$4),"")</f>
        <v/>
      </c>
      <c r="Y38" s="34"/>
      <c r="Z38" s="35" t="str">
        <f>IF(ISNUMBER(R38),INDEX($BE$5:$BE$2999,MATCH(R38,AH$5:AH$2999,0),1),"")</f>
        <v/>
      </c>
      <c r="AA38" s="35" t="str">
        <f>IF(ISNUMBER(S38),INDEX($BE$5:$BE$2999,MATCH(S38,AI$5:AI$2999,0),1),"")</f>
        <v/>
      </c>
      <c r="AB38" s="35" t="str">
        <f>IF(ISNUMBER(T38),INDEX($BE$5:$BE$2999,MATCH(T38,AJ$5:AJ$2999,0),1),"")</f>
        <v>sfr.reach29.csv</v>
      </c>
      <c r="AC38" s="35" t="str">
        <f>IF(ISNUMBER(U38),INDEX($BE$5:$BE$2999,MATCH(U38,AK$5:AK$2999,0),1),"")</f>
        <v/>
      </c>
      <c r="AD38" s="35" t="str">
        <f>IF(ISNUMBER(V38),INDEX($BE$5:$BE$2999,MATCH(V38,AL$5:AL$2999,0),1),"")</f>
        <v/>
      </c>
      <c r="AE38" s="35" t="str">
        <f>IF(ISNUMBER(W38),INDEX($BE$5:$BE$2999,MATCH(W38,AM$5:AM$2999,0),1),"")</f>
        <v/>
      </c>
      <c r="AF38" s="35" t="str">
        <f>IF(ISNUMBER(X38),INDEX($BE$5:$BE$2999,MATCH(X38,AN$5:AN$2999,0),1),"")</f>
        <v/>
      </c>
      <c r="AG38" s="35"/>
      <c r="AH38" s="34">
        <f>IF($BE38="","",IF(ISNUMBER(MATCH($BE38,AP$5:AP$29999,0)),MAX(AH$4:AH37)+1,0))</f>
        <v>19</v>
      </c>
      <c r="AI38" s="34">
        <f>IF($BE38="","",IF(ISNUMBER(MATCH($BE38,AQ$5:AQ$29999,0)),MAX(AI$4:AI37)+1,0))</f>
        <v>0</v>
      </c>
      <c r="AJ38" s="34">
        <f>IF($BE38="","",IF(ISNUMBER(MATCH($BE38,AR$5:AR$29999,0)),MAX(AJ$4:AJ37)+1,0))</f>
        <v>25</v>
      </c>
      <c r="AK38" s="34">
        <f>IF($BE38="","",IF(ISNUMBER(MATCH($BE38,AS$5:AS$29999,0)),MAX(AK$4:AK37)+1,0))</f>
        <v>22</v>
      </c>
      <c r="AL38" s="34">
        <f>IF($BE38="","",IF(ISNUMBER(MATCH($BE38,AT$5:AT$29999,0)),MAX(AL$4:AL37)+1,0))</f>
        <v>24</v>
      </c>
      <c r="AM38" s="34">
        <f>IF($BE38="","",IF(ISNUMBER(MATCH($BE38,AU$5:AU$29999,0)),MAX(AM$4:AM37)+1,0))</f>
        <v>23</v>
      </c>
      <c r="AN38" s="34">
        <f>IF($BE38="","",IF(ISNUMBER(MATCH($BE38,AV$5:AV$29999,0)),MAX(AN$4:AN37)+1,0))</f>
        <v>0</v>
      </c>
      <c r="AO38" s="16"/>
      <c r="AP38" s="33"/>
      <c r="AQ38" s="33"/>
      <c r="AR38" s="33" t="s">
        <v>3</v>
      </c>
      <c r="AS38" s="33"/>
      <c r="AT38" s="33"/>
      <c r="AU38" s="33"/>
      <c r="AV38" s="32" t="s">
        <v>0</v>
      </c>
      <c r="AW38" s="40" t="s">
        <v>16</v>
      </c>
      <c r="AX38" s="20" t="s">
        <v>0</v>
      </c>
      <c r="AY38" s="30" t="s">
        <v>15</v>
      </c>
      <c r="AZ38" s="30" t="s">
        <v>15</v>
      </c>
      <c r="BA38" s="39" t="s">
        <v>0</v>
      </c>
      <c r="BB38" s="44">
        <f>IF(ISTEXT(AW38),IF(ISNUMBER(MATCH(AW38,$AY$5:$AY$100,0)),0,MAX(BB$4:BB37)+1),"")</f>
        <v>0</v>
      </c>
      <c r="BC38" s="36">
        <f>IF(ISTEXT(AY38),MATCH(AY38,$AW$5:$AW$127,0),"")</f>
        <v>8</v>
      </c>
      <c r="BD38" s="36" t="str">
        <f>IF(ISNUMBER(BC38),AY38,ROW()-SUM($BC$4:$BD$4))</f>
        <v>.hds</v>
      </c>
      <c r="BE38" s="20" t="str">
        <f>IF(ISTEXT(AW38),IF(ISNUMBER(BC38),AY38,INDEX($AW$5:$AW$140,MATCH(BD38,$BB$5:$BB$185,0),1)),"")</f>
        <v>.hds</v>
      </c>
      <c r="BF38" s="36"/>
      <c r="BG38" s="19" t="str">
        <f>IF(ISNUMBER(MATCH($BE38,Z$5:Z$501,0)),INDEX(Z$5:Z$501,MATCH($BE38,Z$5:Z$501,0),1),"")</f>
        <v>.hds</v>
      </c>
      <c r="BH38" s="19" t="str">
        <f>IF(ISNUMBER(MATCH($BE38,AA$5:AA$501,0)),INDEX(AA$5:AA$501,MATCH($BE38,AA$5:AA$501,0),1),"")</f>
        <v/>
      </c>
      <c r="BI38" s="19" t="str">
        <f>IF(ISNUMBER(MATCH($BE38,AB$5:AB$501,0)),INDEX(AB$5:AB$501,MATCH($BE38,AB$5:AB$501,0),1),"")</f>
        <v>.hds</v>
      </c>
      <c r="BJ38" s="19" t="str">
        <f>IF(ISNUMBER(MATCH($BE38,AC$5:AC$501,0)),INDEX(AC$5:AC$501,MATCH($BE38,AC$5:AC$501,0),1),"")</f>
        <v>.hds</v>
      </c>
      <c r="BK38" s="19" t="str">
        <f>IF(ISNUMBER(MATCH($BE38,AD$5:AD$501,0)),INDEX(AD$5:AD$501,MATCH($BE38,AD$5:AD$501,0),1),"")</f>
        <v>.hds</v>
      </c>
      <c r="BL38" s="19" t="str">
        <f>IF(ISNUMBER(MATCH($BE38,AE$5:AE$501,0)),INDEX(AE$5:AE$501,MATCH($BE38,AE$5:AE$501,0),1),"")</f>
        <v>.hds</v>
      </c>
      <c r="BM38" s="19" t="str">
        <f>IF(ISNUMBER(MATCH($BE38,AF$5:AF$501,0)),INDEX(AF$5:AF$501,MATCH($BE38,AF$5:AF$501,0),1),"")</f>
        <v/>
      </c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</row>
    <row r="39" spans="1:78" ht="12" customHeight="1" x14ac:dyDescent="0.25">
      <c r="A39" s="26"/>
      <c r="B39" s="28" t="str">
        <f>IF(ISNUMBER(MATCH(O39,$N$5:$N$1000,0)),MATCH(O39,$N$5:$N$1000,0),"")</f>
        <v/>
      </c>
      <c r="C39" s="15" t="str">
        <f>IF(ISNUMBER(B39),MAX(C$4:C38)+1,"")</f>
        <v/>
      </c>
      <c r="D39" s="15">
        <f>IF(IF(ISNUMBER(B39),"",MAX(D$4:D38)+1)&lt;=D$3,IF(ISNUMBER(B39),"",MAX(D$4:D38)+1),"")</f>
        <v>13</v>
      </c>
      <c r="E39" s="42" t="str">
        <f>IF(M39&lt;=D$3,MATCH(M39,D$5:D$1000,0),"")</f>
        <v/>
      </c>
      <c r="F39" s="28" t="str">
        <f>IF(ISNUMBER(E39),INDEX($N$5:$N$1000,E39,1),"")</f>
        <v/>
      </c>
      <c r="G39" s="27" t="str">
        <f>IF(ISNUMBER(C39),N39,IF(ISTEXT(N39),INDEX($F$5:$F$1000,MATCH(M39,$E$5:$E$1000,0),1),""))</f>
        <v>sfr.reach31.csv</v>
      </c>
      <c r="H39" s="15" t="str">
        <f>IF(O39="","",IF(ISNUMBER(MATCH(O39,$G$5:$G$1000,0)),"",IF(D39=1,C$3,0)+MAX(H$4:H38)+1))</f>
        <v/>
      </c>
      <c r="I39" s="15" t="str">
        <f>IF(O39="","",IF(ISNUMBER(MATCH(O39,$G$5:$G$1000,0)),"",IF(D39=1,B$4,0)+MAX(I$4:I38)+1))</f>
        <v/>
      </c>
      <c r="J39" s="27" t="str">
        <f>IF(ISNUMBER(MATCH(M39,$I$5:$I$1000,0)),INDEX($O$5:$O$1000,MATCH(M39,$I$5:$I$1000,0),1),"")</f>
        <v/>
      </c>
      <c r="K39" s="27">
        <f>IF(P39="",0,1)</f>
        <v>1</v>
      </c>
      <c r="L39" s="26"/>
      <c r="M39" s="14">
        <f>IF(ROW()-ROW(M$4)&lt;=1000,ROW()-ROW(M$4),"")</f>
        <v>35</v>
      </c>
      <c r="N39" s="43" t="s">
        <v>2</v>
      </c>
      <c r="O39" s="43"/>
      <c r="P39" s="41" t="str">
        <f>IF(M39&lt;=$B$4,IF(ISTEXT(G39),G39,""),IF(ISTEXT(J39),J39,""))</f>
        <v>sfr.reach31.csv</v>
      </c>
      <c r="Q39" s="16" t="s">
        <v>0</v>
      </c>
      <c r="R39" s="34" t="str">
        <f>IF(ROW()-ROW(R$4)&lt;=AH$3,ROW()-ROW(R$4),"")</f>
        <v/>
      </c>
      <c r="S39" s="34" t="str">
        <f>IF(ROW()-ROW(S$4)&lt;=AI$3,ROW()-ROW(S$4),"")</f>
        <v/>
      </c>
      <c r="T39" s="34">
        <f>IF(ROW()-ROW(T$4)&lt;=AJ$3,ROW()-ROW(T$4),"")</f>
        <v>35</v>
      </c>
      <c r="U39" s="34" t="str">
        <f>IF(ROW()-ROW(U$4)&lt;=AK$3,ROW()-ROW(U$4),"")</f>
        <v/>
      </c>
      <c r="V39" s="34" t="str">
        <f>IF(ROW()-ROW(V$4)&lt;=AL$3,ROW()-ROW(V$4),"")</f>
        <v/>
      </c>
      <c r="W39" s="34" t="str">
        <f>IF(ROW()-ROW(W$4)&lt;=AM$3,ROW()-ROW(W$4),"")</f>
        <v/>
      </c>
      <c r="X39" s="34" t="str">
        <f>IF(ROW()-ROW(X$4)&lt;=AN$3,ROW()-ROW(X$4),"")</f>
        <v/>
      </c>
      <c r="Y39" s="34"/>
      <c r="Z39" s="35" t="str">
        <f>IF(ISNUMBER(R39),INDEX($BE$5:$BE$2999,MATCH(R39,AH$5:AH$2999,0),1),"")</f>
        <v/>
      </c>
      <c r="AA39" s="35" t="str">
        <f>IF(ISNUMBER(S39),INDEX($BE$5:$BE$2999,MATCH(S39,AI$5:AI$2999,0),1),"")</f>
        <v/>
      </c>
      <c r="AB39" s="35" t="str">
        <f>IF(ISNUMBER(T39),INDEX($BE$5:$BE$2999,MATCH(T39,AJ$5:AJ$2999,0),1),"")</f>
        <v>sfr.reach31.csv</v>
      </c>
      <c r="AC39" s="35" t="str">
        <f>IF(ISNUMBER(U39),INDEX($BE$5:$BE$2999,MATCH(U39,AK$5:AK$2999,0),1),"")</f>
        <v/>
      </c>
      <c r="AD39" s="35" t="str">
        <f>IF(ISNUMBER(V39),INDEX($BE$5:$BE$2999,MATCH(V39,AL$5:AL$2999,0),1),"")</f>
        <v/>
      </c>
      <c r="AE39" s="35" t="str">
        <f>IF(ISNUMBER(W39),INDEX($BE$5:$BE$2999,MATCH(W39,AM$5:AM$2999,0),1),"")</f>
        <v/>
      </c>
      <c r="AF39" s="35" t="str">
        <f>IF(ISNUMBER(X39),INDEX($BE$5:$BE$2999,MATCH(X39,AN$5:AN$2999,0),1),"")</f>
        <v/>
      </c>
      <c r="AG39" s="35"/>
      <c r="AH39" s="34">
        <f>IF($BE39="","",IF(ISNUMBER(MATCH($BE39,AP$5:AP$29999,0)),MAX(AH$4:AH38)+1,0))</f>
        <v>20</v>
      </c>
      <c r="AI39" s="34">
        <f>IF($BE39="","",IF(ISNUMBER(MATCH($BE39,AQ$5:AQ$29999,0)),MAX(AI$4:AI38)+1,0))</f>
        <v>0</v>
      </c>
      <c r="AJ39" s="34">
        <f>IF($BE39="","",IF(ISNUMBER(MATCH($BE39,AR$5:AR$29999,0)),MAX(AJ$4:AJ38)+1,0))</f>
        <v>26</v>
      </c>
      <c r="AK39" s="34">
        <f>IF($BE39="","",IF(ISNUMBER(MATCH($BE39,AS$5:AS$29999,0)),MAX(AK$4:AK38)+1,0))</f>
        <v>0</v>
      </c>
      <c r="AL39" s="34">
        <f>IF($BE39="","",IF(ISNUMBER(MATCH($BE39,AT$5:AT$29999,0)),MAX(AL$4:AL38)+1,0))</f>
        <v>0</v>
      </c>
      <c r="AM39" s="34">
        <f>IF($BE39="","",IF(ISNUMBER(MATCH($BE39,AU$5:AU$29999,0)),MAX(AM$4:AM38)+1,0))</f>
        <v>0</v>
      </c>
      <c r="AN39" s="34">
        <f>IF($BE39="","",IF(ISNUMBER(MATCH($BE39,AV$5:AV$29999,0)),MAX(AN$4:AN38)+1,0))</f>
        <v>0</v>
      </c>
      <c r="AO39" s="16"/>
      <c r="AP39" s="33"/>
      <c r="AQ39" s="33"/>
      <c r="AR39" s="33" t="s">
        <v>2</v>
      </c>
      <c r="AS39" s="33"/>
      <c r="AT39" s="33"/>
      <c r="AU39" s="33"/>
      <c r="AV39" s="32" t="s">
        <v>0</v>
      </c>
      <c r="AW39" s="40" t="s">
        <v>14</v>
      </c>
      <c r="AX39" s="20" t="s">
        <v>0</v>
      </c>
      <c r="AY39" s="30" t="s">
        <v>10</v>
      </c>
      <c r="AZ39" s="30" t="s">
        <v>11</v>
      </c>
      <c r="BA39" s="39" t="s">
        <v>0</v>
      </c>
      <c r="BB39" s="44">
        <f>IF(ISTEXT(AW39),IF(ISNUMBER(MATCH(AW39,$AY$5:$AY$100,0)),0,MAX(BB$4:BB38)+1),"")</f>
        <v>0</v>
      </c>
      <c r="BC39" s="36">
        <f>IF(ISTEXT(AY39),MATCH(AY39,$AW$5:$AW$127,0),"")</f>
        <v>37</v>
      </c>
      <c r="BD39" s="36" t="str">
        <f>IF(ISNUMBER(BC39),AY39,ROW()-SUM($BC$4:$BD$4))</f>
        <v>.wel</v>
      </c>
      <c r="BE39" s="20" t="str">
        <f>IF(ISTEXT(AW39),IF(ISNUMBER(BC39),AY39,INDEX($AW$5:$AW$140,MATCH(BD39,$BB$5:$BB$185,0),1)),"")</f>
        <v>.wel</v>
      </c>
      <c r="BF39" s="36"/>
      <c r="BG39" s="19" t="str">
        <f>IF(ISNUMBER(MATCH($BE39,Z$5:Z$501,0)),INDEX(Z$5:Z$501,MATCH($BE39,Z$5:Z$501,0),1),"")</f>
        <v>.wel</v>
      </c>
      <c r="BH39" s="19" t="str">
        <f>IF(ISNUMBER(MATCH($BE39,AA$5:AA$501,0)),INDEX(AA$5:AA$501,MATCH($BE39,AA$5:AA$501,0),1),"")</f>
        <v/>
      </c>
      <c r="BI39" s="19" t="str">
        <f>IF(ISNUMBER(MATCH($BE39,AB$5:AB$501,0)),INDEX(AB$5:AB$501,MATCH($BE39,AB$5:AB$501,0),1),"")</f>
        <v>.wel</v>
      </c>
      <c r="BJ39" s="19" t="str">
        <f>IF(ISNUMBER(MATCH($BE39,AC$5:AC$501,0)),INDEX(AC$5:AC$501,MATCH($BE39,AC$5:AC$501,0),1),"")</f>
        <v/>
      </c>
      <c r="BK39" s="19" t="str">
        <f>IF(ISNUMBER(MATCH($BE39,AD$5:AD$501,0)),INDEX(AD$5:AD$501,MATCH($BE39,AD$5:AD$501,0),1),"")</f>
        <v/>
      </c>
      <c r="BL39" s="19" t="str">
        <f>IF(ISNUMBER(MATCH($BE39,AE$5:AE$501,0)),INDEX(AE$5:AE$501,MATCH($BE39,AE$5:AE$501,0),1),"")</f>
        <v/>
      </c>
      <c r="BM39" s="19" t="str">
        <f>IF(ISNUMBER(MATCH($BE39,AF$5:AF$501,0)),INDEX(AF$5:AF$501,MATCH($BE39,AF$5:AF$501,0),1),"")</f>
        <v/>
      </c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</row>
    <row r="40" spans="1:78" ht="12" customHeight="1" x14ac:dyDescent="0.25">
      <c r="A40" s="26"/>
      <c r="B40" s="28" t="str">
        <f>IF(ISNUMBER(MATCH(O40,$N$5:$N$1000,0)),MATCH(O40,$N$5:$N$1000,0),"")</f>
        <v/>
      </c>
      <c r="C40" s="15" t="str">
        <f>IF(ISNUMBER(B40),MAX(C$4:C39)+1,"")</f>
        <v/>
      </c>
      <c r="D40" s="15">
        <f>IF(IF(ISNUMBER(B40),"",MAX(D$4:D39)+1)&lt;=D$3,IF(ISNUMBER(B40),"",MAX(D$4:D39)+1),"")</f>
        <v>14</v>
      </c>
      <c r="E40" s="42" t="str">
        <f>IF(M40&lt;=D$3,MATCH(M40,D$5:D$1000,0),"")</f>
        <v/>
      </c>
      <c r="F40" s="28" t="str">
        <f>IF(ISNUMBER(E40),INDEX($N$5:$N$1000,E40,1),"")</f>
        <v/>
      </c>
      <c r="G40" s="27" t="str">
        <f>IF(ISNUMBER(C40),N40,IF(ISTEXT(N40),INDEX($F$5:$F$1000,MATCH(M40,$E$5:$E$1000,0),1),""))</f>
        <v>sfr.stage.csv</v>
      </c>
      <c r="H40" s="15" t="str">
        <f>IF(O40="","",IF(ISNUMBER(MATCH(O40,$G$5:$G$1000,0)),"",IF(D40=1,C$3,0)+MAX(H$4:H39)+1))</f>
        <v/>
      </c>
      <c r="I40" s="15" t="str">
        <f>IF(O40="","",IF(ISNUMBER(MATCH(O40,$G$5:$G$1000,0)),"",IF(D40=1,B$4,0)+MAX(I$4:I39)+1))</f>
        <v/>
      </c>
      <c r="J40" s="27" t="str">
        <f>IF(ISNUMBER(MATCH(M40,$I$5:$I$1000,0)),INDEX($O$5:$O$1000,MATCH(M40,$I$5:$I$1000,0),1),"")</f>
        <v/>
      </c>
      <c r="K40" s="27">
        <f>IF(P40="",0,1)</f>
        <v>1</v>
      </c>
      <c r="L40" s="26"/>
      <c r="M40" s="14">
        <f>IF(ROW()-ROW(M$4)&lt;=1000,ROW()-ROW(M$4),"")</f>
        <v>36</v>
      </c>
      <c r="N40" s="43" t="s">
        <v>1</v>
      </c>
      <c r="O40" s="43"/>
      <c r="P40" s="41" t="str">
        <f>IF(M40&lt;=$B$4,IF(ISTEXT(G40),G40,""),IF(ISTEXT(J40),J40,""))</f>
        <v>sfr.stage.csv</v>
      </c>
      <c r="Q40" s="16" t="s">
        <v>0</v>
      </c>
      <c r="R40" s="34" t="str">
        <f>IF(ROW()-ROW(R$4)&lt;=AH$3,ROW()-ROW(R$4),"")</f>
        <v/>
      </c>
      <c r="S40" s="34" t="str">
        <f>IF(ROW()-ROW(S$4)&lt;=AI$3,ROW()-ROW(S$4),"")</f>
        <v/>
      </c>
      <c r="T40" s="34">
        <f>IF(ROW()-ROW(T$4)&lt;=AJ$3,ROW()-ROW(T$4),"")</f>
        <v>36</v>
      </c>
      <c r="U40" s="34" t="str">
        <f>IF(ROW()-ROW(U$4)&lt;=AK$3,ROW()-ROW(U$4),"")</f>
        <v/>
      </c>
      <c r="V40" s="34" t="str">
        <f>IF(ROW()-ROW(V$4)&lt;=AL$3,ROW()-ROW(V$4),"")</f>
        <v/>
      </c>
      <c r="W40" s="34" t="str">
        <f>IF(ROW()-ROW(W$4)&lt;=AM$3,ROW()-ROW(W$4),"")</f>
        <v/>
      </c>
      <c r="X40" s="34" t="str">
        <f>IF(ROW()-ROW(X$4)&lt;=AN$3,ROW()-ROW(X$4),"")</f>
        <v/>
      </c>
      <c r="Y40" s="34"/>
      <c r="Z40" s="35" t="str">
        <f>IF(ISNUMBER(R40),INDEX($BE$5:$BE$2999,MATCH(R40,AH$5:AH$2999,0),1),"")</f>
        <v/>
      </c>
      <c r="AA40" s="35" t="str">
        <f>IF(ISNUMBER(S40),INDEX($BE$5:$BE$2999,MATCH(S40,AI$5:AI$2999,0),1),"")</f>
        <v/>
      </c>
      <c r="AB40" s="35" t="str">
        <f>IF(ISNUMBER(T40),INDEX($BE$5:$BE$2999,MATCH(T40,AJ$5:AJ$2999,0),1),"")</f>
        <v>sfr.stage.csv</v>
      </c>
      <c r="AC40" s="35" t="str">
        <f>IF(ISNUMBER(U40),INDEX($BE$5:$BE$2999,MATCH(U40,AK$5:AK$2999,0),1),"")</f>
        <v/>
      </c>
      <c r="AD40" s="35" t="str">
        <f>IF(ISNUMBER(V40),INDEX($BE$5:$BE$2999,MATCH(V40,AL$5:AL$2999,0),1),"")</f>
        <v/>
      </c>
      <c r="AE40" s="35" t="str">
        <f>IF(ISNUMBER(W40),INDEX($BE$5:$BE$2999,MATCH(W40,AM$5:AM$2999,0),1),"")</f>
        <v/>
      </c>
      <c r="AF40" s="35" t="str">
        <f>IF(ISNUMBER(X40),INDEX($BE$5:$BE$2999,MATCH(X40,AN$5:AN$2999,0),1),"")</f>
        <v/>
      </c>
      <c r="AG40" s="35"/>
      <c r="AH40" s="34">
        <f>IF($BE40="","",IF(ISNUMBER(MATCH($BE40,AP$5:AP$29999,0)),MAX(AH$4:AH39)+1,0))</f>
        <v>21</v>
      </c>
      <c r="AI40" s="34">
        <f>IF($BE40="","",IF(ISNUMBER(MATCH($BE40,AQ$5:AQ$29999,0)),MAX(AI$4:AI39)+1,0))</f>
        <v>0</v>
      </c>
      <c r="AJ40" s="34">
        <f>IF($BE40="","",IF(ISNUMBER(MATCH($BE40,AR$5:AR$29999,0)),MAX(AJ$4:AJ39)+1,0))</f>
        <v>27</v>
      </c>
      <c r="AK40" s="34">
        <f>IF($BE40="","",IF(ISNUMBER(MATCH($BE40,AS$5:AS$29999,0)),MAX(AK$4:AK39)+1,0))</f>
        <v>0</v>
      </c>
      <c r="AL40" s="34">
        <f>IF($BE40="","",IF(ISNUMBER(MATCH($BE40,AT$5:AT$29999,0)),MAX(AL$4:AL39)+1,0))</f>
        <v>0</v>
      </c>
      <c r="AM40" s="34">
        <f>IF($BE40="","",IF(ISNUMBER(MATCH($BE40,AU$5:AU$29999,0)),MAX(AM$4:AM39)+1,0))</f>
        <v>0</v>
      </c>
      <c r="AN40" s="34">
        <f>IF($BE40="","",IF(ISNUMBER(MATCH($BE40,AV$5:AV$29999,0)),MAX(AN$4:AN39)+1,0))</f>
        <v>0</v>
      </c>
      <c r="AO40" s="16"/>
      <c r="AP40" s="33"/>
      <c r="AQ40" s="33"/>
      <c r="AR40" s="33" t="s">
        <v>1</v>
      </c>
      <c r="AS40" s="33"/>
      <c r="AT40" s="33"/>
      <c r="AU40" s="33"/>
      <c r="AV40" s="32" t="s">
        <v>0</v>
      </c>
      <c r="AW40" s="40" t="s">
        <v>13</v>
      </c>
      <c r="AX40" s="20" t="s">
        <v>0</v>
      </c>
      <c r="AY40" s="30" t="s">
        <v>12</v>
      </c>
      <c r="AZ40" s="30" t="s">
        <v>12</v>
      </c>
      <c r="BA40" s="39" t="s">
        <v>0</v>
      </c>
      <c r="BB40" s="44">
        <f>IF(ISTEXT(AW40),IF(ISNUMBER(MATCH(AW40,$AY$5:$AY$100,0)),0,MAX(BB$4:BB39)+1),"")</f>
        <v>0</v>
      </c>
      <c r="BC40" s="36">
        <f>IF(ISTEXT(AY40),MATCH(AY40,$AW$5:$AW$127,0),"")</f>
        <v>33</v>
      </c>
      <c r="BD40" s="36" t="str">
        <f>IF(ISNUMBER(BC40),AY40,ROW()-SUM($BC$4:$BD$4))</f>
        <v>.ghb</v>
      </c>
      <c r="BE40" s="20" t="str">
        <f>IF(ISTEXT(AW40),IF(ISNUMBER(BC40),AY40,INDEX($AW$5:$AW$140,MATCH(BD40,$BB$5:$BB$185,0),1)),"")</f>
        <v>.ghb</v>
      </c>
      <c r="BF40" s="36"/>
      <c r="BG40" s="19" t="str">
        <f>IF(ISNUMBER(MATCH($BE40,Z$5:Z$501,0)),INDEX(Z$5:Z$501,MATCH($BE40,Z$5:Z$501,0),1),"")</f>
        <v>.ghb</v>
      </c>
      <c r="BH40" s="19" t="str">
        <f>IF(ISNUMBER(MATCH($BE40,AA$5:AA$501,0)),INDEX(AA$5:AA$501,MATCH($BE40,AA$5:AA$501,0),1),"")</f>
        <v/>
      </c>
      <c r="BI40" s="19" t="str">
        <f>IF(ISNUMBER(MATCH($BE40,AB$5:AB$501,0)),INDEX(AB$5:AB$501,MATCH($BE40,AB$5:AB$501,0),1),"")</f>
        <v>.ghb</v>
      </c>
      <c r="BJ40" s="19" t="str">
        <f>IF(ISNUMBER(MATCH($BE40,AC$5:AC$501,0)),INDEX(AC$5:AC$501,MATCH($BE40,AC$5:AC$501,0),1),"")</f>
        <v/>
      </c>
      <c r="BK40" s="19" t="str">
        <f>IF(ISNUMBER(MATCH($BE40,AD$5:AD$501,0)),INDEX(AD$5:AD$501,MATCH($BE40,AD$5:AD$501,0),1),"")</f>
        <v/>
      </c>
      <c r="BL40" s="19" t="str">
        <f>IF(ISNUMBER(MATCH($BE40,AE$5:AE$501,0)),INDEX(AE$5:AE$501,MATCH($BE40,AE$5:AE$501,0),1),"")</f>
        <v/>
      </c>
      <c r="BM40" s="19" t="str">
        <f>IF(ISNUMBER(MATCH($BE40,AF$5:AF$501,0)),INDEX(AF$5:AF$501,MATCH($BE40,AF$5:AF$501,0),1),"")</f>
        <v/>
      </c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</row>
    <row r="41" spans="1:78" ht="12" customHeight="1" x14ac:dyDescent="0.25">
      <c r="A41" s="26"/>
      <c r="B41" s="28" t="str">
        <f>IF(ISNUMBER(MATCH(O41,$N$5:$N$1000,0)),MATCH(O41,$N$5:$N$1000,0),"")</f>
        <v/>
      </c>
      <c r="C41" s="15" t="str">
        <f>IF(ISNUMBER(B41),MAX(C$4:C40)+1,"")</f>
        <v/>
      </c>
      <c r="D41" s="15" t="str">
        <f>IF(IF(ISNUMBER(B41),"",MAX(D$4:D40)+1)&lt;=D$3,IF(ISNUMBER(B41),"",MAX(D$4:D40)+1),"")</f>
        <v/>
      </c>
      <c r="E41" s="42" t="str">
        <f>IF(M41&lt;=D$3,MATCH(M41,D$5:D$1000,0),"")</f>
        <v/>
      </c>
      <c r="F41" s="28" t="str">
        <f>IF(ISNUMBER(E41),INDEX($N$5:$N$1000,E41,1),"")</f>
        <v/>
      </c>
      <c r="G41" s="27" t="str">
        <f>IF(ISNUMBER(C41),N41,IF(ISTEXT(N41),INDEX($F$5:$F$1000,MATCH(M41,$E$5:$E$1000,0),1),""))</f>
        <v/>
      </c>
      <c r="H41" s="15" t="str">
        <f>IF(O41="","",IF(ISNUMBER(MATCH(O41,$G$5:$G$1000,0)),"",IF(D41=1,C$3,0)+MAX(H$4:H40)+1))</f>
        <v/>
      </c>
      <c r="I41" s="15" t="str">
        <f>IF(O41="","",IF(ISNUMBER(MATCH(O41,$G$5:$G$1000,0)),"",IF(D41=1,B$4,0)+MAX(I$4:I40)+1))</f>
        <v/>
      </c>
      <c r="J41" s="27" t="str">
        <f>IF(ISNUMBER(MATCH(M41,$I$5:$I$1000,0)),INDEX($O$5:$O$1000,MATCH(M41,$I$5:$I$1000,0),1),"")</f>
        <v>.chd</v>
      </c>
      <c r="K41" s="27">
        <f>IF(P41="",0,1)</f>
        <v>1</v>
      </c>
      <c r="L41" s="26"/>
      <c r="M41" s="14">
        <f>IF(ROW()-ROW(M$4)&lt;=1000,ROW()-ROW(M$4),"")</f>
        <v>37</v>
      </c>
      <c r="N41" s="43"/>
      <c r="O41" s="43"/>
      <c r="P41" s="41" t="str">
        <f>IF(M41&lt;=$B$4,IF(ISTEXT(G41),G41,""),IF(ISTEXT(J41),J41,""))</f>
        <v>.chd</v>
      </c>
      <c r="Q41" s="16" t="s">
        <v>0</v>
      </c>
      <c r="R41" s="34" t="str">
        <f>IF(ROW()-ROW(R$4)&lt;=AH$3,ROW()-ROW(R$4),"")</f>
        <v/>
      </c>
      <c r="S41" s="34" t="str">
        <f>IF(ROW()-ROW(S$4)&lt;=AI$3,ROW()-ROW(S$4),"")</f>
        <v/>
      </c>
      <c r="T41" s="34" t="str">
        <f>IF(ROW()-ROW(T$4)&lt;=AJ$3,ROW()-ROW(T$4),"")</f>
        <v/>
      </c>
      <c r="U41" s="34" t="str">
        <f>IF(ROW()-ROW(U$4)&lt;=AK$3,ROW()-ROW(U$4),"")</f>
        <v/>
      </c>
      <c r="V41" s="34" t="str">
        <f>IF(ROW()-ROW(V$4)&lt;=AL$3,ROW()-ROW(V$4),"")</f>
        <v/>
      </c>
      <c r="W41" s="34" t="str">
        <f>IF(ROW()-ROW(W$4)&lt;=AM$3,ROW()-ROW(W$4),"")</f>
        <v/>
      </c>
      <c r="X41" s="34" t="str">
        <f>IF(ROW()-ROW(X$4)&lt;=AN$3,ROW()-ROW(X$4),"")</f>
        <v/>
      </c>
      <c r="Y41" s="34"/>
      <c r="Z41" s="35" t="str">
        <f>IF(ISNUMBER(R41),INDEX($BE$5:$BE$2999,MATCH(R41,AH$5:AH$2999,0),1),"")</f>
        <v/>
      </c>
      <c r="AA41" s="35" t="str">
        <f>IF(ISNUMBER(S41),INDEX($BE$5:$BE$2999,MATCH(S41,AI$5:AI$2999,0),1),"")</f>
        <v/>
      </c>
      <c r="AB41" s="35" t="str">
        <f>IF(ISNUMBER(T41),INDEX($BE$5:$BE$2999,MATCH(T41,AJ$5:AJ$2999,0),1),"")</f>
        <v/>
      </c>
      <c r="AC41" s="35" t="str">
        <f>IF(ISNUMBER(U41),INDEX($BE$5:$BE$2999,MATCH(U41,AK$5:AK$2999,0),1),"")</f>
        <v/>
      </c>
      <c r="AD41" s="35" t="str">
        <f>IF(ISNUMBER(V41),INDEX($BE$5:$BE$2999,MATCH(V41,AL$5:AL$2999,0),1),"")</f>
        <v/>
      </c>
      <c r="AE41" s="35" t="str">
        <f>IF(ISNUMBER(W41),INDEX($BE$5:$BE$2999,MATCH(W41,AM$5:AM$2999,0),1),"")</f>
        <v/>
      </c>
      <c r="AF41" s="35" t="str">
        <f>IF(ISNUMBER(X41),INDEX($BE$5:$BE$2999,MATCH(X41,AN$5:AN$2999,0),1),"")</f>
        <v/>
      </c>
      <c r="AG41" s="35"/>
      <c r="AH41" s="34">
        <f>IF($BE41="","",IF(ISNUMBER(MATCH($BE41,AP$5:AP$29999,0)),MAX(AH$4:AH40)+1,0))</f>
        <v>0</v>
      </c>
      <c r="AI41" s="34">
        <f>IF($BE41="","",IF(ISNUMBER(MATCH($BE41,AQ$5:AQ$29999,0)),MAX(AI$4:AI40)+1,0))</f>
        <v>0</v>
      </c>
      <c r="AJ41" s="34">
        <f>IF($BE41="","",IF(ISNUMBER(MATCH($BE41,AR$5:AR$29999,0)),MAX(AJ$4:AJ40)+1,0))</f>
        <v>0</v>
      </c>
      <c r="AK41" s="34">
        <f>IF($BE41="","",IF(ISNUMBER(MATCH($BE41,AS$5:AS$29999,0)),MAX(AK$4:AK40)+1,0))</f>
        <v>0</v>
      </c>
      <c r="AL41" s="34">
        <f>IF($BE41="","",IF(ISNUMBER(MATCH($BE41,AT$5:AT$29999,0)),MAX(AL$4:AL40)+1,0))</f>
        <v>0</v>
      </c>
      <c r="AM41" s="34">
        <f>IF($BE41="","",IF(ISNUMBER(MATCH($BE41,AU$5:AU$29999,0)),MAX(AM$4:AM40)+1,0))</f>
        <v>24</v>
      </c>
      <c r="AN41" s="34">
        <f>IF($BE41="","",IF(ISNUMBER(MATCH($BE41,AV$5:AV$29999,0)),MAX(AN$4:AN40)+1,0))</f>
        <v>0</v>
      </c>
      <c r="AO41" s="16"/>
      <c r="AP41" s="33"/>
      <c r="AQ41" s="33"/>
      <c r="AR41" s="33"/>
      <c r="AS41" s="33"/>
      <c r="AT41" s="33"/>
      <c r="AU41" s="32"/>
      <c r="AV41" s="32" t="s">
        <v>0</v>
      </c>
      <c r="AW41" s="40" t="s">
        <v>10</v>
      </c>
      <c r="AX41" s="20" t="s">
        <v>0</v>
      </c>
      <c r="AY41" s="30" t="s">
        <v>11</v>
      </c>
      <c r="AZ41" s="30" t="s">
        <v>10</v>
      </c>
      <c r="BA41" s="39" t="s">
        <v>0</v>
      </c>
      <c r="BB41" s="44">
        <f>IF(ISTEXT(AW41),IF(ISNUMBER(MATCH(AW41,$AY$5:$AY$100,0)),0,MAX(BB$4:BB40)+1),"")</f>
        <v>0</v>
      </c>
      <c r="BC41" s="36">
        <f>IF(ISTEXT(AY41),MATCH(AY41,$AW$5:$AW$127,0),"")</f>
        <v>25</v>
      </c>
      <c r="BD41" s="36" t="str">
        <f>IF(ISNUMBER(BC41),AY41,ROW()-SUM($BC$4:$BD$4))</f>
        <v>.bud</v>
      </c>
      <c r="BE41" s="20" t="str">
        <f>IF(ISTEXT(AW41),IF(ISNUMBER(BC41),AY41,INDEX($AW$5:$AW$140,MATCH(BD41,$BB$5:$BB$185,0),1)),"")</f>
        <v>.bud</v>
      </c>
      <c r="BF41" s="36"/>
      <c r="BG41" s="19" t="str">
        <f>IF(ISNUMBER(MATCH($BE41,Z$5:Z$501,0)),INDEX(Z$5:Z$501,MATCH($BE41,Z$5:Z$501,0),1),"")</f>
        <v/>
      </c>
      <c r="BH41" s="19" t="str">
        <f>IF(ISNUMBER(MATCH($BE41,AA$5:AA$501,0)),INDEX(AA$5:AA$501,MATCH($BE41,AA$5:AA$501,0),1),"")</f>
        <v/>
      </c>
      <c r="BI41" s="19" t="str">
        <f>IF(ISNUMBER(MATCH($BE41,AB$5:AB$501,0)),INDEX(AB$5:AB$501,MATCH($BE41,AB$5:AB$501,0),1),"")</f>
        <v/>
      </c>
      <c r="BJ41" s="19" t="str">
        <f>IF(ISNUMBER(MATCH($BE41,AC$5:AC$501,0)),INDEX(AC$5:AC$501,MATCH($BE41,AC$5:AC$501,0),1),"")</f>
        <v/>
      </c>
      <c r="BK41" s="19" t="str">
        <f>IF(ISNUMBER(MATCH($BE41,AD$5:AD$501,0)),INDEX(AD$5:AD$501,MATCH($BE41,AD$5:AD$501,0),1),"")</f>
        <v/>
      </c>
      <c r="BL41" s="19" t="str">
        <f>IF(ISNUMBER(MATCH($BE41,AE$5:AE$501,0)),INDEX(AE$5:AE$501,MATCH($BE41,AE$5:AE$501,0),1),"")</f>
        <v>.bud</v>
      </c>
      <c r="BM41" s="19" t="str">
        <f>IF(ISNUMBER(MATCH($BE41,AF$5:AF$501,0)),INDEX(AF$5:AF$501,MATCH($BE41,AF$5:AF$501,0),1),"")</f>
        <v/>
      </c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</row>
    <row r="42" spans="1:78" ht="12" customHeight="1" x14ac:dyDescent="0.25">
      <c r="A42" s="26"/>
      <c r="B42" s="28" t="str">
        <f>IF(ISNUMBER(MATCH(O42,$N$5:$N$1000,0)),MATCH(O42,$N$5:$N$1000,0),"")</f>
        <v/>
      </c>
      <c r="C42" s="15" t="str">
        <f>IF(ISNUMBER(B42),MAX(C$4:C41)+1,"")</f>
        <v/>
      </c>
      <c r="D42" s="15" t="str">
        <f>IF(IF(ISNUMBER(B42),"",MAX(D$4:D41)+1)&lt;=D$3,IF(ISNUMBER(B42),"",MAX(D$4:D41)+1),"")</f>
        <v/>
      </c>
      <c r="E42" s="42" t="str">
        <f>IF(M42&lt;=D$3,MATCH(M42,D$5:D$1000,0),"")</f>
        <v/>
      </c>
      <c r="F42" s="28" t="str">
        <f>IF(ISNUMBER(E42),INDEX($N$5:$N$1000,E42,1),"")</f>
        <v/>
      </c>
      <c r="G42" s="27" t="str">
        <f>IF(ISNUMBER(C42),N42,IF(ISTEXT(N42),INDEX($F$5:$F$1000,MATCH(M42,$E$5:$E$1000,0),1),""))</f>
        <v/>
      </c>
      <c r="H42" s="15" t="str">
        <f>IF(O42="","",IF(ISNUMBER(MATCH(O42,$G$5:$G$1000,0)),"",IF(D42=1,C$3,0)+MAX(H$4:H41)+1))</f>
        <v/>
      </c>
      <c r="I42" s="15" t="str">
        <f>IF(O42="","",IF(ISNUMBER(MATCH(O42,$G$5:$G$1000,0)),"",IF(D42=1,B$4,0)+MAX(I$4:I41)+1))</f>
        <v/>
      </c>
      <c r="J42" s="27" t="str">
        <f>IF(ISNUMBER(MATCH(M42,$I$5:$I$1000,0)),INDEX($O$5:$O$1000,MATCH(M42,$I$5:$I$1000,0),1),"")</f>
        <v>.evta</v>
      </c>
      <c r="K42" s="27">
        <f>IF(P42="",0,1)</f>
        <v>1</v>
      </c>
      <c r="L42" s="26"/>
      <c r="M42" s="14">
        <f>IF(ROW()-ROW(M$4)&lt;=1000,ROW()-ROW(M$4),"")</f>
        <v>38</v>
      </c>
      <c r="N42" s="43"/>
      <c r="O42" s="43"/>
      <c r="P42" s="41" t="str">
        <f>IF(M42&lt;=$B$4,IF(ISTEXT(G42),G42,""),IF(ISTEXT(J42),J42,""))</f>
        <v>.evta</v>
      </c>
      <c r="Q42" s="16" t="s">
        <v>0</v>
      </c>
      <c r="R42" s="34" t="str">
        <f>IF(ROW()-ROW(R$4)&lt;=AH$3,ROW()-ROW(R$4),"")</f>
        <v/>
      </c>
      <c r="S42" s="34" t="str">
        <f>IF(ROW()-ROW(S$4)&lt;=AI$3,ROW()-ROW(S$4),"")</f>
        <v/>
      </c>
      <c r="T42" s="34" t="str">
        <f>IF(ROW()-ROW(T$4)&lt;=AJ$3,ROW()-ROW(T$4),"")</f>
        <v/>
      </c>
      <c r="U42" s="34" t="str">
        <f>IF(ROW()-ROW(U$4)&lt;=AK$3,ROW()-ROW(U$4),"")</f>
        <v/>
      </c>
      <c r="V42" s="34" t="str">
        <f>IF(ROW()-ROW(V$4)&lt;=AL$3,ROW()-ROW(V$4),"")</f>
        <v/>
      </c>
      <c r="W42" s="34" t="str">
        <f>IF(ROW()-ROW(W$4)&lt;=AM$3,ROW()-ROW(W$4),"")</f>
        <v/>
      </c>
      <c r="X42" s="34" t="str">
        <f>IF(ROW()-ROW(X$4)&lt;=AN$3,ROW()-ROW(X$4),"")</f>
        <v/>
      </c>
      <c r="Y42" s="34"/>
      <c r="Z42" s="35" t="str">
        <f>IF(ISNUMBER(R42),INDEX($BE$5:$BE$2999,MATCH(R42,AH$5:AH$2999,0),1),"")</f>
        <v/>
      </c>
      <c r="AA42" s="35" t="str">
        <f>IF(ISNUMBER(S42),INDEX($BE$5:$BE$2999,MATCH(S42,AI$5:AI$2999,0),1),"")</f>
        <v/>
      </c>
      <c r="AB42" s="35" t="str">
        <f>IF(ISNUMBER(T42),INDEX($BE$5:$BE$2999,MATCH(T42,AJ$5:AJ$2999,0),1),"")</f>
        <v/>
      </c>
      <c r="AC42" s="35" t="str">
        <f>IF(ISNUMBER(U42),INDEX($BE$5:$BE$2999,MATCH(U42,AK$5:AK$2999,0),1),"")</f>
        <v/>
      </c>
      <c r="AD42" s="35" t="str">
        <f>IF(ISNUMBER(V42),INDEX($BE$5:$BE$2999,MATCH(V42,AL$5:AL$2999,0),1),"")</f>
        <v/>
      </c>
      <c r="AE42" s="35" t="str">
        <f>IF(ISNUMBER(W42),INDEX($BE$5:$BE$2999,MATCH(W42,AM$5:AM$2999,0),1),"")</f>
        <v/>
      </c>
      <c r="AF42" s="35" t="str">
        <f>IF(ISNUMBER(X42),INDEX($BE$5:$BE$2999,MATCH(X42,AN$5:AN$2999,0),1),"")</f>
        <v/>
      </c>
      <c r="AG42" s="35"/>
      <c r="AH42" s="34">
        <f>IF($BE42="","",IF(ISNUMBER(MATCH($BE42,AP$5:AP$29999,0)),MAX(AH$4:AH41)+1,0))</f>
        <v>0</v>
      </c>
      <c r="AI42" s="34">
        <f>IF($BE42="","",IF(ISNUMBER(MATCH($BE42,AQ$5:AQ$29999,0)),MAX(AI$4:AI41)+1,0))</f>
        <v>0</v>
      </c>
      <c r="AJ42" s="34">
        <f>IF($BE42="","",IF(ISNUMBER(MATCH($BE42,AR$5:AR$29999,0)),MAX(AJ$4:AJ41)+1,0))</f>
        <v>28</v>
      </c>
      <c r="AK42" s="34">
        <f>IF($BE42="","",IF(ISNUMBER(MATCH($BE42,AS$5:AS$29999,0)),MAX(AK$4:AK41)+1,0))</f>
        <v>0</v>
      </c>
      <c r="AL42" s="34">
        <f>IF($BE42="","",IF(ISNUMBER(MATCH($BE42,AT$5:AT$29999,0)),MAX(AL$4:AL41)+1,0))</f>
        <v>0</v>
      </c>
      <c r="AM42" s="34">
        <f>IF($BE42="","",IF(ISNUMBER(MATCH($BE42,AU$5:AU$29999,0)),MAX(AM$4:AM41)+1,0))</f>
        <v>0</v>
      </c>
      <c r="AN42" s="34">
        <f>IF($BE42="","",IF(ISNUMBER(MATCH($BE42,AV$5:AV$29999,0)),MAX(AN$4:AN41)+1,0))</f>
        <v>0</v>
      </c>
      <c r="AO42" s="16"/>
      <c r="AP42" s="33"/>
      <c r="AQ42" s="33"/>
      <c r="AR42" s="33"/>
      <c r="AS42" s="33"/>
      <c r="AT42" s="33"/>
      <c r="AU42" s="32"/>
      <c r="AV42" s="32" t="s">
        <v>0</v>
      </c>
      <c r="AW42" s="40" t="s">
        <v>9</v>
      </c>
      <c r="AX42" s="20" t="s">
        <v>0</v>
      </c>
      <c r="AY42" s="30"/>
      <c r="AZ42" s="30"/>
      <c r="BA42" s="39" t="s">
        <v>0</v>
      </c>
      <c r="BB42" s="44">
        <f>IF(ISTEXT(AW42),IF(ISNUMBER(MATCH(AW42,$AY$5:$AY$100,0)),0,MAX(BB$4:BB41)+1),"")</f>
        <v>1</v>
      </c>
      <c r="BC42" s="36" t="str">
        <f>IF(ISTEXT(AY42),MATCH(AY42,$AW$5:$AW$127,0),"")</f>
        <v/>
      </c>
      <c r="BD42" s="36">
        <f>IF(ISNUMBER(BC42),AY42,ROW()-SUM($BC$4:$BD$4))</f>
        <v>1</v>
      </c>
      <c r="BE42" s="20" t="str">
        <f>IF(ISTEXT(AW42),IF(ISNUMBER(BC42),AY42,INDEX($AW$5:$AW$140,MATCH(BD42,$BB$5:$BB$185,0),1)),"")</f>
        <v>obs_lak.csv</v>
      </c>
      <c r="BF42" s="36"/>
      <c r="BG42" s="19" t="str">
        <f>IF(ISNUMBER(MATCH($BE42,Z$5:Z$501,0)),INDEX(Z$5:Z$501,MATCH($BE42,Z$5:Z$501,0),1),"")</f>
        <v/>
      </c>
      <c r="BH42" s="19" t="str">
        <f>IF(ISNUMBER(MATCH($BE42,AA$5:AA$501,0)),INDEX(AA$5:AA$501,MATCH($BE42,AA$5:AA$501,0),1),"")</f>
        <v/>
      </c>
      <c r="BI42" s="19" t="str">
        <f>IF(ISNUMBER(MATCH($BE42,AB$5:AB$501,0)),INDEX(AB$5:AB$501,MATCH($BE42,AB$5:AB$501,0),1),"")</f>
        <v>obs_lak.csv</v>
      </c>
      <c r="BJ42" s="19" t="str">
        <f>IF(ISNUMBER(MATCH($BE42,AC$5:AC$501,0)),INDEX(AC$5:AC$501,MATCH($BE42,AC$5:AC$501,0),1),"")</f>
        <v/>
      </c>
      <c r="BK42" s="19" t="str">
        <f>IF(ISNUMBER(MATCH($BE42,AD$5:AD$501,0)),INDEX(AD$5:AD$501,MATCH($BE42,AD$5:AD$501,0),1),"")</f>
        <v/>
      </c>
      <c r="BL42" s="19" t="str">
        <f>IF(ISNUMBER(MATCH($BE42,AE$5:AE$501,0)),INDEX(AE$5:AE$501,MATCH($BE42,AE$5:AE$501,0),1),"")</f>
        <v/>
      </c>
      <c r="BM42" s="19" t="str">
        <f>IF(ISNUMBER(MATCH($BE42,AF$5:AF$501,0)),INDEX(AF$5:AF$501,MATCH($BE42,AF$5:AF$501,0),1),"")</f>
        <v/>
      </c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</row>
    <row r="43" spans="1:78" ht="12" customHeight="1" x14ac:dyDescent="0.25">
      <c r="A43" s="26"/>
      <c r="B43" s="28" t="str">
        <f>IF(ISNUMBER(MATCH(O43,$N$5:$N$1000,0)),MATCH(O43,$N$5:$N$1000,0),"")</f>
        <v/>
      </c>
      <c r="C43" s="15" t="str">
        <f>IF(ISNUMBER(B43),MAX(C$4:C42)+1,"")</f>
        <v/>
      </c>
      <c r="D43" s="15" t="str">
        <f>IF(IF(ISNUMBER(B43),"",MAX(D$4:D42)+1)&lt;=D$3,IF(ISNUMBER(B43),"",MAX(D$4:D42)+1),"")</f>
        <v/>
      </c>
      <c r="E43" s="42" t="str">
        <f>IF(M43&lt;=D$3,MATCH(M43,D$5:D$1000,0),"")</f>
        <v/>
      </c>
      <c r="F43" s="28" t="str">
        <f>IF(ISNUMBER(E43),INDEX($N$5:$N$1000,E43,1),"")</f>
        <v/>
      </c>
      <c r="G43" s="27" t="str">
        <f>IF(ISNUMBER(C43),N43,IF(ISTEXT(N43),INDEX($F$5:$F$1000,MATCH(M43,$E$5:$E$1000,0),1),""))</f>
        <v/>
      </c>
      <c r="H43" s="15" t="str">
        <f>IF(O43="","",IF(ISNUMBER(MATCH(O43,$G$5:$G$1000,0)),"",IF(D43=1,C$3,0)+MAX(H$4:H42)+1))</f>
        <v/>
      </c>
      <c r="I43" s="15" t="str">
        <f>IF(O43="","",IF(ISNUMBER(MATCH(O43,$G$5:$G$1000,0)),"",IF(D43=1,B$4,0)+MAX(I$4:I42)+1))</f>
        <v/>
      </c>
      <c r="J43" s="27" t="str">
        <f>IF(ISNUMBER(MATCH(M43,$I$5:$I$1000,0)),INDEX($O$5:$O$1000,MATCH(M43,$I$5:$I$1000,0),1),"")</f>
        <v>.gwf.obs</v>
      </c>
      <c r="K43" s="27">
        <f>IF(P43="",0,1)</f>
        <v>1</v>
      </c>
      <c r="L43" s="26"/>
      <c r="M43" s="14">
        <f>IF(ROW()-ROW(M$4)&lt;=1000,ROW()-ROW(M$4),"")</f>
        <v>39</v>
      </c>
      <c r="N43" s="43"/>
      <c r="O43" s="43"/>
      <c r="P43" s="41" t="str">
        <f>IF(M43&lt;=$B$4,IF(ISTEXT(G43),G43,""),IF(ISTEXT(J43),J43,""))</f>
        <v>.gwf.obs</v>
      </c>
      <c r="Q43" s="16" t="s">
        <v>0</v>
      </c>
      <c r="R43" s="34" t="str">
        <f>IF(ROW()-ROW(R$4)&lt;=AH$3,ROW()-ROW(R$4),"")</f>
        <v/>
      </c>
      <c r="S43" s="34" t="str">
        <f>IF(ROW()-ROW(S$4)&lt;=AI$3,ROW()-ROW(S$4),"")</f>
        <v/>
      </c>
      <c r="T43" s="34" t="str">
        <f>IF(ROW()-ROW(T$4)&lt;=AJ$3,ROW()-ROW(T$4),"")</f>
        <v/>
      </c>
      <c r="U43" s="34" t="str">
        <f>IF(ROW()-ROW(U$4)&lt;=AK$3,ROW()-ROW(U$4),"")</f>
        <v/>
      </c>
      <c r="V43" s="34" t="str">
        <f>IF(ROW()-ROW(V$4)&lt;=AL$3,ROW()-ROW(V$4),"")</f>
        <v/>
      </c>
      <c r="W43" s="34" t="str">
        <f>IF(ROW()-ROW(W$4)&lt;=AM$3,ROW()-ROW(W$4),"")</f>
        <v/>
      </c>
      <c r="X43" s="34" t="str">
        <f>IF(ROW()-ROW(X$4)&lt;=AN$3,ROW()-ROW(X$4),"")</f>
        <v/>
      </c>
      <c r="Y43" s="34"/>
      <c r="Z43" s="35" t="str">
        <f>IF(ISNUMBER(R43),INDEX($BE$5:$BE$2999,MATCH(R43,AH$5:AH$2999,0),1),"")</f>
        <v/>
      </c>
      <c r="AA43" s="35" t="str">
        <f>IF(ISNUMBER(S43),INDEX($BE$5:$BE$2999,MATCH(S43,AI$5:AI$2999,0),1),"")</f>
        <v/>
      </c>
      <c r="AB43" s="35" t="str">
        <f>IF(ISNUMBER(T43),INDEX($BE$5:$BE$2999,MATCH(T43,AJ$5:AJ$2999,0),1),"")</f>
        <v/>
      </c>
      <c r="AC43" s="35" t="str">
        <f>IF(ISNUMBER(U43),INDEX($BE$5:$BE$2999,MATCH(U43,AK$5:AK$2999,0),1),"")</f>
        <v/>
      </c>
      <c r="AD43" s="35" t="str">
        <f>IF(ISNUMBER(V43),INDEX($BE$5:$BE$2999,MATCH(V43,AL$5:AL$2999,0),1),"")</f>
        <v/>
      </c>
      <c r="AE43" s="35" t="str">
        <f>IF(ISNUMBER(W43),INDEX($BE$5:$BE$2999,MATCH(W43,AM$5:AM$2999,0),1),"")</f>
        <v/>
      </c>
      <c r="AF43" s="35" t="str">
        <f>IF(ISNUMBER(X43),INDEX($BE$5:$BE$2999,MATCH(X43,AN$5:AN$2999,0),1),"")</f>
        <v/>
      </c>
      <c r="AG43" s="35"/>
      <c r="AH43" s="34">
        <f>IF($BE43="","",IF(ISNUMBER(MATCH($BE43,AP$5:AP$29999,0)),MAX(AH$4:AH42)+1,0))</f>
        <v>0</v>
      </c>
      <c r="AI43" s="34">
        <f>IF($BE43="","",IF(ISNUMBER(MATCH($BE43,AQ$5:AQ$29999,0)),MAX(AI$4:AI42)+1,0))</f>
        <v>0</v>
      </c>
      <c r="AJ43" s="34">
        <f>IF($BE43="","",IF(ISNUMBER(MATCH($BE43,AR$5:AR$29999,0)),MAX(AJ$4:AJ42)+1,0))</f>
        <v>29</v>
      </c>
      <c r="AK43" s="34">
        <f>IF($BE43="","",IF(ISNUMBER(MATCH($BE43,AS$5:AS$29999,0)),MAX(AK$4:AK42)+1,0))</f>
        <v>0</v>
      </c>
      <c r="AL43" s="34">
        <f>IF($BE43="","",IF(ISNUMBER(MATCH($BE43,AT$5:AT$29999,0)),MAX(AL$4:AL42)+1,0))</f>
        <v>0</v>
      </c>
      <c r="AM43" s="34">
        <f>IF($BE43="","",IF(ISNUMBER(MATCH($BE43,AU$5:AU$29999,0)),MAX(AM$4:AM42)+1,0))</f>
        <v>0</v>
      </c>
      <c r="AN43" s="34">
        <f>IF($BE43="","",IF(ISNUMBER(MATCH($BE43,AV$5:AV$29999,0)),MAX(AN$4:AN42)+1,0))</f>
        <v>0</v>
      </c>
      <c r="AO43" s="16"/>
      <c r="AP43" s="33"/>
      <c r="AQ43" s="33"/>
      <c r="AR43" s="33"/>
      <c r="AS43" s="33"/>
      <c r="AT43" s="33"/>
      <c r="AU43" s="32"/>
      <c r="AV43" s="32" t="s">
        <v>0</v>
      </c>
      <c r="AW43" s="40" t="s">
        <v>8</v>
      </c>
      <c r="AX43" s="20" t="s">
        <v>0</v>
      </c>
      <c r="AY43" s="30"/>
      <c r="AZ43" s="30"/>
      <c r="BA43" s="39" t="s">
        <v>0</v>
      </c>
      <c r="BB43" s="44">
        <f>IF(ISTEXT(AW43),IF(ISNUMBER(MATCH(AW43,$AY$5:$AY$100,0)),0,MAX(BB$4:BB42)+1),"")</f>
        <v>2</v>
      </c>
      <c r="BC43" s="36" t="str">
        <f>IF(ISTEXT(AY43),MATCH(AY43,$AW$5:$AW$127,0),"")</f>
        <v/>
      </c>
      <c r="BD43" s="36">
        <f>IF(ISNUMBER(BC43),AY43,ROW()-SUM($BC$4:$BD$4))</f>
        <v>2</v>
      </c>
      <c r="BE43" s="20" t="str">
        <f>IF(ISTEXT(AW43),IF(ISNUMBER(BC43),AY43,INDEX($AW$5:$AW$140,MATCH(BD43,$BB$5:$BB$185,0),1)),"")</f>
        <v>obs_uzf.csv</v>
      </c>
      <c r="BF43" s="36"/>
      <c r="BG43" s="19" t="str">
        <f>IF(ISNUMBER(MATCH($BE43,Z$5:Z$501,0)),INDEX(Z$5:Z$501,MATCH($BE43,Z$5:Z$501,0),1),"")</f>
        <v/>
      </c>
      <c r="BH43" s="19" t="str">
        <f>IF(ISNUMBER(MATCH($BE43,AA$5:AA$501,0)),INDEX(AA$5:AA$501,MATCH($BE43,AA$5:AA$501,0),1),"")</f>
        <v/>
      </c>
      <c r="BI43" s="19" t="str">
        <f>IF(ISNUMBER(MATCH($BE43,AB$5:AB$501,0)),INDEX(AB$5:AB$501,MATCH($BE43,AB$5:AB$501,0),1),"")</f>
        <v>obs_uzf.csv</v>
      </c>
      <c r="BJ43" s="19" t="str">
        <f>IF(ISNUMBER(MATCH($BE43,AC$5:AC$501,0)),INDEX(AC$5:AC$501,MATCH($BE43,AC$5:AC$501,0),1),"")</f>
        <v/>
      </c>
      <c r="BK43" s="19" t="str">
        <f>IF(ISNUMBER(MATCH($BE43,AD$5:AD$501,0)),INDEX(AD$5:AD$501,MATCH($BE43,AD$5:AD$501,0),1),"")</f>
        <v/>
      </c>
      <c r="BL43" s="19" t="str">
        <f>IF(ISNUMBER(MATCH($BE43,AE$5:AE$501,0)),INDEX(AE$5:AE$501,MATCH($BE43,AE$5:AE$501,0),1),"")</f>
        <v/>
      </c>
      <c r="BM43" s="19" t="str">
        <f>IF(ISNUMBER(MATCH($BE43,AF$5:AF$501,0)),INDEX(AF$5:AF$501,MATCH($BE43,AF$5:AF$501,0),1),"")</f>
        <v/>
      </c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</row>
    <row r="44" spans="1:78" ht="12" customHeight="1" x14ac:dyDescent="0.25">
      <c r="A44" s="26"/>
      <c r="B44" s="28" t="str">
        <f>IF(ISNUMBER(MATCH(O44,$N$5:$N$1000,0)),MATCH(O44,$N$5:$N$1000,0),"")</f>
        <v/>
      </c>
      <c r="C44" s="15" t="str">
        <f>IF(ISNUMBER(B44),MAX(C$4:C43)+1,"")</f>
        <v/>
      </c>
      <c r="D44" s="15" t="str">
        <f>IF(IF(ISNUMBER(B44),"",MAX(D$4:D43)+1)&lt;=D$3,IF(ISNUMBER(B44),"",MAX(D$4:D43)+1),"")</f>
        <v/>
      </c>
      <c r="E44" s="42" t="str">
        <f>IF(M44&lt;=D$3,MATCH(M44,D$5:D$1000,0),"")</f>
        <v/>
      </c>
      <c r="F44" s="28" t="str">
        <f>IF(ISNUMBER(E44),INDEX($N$5:$N$1000,E44,1),"")</f>
        <v/>
      </c>
      <c r="G44" s="27" t="str">
        <f>IF(ISNUMBER(C44),N44,IF(ISTEXT(N44),INDEX($F$5:$F$1000,MATCH(M44,$E$5:$E$1000,0),1),""))</f>
        <v/>
      </c>
      <c r="H44" s="15" t="str">
        <f>IF(O44="","",IF(ISNUMBER(MATCH(O44,$G$5:$G$1000,0)),"",IF(D44=1,C$3,0)+MAX(H$4:H43)+1))</f>
        <v/>
      </c>
      <c r="I44" s="15" t="str">
        <f>IF(O44="","",IF(ISNUMBER(MATCH(O44,$G$5:$G$1000,0)),"",IF(D44=1,B$4,0)+MAX(I$4:I43)+1))</f>
        <v/>
      </c>
      <c r="J44" s="27" t="str">
        <f>IF(ISNUMBER(MATCH(M44,$I$5:$I$1000,0)),INDEX($O$5:$O$1000,MATCH(M44,$I$5:$I$1000,0),1),"")</f>
        <v>.gwf.obs.csv</v>
      </c>
      <c r="K44" s="27">
        <f>IF(P44="",0,1)</f>
        <v>1</v>
      </c>
      <c r="L44" s="26"/>
      <c r="M44" s="14">
        <f>IF(ROW()-ROW(M$4)&lt;=1000,ROW()-ROW(M$4),"")</f>
        <v>40</v>
      </c>
      <c r="N44" s="43"/>
      <c r="O44" s="43"/>
      <c r="P44" s="41" t="str">
        <f>IF(M44&lt;=$B$4,IF(ISTEXT(G44),G44,""),IF(ISTEXT(J44),J44,""))</f>
        <v>.gwf.obs.csv</v>
      </c>
      <c r="Q44" s="16" t="s">
        <v>0</v>
      </c>
      <c r="R44" s="34" t="str">
        <f>IF(ROW()-ROW(R$4)&lt;=AH$3,ROW()-ROW(R$4),"")</f>
        <v/>
      </c>
      <c r="S44" s="34" t="str">
        <f>IF(ROW()-ROW(S$4)&lt;=AI$3,ROW()-ROW(S$4),"")</f>
        <v/>
      </c>
      <c r="T44" s="34" t="str">
        <f>IF(ROW()-ROW(T$4)&lt;=AJ$3,ROW()-ROW(T$4),"")</f>
        <v/>
      </c>
      <c r="U44" s="34" t="str">
        <f>IF(ROW()-ROW(U$4)&lt;=AK$3,ROW()-ROW(U$4),"")</f>
        <v/>
      </c>
      <c r="V44" s="34" t="str">
        <f>IF(ROW()-ROW(V$4)&lt;=AL$3,ROW()-ROW(V$4),"")</f>
        <v/>
      </c>
      <c r="W44" s="34" t="str">
        <f>IF(ROW()-ROW(W$4)&lt;=AM$3,ROW()-ROW(W$4),"")</f>
        <v/>
      </c>
      <c r="X44" s="34" t="str">
        <f>IF(ROW()-ROW(X$4)&lt;=AN$3,ROW()-ROW(X$4),"")</f>
        <v/>
      </c>
      <c r="Y44" s="34"/>
      <c r="Z44" s="35" t="str">
        <f>IF(ISNUMBER(R44),INDEX($BE$5:$BE$2999,MATCH(R44,AH$5:AH$2999,0),1),"")</f>
        <v/>
      </c>
      <c r="AA44" s="35" t="str">
        <f>IF(ISNUMBER(S44),INDEX($BE$5:$BE$2999,MATCH(S44,AI$5:AI$2999,0),1),"")</f>
        <v/>
      </c>
      <c r="AB44" s="35" t="str">
        <f>IF(ISNUMBER(T44),INDEX($BE$5:$BE$2999,MATCH(T44,AJ$5:AJ$2999,0),1),"")</f>
        <v/>
      </c>
      <c r="AC44" s="35" t="str">
        <f>IF(ISNUMBER(U44),INDEX($BE$5:$BE$2999,MATCH(U44,AK$5:AK$2999,0),1),"")</f>
        <v/>
      </c>
      <c r="AD44" s="35" t="str">
        <f>IF(ISNUMBER(V44),INDEX($BE$5:$BE$2999,MATCH(V44,AL$5:AL$2999,0),1),"")</f>
        <v/>
      </c>
      <c r="AE44" s="35" t="str">
        <f>IF(ISNUMBER(W44),INDEX($BE$5:$BE$2999,MATCH(W44,AM$5:AM$2999,0),1),"")</f>
        <v/>
      </c>
      <c r="AF44" s="35" t="str">
        <f>IF(ISNUMBER(X44),INDEX($BE$5:$BE$2999,MATCH(X44,AN$5:AN$2999,0),1),"")</f>
        <v/>
      </c>
      <c r="AG44" s="35"/>
      <c r="AH44" s="34">
        <f>IF($BE44="","",IF(ISNUMBER(MATCH($BE44,AP$5:AP$29999,0)),MAX(AH$4:AH43)+1,0))</f>
        <v>0</v>
      </c>
      <c r="AI44" s="34">
        <f>IF($BE44="","",IF(ISNUMBER(MATCH($BE44,AQ$5:AQ$29999,0)),MAX(AI$4:AI43)+1,0))</f>
        <v>0</v>
      </c>
      <c r="AJ44" s="34">
        <f>IF($BE44="","",IF(ISNUMBER(MATCH($BE44,AR$5:AR$29999,0)),MAX(AJ$4:AJ43)+1,0))</f>
        <v>30</v>
      </c>
      <c r="AK44" s="34">
        <f>IF($BE44="","",IF(ISNUMBER(MATCH($BE44,AS$5:AS$29999,0)),MAX(AK$4:AK43)+1,0))</f>
        <v>0</v>
      </c>
      <c r="AL44" s="34">
        <f>IF($BE44="","",IF(ISNUMBER(MATCH($BE44,AT$5:AT$29999,0)),MAX(AL$4:AL43)+1,0))</f>
        <v>0</v>
      </c>
      <c r="AM44" s="34">
        <f>IF($BE44="","",IF(ISNUMBER(MATCH($BE44,AU$5:AU$29999,0)),MAX(AM$4:AM43)+1,0))</f>
        <v>0</v>
      </c>
      <c r="AN44" s="34">
        <f>IF($BE44="","",IF(ISNUMBER(MATCH($BE44,AV$5:AV$29999,0)),MAX(AN$4:AN43)+1,0))</f>
        <v>0</v>
      </c>
      <c r="AO44" s="16"/>
      <c r="AP44" s="33"/>
      <c r="AQ44" s="33"/>
      <c r="AR44" s="33"/>
      <c r="AS44" s="33"/>
      <c r="AT44" s="33"/>
      <c r="AU44" s="32"/>
      <c r="AV44" s="32" t="s">
        <v>0</v>
      </c>
      <c r="AW44" s="40" t="s">
        <v>7</v>
      </c>
      <c r="AX44" s="20" t="s">
        <v>0</v>
      </c>
      <c r="AY44" s="30"/>
      <c r="AZ44" s="30"/>
      <c r="BA44" s="39" t="s">
        <v>0</v>
      </c>
      <c r="BB44" s="44">
        <f>IF(ISTEXT(AW44),IF(ISNUMBER(MATCH(AW44,$AY$5:$AY$100,0)),0,MAX(BB$4:BB43)+1),"")</f>
        <v>3</v>
      </c>
      <c r="BC44" s="36" t="str">
        <f>IF(ISTEXT(AY44),MATCH(AY44,$AW$5:$AW$127,0),"")</f>
        <v/>
      </c>
      <c r="BD44" s="36">
        <f>IF(ISNUMBER(BC44),AY44,ROW()-SUM($BC$4:$BD$4))</f>
        <v>3</v>
      </c>
      <c r="BE44" s="20" t="str">
        <f>IF(ISTEXT(AW44),IF(ISNUMBER(BC44),AY44,INDEX($AW$5:$AW$140,MATCH(BD44,$BB$5:$BB$185,0),1)),"")</f>
        <v>obs_uzf_column.csv</v>
      </c>
      <c r="BF44" s="36"/>
      <c r="BG44" s="19" t="str">
        <f>IF(ISNUMBER(MATCH($BE44,Z$5:Z$501,0)),INDEX(Z$5:Z$501,MATCH($BE44,Z$5:Z$501,0),1),"")</f>
        <v/>
      </c>
      <c r="BH44" s="19" t="str">
        <f>IF(ISNUMBER(MATCH($BE44,AA$5:AA$501,0)),INDEX(AA$5:AA$501,MATCH($BE44,AA$5:AA$501,0),1),"")</f>
        <v/>
      </c>
      <c r="BI44" s="19" t="str">
        <f>IF(ISNUMBER(MATCH($BE44,AB$5:AB$501,0)),INDEX(AB$5:AB$501,MATCH($BE44,AB$5:AB$501,0),1),"")</f>
        <v>obs_uzf_column.csv</v>
      </c>
      <c r="BJ44" s="19" t="str">
        <f>IF(ISNUMBER(MATCH($BE44,AC$5:AC$501,0)),INDEX(AC$5:AC$501,MATCH($BE44,AC$5:AC$501,0),1),"")</f>
        <v/>
      </c>
      <c r="BK44" s="19" t="str">
        <f>IF(ISNUMBER(MATCH($BE44,AD$5:AD$501,0)),INDEX(AD$5:AD$501,MATCH($BE44,AD$5:AD$501,0),1),"")</f>
        <v/>
      </c>
      <c r="BL44" s="19" t="str">
        <f>IF(ISNUMBER(MATCH($BE44,AE$5:AE$501,0)),INDEX(AE$5:AE$501,MATCH($BE44,AE$5:AE$501,0),1),"")</f>
        <v/>
      </c>
      <c r="BM44" s="19" t="str">
        <f>IF(ISNUMBER(MATCH($BE44,AF$5:AF$501,0)),INDEX(AF$5:AF$501,MATCH($BE44,AF$5:AF$501,0),1),"")</f>
        <v/>
      </c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</row>
    <row r="45" spans="1:78" ht="12" customHeight="1" x14ac:dyDescent="0.25">
      <c r="A45" s="26"/>
      <c r="B45" s="28" t="str">
        <f>IF(ISNUMBER(MATCH(O45,$N$5:$N$1000,0)),MATCH(O45,$N$5:$N$1000,0),"")</f>
        <v/>
      </c>
      <c r="C45" s="15" t="str">
        <f>IF(ISNUMBER(B45),MAX(C$4:C44)+1,"")</f>
        <v/>
      </c>
      <c r="D45" s="15" t="str">
        <f>IF(IF(ISNUMBER(B45),"",MAX(D$4:D44)+1)&lt;=D$3,IF(ISNUMBER(B45),"",MAX(D$4:D44)+1),"")</f>
        <v/>
      </c>
      <c r="E45" s="42" t="str">
        <f>IF(M45&lt;=D$3,MATCH(M45,D$5:D$1000,0),"")</f>
        <v/>
      </c>
      <c r="F45" s="28" t="str">
        <f>IF(ISNUMBER(E45),INDEX($N$5:$N$1000,E45,1),"")</f>
        <v/>
      </c>
      <c r="G45" s="27" t="str">
        <f>IF(ISNUMBER(C45),N45,IF(ISTEXT(N45),INDEX($F$5:$F$1000,MATCH(M45,$E$5:$E$1000,0),1),""))</f>
        <v/>
      </c>
      <c r="H45" s="15" t="str">
        <f>IF(O45="","",IF(ISNUMBER(MATCH(O45,$G$5:$G$1000,0)),"",IF(D45=1,C$3,0)+MAX(H$4:H44)+1))</f>
        <v/>
      </c>
      <c r="I45" s="15" t="str">
        <f>IF(O45="","",IF(ISNUMBER(MATCH(O45,$G$5:$G$1000,0)),"",IF(D45=1,B$4,0)+MAX(I$4:I44)+1))</f>
        <v/>
      </c>
      <c r="J45" s="27" t="str">
        <f>IF(ISNUMBER(MATCH(M45,$I$5:$I$1000,0)),INDEX($O$5:$O$1000,MATCH(M45,$I$5:$I$1000,0),1),"")</f>
        <v>.lak.obs.csv</v>
      </c>
      <c r="K45" s="27">
        <f>IF(P45="",0,1)</f>
        <v>1</v>
      </c>
      <c r="L45" s="26"/>
      <c r="M45" s="14">
        <f>IF(ROW()-ROW(M$4)&lt;=1000,ROW()-ROW(M$4),"")</f>
        <v>41</v>
      </c>
      <c r="N45" s="43"/>
      <c r="O45" s="43"/>
      <c r="P45" s="41" t="str">
        <f>IF(M45&lt;=$B$4,IF(ISTEXT(G45),G45,""),IF(ISTEXT(J45),J45,""))</f>
        <v>.lak.obs.csv</v>
      </c>
      <c r="Q45" s="16" t="s">
        <v>0</v>
      </c>
      <c r="R45" s="34" t="str">
        <f>IF(ROW()-ROW(R$4)&lt;=AH$3,ROW()-ROW(R$4),"")</f>
        <v/>
      </c>
      <c r="S45" s="34" t="str">
        <f>IF(ROW()-ROW(S$4)&lt;=AI$3,ROW()-ROW(S$4),"")</f>
        <v/>
      </c>
      <c r="T45" s="34" t="str">
        <f>IF(ROW()-ROW(T$4)&lt;=AJ$3,ROW()-ROW(T$4),"")</f>
        <v/>
      </c>
      <c r="U45" s="34" t="str">
        <f>IF(ROW()-ROW(U$4)&lt;=AK$3,ROW()-ROW(U$4),"")</f>
        <v/>
      </c>
      <c r="V45" s="34" t="str">
        <f>IF(ROW()-ROW(V$4)&lt;=AL$3,ROW()-ROW(V$4),"")</f>
        <v/>
      </c>
      <c r="W45" s="34" t="str">
        <f>IF(ROW()-ROW(W$4)&lt;=AM$3,ROW()-ROW(W$4),"")</f>
        <v/>
      </c>
      <c r="X45" s="34" t="str">
        <f>IF(ROW()-ROW(X$4)&lt;=AN$3,ROW()-ROW(X$4),"")</f>
        <v/>
      </c>
      <c r="Y45" s="34"/>
      <c r="Z45" s="35" t="str">
        <f>IF(ISNUMBER(R45),INDEX($BE$5:$BE$2999,MATCH(R45,AH$5:AH$2999,0),1),"")</f>
        <v/>
      </c>
      <c r="AA45" s="35" t="str">
        <f>IF(ISNUMBER(S45),INDEX($BE$5:$BE$2999,MATCH(S45,AI$5:AI$2999,0),1),"")</f>
        <v/>
      </c>
      <c r="AB45" s="35" t="str">
        <f>IF(ISNUMBER(T45),INDEX($BE$5:$BE$2999,MATCH(T45,AJ$5:AJ$2999,0),1),"")</f>
        <v/>
      </c>
      <c r="AC45" s="35" t="str">
        <f>IF(ISNUMBER(U45),INDEX($BE$5:$BE$2999,MATCH(U45,AK$5:AK$2999,0),1),"")</f>
        <v/>
      </c>
      <c r="AD45" s="35" t="str">
        <f>IF(ISNUMBER(V45),INDEX($BE$5:$BE$2999,MATCH(V45,AL$5:AL$2999,0),1),"")</f>
        <v/>
      </c>
      <c r="AE45" s="35" t="str">
        <f>IF(ISNUMBER(W45),INDEX($BE$5:$BE$2999,MATCH(W45,AM$5:AM$2999,0),1),"")</f>
        <v/>
      </c>
      <c r="AF45" s="35" t="str">
        <f>IF(ISNUMBER(X45),INDEX($BE$5:$BE$2999,MATCH(X45,AN$5:AN$2999,0),1),"")</f>
        <v/>
      </c>
      <c r="AG45" s="35"/>
      <c r="AH45" s="34">
        <f>IF($BE45="","",IF(ISNUMBER(MATCH($BE45,AP$5:AP$29999,0)),MAX(AH$4:AH44)+1,0))</f>
        <v>0</v>
      </c>
      <c r="AI45" s="34">
        <f>IF($BE45="","",IF(ISNUMBER(MATCH($BE45,AQ$5:AQ$29999,0)),MAX(AI$4:AI44)+1,0))</f>
        <v>0</v>
      </c>
      <c r="AJ45" s="34">
        <f>IF($BE45="","",IF(ISNUMBER(MATCH($BE45,AR$5:AR$29999,0)),MAX(AJ$4:AJ44)+1,0))</f>
        <v>31</v>
      </c>
      <c r="AK45" s="34">
        <f>IF($BE45="","",IF(ISNUMBER(MATCH($BE45,AS$5:AS$29999,0)),MAX(AK$4:AK44)+1,0))</f>
        <v>0</v>
      </c>
      <c r="AL45" s="34">
        <f>IF($BE45="","",IF(ISNUMBER(MATCH($BE45,AT$5:AT$29999,0)),MAX(AL$4:AL44)+1,0))</f>
        <v>0</v>
      </c>
      <c r="AM45" s="34">
        <f>IF($BE45="","",IF(ISNUMBER(MATCH($BE45,AU$5:AU$29999,0)),MAX(AM$4:AM44)+1,0))</f>
        <v>0</v>
      </c>
      <c r="AN45" s="34">
        <f>IF($BE45="","",IF(ISNUMBER(MATCH($BE45,AV$5:AV$29999,0)),MAX(AN$4:AN44)+1,0))</f>
        <v>0</v>
      </c>
      <c r="AO45" s="16"/>
      <c r="AP45" s="33"/>
      <c r="AQ45" s="33"/>
      <c r="AR45" s="33"/>
      <c r="AS45" s="33"/>
      <c r="AT45" s="33"/>
      <c r="AU45" s="32"/>
      <c r="AV45" s="32" t="s">
        <v>0</v>
      </c>
      <c r="AW45" s="40" t="s">
        <v>6</v>
      </c>
      <c r="AX45" s="20" t="s">
        <v>0</v>
      </c>
      <c r="AY45" s="30"/>
      <c r="AZ45" s="30"/>
      <c r="BA45" s="39" t="s">
        <v>0</v>
      </c>
      <c r="BB45" s="44">
        <f>IF(ISTEXT(AW45),IF(ISNUMBER(MATCH(AW45,$AY$5:$AY$100,0)),0,MAX(BB$4:BB44)+1),"")</f>
        <v>4</v>
      </c>
      <c r="BC45" s="36" t="str">
        <f>IF(ISTEXT(AY45),MATCH(AY45,$AW$5:$AW$127,0),"")</f>
        <v/>
      </c>
      <c r="BD45" s="36">
        <f>IF(ISNUMBER(BC45),AY45,ROW()-SUM($BC$4:$BD$4))</f>
        <v>4</v>
      </c>
      <c r="BE45" s="20" t="str">
        <f>IF(ISTEXT(AW45),IF(ISNUMBER(BC45),AY45,INDEX($AW$5:$AW$140,MATCH(BD45,$BB$5:$BB$185,0),1)),"")</f>
        <v>sfr.allreaches.csv</v>
      </c>
      <c r="BF45" s="36"/>
      <c r="BG45" s="19" t="str">
        <f>IF(ISNUMBER(MATCH($BE45,Z$5:Z$501,0)),INDEX(Z$5:Z$501,MATCH($BE45,Z$5:Z$501,0),1),"")</f>
        <v/>
      </c>
      <c r="BH45" s="19" t="str">
        <f>IF(ISNUMBER(MATCH($BE45,AA$5:AA$501,0)),INDEX(AA$5:AA$501,MATCH($BE45,AA$5:AA$501,0),1),"")</f>
        <v/>
      </c>
      <c r="BI45" s="19" t="str">
        <f>IF(ISNUMBER(MATCH($BE45,AB$5:AB$501,0)),INDEX(AB$5:AB$501,MATCH($BE45,AB$5:AB$501,0),1),"")</f>
        <v>sfr.allreaches.csv</v>
      </c>
      <c r="BJ45" s="19" t="str">
        <f>IF(ISNUMBER(MATCH($BE45,AC$5:AC$501,0)),INDEX(AC$5:AC$501,MATCH($BE45,AC$5:AC$501,0),1),"")</f>
        <v/>
      </c>
      <c r="BK45" s="19" t="str">
        <f>IF(ISNUMBER(MATCH($BE45,AD$5:AD$501,0)),INDEX(AD$5:AD$501,MATCH($BE45,AD$5:AD$501,0),1),"")</f>
        <v/>
      </c>
      <c r="BL45" s="19" t="str">
        <f>IF(ISNUMBER(MATCH($BE45,AE$5:AE$501,0)),INDEX(AE$5:AE$501,MATCH($BE45,AE$5:AE$501,0),1),"")</f>
        <v/>
      </c>
      <c r="BM45" s="19" t="str">
        <f>IF(ISNUMBER(MATCH($BE45,AF$5:AF$501,0)),INDEX(AF$5:AF$501,MATCH($BE45,AF$5:AF$501,0),1),"")</f>
        <v/>
      </c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</row>
    <row r="46" spans="1:78" ht="12" customHeight="1" x14ac:dyDescent="0.25">
      <c r="A46" s="26"/>
      <c r="B46" s="28" t="str">
        <f>IF(ISNUMBER(MATCH(O46,$N$5:$N$1000,0)),MATCH(O46,$N$5:$N$1000,0),"")</f>
        <v/>
      </c>
      <c r="C46" s="15" t="str">
        <f>IF(ISNUMBER(B46),MAX(C$4:C45)+1,"")</f>
        <v/>
      </c>
      <c r="D46" s="15" t="str">
        <f>IF(IF(ISNUMBER(B46),"",MAX(D$4:D45)+1)&lt;=D$3,IF(ISNUMBER(B46),"",MAX(D$4:D45)+1),"")</f>
        <v/>
      </c>
      <c r="E46" s="42" t="str">
        <f>IF(M46&lt;=D$3,MATCH(M46,D$5:D$1000,0),"")</f>
        <v/>
      </c>
      <c r="F46" s="28" t="str">
        <f>IF(ISNUMBER(E46),INDEX($N$5:$N$1000,E46,1),"")</f>
        <v/>
      </c>
      <c r="G46" s="27" t="str">
        <f>IF(ISNUMBER(C46),N46,IF(ISTEXT(N46),INDEX($F$5:$F$1000,MATCH(M46,$E$5:$E$1000,0),1),""))</f>
        <v/>
      </c>
      <c r="H46" s="15" t="str">
        <f>IF(O46="","",IF(ISNUMBER(MATCH(O46,$G$5:$G$1000,0)),"",IF(D46=1,C$3,0)+MAX(H$4:H45)+1))</f>
        <v/>
      </c>
      <c r="I46" s="15" t="str">
        <f>IF(O46="","",IF(ISNUMBER(MATCH(O46,$G$5:$G$1000,0)),"",IF(D46=1,B$4,0)+MAX(I$4:I45)+1))</f>
        <v/>
      </c>
      <c r="J46" s="27" t="str">
        <f>IF(ISNUMBER(MATCH(M46,$I$5:$I$1000,0)),INDEX($O$5:$O$1000,MATCH(M46,$I$5:$I$1000,0),1),"")</f>
        <v>.rcha</v>
      </c>
      <c r="K46" s="27">
        <f>IF(P46="",0,1)</f>
        <v>1</v>
      </c>
      <c r="L46" s="26"/>
      <c r="M46" s="14">
        <f>IF(ROW()-ROW(M$4)&lt;=1000,ROW()-ROW(M$4),"")</f>
        <v>42</v>
      </c>
      <c r="N46" s="43"/>
      <c r="O46" s="43"/>
      <c r="P46" s="41" t="str">
        <f>IF(M46&lt;=$B$4,IF(ISTEXT(G46),G46,""),IF(ISTEXT(J46),J46,""))</f>
        <v>.rcha</v>
      </c>
      <c r="Q46" s="16" t="s">
        <v>0</v>
      </c>
      <c r="R46" s="34" t="str">
        <f>IF(ROW()-ROW(R$4)&lt;=AH$3,ROW()-ROW(R$4),"")</f>
        <v/>
      </c>
      <c r="S46" s="34" t="str">
        <f>IF(ROW()-ROW(S$4)&lt;=AI$3,ROW()-ROW(S$4),"")</f>
        <v/>
      </c>
      <c r="T46" s="34" t="str">
        <f>IF(ROW()-ROW(T$4)&lt;=AJ$3,ROW()-ROW(T$4),"")</f>
        <v/>
      </c>
      <c r="U46" s="34" t="str">
        <f>IF(ROW()-ROW(U$4)&lt;=AK$3,ROW()-ROW(U$4),"")</f>
        <v/>
      </c>
      <c r="V46" s="34" t="str">
        <f>IF(ROW()-ROW(V$4)&lt;=AL$3,ROW()-ROW(V$4),"")</f>
        <v/>
      </c>
      <c r="W46" s="34" t="str">
        <f>IF(ROW()-ROW(W$4)&lt;=AM$3,ROW()-ROW(W$4),"")</f>
        <v/>
      </c>
      <c r="X46" s="34" t="str">
        <f>IF(ROW()-ROW(X$4)&lt;=AN$3,ROW()-ROW(X$4),"")</f>
        <v/>
      </c>
      <c r="Y46" s="34"/>
      <c r="Z46" s="35" t="str">
        <f>IF(ISNUMBER(R46),INDEX($BE$5:$BE$2999,MATCH(R46,AH$5:AH$2999,0),1),"")</f>
        <v/>
      </c>
      <c r="AA46" s="35" t="str">
        <f>IF(ISNUMBER(S46),INDEX($BE$5:$BE$2999,MATCH(S46,AI$5:AI$2999,0),1),"")</f>
        <v/>
      </c>
      <c r="AB46" s="35" t="str">
        <f>IF(ISNUMBER(T46),INDEX($BE$5:$BE$2999,MATCH(T46,AJ$5:AJ$2999,0),1),"")</f>
        <v/>
      </c>
      <c r="AC46" s="35" t="str">
        <f>IF(ISNUMBER(U46),INDEX($BE$5:$BE$2999,MATCH(U46,AK$5:AK$2999,0),1),"")</f>
        <v/>
      </c>
      <c r="AD46" s="35" t="str">
        <f>IF(ISNUMBER(V46),INDEX($BE$5:$BE$2999,MATCH(V46,AL$5:AL$2999,0),1),"")</f>
        <v/>
      </c>
      <c r="AE46" s="35" t="str">
        <f>IF(ISNUMBER(W46),INDEX($BE$5:$BE$2999,MATCH(W46,AM$5:AM$2999,0),1),"")</f>
        <v/>
      </c>
      <c r="AF46" s="35" t="str">
        <f>IF(ISNUMBER(X46),INDEX($BE$5:$BE$2999,MATCH(X46,AN$5:AN$2999,0),1),"")</f>
        <v/>
      </c>
      <c r="AG46" s="35"/>
      <c r="AH46" s="34">
        <f>IF($BE46="","",IF(ISNUMBER(MATCH($BE46,AP$5:AP$29999,0)),MAX(AH$4:AH45)+1,0))</f>
        <v>0</v>
      </c>
      <c r="AI46" s="34">
        <f>IF($BE46="","",IF(ISNUMBER(MATCH($BE46,AQ$5:AQ$29999,0)),MAX(AI$4:AI45)+1,0))</f>
        <v>0</v>
      </c>
      <c r="AJ46" s="34">
        <f>IF($BE46="","",IF(ISNUMBER(MATCH($BE46,AR$5:AR$29999,0)),MAX(AJ$4:AJ45)+1,0))</f>
        <v>32</v>
      </c>
      <c r="AK46" s="34">
        <f>IF($BE46="","",IF(ISNUMBER(MATCH($BE46,AS$5:AS$29999,0)),MAX(AK$4:AK45)+1,0))</f>
        <v>0</v>
      </c>
      <c r="AL46" s="34">
        <f>IF($BE46="","",IF(ISNUMBER(MATCH($BE46,AT$5:AT$29999,0)),MAX(AL$4:AL45)+1,0))</f>
        <v>0</v>
      </c>
      <c r="AM46" s="34">
        <f>IF($BE46="","",IF(ISNUMBER(MATCH($BE46,AU$5:AU$29999,0)),MAX(AM$4:AM45)+1,0))</f>
        <v>0</v>
      </c>
      <c r="AN46" s="34">
        <f>IF($BE46="","",IF(ISNUMBER(MATCH($BE46,AV$5:AV$29999,0)),MAX(AN$4:AN45)+1,0))</f>
        <v>0</v>
      </c>
      <c r="AO46" s="16"/>
      <c r="AP46" s="33"/>
      <c r="AQ46" s="33"/>
      <c r="AR46" s="33"/>
      <c r="AS46" s="33"/>
      <c r="AT46" s="32"/>
      <c r="AU46" s="32"/>
      <c r="AV46" s="32" t="s">
        <v>0</v>
      </c>
      <c r="AW46" s="40" t="s">
        <v>5</v>
      </c>
      <c r="AX46" s="20" t="s">
        <v>0</v>
      </c>
      <c r="AY46" s="30"/>
      <c r="AZ46" s="30"/>
      <c r="BA46" s="39" t="s">
        <v>0</v>
      </c>
      <c r="BB46" s="44">
        <f>IF(ISTEXT(AW46),IF(ISNUMBER(MATCH(AW46,$AY$5:$AY$100,0)),0,MAX(BB$4:BB45)+1),"")</f>
        <v>5</v>
      </c>
      <c r="BC46" s="36" t="str">
        <f>IF(ISTEXT(AY46),MATCH(AY46,$AW$5:$AW$127,0),"")</f>
        <v/>
      </c>
      <c r="BD46" s="36">
        <f>IF(ISNUMBER(BC46),AY46,ROW()-SUM($BC$4:$BD$4))</f>
        <v>5</v>
      </c>
      <c r="BE46" s="20" t="str">
        <f>IF(ISTEXT(AW46),IF(ISNUMBER(BC46),AY46,INDEX($AW$5:$AW$140,MATCH(BD46,$BB$5:$BB$185,0),1)),"")</f>
        <v>sfr.reach01.csv</v>
      </c>
      <c r="BF46" s="36"/>
      <c r="BG46" s="19" t="str">
        <f>IF(ISNUMBER(MATCH($BE46,Z$5:Z$501,0)),INDEX(Z$5:Z$501,MATCH($BE46,Z$5:Z$501,0),1),"")</f>
        <v/>
      </c>
      <c r="BH46" s="19" t="str">
        <f>IF(ISNUMBER(MATCH($BE46,AA$5:AA$501,0)),INDEX(AA$5:AA$501,MATCH($BE46,AA$5:AA$501,0),1),"")</f>
        <v/>
      </c>
      <c r="BI46" s="19" t="str">
        <f>IF(ISNUMBER(MATCH($BE46,AB$5:AB$501,0)),INDEX(AB$5:AB$501,MATCH($BE46,AB$5:AB$501,0),1),"")</f>
        <v>sfr.reach01.csv</v>
      </c>
      <c r="BJ46" s="19" t="str">
        <f>IF(ISNUMBER(MATCH($BE46,AC$5:AC$501,0)),INDEX(AC$5:AC$501,MATCH($BE46,AC$5:AC$501,0),1),"")</f>
        <v/>
      </c>
      <c r="BK46" s="19" t="str">
        <f>IF(ISNUMBER(MATCH($BE46,AD$5:AD$501,0)),INDEX(AD$5:AD$501,MATCH($BE46,AD$5:AD$501,0),1),"")</f>
        <v/>
      </c>
      <c r="BL46" s="19" t="str">
        <f>IF(ISNUMBER(MATCH($BE46,AE$5:AE$501,0)),INDEX(AE$5:AE$501,MATCH($BE46,AE$5:AE$501,0),1),"")</f>
        <v/>
      </c>
      <c r="BM46" s="19" t="str">
        <f>IF(ISNUMBER(MATCH($BE46,AF$5:AF$501,0)),INDEX(AF$5:AF$501,MATCH($BE46,AF$5:AF$501,0),1),"")</f>
        <v/>
      </c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</row>
    <row r="47" spans="1:78" ht="12" customHeight="1" x14ac:dyDescent="0.25">
      <c r="A47" s="26"/>
      <c r="B47" s="28" t="str">
        <f>IF(ISNUMBER(MATCH(O47,$N$5:$N$1000,0)),MATCH(O47,$N$5:$N$1000,0),"")</f>
        <v/>
      </c>
      <c r="C47" s="15" t="str">
        <f>IF(ISNUMBER(B47),MAX(C$4:C46)+1,"")</f>
        <v/>
      </c>
      <c r="D47" s="15" t="str">
        <f>IF(IF(ISNUMBER(B47),"",MAX(D$4:D46)+1)&lt;=D$3,IF(ISNUMBER(B47),"",MAX(D$4:D46)+1),"")</f>
        <v/>
      </c>
      <c r="E47" s="42" t="str">
        <f>IF(M47&lt;=D$3,MATCH(M47,D$5:D$1000,0),"")</f>
        <v/>
      </c>
      <c r="F47" s="28" t="str">
        <f>IF(ISNUMBER(E47),INDEX($N$5:$N$1000,E47,1),"")</f>
        <v/>
      </c>
      <c r="G47" s="27" t="str">
        <f>IF(ISNUMBER(C47),N47,IF(ISTEXT(N47),INDEX($F$5:$F$1000,MATCH(M47,$E$5:$E$1000,0),1),""))</f>
        <v/>
      </c>
      <c r="H47" s="15" t="str">
        <f>IF(O47="","",IF(ISNUMBER(MATCH(O47,$G$5:$G$1000,0)),"",IF(D47=1,C$3,0)+MAX(H$4:H46)+1))</f>
        <v/>
      </c>
      <c r="I47" s="15" t="str">
        <f>IF(O47="","",IF(ISNUMBER(MATCH(O47,$G$5:$G$1000,0)),"",IF(D47=1,B$4,0)+MAX(I$4:I46)+1))</f>
        <v/>
      </c>
      <c r="J47" s="27" t="str">
        <f>IF(ISNUMBER(MATCH(M47,$I$5:$I$1000,0)),INDEX($O$5:$O$1000,MATCH(M47,$I$5:$I$1000,0),1),"")</f>
        <v>.bud</v>
      </c>
      <c r="K47" s="27">
        <f>IF(P47="",0,1)</f>
        <v>1</v>
      </c>
      <c r="L47" s="26"/>
      <c r="M47" s="14">
        <f>IF(ROW()-ROW(M$4)&lt;=1000,ROW()-ROW(M$4),"")</f>
        <v>43</v>
      </c>
      <c r="N47" s="43"/>
      <c r="O47" s="43"/>
      <c r="P47" s="41" t="str">
        <f>IF(M47&lt;=$B$4,IF(ISTEXT(G47),G47,""),IF(ISTEXT(J47),J47,""))</f>
        <v>.bud</v>
      </c>
      <c r="Q47" s="16" t="s">
        <v>0</v>
      </c>
      <c r="R47" s="34" t="str">
        <f>IF(ROW()-ROW(R$4)&lt;=AH$3,ROW()-ROW(R$4),"")</f>
        <v/>
      </c>
      <c r="S47" s="34" t="str">
        <f>IF(ROW()-ROW(S$4)&lt;=AI$3,ROW()-ROW(S$4),"")</f>
        <v/>
      </c>
      <c r="T47" s="34" t="str">
        <f>IF(ROW()-ROW(T$4)&lt;=AJ$3,ROW()-ROW(T$4),"")</f>
        <v/>
      </c>
      <c r="U47" s="34" t="str">
        <f>IF(ROW()-ROW(U$4)&lt;=AK$3,ROW()-ROW(U$4),"")</f>
        <v/>
      </c>
      <c r="V47" s="34" t="str">
        <f>IF(ROW()-ROW(V$4)&lt;=AL$3,ROW()-ROW(V$4),"")</f>
        <v/>
      </c>
      <c r="W47" s="34" t="str">
        <f>IF(ROW()-ROW(W$4)&lt;=AM$3,ROW()-ROW(W$4),"")</f>
        <v/>
      </c>
      <c r="X47" s="34" t="str">
        <f>IF(ROW()-ROW(X$4)&lt;=AN$3,ROW()-ROW(X$4),"")</f>
        <v/>
      </c>
      <c r="Y47" s="34"/>
      <c r="Z47" s="35" t="str">
        <f>IF(ISNUMBER(R47),INDEX($BE$5:$BE$2999,MATCH(R47,AH$5:AH$2999,0),1),"")</f>
        <v/>
      </c>
      <c r="AA47" s="35" t="str">
        <f>IF(ISNUMBER(S47),INDEX($BE$5:$BE$2999,MATCH(S47,AI$5:AI$2999,0),1),"")</f>
        <v/>
      </c>
      <c r="AB47" s="35" t="str">
        <f>IF(ISNUMBER(T47),INDEX($BE$5:$BE$2999,MATCH(T47,AJ$5:AJ$2999,0),1),"")</f>
        <v/>
      </c>
      <c r="AC47" s="35" t="str">
        <f>IF(ISNUMBER(U47),INDEX($BE$5:$BE$2999,MATCH(U47,AK$5:AK$2999,0),1),"")</f>
        <v/>
      </c>
      <c r="AD47" s="35" t="str">
        <f>IF(ISNUMBER(V47),INDEX($BE$5:$BE$2999,MATCH(V47,AL$5:AL$2999,0),1),"")</f>
        <v/>
      </c>
      <c r="AE47" s="35" t="str">
        <f>IF(ISNUMBER(W47),INDEX($BE$5:$BE$2999,MATCH(W47,AM$5:AM$2999,0),1),"")</f>
        <v/>
      </c>
      <c r="AF47" s="35" t="str">
        <f>IF(ISNUMBER(X47),INDEX($BE$5:$BE$2999,MATCH(X47,AN$5:AN$2999,0),1),"")</f>
        <v/>
      </c>
      <c r="AG47" s="35"/>
      <c r="AH47" s="34">
        <f>IF($BE47="","",IF(ISNUMBER(MATCH($BE47,AP$5:AP$29999,0)),MAX(AH$4:AH46)+1,0))</f>
        <v>0</v>
      </c>
      <c r="AI47" s="34">
        <f>IF($BE47="","",IF(ISNUMBER(MATCH($BE47,AQ$5:AQ$29999,0)),MAX(AI$4:AI46)+1,0))</f>
        <v>0</v>
      </c>
      <c r="AJ47" s="34">
        <f>IF($BE47="","",IF(ISNUMBER(MATCH($BE47,AR$5:AR$29999,0)),MAX(AJ$4:AJ46)+1,0))</f>
        <v>33</v>
      </c>
      <c r="AK47" s="34">
        <f>IF($BE47="","",IF(ISNUMBER(MATCH($BE47,AS$5:AS$29999,0)),MAX(AK$4:AK46)+1,0))</f>
        <v>0</v>
      </c>
      <c r="AL47" s="34">
        <f>IF($BE47="","",IF(ISNUMBER(MATCH($BE47,AT$5:AT$29999,0)),MAX(AL$4:AL46)+1,0))</f>
        <v>0</v>
      </c>
      <c r="AM47" s="34">
        <f>IF($BE47="","",IF(ISNUMBER(MATCH($BE47,AU$5:AU$29999,0)),MAX(AM$4:AM46)+1,0))</f>
        <v>0</v>
      </c>
      <c r="AN47" s="34">
        <f>IF($BE47="","",IF(ISNUMBER(MATCH($BE47,AV$5:AV$29999,0)),MAX(AN$4:AN46)+1,0))</f>
        <v>0</v>
      </c>
      <c r="AO47" s="16"/>
      <c r="AP47" s="33"/>
      <c r="AQ47" s="33"/>
      <c r="AR47" s="33"/>
      <c r="AS47" s="33"/>
      <c r="AT47" s="32"/>
      <c r="AU47" s="32"/>
      <c r="AV47" s="32" t="s">
        <v>0</v>
      </c>
      <c r="AW47" s="40" t="s">
        <v>4</v>
      </c>
      <c r="AX47" s="20" t="s">
        <v>0</v>
      </c>
      <c r="AY47" s="30"/>
      <c r="AZ47" s="30"/>
      <c r="BA47" s="39" t="s">
        <v>0</v>
      </c>
      <c r="BB47" s="44">
        <f>IF(ISTEXT(AW47),IF(ISNUMBER(MATCH(AW47,$AY$5:$AY$100,0)),0,MAX(BB$4:BB46)+1),"")</f>
        <v>6</v>
      </c>
      <c r="BC47" s="36" t="str">
        <f>IF(ISTEXT(AY47),MATCH(AY47,$AW$5:$AW$127,0),"")</f>
        <v/>
      </c>
      <c r="BD47" s="36">
        <f>IF(ISNUMBER(BC47),AY47,ROW()-SUM($BC$4:$BD$4))</f>
        <v>6</v>
      </c>
      <c r="BE47" s="20" t="str">
        <f>IF(ISTEXT(AW47),IF(ISNUMBER(BC47),AY47,INDEX($AW$5:$AW$140,MATCH(BD47,$BB$5:$BB$185,0),1)),"")</f>
        <v>sfr.reach24.csv</v>
      </c>
      <c r="BF47" s="36"/>
      <c r="BG47" s="19" t="str">
        <f>IF(ISNUMBER(MATCH($BE47,Z$5:Z$501,0)),INDEX(Z$5:Z$501,MATCH($BE47,Z$5:Z$501,0),1),"")</f>
        <v/>
      </c>
      <c r="BH47" s="19" t="str">
        <f>IF(ISNUMBER(MATCH($BE47,AA$5:AA$501,0)),INDEX(AA$5:AA$501,MATCH($BE47,AA$5:AA$501,0),1),"")</f>
        <v/>
      </c>
      <c r="BI47" s="19" t="str">
        <f>IF(ISNUMBER(MATCH($BE47,AB$5:AB$501,0)),INDEX(AB$5:AB$501,MATCH($BE47,AB$5:AB$501,0),1),"")</f>
        <v>sfr.reach24.csv</v>
      </c>
      <c r="BJ47" s="19" t="str">
        <f>IF(ISNUMBER(MATCH($BE47,AC$5:AC$501,0)),INDEX(AC$5:AC$501,MATCH($BE47,AC$5:AC$501,0),1),"")</f>
        <v/>
      </c>
      <c r="BK47" s="19" t="str">
        <f>IF(ISNUMBER(MATCH($BE47,AD$5:AD$501,0)),INDEX(AD$5:AD$501,MATCH($BE47,AD$5:AD$501,0),1),"")</f>
        <v/>
      </c>
      <c r="BL47" s="19" t="str">
        <f>IF(ISNUMBER(MATCH($BE47,AE$5:AE$501,0)),INDEX(AE$5:AE$501,MATCH($BE47,AE$5:AE$501,0),1),"")</f>
        <v/>
      </c>
      <c r="BM47" s="19" t="str">
        <f>IF(ISNUMBER(MATCH($BE47,AF$5:AF$501,0)),INDEX(AF$5:AF$501,MATCH($BE47,AF$5:AF$501,0),1),"")</f>
        <v/>
      </c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</row>
    <row r="48" spans="1:78" ht="12" customHeight="1" x14ac:dyDescent="0.25">
      <c r="A48" s="26"/>
      <c r="B48" s="28" t="str">
        <f>IF(ISNUMBER(MATCH(O48,$N$5:$N$1000,0)),MATCH(O48,$N$5:$N$1000,0),"")</f>
        <v/>
      </c>
      <c r="C48" s="15" t="str">
        <f>IF(ISNUMBER(B48),MAX(C$4:C47)+1,"")</f>
        <v/>
      </c>
      <c r="D48" s="15" t="str">
        <f>IF(IF(ISNUMBER(B48),"",MAX(D$4:D47)+1)&lt;=D$3,IF(ISNUMBER(B48),"",MAX(D$4:D47)+1),"")</f>
        <v/>
      </c>
      <c r="E48" s="42" t="str">
        <f>IF(M48&lt;=D$3,MATCH(M48,D$5:D$1000,0),"")</f>
        <v/>
      </c>
      <c r="F48" s="28" t="str">
        <f>IF(ISNUMBER(E48),INDEX($N$5:$N$1000,E48,1),"")</f>
        <v/>
      </c>
      <c r="G48" s="27" t="str">
        <f>IF(ISNUMBER(C48),N48,IF(ISTEXT(N48),INDEX($F$5:$F$1000,MATCH(M48,$E$5:$E$1000,0),1),""))</f>
        <v/>
      </c>
      <c r="H48" s="15" t="str">
        <f>IF(O48="","",IF(ISNUMBER(MATCH(O48,$G$5:$G$1000,0)),"",IF(D48=1,C$3,0)+MAX(H$4:H47)+1))</f>
        <v/>
      </c>
      <c r="I48" s="15" t="str">
        <f>IF(O48="","",IF(ISNUMBER(MATCH(O48,$G$5:$G$1000,0)),"",IF(D48=1,B$4,0)+MAX(I$4:I47)+1))</f>
        <v/>
      </c>
      <c r="J48" s="27" t="str">
        <f>IF(ISNUMBER(MATCH(M48,$I$5:$I$1000,0)),INDEX($O$5:$O$1000,MATCH(M48,$I$5:$I$1000,0),1),"")</f>
        <v>.lak.bin</v>
      </c>
      <c r="K48" s="27">
        <f>IF(P48="",0,1)</f>
        <v>1</v>
      </c>
      <c r="L48" s="26"/>
      <c r="M48" s="14">
        <f>IF(ROW()-ROW(M$4)&lt;=1000,ROW()-ROW(M$4),"")</f>
        <v>44</v>
      </c>
      <c r="N48" s="43"/>
      <c r="O48" s="43"/>
      <c r="P48" s="41" t="str">
        <f>IF(M48&lt;=$B$4,IF(ISTEXT(G48),G48,""),IF(ISTEXT(J48),J48,""))</f>
        <v>.lak.bin</v>
      </c>
      <c r="Q48" s="16" t="s">
        <v>0</v>
      </c>
      <c r="R48" s="34" t="str">
        <f>IF(ROW()-ROW(R$4)&lt;=AH$3,ROW()-ROW(R$4),"")</f>
        <v/>
      </c>
      <c r="S48" s="34" t="str">
        <f>IF(ROW()-ROW(S$4)&lt;=AI$3,ROW()-ROW(S$4),"")</f>
        <v/>
      </c>
      <c r="T48" s="34" t="str">
        <f>IF(ROW()-ROW(T$4)&lt;=AJ$3,ROW()-ROW(T$4),"")</f>
        <v/>
      </c>
      <c r="U48" s="34" t="str">
        <f>IF(ROW()-ROW(U$4)&lt;=AK$3,ROW()-ROW(U$4),"")</f>
        <v/>
      </c>
      <c r="V48" s="34" t="str">
        <f>IF(ROW()-ROW(V$4)&lt;=AL$3,ROW()-ROW(V$4),"")</f>
        <v/>
      </c>
      <c r="W48" s="34" t="str">
        <f>IF(ROW()-ROW(W$4)&lt;=AM$3,ROW()-ROW(W$4),"")</f>
        <v/>
      </c>
      <c r="X48" s="34" t="str">
        <f>IF(ROW()-ROW(X$4)&lt;=AN$3,ROW()-ROW(X$4),"")</f>
        <v/>
      </c>
      <c r="Y48" s="34"/>
      <c r="Z48" s="35" t="str">
        <f>IF(ISNUMBER(R48),INDEX($BE$5:$BE$2999,MATCH(R48,AH$5:AH$2999,0),1),"")</f>
        <v/>
      </c>
      <c r="AA48" s="35" t="str">
        <f>IF(ISNUMBER(S48),INDEX($BE$5:$BE$2999,MATCH(S48,AI$5:AI$2999,0),1),"")</f>
        <v/>
      </c>
      <c r="AB48" s="35" t="str">
        <f>IF(ISNUMBER(T48),INDEX($BE$5:$BE$2999,MATCH(T48,AJ$5:AJ$2999,0),1),"")</f>
        <v/>
      </c>
      <c r="AC48" s="35" t="str">
        <f>IF(ISNUMBER(U48),INDEX($BE$5:$BE$2999,MATCH(U48,AK$5:AK$2999,0),1),"")</f>
        <v/>
      </c>
      <c r="AD48" s="35" t="str">
        <f>IF(ISNUMBER(V48),INDEX($BE$5:$BE$2999,MATCH(V48,AL$5:AL$2999,0),1),"")</f>
        <v/>
      </c>
      <c r="AE48" s="35" t="str">
        <f>IF(ISNUMBER(W48),INDEX($BE$5:$BE$2999,MATCH(W48,AM$5:AM$2999,0),1),"")</f>
        <v/>
      </c>
      <c r="AF48" s="35" t="str">
        <f>IF(ISNUMBER(X48),INDEX($BE$5:$BE$2999,MATCH(X48,AN$5:AN$2999,0),1),"")</f>
        <v/>
      </c>
      <c r="AG48" s="35"/>
      <c r="AH48" s="34">
        <f>IF($BE48="","",IF(ISNUMBER(MATCH($BE48,AP$5:AP$29999,0)),MAX(AH$4:AH47)+1,0))</f>
        <v>0</v>
      </c>
      <c r="AI48" s="34">
        <f>IF($BE48="","",IF(ISNUMBER(MATCH($BE48,AQ$5:AQ$29999,0)),MAX(AI$4:AI47)+1,0))</f>
        <v>0</v>
      </c>
      <c r="AJ48" s="34">
        <f>IF($BE48="","",IF(ISNUMBER(MATCH($BE48,AR$5:AR$29999,0)),MAX(AJ$4:AJ47)+1,0))</f>
        <v>34</v>
      </c>
      <c r="AK48" s="34">
        <f>IF($BE48="","",IF(ISNUMBER(MATCH($BE48,AS$5:AS$29999,0)),MAX(AK$4:AK47)+1,0))</f>
        <v>0</v>
      </c>
      <c r="AL48" s="34">
        <f>IF($BE48="","",IF(ISNUMBER(MATCH($BE48,AT$5:AT$29999,0)),MAX(AL$4:AL47)+1,0))</f>
        <v>0</v>
      </c>
      <c r="AM48" s="34">
        <f>IF($BE48="","",IF(ISNUMBER(MATCH($BE48,AU$5:AU$29999,0)),MAX(AM$4:AM47)+1,0))</f>
        <v>0</v>
      </c>
      <c r="AN48" s="34">
        <f>IF($BE48="","",IF(ISNUMBER(MATCH($BE48,AV$5:AV$29999,0)),MAX(AN$4:AN47)+1,0))</f>
        <v>0</v>
      </c>
      <c r="AO48" s="16"/>
      <c r="AP48" s="33"/>
      <c r="AQ48" s="33"/>
      <c r="AR48" s="33"/>
      <c r="AS48" s="33"/>
      <c r="AT48" s="32"/>
      <c r="AU48" s="32"/>
      <c r="AV48" s="32" t="s">
        <v>0</v>
      </c>
      <c r="AW48" s="40" t="s">
        <v>3</v>
      </c>
      <c r="AX48" s="20" t="s">
        <v>0</v>
      </c>
      <c r="AY48" s="30"/>
      <c r="AZ48" s="30"/>
      <c r="BA48" s="39" t="s">
        <v>0</v>
      </c>
      <c r="BB48" s="44">
        <f>IF(ISTEXT(AW48),IF(ISNUMBER(MATCH(AW48,$AY$5:$AY$100,0)),0,MAX(BB$4:BB47)+1),"")</f>
        <v>7</v>
      </c>
      <c r="BC48" s="36" t="str">
        <f>IF(ISTEXT(AY48),MATCH(AY48,$AW$5:$AW$127,0),"")</f>
        <v/>
      </c>
      <c r="BD48" s="36">
        <f>IF(ISNUMBER(BC48),AY48,ROW()-SUM($BC$4:$BD$4))</f>
        <v>7</v>
      </c>
      <c r="BE48" s="20" t="str">
        <f>IF(ISTEXT(AW48),IF(ISNUMBER(BC48),AY48,INDEX($AW$5:$AW$140,MATCH(BD48,$BB$5:$BB$185,0),1)),"")</f>
        <v>sfr.reach29.csv</v>
      </c>
      <c r="BF48" s="36"/>
      <c r="BG48" s="19" t="str">
        <f>IF(ISNUMBER(MATCH($BE48,Z$5:Z$501,0)),INDEX(Z$5:Z$501,MATCH($BE48,Z$5:Z$501,0),1),"")</f>
        <v/>
      </c>
      <c r="BH48" s="19" t="str">
        <f>IF(ISNUMBER(MATCH($BE48,AA$5:AA$501,0)),INDEX(AA$5:AA$501,MATCH($BE48,AA$5:AA$501,0),1),"")</f>
        <v/>
      </c>
      <c r="BI48" s="19" t="str">
        <f>IF(ISNUMBER(MATCH($BE48,AB$5:AB$501,0)),INDEX(AB$5:AB$501,MATCH($BE48,AB$5:AB$501,0),1),"")</f>
        <v>sfr.reach29.csv</v>
      </c>
      <c r="BJ48" s="19" t="str">
        <f>IF(ISNUMBER(MATCH($BE48,AC$5:AC$501,0)),INDEX(AC$5:AC$501,MATCH($BE48,AC$5:AC$501,0),1),"")</f>
        <v/>
      </c>
      <c r="BK48" s="19" t="str">
        <f>IF(ISNUMBER(MATCH($BE48,AD$5:AD$501,0)),INDEX(AD$5:AD$501,MATCH($BE48,AD$5:AD$501,0),1),"")</f>
        <v/>
      </c>
      <c r="BL48" s="19" t="str">
        <f>IF(ISNUMBER(MATCH($BE48,AE$5:AE$501,0)),INDEX(AE$5:AE$501,MATCH($BE48,AE$5:AE$501,0),1),"")</f>
        <v/>
      </c>
      <c r="BM48" s="19" t="str">
        <f>IF(ISNUMBER(MATCH($BE48,AF$5:AF$501,0)),INDEX(AF$5:AF$501,MATCH($BE48,AF$5:AF$501,0),1),"")</f>
        <v/>
      </c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</row>
    <row r="49" spans="1:78" ht="12" customHeight="1" x14ac:dyDescent="0.25">
      <c r="A49" s="26"/>
      <c r="B49" s="28" t="str">
        <f>IF(ISNUMBER(MATCH(O49,$N$5:$N$1000,0)),MATCH(O49,$N$5:$N$1000,0),"")</f>
        <v/>
      </c>
      <c r="C49" s="15" t="str">
        <f>IF(ISNUMBER(B49),MAX(C$4:C48)+1,"")</f>
        <v/>
      </c>
      <c r="D49" s="15" t="str">
        <f>IF(IF(ISNUMBER(B49),"",MAX(D$4:D48)+1)&lt;=D$3,IF(ISNUMBER(B49),"",MAX(D$4:D48)+1),"")</f>
        <v/>
      </c>
      <c r="E49" s="42" t="str">
        <f>IF(M49&lt;=D$3,MATCH(M49,D$5:D$1000,0),"")</f>
        <v/>
      </c>
      <c r="F49" s="28" t="str">
        <f>IF(ISNUMBER(E49),INDEX($N$5:$N$1000,E49,1),"")</f>
        <v/>
      </c>
      <c r="G49" s="27" t="str">
        <f>IF(ISNUMBER(C49),N49,IF(ISTEXT(N49),INDEX($F$5:$F$1000,MATCH(M49,$E$5:$E$1000,0),1),""))</f>
        <v/>
      </c>
      <c r="H49" s="15" t="str">
        <f>IF(O49="","",IF(ISNUMBER(MATCH(O49,$G$5:$G$1000,0)),"",IF(D49=1,C$3,0)+MAX(H$4:H48)+1))</f>
        <v/>
      </c>
      <c r="I49" s="15" t="str">
        <f>IF(O49="","",IF(ISNUMBER(MATCH(O49,$G$5:$G$1000,0)),"",IF(D49=1,B$4,0)+MAX(I$4:I48)+1))</f>
        <v/>
      </c>
      <c r="J49" s="27" t="str">
        <f>IF(ISNUMBER(MATCH(M49,$I$5:$I$1000,0)),INDEX($O$5:$O$1000,MATCH(M49,$I$5:$I$1000,0),1),"")</f>
        <v>.sfr.bin</v>
      </c>
      <c r="K49" s="27">
        <f>IF(P49="",0,1)</f>
        <v>1</v>
      </c>
      <c r="L49" s="26"/>
      <c r="M49" s="14">
        <f>IF(ROW()-ROW(M$4)&lt;=1000,ROW()-ROW(M$4),"")</f>
        <v>45</v>
      </c>
      <c r="N49" s="43"/>
      <c r="O49" s="43"/>
      <c r="P49" s="41" t="str">
        <f>IF(M49&lt;=$B$4,IF(ISTEXT(G49),G49,""),IF(ISTEXT(J49),J49,""))</f>
        <v>.sfr.bin</v>
      </c>
      <c r="Q49" s="16" t="s">
        <v>0</v>
      </c>
      <c r="R49" s="34" t="str">
        <f>IF(ROW()-ROW(R$4)&lt;=AH$3,ROW()-ROW(R$4),"")</f>
        <v/>
      </c>
      <c r="S49" s="34" t="str">
        <f>IF(ROW()-ROW(S$4)&lt;=AI$3,ROW()-ROW(S$4),"")</f>
        <v/>
      </c>
      <c r="T49" s="34" t="str">
        <f>IF(ROW()-ROW(T$4)&lt;=AJ$3,ROW()-ROW(T$4),"")</f>
        <v/>
      </c>
      <c r="U49" s="34" t="str">
        <f>IF(ROW()-ROW(U$4)&lt;=AK$3,ROW()-ROW(U$4),"")</f>
        <v/>
      </c>
      <c r="V49" s="34" t="str">
        <f>IF(ROW()-ROW(V$4)&lt;=AL$3,ROW()-ROW(V$4),"")</f>
        <v/>
      </c>
      <c r="W49" s="34" t="str">
        <f>IF(ROW()-ROW(W$4)&lt;=AM$3,ROW()-ROW(W$4),"")</f>
        <v/>
      </c>
      <c r="X49" s="34" t="str">
        <f>IF(ROW()-ROW(X$4)&lt;=AN$3,ROW()-ROW(X$4),"")</f>
        <v/>
      </c>
      <c r="Y49" s="34"/>
      <c r="Z49" s="35" t="str">
        <f>IF(ISNUMBER(R49),INDEX($BE$5:$BE$2999,MATCH(R49,AH$5:AH$2999,0),1),"")</f>
        <v/>
      </c>
      <c r="AA49" s="35" t="str">
        <f>IF(ISNUMBER(S49),INDEX($BE$5:$BE$2999,MATCH(S49,AI$5:AI$2999,0),1),"")</f>
        <v/>
      </c>
      <c r="AB49" s="35" t="str">
        <f>IF(ISNUMBER(T49),INDEX($BE$5:$BE$2999,MATCH(T49,AJ$5:AJ$2999,0),1),"")</f>
        <v/>
      </c>
      <c r="AC49" s="35" t="str">
        <f>IF(ISNUMBER(U49),INDEX($BE$5:$BE$2999,MATCH(U49,AK$5:AK$2999,0),1),"")</f>
        <v/>
      </c>
      <c r="AD49" s="35" t="str">
        <f>IF(ISNUMBER(V49),INDEX($BE$5:$BE$2999,MATCH(V49,AL$5:AL$2999,0),1),"")</f>
        <v/>
      </c>
      <c r="AE49" s="35" t="str">
        <f>IF(ISNUMBER(W49),INDEX($BE$5:$BE$2999,MATCH(W49,AM$5:AM$2999,0),1),"")</f>
        <v/>
      </c>
      <c r="AF49" s="35" t="str">
        <f>IF(ISNUMBER(X49),INDEX($BE$5:$BE$2999,MATCH(X49,AN$5:AN$2999,0),1),"")</f>
        <v/>
      </c>
      <c r="AG49" s="35"/>
      <c r="AH49" s="34">
        <f>IF($BE49="","",IF(ISNUMBER(MATCH($BE49,AP$5:AP$29999,0)),MAX(AH$4:AH48)+1,0))</f>
        <v>0</v>
      </c>
      <c r="AI49" s="34">
        <f>IF($BE49="","",IF(ISNUMBER(MATCH($BE49,AQ$5:AQ$29999,0)),MAX(AI$4:AI48)+1,0))</f>
        <v>0</v>
      </c>
      <c r="AJ49" s="34">
        <f>IF($BE49="","",IF(ISNUMBER(MATCH($BE49,AR$5:AR$29999,0)),MAX(AJ$4:AJ48)+1,0))</f>
        <v>35</v>
      </c>
      <c r="AK49" s="34">
        <f>IF($BE49="","",IF(ISNUMBER(MATCH($BE49,AS$5:AS$29999,0)),MAX(AK$4:AK48)+1,0))</f>
        <v>0</v>
      </c>
      <c r="AL49" s="34">
        <f>IF($BE49="","",IF(ISNUMBER(MATCH($BE49,AT$5:AT$29999,0)),MAX(AL$4:AL48)+1,0))</f>
        <v>0</v>
      </c>
      <c r="AM49" s="34">
        <f>IF($BE49="","",IF(ISNUMBER(MATCH($BE49,AU$5:AU$29999,0)),MAX(AM$4:AM48)+1,0))</f>
        <v>0</v>
      </c>
      <c r="AN49" s="34">
        <f>IF($BE49="","",IF(ISNUMBER(MATCH($BE49,AV$5:AV$29999,0)),MAX(AN$4:AN48)+1,0))</f>
        <v>0</v>
      </c>
      <c r="AO49" s="16"/>
      <c r="AP49" s="33"/>
      <c r="AQ49" s="33"/>
      <c r="AR49" s="33"/>
      <c r="AS49" s="33"/>
      <c r="AT49" s="32"/>
      <c r="AU49" s="32"/>
      <c r="AV49" s="32" t="s">
        <v>0</v>
      </c>
      <c r="AW49" s="40" t="s">
        <v>2</v>
      </c>
      <c r="AX49" s="20" t="s">
        <v>0</v>
      </c>
      <c r="AY49" s="30"/>
      <c r="AZ49" s="30"/>
      <c r="BA49" s="39" t="s">
        <v>0</v>
      </c>
      <c r="BB49" s="44">
        <f>IF(ISTEXT(AW49),IF(ISNUMBER(MATCH(AW49,$AY$5:$AY$100,0)),0,MAX(BB$4:BB48)+1),"")</f>
        <v>8</v>
      </c>
      <c r="BC49" s="36" t="str">
        <f>IF(ISTEXT(AY49),MATCH(AY49,$AW$5:$AW$127,0),"")</f>
        <v/>
      </c>
      <c r="BD49" s="36">
        <f>IF(ISNUMBER(BC49),AY49,ROW()-SUM($BC$4:$BD$4))</f>
        <v>8</v>
      </c>
      <c r="BE49" s="20" t="str">
        <f>IF(ISTEXT(AW49),IF(ISNUMBER(BC49),AY49,INDEX($AW$5:$AW$140,MATCH(BD49,$BB$5:$BB$185,0),1)),"")</f>
        <v>sfr.reach31.csv</v>
      </c>
      <c r="BF49" s="36"/>
      <c r="BG49" s="19" t="str">
        <f>IF(ISNUMBER(MATCH($BE49,Z$5:Z$501,0)),INDEX(Z$5:Z$501,MATCH($BE49,Z$5:Z$501,0),1),"")</f>
        <v/>
      </c>
      <c r="BH49" s="19" t="str">
        <f>IF(ISNUMBER(MATCH($BE49,AA$5:AA$501,0)),INDEX(AA$5:AA$501,MATCH($BE49,AA$5:AA$501,0),1),"")</f>
        <v/>
      </c>
      <c r="BI49" s="19" t="str">
        <f>IF(ISNUMBER(MATCH($BE49,AB$5:AB$501,0)),INDEX(AB$5:AB$501,MATCH($BE49,AB$5:AB$501,0),1),"")</f>
        <v>sfr.reach31.csv</v>
      </c>
      <c r="BJ49" s="19" t="str">
        <f>IF(ISNUMBER(MATCH($BE49,AC$5:AC$501,0)),INDEX(AC$5:AC$501,MATCH($BE49,AC$5:AC$501,0),1),"")</f>
        <v/>
      </c>
      <c r="BK49" s="19" t="str">
        <f>IF(ISNUMBER(MATCH($BE49,AD$5:AD$501,0)),INDEX(AD$5:AD$501,MATCH($BE49,AD$5:AD$501,0),1),"")</f>
        <v/>
      </c>
      <c r="BL49" s="19" t="str">
        <f>IF(ISNUMBER(MATCH($BE49,AE$5:AE$501,0)),INDEX(AE$5:AE$501,MATCH($BE49,AE$5:AE$501,0),1),"")</f>
        <v/>
      </c>
      <c r="BM49" s="19" t="str">
        <f>IF(ISNUMBER(MATCH($BE49,AF$5:AF$501,0)),INDEX(AF$5:AF$501,MATCH($BE49,AF$5:AF$501,0),1),"")</f>
        <v/>
      </c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</row>
    <row r="50" spans="1:78" ht="12" customHeight="1" x14ac:dyDescent="0.25">
      <c r="A50" s="26"/>
      <c r="B50" s="28" t="str">
        <f>IF(ISNUMBER(MATCH(O50,$N$5:$N$1000,0)),MATCH(O50,$N$5:$N$1000,0),"")</f>
        <v/>
      </c>
      <c r="C50" s="15" t="str">
        <f>IF(ISNUMBER(B50),MAX(C$4:C49)+1,"")</f>
        <v/>
      </c>
      <c r="D50" s="15" t="str">
        <f>IF(IF(ISNUMBER(B50),"",MAX(D$4:D49)+1)&lt;=D$3,IF(ISNUMBER(B50),"",MAX(D$4:D49)+1),"")</f>
        <v/>
      </c>
      <c r="E50" s="42" t="str">
        <f>IF(M50&lt;=D$3,MATCH(M50,D$5:D$1000,0),"")</f>
        <v/>
      </c>
      <c r="F50" s="28" t="str">
        <f>IF(ISNUMBER(E50),INDEX($N$5:$N$1000,E50,1),"")</f>
        <v/>
      </c>
      <c r="G50" s="27" t="str">
        <f>IF(ISNUMBER(C50),N50,IF(ISTEXT(N50),INDEX($F$5:$F$1000,MATCH(M50,$E$5:$E$1000,0),1),""))</f>
        <v/>
      </c>
      <c r="H50" s="15" t="str">
        <f>IF(O50="","",IF(ISNUMBER(MATCH(O50,$G$5:$G$1000,0)),"",IF(D50=1,C$3,0)+MAX(H$4:H49)+1))</f>
        <v/>
      </c>
      <c r="I50" s="15" t="str">
        <f>IF(O50="","",IF(ISNUMBER(MATCH(O50,$G$5:$G$1000,0)),"",IF(D50=1,B$4,0)+MAX(I$4:I49)+1))</f>
        <v/>
      </c>
      <c r="J50" s="27" t="str">
        <f>IF(ISNUMBER(MATCH(M50,$I$5:$I$1000,0)),INDEX($O$5:$O$1000,MATCH(M50,$I$5:$I$1000,0),1),"")</f>
        <v>.sfr.obs.csv</v>
      </c>
      <c r="K50" s="27">
        <f>IF(P50="",0,1)</f>
        <v>1</v>
      </c>
      <c r="L50" s="26"/>
      <c r="M50" s="14">
        <f>IF(ROW()-ROW(M$4)&lt;=1000,ROW()-ROW(M$4),"")</f>
        <v>46</v>
      </c>
      <c r="N50" s="43"/>
      <c r="O50" s="43"/>
      <c r="P50" s="41" t="str">
        <f>IF(M50&lt;=$B$4,IF(ISTEXT(G50),G50,""),IF(ISTEXT(J50),J50,""))</f>
        <v>.sfr.obs.csv</v>
      </c>
      <c r="Q50" s="16" t="s">
        <v>0</v>
      </c>
      <c r="R50" s="34" t="str">
        <f>IF(ROW()-ROW(R$4)&lt;=AH$3,ROW()-ROW(R$4),"")</f>
        <v/>
      </c>
      <c r="S50" s="34" t="str">
        <f>IF(ROW()-ROW(S$4)&lt;=AI$3,ROW()-ROW(S$4),"")</f>
        <v/>
      </c>
      <c r="T50" s="34" t="str">
        <f>IF(ROW()-ROW(T$4)&lt;=AJ$3,ROW()-ROW(T$4),"")</f>
        <v/>
      </c>
      <c r="U50" s="34" t="str">
        <f>IF(ROW()-ROW(U$4)&lt;=AK$3,ROW()-ROW(U$4),"")</f>
        <v/>
      </c>
      <c r="V50" s="34" t="str">
        <f>IF(ROW()-ROW(V$4)&lt;=AL$3,ROW()-ROW(V$4),"")</f>
        <v/>
      </c>
      <c r="W50" s="34" t="str">
        <f>IF(ROW()-ROW(W$4)&lt;=AM$3,ROW()-ROW(W$4),"")</f>
        <v/>
      </c>
      <c r="X50" s="34" t="str">
        <f>IF(ROW()-ROW(X$4)&lt;=AN$3,ROW()-ROW(X$4),"")</f>
        <v/>
      </c>
      <c r="Y50" s="34"/>
      <c r="Z50" s="35" t="str">
        <f>IF(ISNUMBER(R50),INDEX($BE$5:$BE$2999,MATCH(R50,AH$5:AH$2999,0),1),"")</f>
        <v/>
      </c>
      <c r="AA50" s="35" t="str">
        <f>IF(ISNUMBER(S50),INDEX($BE$5:$BE$2999,MATCH(S50,AI$5:AI$2999,0),1),"")</f>
        <v/>
      </c>
      <c r="AB50" s="35" t="str">
        <f>IF(ISNUMBER(T50),INDEX($BE$5:$BE$2999,MATCH(T50,AJ$5:AJ$2999,0),1),"")</f>
        <v/>
      </c>
      <c r="AC50" s="35" t="str">
        <f>IF(ISNUMBER(U50),INDEX($BE$5:$BE$2999,MATCH(U50,AK$5:AK$2999,0),1),"")</f>
        <v/>
      </c>
      <c r="AD50" s="35" t="str">
        <f>IF(ISNUMBER(V50),INDEX($BE$5:$BE$2999,MATCH(V50,AL$5:AL$2999,0),1),"")</f>
        <v/>
      </c>
      <c r="AE50" s="35" t="str">
        <f>IF(ISNUMBER(W50),INDEX($BE$5:$BE$2999,MATCH(W50,AM$5:AM$2999,0),1),"")</f>
        <v/>
      </c>
      <c r="AF50" s="35" t="str">
        <f>IF(ISNUMBER(X50),INDEX($BE$5:$BE$2999,MATCH(X50,AN$5:AN$2999,0),1),"")</f>
        <v/>
      </c>
      <c r="AG50" s="35"/>
      <c r="AH50" s="34">
        <f>IF($BE50="","",IF(ISNUMBER(MATCH($BE50,AP$5:AP$29999,0)),MAX(AH$4:AH49)+1,0))</f>
        <v>0</v>
      </c>
      <c r="AI50" s="34">
        <f>IF($BE50="","",IF(ISNUMBER(MATCH($BE50,AQ$5:AQ$29999,0)),MAX(AI$4:AI49)+1,0))</f>
        <v>0</v>
      </c>
      <c r="AJ50" s="34">
        <f>IF($BE50="","",IF(ISNUMBER(MATCH($BE50,AR$5:AR$29999,0)),MAX(AJ$4:AJ49)+1,0))</f>
        <v>36</v>
      </c>
      <c r="AK50" s="34">
        <f>IF($BE50="","",IF(ISNUMBER(MATCH($BE50,AS$5:AS$29999,0)),MAX(AK$4:AK49)+1,0))</f>
        <v>0</v>
      </c>
      <c r="AL50" s="34">
        <f>IF($BE50="","",IF(ISNUMBER(MATCH($BE50,AT$5:AT$29999,0)),MAX(AL$4:AL49)+1,0))</f>
        <v>0</v>
      </c>
      <c r="AM50" s="34">
        <f>IF($BE50="","",IF(ISNUMBER(MATCH($BE50,AU$5:AU$29999,0)),MAX(AM$4:AM49)+1,0))</f>
        <v>0</v>
      </c>
      <c r="AN50" s="34">
        <f>IF($BE50="","",IF(ISNUMBER(MATCH($BE50,AV$5:AV$29999,0)),MAX(AN$4:AN49)+1,0))</f>
        <v>0</v>
      </c>
      <c r="AO50" s="16"/>
      <c r="AP50" s="33"/>
      <c r="AQ50" s="33"/>
      <c r="AR50" s="33"/>
      <c r="AS50" s="33"/>
      <c r="AT50" s="32"/>
      <c r="AU50" s="32"/>
      <c r="AV50" s="32" t="s">
        <v>0</v>
      </c>
      <c r="AW50" s="40" t="s">
        <v>1</v>
      </c>
      <c r="AX50" s="20" t="s">
        <v>0</v>
      </c>
      <c r="AY50" s="30"/>
      <c r="AZ50" s="30"/>
      <c r="BA50" s="39" t="s">
        <v>0</v>
      </c>
      <c r="BB50" s="44">
        <f>IF(ISTEXT(AW50),IF(ISNUMBER(MATCH(AW50,$AY$5:$AY$100,0)),0,MAX(BB$4:BB49)+1),"")</f>
        <v>9</v>
      </c>
      <c r="BC50" s="36" t="str">
        <f>IF(ISTEXT(AY50),MATCH(AY50,$AW$5:$AW$127,0),"")</f>
        <v/>
      </c>
      <c r="BD50" s="36">
        <f>IF(ISNUMBER(BC50),AY50,ROW()-SUM($BC$4:$BD$4))</f>
        <v>9</v>
      </c>
      <c r="BE50" s="20" t="str">
        <f>IF(ISTEXT(AW50),IF(ISNUMBER(BC50),AY50,INDEX($AW$5:$AW$140,MATCH(BD50,$BB$5:$BB$185,0),1)),"")</f>
        <v>sfr.stage.csv</v>
      </c>
      <c r="BF50" s="36"/>
      <c r="BG50" s="19" t="str">
        <f>IF(ISNUMBER(MATCH($BE50,Z$5:Z$501,0)),INDEX(Z$5:Z$501,MATCH($BE50,Z$5:Z$501,0),1),"")</f>
        <v/>
      </c>
      <c r="BH50" s="19" t="str">
        <f>IF(ISNUMBER(MATCH($BE50,AA$5:AA$501,0)),INDEX(AA$5:AA$501,MATCH($BE50,AA$5:AA$501,0),1),"")</f>
        <v/>
      </c>
      <c r="BI50" s="19" t="str">
        <f>IF(ISNUMBER(MATCH($BE50,AB$5:AB$501,0)),INDEX(AB$5:AB$501,MATCH($BE50,AB$5:AB$501,0),1),"")</f>
        <v>sfr.stage.csv</v>
      </c>
      <c r="BJ50" s="19" t="str">
        <f>IF(ISNUMBER(MATCH($BE50,AC$5:AC$501,0)),INDEX(AC$5:AC$501,MATCH($BE50,AC$5:AC$501,0),1),"")</f>
        <v/>
      </c>
      <c r="BK50" s="19" t="str">
        <f>IF(ISNUMBER(MATCH($BE50,AD$5:AD$501,0)),INDEX(AD$5:AD$501,MATCH($BE50,AD$5:AD$501,0),1),"")</f>
        <v/>
      </c>
      <c r="BL50" s="19" t="str">
        <f>IF(ISNUMBER(MATCH($BE50,AE$5:AE$501,0)),INDEX(AE$5:AE$501,MATCH($BE50,AE$5:AE$501,0),1),"")</f>
        <v/>
      </c>
      <c r="BM50" s="19" t="str">
        <f>IF(ISNUMBER(MATCH($BE50,AF$5:AF$501,0)),INDEX(AF$5:AF$501,MATCH($BE50,AF$5:AF$501,0),1),"")</f>
        <v/>
      </c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</row>
    <row r="51" spans="1:78" ht="12" customHeight="1" x14ac:dyDescent="0.25">
      <c r="A51" s="26"/>
      <c r="B51" s="28" t="str">
        <f>IF(ISNUMBER(MATCH(O51,$N$5:$N$1000,0)),MATCH(O51,$N$5:$N$1000,0),"")</f>
        <v/>
      </c>
      <c r="C51" s="15" t="str">
        <f>IF(ISNUMBER(B51),MAX(C$4:C50)+1,"")</f>
        <v/>
      </c>
      <c r="D51" s="15" t="str">
        <f>IF(IF(ISNUMBER(B51),"",MAX(D$4:D50)+1)&lt;=D$3,IF(ISNUMBER(B51),"",MAX(D$4:D50)+1),"")</f>
        <v/>
      </c>
      <c r="E51" s="42" t="str">
        <f>IF(M51&lt;=D$3,MATCH(M51,D$5:D$1000,0),"")</f>
        <v/>
      </c>
      <c r="F51" s="28" t="str">
        <f>IF(ISNUMBER(E51),INDEX($N$5:$N$1000,E51,1),"")</f>
        <v/>
      </c>
      <c r="G51" s="27" t="str">
        <f>IF(ISNUMBER(C51),N51,IF(ISTEXT(N51),INDEX($F$5:$F$1000,MATCH(M51,$E$5:$E$1000,0),1),""))</f>
        <v/>
      </c>
      <c r="H51" s="15" t="str">
        <f>IF(O51="","",IF(ISNUMBER(MATCH(O51,$G$5:$G$1000,0)),"",IF(D51=1,C$3,0)+MAX(H$4:H50)+1))</f>
        <v/>
      </c>
      <c r="I51" s="15" t="str">
        <f>IF(O51="","",IF(ISNUMBER(MATCH(O51,$G$5:$G$1000,0)),"",IF(D51=1,B$4,0)+MAX(I$4:I50)+1))</f>
        <v/>
      </c>
      <c r="J51" s="27" t="str">
        <f>IF(ISNUMBER(MATCH(M51,$I$5:$I$1000,0)),INDEX($O$5:$O$1000,MATCH(M51,$I$5:$I$1000,0),1),"")</f>
        <v/>
      </c>
      <c r="K51" s="27">
        <f>IF(P51="",0,1)</f>
        <v>0</v>
      </c>
      <c r="L51" s="26"/>
      <c r="M51" s="14">
        <f>IF(ROW()-ROW(M$4)&lt;=1000,ROW()-ROW(M$4),"")</f>
        <v>47</v>
      </c>
      <c r="N51" s="43"/>
      <c r="O51" s="43"/>
      <c r="P51" s="41" t="str">
        <f>IF(M51&lt;=$B$4,IF(ISTEXT(G51),G51,""),IF(ISTEXT(J51),J51,""))</f>
        <v/>
      </c>
      <c r="Q51" s="16" t="s">
        <v>0</v>
      </c>
      <c r="R51" s="34" t="str">
        <f>IF(ROW()-ROW(R$4)&lt;=AH$3,ROW()-ROW(R$4),"")</f>
        <v/>
      </c>
      <c r="S51" s="34" t="str">
        <f>IF(ROW()-ROW(S$4)&lt;=AI$3,ROW()-ROW(S$4),"")</f>
        <v/>
      </c>
      <c r="T51" s="34" t="str">
        <f>IF(ROW()-ROW(T$4)&lt;=AJ$3,ROW()-ROW(T$4),"")</f>
        <v/>
      </c>
      <c r="U51" s="34" t="str">
        <f>IF(ROW()-ROW(U$4)&lt;=AK$3,ROW()-ROW(U$4),"")</f>
        <v/>
      </c>
      <c r="V51" s="34" t="str">
        <f>IF(ROW()-ROW(V$4)&lt;=AL$3,ROW()-ROW(V$4),"")</f>
        <v/>
      </c>
      <c r="W51" s="34" t="str">
        <f>IF(ROW()-ROW(W$4)&lt;=AM$3,ROW()-ROW(W$4),"")</f>
        <v/>
      </c>
      <c r="X51" s="34" t="str">
        <f>IF(ROW()-ROW(X$4)&lt;=AN$3,ROW()-ROW(X$4),"")</f>
        <v/>
      </c>
      <c r="Y51" s="34"/>
      <c r="Z51" s="35" t="str">
        <f>IF(ISNUMBER(R51),INDEX($BE$5:$BE$2999,MATCH(R51,AH$5:AH$2999,0),1),"")</f>
        <v/>
      </c>
      <c r="AA51" s="35" t="str">
        <f>IF(ISNUMBER(S51),INDEX($BE$5:$BE$2999,MATCH(S51,AI$5:AI$2999,0),1),"")</f>
        <v/>
      </c>
      <c r="AB51" s="35" t="str">
        <f>IF(ISNUMBER(T51),INDEX($BE$5:$BE$2999,MATCH(T51,AJ$5:AJ$2999,0),1),"")</f>
        <v/>
      </c>
      <c r="AC51" s="35" t="str">
        <f>IF(ISNUMBER(U51),INDEX($BE$5:$BE$2999,MATCH(U51,AK$5:AK$2999,0),1),"")</f>
        <v/>
      </c>
      <c r="AD51" s="35" t="str">
        <f>IF(ISNUMBER(V51),INDEX($BE$5:$BE$2999,MATCH(V51,AL$5:AL$2999,0),1),"")</f>
        <v/>
      </c>
      <c r="AE51" s="35" t="str">
        <f>IF(ISNUMBER(W51),INDEX($BE$5:$BE$2999,MATCH(W51,AM$5:AM$2999,0),1),"")</f>
        <v/>
      </c>
      <c r="AF51" s="35" t="str">
        <f>IF(ISNUMBER(X51),INDEX($BE$5:$BE$2999,MATCH(X51,AN$5:AN$2999,0),1),"")</f>
        <v/>
      </c>
      <c r="AG51" s="35"/>
      <c r="AH51" s="34" t="str">
        <f>IF($BE51="","",IF(ISNUMBER(MATCH($BE51,AP$5:AP$29999,0)),MAX(AH$4:AH50)+1,0))</f>
        <v/>
      </c>
      <c r="AI51" s="34" t="str">
        <f>IF($BE51="","",IF(ISNUMBER(MATCH($BE51,AQ$5:AQ$29999,0)),MAX(AI$4:AI50)+1,0))</f>
        <v/>
      </c>
      <c r="AJ51" s="34" t="str">
        <f>IF($BE51="","",IF(ISNUMBER(MATCH($BE51,AR$5:AR$29999,0)),MAX(AJ$4:AJ50)+1,0))</f>
        <v/>
      </c>
      <c r="AK51" s="34" t="str">
        <f>IF($BE51="","",IF(ISNUMBER(MATCH($BE51,AS$5:AS$29999,0)),MAX(AK$4:AK50)+1,0))</f>
        <v/>
      </c>
      <c r="AL51" s="34" t="str">
        <f>IF($BE51="","",IF(ISNUMBER(MATCH($BE51,AT$5:AT$29999,0)),MAX(AL$4:AL50)+1,0))</f>
        <v/>
      </c>
      <c r="AM51" s="34" t="str">
        <f>IF($BE51="","",IF(ISNUMBER(MATCH($BE51,AU$5:AU$29999,0)),MAX(AM$4:AM50)+1,0))</f>
        <v/>
      </c>
      <c r="AN51" s="34" t="str">
        <f>IF($BE51="","",IF(ISNUMBER(MATCH($BE51,AV$5:AV$29999,0)),MAX(AN$4:AN50)+1,0))</f>
        <v/>
      </c>
      <c r="AO51" s="16"/>
      <c r="AP51" s="33"/>
      <c r="AQ51" s="33"/>
      <c r="AR51" s="33"/>
      <c r="AS51" s="33"/>
      <c r="AT51" s="32"/>
      <c r="AU51" s="32"/>
      <c r="AV51" s="32" t="s">
        <v>0</v>
      </c>
      <c r="AW51" s="40"/>
      <c r="AX51" s="20" t="s">
        <v>0</v>
      </c>
      <c r="AY51" s="30"/>
      <c r="AZ51" s="30"/>
      <c r="BA51" s="39" t="s">
        <v>0</v>
      </c>
      <c r="BB51" s="44" t="str">
        <f>IF(ISTEXT(AW51),IF(ISNUMBER(MATCH(AW51,$AY$5:$AY$100,0)),0,MAX(BB$4:BB50)+1),"")</f>
        <v/>
      </c>
      <c r="BC51" s="36" t="str">
        <f>IF(ISTEXT(AY51),MATCH(AY51,$AW$5:$AW$127,0),"")</f>
        <v/>
      </c>
      <c r="BD51" s="36">
        <f>IF(ISNUMBER(BC51),AY51,ROW()-SUM($BC$4:$BD$4))</f>
        <v>10</v>
      </c>
      <c r="BE51" s="20"/>
      <c r="BF51" s="36"/>
      <c r="BG51" s="19" t="str">
        <f>IF(ISNUMBER(MATCH($BE51,Z$5:Z$501,0)),INDEX(Z$5:Z$501,MATCH($BE51,Z$5:Z$501,0),1),"")</f>
        <v/>
      </c>
      <c r="BH51" s="19" t="str">
        <f>IF(ISNUMBER(MATCH($BE51,AA$5:AA$501,0)),INDEX(AA$5:AA$501,MATCH($BE51,AA$5:AA$501,0),1),"")</f>
        <v/>
      </c>
      <c r="BI51" s="19" t="str">
        <f>IF(ISNUMBER(MATCH($BE51,AB$5:AB$501,0)),INDEX(AB$5:AB$501,MATCH($BE51,AB$5:AB$501,0),1),"")</f>
        <v/>
      </c>
      <c r="BJ51" s="19" t="str">
        <f>IF(ISNUMBER(MATCH($BE51,AC$5:AC$501,0)),INDEX(AC$5:AC$501,MATCH($BE51,AC$5:AC$501,0),1),"")</f>
        <v/>
      </c>
      <c r="BK51" s="19" t="str">
        <f>IF(ISNUMBER(MATCH($BE51,AD$5:AD$501,0)),INDEX(AD$5:AD$501,MATCH($BE51,AD$5:AD$501,0),1),"")</f>
        <v/>
      </c>
      <c r="BL51" s="19" t="str">
        <f>IF(ISNUMBER(MATCH($BE51,AE$5:AE$501,0)),INDEX(AE$5:AE$501,MATCH($BE51,AE$5:AE$501,0),1),"")</f>
        <v/>
      </c>
      <c r="BM51" s="19" t="str">
        <f>IF(ISNUMBER(MATCH($BE51,AF$5:AF$501,0)),INDEX(AF$5:AF$501,MATCH($BE51,AF$5:AF$501,0),1),"")</f>
        <v/>
      </c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</row>
    <row r="52" spans="1:78" ht="12" customHeight="1" x14ac:dyDescent="0.25">
      <c r="A52" s="26"/>
      <c r="B52" s="28" t="str">
        <f>IF(ISNUMBER(MATCH(O52,$N$5:$N$1000,0)),MATCH(O52,$N$5:$N$1000,0),"")</f>
        <v/>
      </c>
      <c r="C52" s="15" t="str">
        <f>IF(ISNUMBER(B52),MAX(C$4:C51)+1,"")</f>
        <v/>
      </c>
      <c r="D52" s="15" t="str">
        <f>IF(IF(ISNUMBER(B52),"",MAX(D$4:D51)+1)&lt;=D$3,IF(ISNUMBER(B52),"",MAX(D$4:D51)+1),"")</f>
        <v/>
      </c>
      <c r="E52" s="42" t="str">
        <f>IF(M52&lt;=D$3,MATCH(M52,D$5:D$1000,0),"")</f>
        <v/>
      </c>
      <c r="F52" s="28" t="str">
        <f>IF(ISNUMBER(E52),INDEX($N$5:$N$1000,E52,1),"")</f>
        <v/>
      </c>
      <c r="G52" s="27" t="str">
        <f>IF(ISNUMBER(C52),N52,IF(ISTEXT(N52),INDEX($F$5:$F$1000,MATCH(M52,$E$5:$E$1000,0),1),""))</f>
        <v/>
      </c>
      <c r="H52" s="15" t="str">
        <f>IF(O52="","",IF(ISNUMBER(MATCH(O52,$G$5:$G$1000,0)),"",IF(D52=1,C$3,0)+MAX(H$4:H51)+1))</f>
        <v/>
      </c>
      <c r="I52" s="15" t="str">
        <f>IF(O52="","",IF(ISNUMBER(MATCH(O52,$G$5:$G$1000,0)),"",IF(D52=1,B$4,0)+MAX(I$4:I51)+1))</f>
        <v/>
      </c>
      <c r="J52" s="27" t="str">
        <f>IF(ISNUMBER(MATCH(M52,$I$5:$I$1000,0)),INDEX($O$5:$O$1000,MATCH(M52,$I$5:$I$1000,0),1),"")</f>
        <v/>
      </c>
      <c r="K52" s="27">
        <f>IF(P52="",0,1)</f>
        <v>0</v>
      </c>
      <c r="L52" s="26"/>
      <c r="M52" s="14">
        <f>IF(ROW()-ROW(M$4)&lt;=1000,ROW()-ROW(M$4),"")</f>
        <v>48</v>
      </c>
      <c r="N52" s="43"/>
      <c r="O52" s="43"/>
      <c r="P52" s="41" t="str">
        <f>IF(M52&lt;=$B$4,IF(ISTEXT(G52),G52,""),IF(ISTEXT(J52),J52,""))</f>
        <v/>
      </c>
      <c r="Q52" s="16" t="s">
        <v>0</v>
      </c>
      <c r="R52" s="34" t="str">
        <f>IF(ROW()-ROW(R$4)&lt;=AH$3,ROW()-ROW(R$4),"")</f>
        <v/>
      </c>
      <c r="S52" s="34" t="str">
        <f>IF(ROW()-ROW(S$4)&lt;=AI$3,ROW()-ROW(S$4),"")</f>
        <v/>
      </c>
      <c r="T52" s="34" t="str">
        <f>IF(ROW()-ROW(T$4)&lt;=AJ$3,ROW()-ROW(T$4),"")</f>
        <v/>
      </c>
      <c r="U52" s="34" t="str">
        <f>IF(ROW()-ROW(U$4)&lt;=AK$3,ROW()-ROW(U$4),"")</f>
        <v/>
      </c>
      <c r="V52" s="34" t="str">
        <f>IF(ROW()-ROW(V$4)&lt;=AL$3,ROW()-ROW(V$4),"")</f>
        <v/>
      </c>
      <c r="W52" s="34" t="str">
        <f>IF(ROW()-ROW(W$4)&lt;=AM$3,ROW()-ROW(W$4),"")</f>
        <v/>
      </c>
      <c r="X52" s="34" t="str">
        <f>IF(ROW()-ROW(X$4)&lt;=AN$3,ROW()-ROW(X$4),"")</f>
        <v/>
      </c>
      <c r="Y52" s="34"/>
      <c r="Z52" s="35" t="str">
        <f>IF(ISNUMBER(R52),INDEX($BE$5:$BE$2999,MATCH(R52,AH$5:AH$2999,0),1),"")</f>
        <v/>
      </c>
      <c r="AA52" s="35" t="str">
        <f>IF(ISNUMBER(S52),INDEX($BE$5:$BE$2999,MATCH(S52,AI$5:AI$2999,0),1),"")</f>
        <v/>
      </c>
      <c r="AB52" s="35" t="str">
        <f>IF(ISNUMBER(T52),INDEX($BE$5:$BE$2999,MATCH(T52,AJ$5:AJ$2999,0),1),"")</f>
        <v/>
      </c>
      <c r="AC52" s="35" t="str">
        <f>IF(ISNUMBER(U52),INDEX($BE$5:$BE$2999,MATCH(U52,AK$5:AK$2999,0),1),"")</f>
        <v/>
      </c>
      <c r="AD52" s="35" t="str">
        <f>IF(ISNUMBER(V52),INDEX($BE$5:$BE$2999,MATCH(V52,AL$5:AL$2999,0),1),"")</f>
        <v/>
      </c>
      <c r="AE52" s="35" t="str">
        <f>IF(ISNUMBER(W52),INDEX($BE$5:$BE$2999,MATCH(W52,AM$5:AM$2999,0),1),"")</f>
        <v/>
      </c>
      <c r="AF52" s="35" t="str">
        <f>IF(ISNUMBER(X52),INDEX($BE$5:$BE$2999,MATCH(X52,AN$5:AN$2999,0),1),"")</f>
        <v/>
      </c>
      <c r="AG52" s="35"/>
      <c r="AH52" s="34" t="str">
        <f>IF($BE52="","",IF(ISNUMBER(MATCH($BE52,AP$5:AP$29999,0)),MAX(AH$4:AH51)+1,0))</f>
        <v/>
      </c>
      <c r="AI52" s="34" t="str">
        <f>IF($BE52="","",IF(ISNUMBER(MATCH($BE52,AQ$5:AQ$29999,0)),MAX(AI$4:AI51)+1,0))</f>
        <v/>
      </c>
      <c r="AJ52" s="34" t="str">
        <f>IF($BE52="","",IF(ISNUMBER(MATCH($BE52,AR$5:AR$29999,0)),MAX(AJ$4:AJ51)+1,0))</f>
        <v/>
      </c>
      <c r="AK52" s="34" t="str">
        <f>IF($BE52="","",IF(ISNUMBER(MATCH($BE52,AS$5:AS$29999,0)),MAX(AK$4:AK51)+1,0))</f>
        <v/>
      </c>
      <c r="AL52" s="34" t="str">
        <f>IF($BE52="","",IF(ISNUMBER(MATCH($BE52,AT$5:AT$29999,0)),MAX(AL$4:AL51)+1,0))</f>
        <v/>
      </c>
      <c r="AM52" s="34" t="str">
        <f>IF($BE52="","",IF(ISNUMBER(MATCH($BE52,AU$5:AU$29999,0)),MAX(AM$4:AM51)+1,0))</f>
        <v/>
      </c>
      <c r="AN52" s="34" t="str">
        <f>IF($BE52="","",IF(ISNUMBER(MATCH($BE52,AV$5:AV$29999,0)),MAX(AN$4:AN51)+1,0))</f>
        <v/>
      </c>
      <c r="AO52" s="16"/>
      <c r="AP52" s="33"/>
      <c r="AQ52" s="33"/>
      <c r="AR52" s="33"/>
      <c r="AS52" s="33"/>
      <c r="AT52" s="32"/>
      <c r="AU52" s="32"/>
      <c r="AV52" s="32" t="s">
        <v>0</v>
      </c>
      <c r="AW52" s="40"/>
      <c r="AX52" s="20" t="s">
        <v>0</v>
      </c>
      <c r="AY52" s="30"/>
      <c r="AZ52" s="30"/>
      <c r="BA52" s="39" t="s">
        <v>0</v>
      </c>
      <c r="BB52" s="44" t="str">
        <f>IF(ISTEXT(AW52),IF(ISNUMBER(MATCH(AW52,$AY$5:$AY$100,0)),0,MAX(BB$4:BB51)+1),"")</f>
        <v/>
      </c>
      <c r="BC52" s="36" t="str">
        <f>IF(ISTEXT(AY52),MATCH(AY52,$AW$5:$AW$127,0),"")</f>
        <v/>
      </c>
      <c r="BD52" s="36">
        <f>IF(ISNUMBER(BC52),AY52,ROW()-SUM($BC$4:$BD$4))</f>
        <v>11</v>
      </c>
      <c r="BE52" s="20"/>
      <c r="BF52" s="36"/>
      <c r="BG52" s="19" t="str">
        <f>IF(ISNUMBER(MATCH($BE52,Z$5:Z$501,0)),INDEX(Z$5:Z$501,MATCH($BE52,Z$5:Z$501,0),1),"")</f>
        <v/>
      </c>
      <c r="BH52" s="19" t="str">
        <f>IF(ISNUMBER(MATCH($BE52,AA$5:AA$501,0)),INDEX(AA$5:AA$501,MATCH($BE52,AA$5:AA$501,0),1),"")</f>
        <v/>
      </c>
      <c r="BI52" s="19" t="str">
        <f>IF(ISNUMBER(MATCH($BE52,AB$5:AB$501,0)),INDEX(AB$5:AB$501,MATCH($BE52,AB$5:AB$501,0),1),"")</f>
        <v/>
      </c>
      <c r="BJ52" s="19" t="str">
        <f>IF(ISNUMBER(MATCH($BE52,AC$5:AC$501,0)),INDEX(AC$5:AC$501,MATCH($BE52,AC$5:AC$501,0),1),"")</f>
        <v/>
      </c>
      <c r="BK52" s="19" t="str">
        <f>IF(ISNUMBER(MATCH($BE52,AD$5:AD$501,0)),INDEX(AD$5:AD$501,MATCH($BE52,AD$5:AD$501,0),1),"")</f>
        <v/>
      </c>
      <c r="BL52" s="19" t="str">
        <f>IF(ISNUMBER(MATCH($BE52,AE$5:AE$501,0)),INDEX(AE$5:AE$501,MATCH($BE52,AE$5:AE$501,0),1),"")</f>
        <v/>
      </c>
      <c r="BM52" s="19" t="str">
        <f>IF(ISNUMBER(MATCH($BE52,AF$5:AF$501,0)),INDEX(AF$5:AF$501,MATCH($BE52,AF$5:AF$501,0),1),"")</f>
        <v/>
      </c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</row>
    <row r="53" spans="1:78" ht="12" customHeight="1" x14ac:dyDescent="0.25">
      <c r="A53" s="26"/>
      <c r="B53" s="28" t="str">
        <f>IF(ISNUMBER(MATCH(O53,$N$5:$N$1000,0)),MATCH(O53,$N$5:$N$1000,0),"")</f>
        <v/>
      </c>
      <c r="C53" s="15" t="str">
        <f>IF(ISNUMBER(B53),MAX(C$4:C52)+1,"")</f>
        <v/>
      </c>
      <c r="D53" s="15" t="str">
        <f>IF(IF(ISNUMBER(B53),"",MAX(D$4:D52)+1)&lt;=D$3,IF(ISNUMBER(B53),"",MAX(D$4:D52)+1),"")</f>
        <v/>
      </c>
      <c r="E53" s="42" t="str">
        <f>IF(M53&lt;=D$3,MATCH(M53,D$5:D$1000,0),"")</f>
        <v/>
      </c>
      <c r="F53" s="28" t="str">
        <f>IF(ISNUMBER(E53),INDEX($N$5:$N$1000,E53,1),"")</f>
        <v/>
      </c>
      <c r="G53" s="27" t="str">
        <f>IF(ISNUMBER(C53),N53,IF(ISTEXT(N53),INDEX($F$5:$F$1000,MATCH(M53,$E$5:$E$1000,0),1),""))</f>
        <v/>
      </c>
      <c r="H53" s="15" t="str">
        <f>IF(O53="","",IF(ISNUMBER(MATCH(O53,$G$5:$G$1000,0)),"",IF(D53=1,C$3,0)+MAX(H$4:H52)+1))</f>
        <v/>
      </c>
      <c r="I53" s="15" t="str">
        <f>IF(O53="","",IF(ISNUMBER(MATCH(O53,$G$5:$G$1000,0)),"",IF(D53=1,B$4,0)+MAX(I$4:I52)+1))</f>
        <v/>
      </c>
      <c r="J53" s="27" t="str">
        <f>IF(ISNUMBER(MATCH(M53,$I$5:$I$1000,0)),INDEX($O$5:$O$1000,MATCH(M53,$I$5:$I$1000,0),1),"")</f>
        <v/>
      </c>
      <c r="K53" s="27"/>
      <c r="L53" s="26"/>
      <c r="M53" s="14">
        <f>IF(ROW()-ROW(M$4)&lt;=1000,ROW()-ROW(M$4),"")</f>
        <v>49</v>
      </c>
      <c r="N53" s="43"/>
      <c r="O53" s="43"/>
      <c r="P53" s="41" t="str">
        <f>IF(M53&lt;=$B$4,IF(ISTEXT(G53),G53,""),IF(ISTEXT(J53),J53,""))</f>
        <v/>
      </c>
      <c r="Q53" s="16" t="s">
        <v>0</v>
      </c>
      <c r="R53" s="34" t="str">
        <f>IF(ROW()-ROW(R$4)&lt;=AH$3,ROW()-ROW(R$4),"")</f>
        <v/>
      </c>
      <c r="S53" s="34" t="str">
        <f>IF(ROW()-ROW(S$4)&lt;=AI$3,ROW()-ROW(S$4),"")</f>
        <v/>
      </c>
      <c r="T53" s="34" t="str">
        <f>IF(ROW()-ROW(T$4)&lt;=AJ$3,ROW()-ROW(T$4),"")</f>
        <v/>
      </c>
      <c r="U53" s="34" t="str">
        <f>IF(ROW()-ROW(U$4)&lt;=AK$3,ROW()-ROW(U$4),"")</f>
        <v/>
      </c>
      <c r="V53" s="34" t="str">
        <f>IF(ROW()-ROW(V$4)&lt;=AL$3,ROW()-ROW(V$4),"")</f>
        <v/>
      </c>
      <c r="W53" s="34" t="str">
        <f>IF(ROW()-ROW(W$4)&lt;=AM$3,ROW()-ROW(W$4),"")</f>
        <v/>
      </c>
      <c r="X53" s="34" t="str">
        <f>IF(ROW()-ROW(X$4)&lt;=AN$3,ROW()-ROW(X$4),"")</f>
        <v/>
      </c>
      <c r="Y53" s="34"/>
      <c r="Z53" s="35" t="str">
        <f>IF(ISNUMBER(R53),INDEX($BE$5:$BE$2999,MATCH(R53,AH$5:AH$2999,0),1),"")</f>
        <v/>
      </c>
      <c r="AA53" s="35" t="str">
        <f>IF(ISNUMBER(S53),INDEX($BE$5:$BE$2999,MATCH(S53,AI$5:AI$2999,0),1),"")</f>
        <v/>
      </c>
      <c r="AB53" s="35" t="str">
        <f>IF(ISNUMBER(T53),INDEX($BE$5:$BE$2999,MATCH(T53,AJ$5:AJ$2999,0),1),"")</f>
        <v/>
      </c>
      <c r="AC53" s="35" t="str">
        <f>IF(ISNUMBER(U53),INDEX($BE$5:$BE$2999,MATCH(U53,AK$5:AK$2999,0),1),"")</f>
        <v/>
      </c>
      <c r="AD53" s="35" t="str">
        <f>IF(ISNUMBER(V53),INDEX($BE$5:$BE$2999,MATCH(V53,AL$5:AL$2999,0),1),"")</f>
        <v/>
      </c>
      <c r="AE53" s="35" t="str">
        <f>IF(ISNUMBER(W53),INDEX($BE$5:$BE$2999,MATCH(W53,AM$5:AM$2999,0),1),"")</f>
        <v/>
      </c>
      <c r="AF53" s="35" t="str">
        <f>IF(ISNUMBER(X53),INDEX($BE$5:$BE$2999,MATCH(X53,AN$5:AN$2999,0),1),"")</f>
        <v/>
      </c>
      <c r="AG53" s="35"/>
      <c r="AH53" s="34" t="str">
        <f>IF($BE53="","",IF(ISNUMBER(MATCH($BE53,AP$5:AP$29999,0)),MAX(AH$4:AH52)+1,0))</f>
        <v/>
      </c>
      <c r="AI53" s="34" t="str">
        <f>IF($BE53="","",IF(ISNUMBER(MATCH($BE53,AQ$5:AQ$29999,0)),MAX(AI$4:AI52)+1,0))</f>
        <v/>
      </c>
      <c r="AJ53" s="34" t="str">
        <f>IF($BE53="","",IF(ISNUMBER(MATCH($BE53,AR$5:AR$29999,0)),MAX(AJ$4:AJ52)+1,0))</f>
        <v/>
      </c>
      <c r="AK53" s="34" t="str">
        <f>IF($BE53="","",IF(ISNUMBER(MATCH($BE53,AS$5:AS$29999,0)),MAX(AK$4:AK52)+1,0))</f>
        <v/>
      </c>
      <c r="AL53" s="34" t="str">
        <f>IF($BE53="","",IF(ISNUMBER(MATCH($BE53,AT$5:AT$29999,0)),MAX(AL$4:AL52)+1,0))</f>
        <v/>
      </c>
      <c r="AM53" s="34" t="str">
        <f>IF($BE53="","",IF(ISNUMBER(MATCH($BE53,AU$5:AU$29999,0)),MAX(AM$4:AM52)+1,0))</f>
        <v/>
      </c>
      <c r="AN53" s="34" t="str">
        <f>IF($BE53="","",IF(ISNUMBER(MATCH($BE53,AV$5:AV$29999,0)),MAX(AN$4:AN52)+1,0))</f>
        <v/>
      </c>
      <c r="AO53" s="16"/>
      <c r="AP53" s="33"/>
      <c r="AQ53" s="33"/>
      <c r="AR53" s="33"/>
      <c r="AS53" s="33"/>
      <c r="AT53" s="32"/>
      <c r="AU53" s="32"/>
      <c r="AV53" s="32" t="s">
        <v>0</v>
      </c>
      <c r="AW53" s="40"/>
      <c r="AX53" s="20" t="s">
        <v>0</v>
      </c>
      <c r="AY53" s="30"/>
      <c r="AZ53" s="30"/>
      <c r="BA53" s="39" t="s">
        <v>0</v>
      </c>
      <c r="BB53" s="44" t="str">
        <f>IF(ISTEXT(AW53),IF(ISNUMBER(MATCH(AW53,$AY$5:$AY$100,0)),0,MAX(BB$4:BB52)+1),"")</f>
        <v/>
      </c>
      <c r="BC53" s="36" t="str">
        <f>IF(ISTEXT(AY53),MATCH(AY53,$AW$5:$AW$127,0),"")</f>
        <v/>
      </c>
      <c r="BD53" s="36">
        <f>IF(ISNUMBER(BC53),AY53,ROW()-SUM($BC$4:$BD$4))</f>
        <v>12</v>
      </c>
      <c r="BE53" s="20"/>
      <c r="BF53" s="36"/>
      <c r="BG53" s="19" t="str">
        <f>IF(ISNUMBER(MATCH($BE53,Z$5:Z$501,0)),INDEX(Z$5:Z$501,MATCH($BE53,Z$5:Z$501,0),1),"")</f>
        <v/>
      </c>
      <c r="BH53" s="19" t="str">
        <f>IF(ISNUMBER(MATCH($BE53,AA$5:AA$501,0)),INDEX(AA$5:AA$501,MATCH($BE53,AA$5:AA$501,0),1),"")</f>
        <v/>
      </c>
      <c r="BI53" s="19" t="str">
        <f>IF(ISNUMBER(MATCH($BE53,AB$5:AB$501,0)),INDEX(AB$5:AB$501,MATCH($BE53,AB$5:AB$501,0),1),"")</f>
        <v/>
      </c>
      <c r="BJ53" s="19" t="str">
        <f>IF(ISNUMBER(MATCH($BE53,AC$5:AC$501,0)),INDEX(AC$5:AC$501,MATCH($BE53,AC$5:AC$501,0),1),"")</f>
        <v/>
      </c>
      <c r="BK53" s="19" t="str">
        <f>IF(ISNUMBER(MATCH($BE53,AD$5:AD$501,0)),INDEX(AD$5:AD$501,MATCH($BE53,AD$5:AD$501,0),1),"")</f>
        <v/>
      </c>
      <c r="BL53" s="19" t="str">
        <f>IF(ISNUMBER(MATCH($BE53,AE$5:AE$501,0)),INDEX(AE$5:AE$501,MATCH($BE53,AE$5:AE$501,0),1),"")</f>
        <v/>
      </c>
      <c r="BM53" s="19" t="str">
        <f>IF(ISNUMBER(MATCH($BE53,AF$5:AF$501,0)),INDEX(AF$5:AF$501,MATCH($BE53,AF$5:AF$501,0),1),"")</f>
        <v/>
      </c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</row>
    <row r="54" spans="1:78" ht="12" customHeight="1" x14ac:dyDescent="0.25">
      <c r="A54" s="26"/>
      <c r="B54" s="28" t="str">
        <f>IF(ISNUMBER(MATCH(O54,$N$5:$N$1000,0)),MATCH(O54,$N$5:$N$1000,0),"")</f>
        <v/>
      </c>
      <c r="C54" s="15" t="str">
        <f>IF(ISNUMBER(B54),MAX(C$4:C53)+1,"")</f>
        <v/>
      </c>
      <c r="D54" s="15" t="str">
        <f>IF(IF(ISNUMBER(B54),"",MAX(D$4:D53)+1)&lt;=D$3,IF(ISNUMBER(B54),"",MAX(D$4:D53)+1),"")</f>
        <v/>
      </c>
      <c r="E54" s="42" t="str">
        <f>IF(M54&lt;=D$3,MATCH(M54,D$5:D$1000,0),"")</f>
        <v/>
      </c>
      <c r="F54" s="28" t="str">
        <f>IF(ISNUMBER(E54),INDEX($N$5:$N$1000,E54,1),"")</f>
        <v/>
      </c>
      <c r="G54" s="27" t="str">
        <f>IF(ISNUMBER(C54),N54,IF(ISTEXT(N54),INDEX($F$5:$F$1000,MATCH(M54,$E$5:$E$1000,0),1),""))</f>
        <v/>
      </c>
      <c r="H54" s="15" t="str">
        <f>IF(O54="","",IF(ISNUMBER(MATCH(O54,$G$5:$G$1000,0)),"",IF(D54=1,C$3,0)+MAX(H$4:H53)+1))</f>
        <v/>
      </c>
      <c r="I54" s="15" t="str">
        <f>IF(O54="","",IF(ISNUMBER(MATCH(O54,$G$5:$G$1000,0)),"",IF(D54=1,B$4,0)+MAX(I$4:I53)+1))</f>
        <v/>
      </c>
      <c r="J54" s="27" t="str">
        <f>IF(ISNUMBER(MATCH(M54,$I$5:$I$1000,0)),INDEX($O$5:$O$1000,MATCH(M54,$I$5:$I$1000,0),1),"")</f>
        <v/>
      </c>
      <c r="K54" s="27"/>
      <c r="L54" s="26"/>
      <c r="M54" s="14">
        <f>IF(ROW()-ROW(M$4)&lt;=1000,ROW()-ROW(M$4),"")</f>
        <v>50</v>
      </c>
      <c r="N54" s="43"/>
      <c r="O54" s="43"/>
      <c r="P54" s="41" t="str">
        <f>IF(M54&lt;=$B$4,IF(ISTEXT(G54),G54,""),IF(ISTEXT(J54),J54,""))</f>
        <v/>
      </c>
      <c r="Q54" s="16" t="s">
        <v>0</v>
      </c>
      <c r="R54" s="34" t="str">
        <f>IF(ROW()-ROW(R$4)&lt;=AH$3,ROW()-ROW(R$4),"")</f>
        <v/>
      </c>
      <c r="S54" s="34" t="str">
        <f>IF(ROW()-ROW(S$4)&lt;=AI$3,ROW()-ROW(S$4),"")</f>
        <v/>
      </c>
      <c r="T54" s="34" t="str">
        <f>IF(ROW()-ROW(T$4)&lt;=AJ$3,ROW()-ROW(T$4),"")</f>
        <v/>
      </c>
      <c r="U54" s="34" t="str">
        <f>IF(ROW()-ROW(U$4)&lt;=AK$3,ROW()-ROW(U$4),"")</f>
        <v/>
      </c>
      <c r="V54" s="34" t="str">
        <f>IF(ROW()-ROW(V$4)&lt;=AL$3,ROW()-ROW(V$4),"")</f>
        <v/>
      </c>
      <c r="W54" s="34" t="str">
        <f>IF(ROW()-ROW(W$4)&lt;=AM$3,ROW()-ROW(W$4),"")</f>
        <v/>
      </c>
      <c r="X54" s="34" t="str">
        <f>IF(ROW()-ROW(X$4)&lt;=AN$3,ROW()-ROW(X$4),"")</f>
        <v/>
      </c>
      <c r="Y54" s="34"/>
      <c r="Z54" s="35" t="str">
        <f>IF(ISNUMBER(R54),INDEX($BE$5:$BE$2999,MATCH(R54,AH$5:AH$2999,0),1),"")</f>
        <v/>
      </c>
      <c r="AA54" s="35" t="str">
        <f>IF(ISNUMBER(S54),INDEX($BE$5:$BE$2999,MATCH(S54,AI$5:AI$2999,0),1),"")</f>
        <v/>
      </c>
      <c r="AB54" s="35" t="str">
        <f>IF(ISNUMBER(T54),INDEX($BE$5:$BE$2999,MATCH(T54,AJ$5:AJ$2999,0),1),"")</f>
        <v/>
      </c>
      <c r="AC54" s="35" t="str">
        <f>IF(ISNUMBER(U54),INDEX($BE$5:$BE$2999,MATCH(U54,AK$5:AK$2999,0),1),"")</f>
        <v/>
      </c>
      <c r="AD54" s="35" t="str">
        <f>IF(ISNUMBER(V54),INDEX($BE$5:$BE$2999,MATCH(V54,AL$5:AL$2999,0),1),"")</f>
        <v/>
      </c>
      <c r="AE54" s="35" t="str">
        <f>IF(ISNUMBER(W54),INDEX($BE$5:$BE$2999,MATCH(W54,AM$5:AM$2999,0),1),"")</f>
        <v/>
      </c>
      <c r="AF54" s="35" t="str">
        <f>IF(ISNUMBER(X54),INDEX($BE$5:$BE$2999,MATCH(X54,AN$5:AN$2999,0),1),"")</f>
        <v/>
      </c>
      <c r="AG54" s="35"/>
      <c r="AH54" s="34" t="str">
        <f>IF($BE54="","",IF(ISNUMBER(MATCH($BE54,AP$5:AP$29999,0)),MAX(AH$4:AH53)+1,0))</f>
        <v/>
      </c>
      <c r="AI54" s="34" t="str">
        <f>IF($BE54="","",IF(ISNUMBER(MATCH($BE54,AQ$5:AQ$29999,0)),MAX(AI$4:AI53)+1,0))</f>
        <v/>
      </c>
      <c r="AJ54" s="34" t="str">
        <f>IF($BE54="","",IF(ISNUMBER(MATCH($BE54,AR$5:AR$29999,0)),MAX(AJ$4:AJ53)+1,0))</f>
        <v/>
      </c>
      <c r="AK54" s="34" t="str">
        <f>IF($BE54="","",IF(ISNUMBER(MATCH($BE54,AS$5:AS$29999,0)),MAX(AK$4:AK53)+1,0))</f>
        <v/>
      </c>
      <c r="AL54" s="34" t="str">
        <f>IF($BE54="","",IF(ISNUMBER(MATCH($BE54,AT$5:AT$29999,0)),MAX(AL$4:AL53)+1,0))</f>
        <v/>
      </c>
      <c r="AM54" s="34" t="str">
        <f>IF($BE54="","",IF(ISNUMBER(MATCH($BE54,AU$5:AU$29999,0)),MAX(AM$4:AM53)+1,0))</f>
        <v/>
      </c>
      <c r="AN54" s="34" t="str">
        <f>IF($BE54="","",IF(ISNUMBER(MATCH($BE54,AV$5:AV$29999,0)),MAX(AN$4:AN53)+1,0))</f>
        <v/>
      </c>
      <c r="AO54" s="16"/>
      <c r="AP54" s="33"/>
      <c r="AQ54" s="33"/>
      <c r="AR54" s="33"/>
      <c r="AS54" s="33"/>
      <c r="AT54" s="32"/>
      <c r="AU54" s="32"/>
      <c r="AV54" s="32" t="s">
        <v>0</v>
      </c>
      <c r="AW54" s="40"/>
      <c r="AX54" s="20" t="s">
        <v>0</v>
      </c>
      <c r="AY54" s="30"/>
      <c r="AZ54" s="30"/>
      <c r="BA54" s="39" t="s">
        <v>0</v>
      </c>
      <c r="BB54" s="44" t="str">
        <f>IF(ISTEXT(AW54),IF(ISNUMBER(MATCH(AW54,$AY$5:$AY$100,0)),0,MAX(BB$4:BB53)+1),"")</f>
        <v/>
      </c>
      <c r="BC54" s="36" t="str">
        <f>IF(ISTEXT(AY54),MATCH(AY54,$AW$5:$AW$127,0),"")</f>
        <v/>
      </c>
      <c r="BD54" s="36">
        <f>IF(ISNUMBER(BC54),AY54,ROW()-SUM($BC$4:$BD$4))</f>
        <v>13</v>
      </c>
      <c r="BE54" s="20"/>
      <c r="BF54" s="36"/>
      <c r="BG54" s="19" t="str">
        <f>IF(ISNUMBER(MATCH($BE54,Z$5:Z$501,0)),INDEX(Z$5:Z$501,MATCH($BE54,Z$5:Z$501,0),1),"")</f>
        <v/>
      </c>
      <c r="BH54" s="19" t="str">
        <f>IF(ISNUMBER(MATCH($BE54,AA$5:AA$501,0)),INDEX(AA$5:AA$501,MATCH($BE54,AA$5:AA$501,0),1),"")</f>
        <v/>
      </c>
      <c r="BI54" s="19" t="str">
        <f>IF(ISNUMBER(MATCH($BE54,AB$5:AB$501,0)),INDEX(AB$5:AB$501,MATCH($BE54,AB$5:AB$501,0),1),"")</f>
        <v/>
      </c>
      <c r="BJ54" s="19" t="str">
        <f>IF(ISNUMBER(MATCH($BE54,AC$5:AC$501,0)),INDEX(AC$5:AC$501,MATCH($BE54,AC$5:AC$501,0),1),"")</f>
        <v/>
      </c>
      <c r="BK54" s="19" t="str">
        <f>IF(ISNUMBER(MATCH($BE54,AD$5:AD$501,0)),INDEX(AD$5:AD$501,MATCH($BE54,AD$5:AD$501,0),1),"")</f>
        <v/>
      </c>
      <c r="BL54" s="19" t="str">
        <f>IF(ISNUMBER(MATCH($BE54,AE$5:AE$501,0)),INDEX(AE$5:AE$501,MATCH($BE54,AE$5:AE$501,0),1),"")</f>
        <v/>
      </c>
      <c r="BM54" s="19" t="str">
        <f>IF(ISNUMBER(MATCH($BE54,AF$5:AF$501,0)),INDEX(AF$5:AF$501,MATCH($BE54,AF$5:AF$501,0),1),"")</f>
        <v/>
      </c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</row>
    <row r="55" spans="1:78" ht="12" customHeight="1" x14ac:dyDescent="0.25">
      <c r="A55" s="26"/>
      <c r="B55" s="28" t="str">
        <f>IF(ISNUMBER(MATCH(O55,$N$5:$N$1000,0)),MATCH(O55,$N$5:$N$1000,0),"")</f>
        <v/>
      </c>
      <c r="C55" s="15" t="str">
        <f>IF(ISNUMBER(B55),MAX(C$4:C54)+1,"")</f>
        <v/>
      </c>
      <c r="D55" s="15" t="str">
        <f>IF(IF(ISNUMBER(B55),"",MAX(D$4:D54)+1)&lt;=D$3,IF(ISNUMBER(B55),"",MAX(D$4:D54)+1),"")</f>
        <v/>
      </c>
      <c r="E55" s="42" t="str">
        <f>IF(M55&lt;=D$3,MATCH(M55,D$5:D$1000,0),"")</f>
        <v/>
      </c>
      <c r="F55" s="28" t="str">
        <f>IF(ISNUMBER(E55),INDEX($N$5:$N$1000,E55,1),"")</f>
        <v/>
      </c>
      <c r="G55" s="27" t="str">
        <f>IF(ISNUMBER(C55),N55,IF(ISTEXT(N55),INDEX($F$5:$F$1000,MATCH(M55,$E$5:$E$1000,0),1),""))</f>
        <v/>
      </c>
      <c r="H55" s="15" t="str">
        <f>IF(O55="","",IF(ISNUMBER(MATCH(O55,$G$5:$G$1000,0)),"",IF(D55=1,C$3,0)+MAX(H$4:H54)+1))</f>
        <v/>
      </c>
      <c r="I55" s="15" t="str">
        <f>IF(O55="","",IF(ISNUMBER(MATCH(O55,$G$5:$G$1000,0)),"",IF(D55=1,B$4,0)+MAX(I$4:I54)+1))</f>
        <v/>
      </c>
      <c r="J55" s="27" t="str">
        <f>IF(ISNUMBER(MATCH(M55,$I$5:$I$1000,0)),INDEX($O$5:$O$1000,MATCH(M55,$I$5:$I$1000,0),1),"")</f>
        <v/>
      </c>
      <c r="K55" s="27"/>
      <c r="L55" s="26"/>
      <c r="M55" s="14">
        <f>IF(ROW()-ROW(M$4)&lt;=1000,ROW()-ROW(M$4),"")</f>
        <v>51</v>
      </c>
      <c r="N55" s="43"/>
      <c r="O55" s="43"/>
      <c r="P55" s="41" t="str">
        <f>IF(M55&lt;=$B$4,IF(ISTEXT(G55),G55,""),IF(ISTEXT(J55),J55,""))</f>
        <v/>
      </c>
      <c r="Q55" s="16" t="s">
        <v>0</v>
      </c>
      <c r="R55" s="34" t="str">
        <f>IF(ROW()-ROW(R$4)&lt;=AH$3,ROW()-ROW(R$4),"")</f>
        <v/>
      </c>
      <c r="S55" s="34" t="str">
        <f>IF(ROW()-ROW(S$4)&lt;=AI$3,ROW()-ROW(S$4),"")</f>
        <v/>
      </c>
      <c r="T55" s="34" t="str">
        <f>IF(ROW()-ROW(T$4)&lt;=AJ$3,ROW()-ROW(T$4),"")</f>
        <v/>
      </c>
      <c r="U55" s="34" t="str">
        <f>IF(ROW()-ROW(U$4)&lt;=AK$3,ROW()-ROW(U$4),"")</f>
        <v/>
      </c>
      <c r="V55" s="34" t="str">
        <f>IF(ROW()-ROW(V$4)&lt;=AL$3,ROW()-ROW(V$4),"")</f>
        <v/>
      </c>
      <c r="W55" s="34" t="str">
        <f>IF(ROW()-ROW(W$4)&lt;=AM$3,ROW()-ROW(W$4),"")</f>
        <v/>
      </c>
      <c r="X55" s="34" t="str">
        <f>IF(ROW()-ROW(X$4)&lt;=AN$3,ROW()-ROW(X$4),"")</f>
        <v/>
      </c>
      <c r="Y55" s="34"/>
      <c r="Z55" s="35" t="str">
        <f>IF(ISNUMBER(R55),INDEX($BE$5:$BE$2999,MATCH(R55,AH$5:AH$2999,0),1),"")</f>
        <v/>
      </c>
      <c r="AA55" s="35" t="str">
        <f>IF(ISNUMBER(S55),INDEX($BE$5:$BE$2999,MATCH(S55,AI$5:AI$2999,0),1),"")</f>
        <v/>
      </c>
      <c r="AB55" s="35" t="str">
        <f>IF(ISNUMBER(T55),INDEX($BE$5:$BE$2999,MATCH(T55,AJ$5:AJ$2999,0),1),"")</f>
        <v/>
      </c>
      <c r="AC55" s="35" t="str">
        <f>IF(ISNUMBER(U55),INDEX($BE$5:$BE$2999,MATCH(U55,AK$5:AK$2999,0),1),"")</f>
        <v/>
      </c>
      <c r="AD55" s="35" t="str">
        <f>IF(ISNUMBER(V55),INDEX($BE$5:$BE$2999,MATCH(V55,AL$5:AL$2999,0),1),"")</f>
        <v/>
      </c>
      <c r="AE55" s="35" t="str">
        <f>IF(ISNUMBER(W55),INDEX($BE$5:$BE$2999,MATCH(W55,AM$5:AM$2999,0),1),"")</f>
        <v/>
      </c>
      <c r="AF55" s="35" t="str">
        <f>IF(ISNUMBER(X55),INDEX($BE$5:$BE$2999,MATCH(X55,AN$5:AN$2999,0),1),"")</f>
        <v/>
      </c>
      <c r="AG55" s="35"/>
      <c r="AH55" s="34" t="str">
        <f>IF($BE55="","",IF(ISNUMBER(MATCH($BE55,AP$5:AP$29999,0)),MAX(AH$4:AH54)+1,0))</f>
        <v/>
      </c>
      <c r="AI55" s="34" t="str">
        <f>IF($BE55="","",IF(ISNUMBER(MATCH($BE55,AQ$5:AQ$29999,0)),MAX(AI$4:AI54)+1,0))</f>
        <v/>
      </c>
      <c r="AJ55" s="34" t="str">
        <f>IF($BE55="","",IF(ISNUMBER(MATCH($BE55,AR$5:AR$29999,0)),MAX(AJ$4:AJ54)+1,0))</f>
        <v/>
      </c>
      <c r="AK55" s="34" t="str">
        <f>IF($BE55="","",IF(ISNUMBER(MATCH($BE55,AS$5:AS$29999,0)),MAX(AK$4:AK54)+1,0))</f>
        <v/>
      </c>
      <c r="AL55" s="34" t="str">
        <f>IF($BE55="","",IF(ISNUMBER(MATCH($BE55,AT$5:AT$29999,0)),MAX(AL$4:AL54)+1,0))</f>
        <v/>
      </c>
      <c r="AM55" s="34" t="str">
        <f>IF($BE55="","",IF(ISNUMBER(MATCH($BE55,AU$5:AU$29999,0)),MAX(AM$4:AM54)+1,0))</f>
        <v/>
      </c>
      <c r="AN55" s="34" t="str">
        <f>IF($BE55="","",IF(ISNUMBER(MATCH($BE55,AV$5:AV$29999,0)),MAX(AN$4:AN54)+1,0))</f>
        <v/>
      </c>
      <c r="AO55" s="16"/>
      <c r="AP55" s="33"/>
      <c r="AQ55" s="33"/>
      <c r="AR55" s="33"/>
      <c r="AS55" s="33"/>
      <c r="AT55" s="32"/>
      <c r="AU55" s="32"/>
      <c r="AV55" s="32" t="s">
        <v>0</v>
      </c>
      <c r="AW55" s="40"/>
      <c r="AX55" s="20" t="s">
        <v>0</v>
      </c>
      <c r="AY55" s="30"/>
      <c r="AZ55" s="30"/>
      <c r="BA55" s="39" t="s">
        <v>0</v>
      </c>
      <c r="BB55" s="44" t="str">
        <f>IF(ISTEXT(AW55),IF(ISNUMBER(MATCH(AW55,$AY$5:$AY$100,0)),0,MAX(BB$4:BB54)+1),"")</f>
        <v/>
      </c>
      <c r="BC55" s="36" t="str">
        <f>IF(ISTEXT(AY55),MATCH(AY55,$AW$5:$AW$127,0),"")</f>
        <v/>
      </c>
      <c r="BD55" s="36">
        <f>IF(ISNUMBER(BC55),AY55,ROW()-SUM($BC$4:$BD$4))</f>
        <v>14</v>
      </c>
      <c r="BE55" s="20"/>
      <c r="BF55" s="36"/>
      <c r="BG55" s="19" t="str">
        <f>IF(ISNUMBER(MATCH($BE55,Z$5:Z$501,0)),INDEX(Z$5:Z$501,MATCH($BE55,Z$5:Z$501,0),1),"")</f>
        <v/>
      </c>
      <c r="BH55" s="19" t="str">
        <f>IF(ISNUMBER(MATCH($BE55,AA$5:AA$501,0)),INDEX(AA$5:AA$501,MATCH($BE55,AA$5:AA$501,0),1),"")</f>
        <v/>
      </c>
      <c r="BI55" s="19" t="str">
        <f>IF(ISNUMBER(MATCH($BE55,AB$5:AB$501,0)),INDEX(AB$5:AB$501,MATCH($BE55,AB$5:AB$501,0),1),"")</f>
        <v/>
      </c>
      <c r="BJ55" s="19" t="str">
        <f>IF(ISNUMBER(MATCH($BE55,AC$5:AC$501,0)),INDEX(AC$5:AC$501,MATCH($BE55,AC$5:AC$501,0),1),"")</f>
        <v/>
      </c>
      <c r="BK55" s="19" t="str">
        <f>IF(ISNUMBER(MATCH($BE55,AD$5:AD$501,0)),INDEX(AD$5:AD$501,MATCH($BE55,AD$5:AD$501,0),1),"")</f>
        <v/>
      </c>
      <c r="BL55" s="19" t="str">
        <f>IF(ISNUMBER(MATCH($BE55,AE$5:AE$501,0)),INDEX(AE$5:AE$501,MATCH($BE55,AE$5:AE$501,0),1),"")</f>
        <v/>
      </c>
      <c r="BM55" s="19" t="str">
        <f>IF(ISNUMBER(MATCH($BE55,AF$5:AF$501,0)),INDEX(AF$5:AF$501,MATCH($BE55,AF$5:AF$501,0),1),"")</f>
        <v/>
      </c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</row>
    <row r="56" spans="1:78" ht="12" customHeight="1" x14ac:dyDescent="0.25">
      <c r="A56" s="26"/>
      <c r="B56" s="28" t="str">
        <f>IF(ISNUMBER(MATCH(O56,$N$5:$N$1000,0)),MATCH(O56,$N$5:$N$1000,0),"")</f>
        <v/>
      </c>
      <c r="C56" s="15" t="str">
        <f>IF(ISNUMBER(B56),MAX(C$4:C55)+1,"")</f>
        <v/>
      </c>
      <c r="D56" s="15" t="str">
        <f>IF(IF(ISNUMBER(B56),"",MAX(D$4:D55)+1)&lt;=D$3,IF(ISNUMBER(B56),"",MAX(D$4:D55)+1),"")</f>
        <v/>
      </c>
      <c r="E56" s="42" t="str">
        <f>IF(M56&lt;=D$3,MATCH(M56,D$5:D$1000,0),"")</f>
        <v/>
      </c>
      <c r="F56" s="28" t="str">
        <f>IF(ISNUMBER(E56),INDEX($N$5:$N$1000,E56,1),"")</f>
        <v/>
      </c>
      <c r="G56" s="27" t="str">
        <f>IF(ISNUMBER(C56),N56,IF(ISTEXT(N56),INDEX($F$5:$F$1000,MATCH(M56,$E$5:$E$1000,0),1),""))</f>
        <v/>
      </c>
      <c r="H56" s="15" t="str">
        <f>IF(O56="","",IF(ISNUMBER(MATCH(O56,$G$5:$G$1000,0)),"",IF(D56=1,C$3,0)+MAX(H$4:H55)+1))</f>
        <v/>
      </c>
      <c r="I56" s="15" t="str">
        <f>IF(O56="","",IF(ISNUMBER(MATCH(O56,$G$5:$G$1000,0)),"",IF(D56=1,B$4,0)+MAX(I$4:I55)+1))</f>
        <v/>
      </c>
      <c r="J56" s="27" t="str">
        <f>IF(ISNUMBER(MATCH(M56,$I$5:$I$1000,0)),INDEX($O$5:$O$1000,MATCH(M56,$I$5:$I$1000,0),1),"")</f>
        <v/>
      </c>
      <c r="K56" s="27"/>
      <c r="L56" s="26"/>
      <c r="M56" s="14">
        <f>IF(ROW()-ROW(M$4)&lt;=1000,ROW()-ROW(M$4),"")</f>
        <v>52</v>
      </c>
      <c r="N56" s="43"/>
      <c r="O56" s="43"/>
      <c r="P56" s="41" t="str">
        <f>IF(M56&lt;=$B$4,IF(ISTEXT(G56),G56,""),IF(ISTEXT(J56),J56,""))</f>
        <v/>
      </c>
      <c r="Q56" s="16" t="s">
        <v>0</v>
      </c>
      <c r="R56" s="34" t="str">
        <f>IF(ROW()-ROW(R$4)&lt;=AH$3,ROW()-ROW(R$4),"")</f>
        <v/>
      </c>
      <c r="S56" s="34" t="str">
        <f>IF(ROW()-ROW(S$4)&lt;=AI$3,ROW()-ROW(S$4),"")</f>
        <v/>
      </c>
      <c r="T56" s="34" t="str">
        <f>IF(ROW()-ROW(T$4)&lt;=AJ$3,ROW()-ROW(T$4),"")</f>
        <v/>
      </c>
      <c r="U56" s="34" t="str">
        <f>IF(ROW()-ROW(U$4)&lt;=AK$3,ROW()-ROW(U$4),"")</f>
        <v/>
      </c>
      <c r="V56" s="34" t="str">
        <f>IF(ROW()-ROW(V$4)&lt;=AL$3,ROW()-ROW(V$4),"")</f>
        <v/>
      </c>
      <c r="W56" s="34" t="str">
        <f>IF(ROW()-ROW(W$4)&lt;=AM$3,ROW()-ROW(W$4),"")</f>
        <v/>
      </c>
      <c r="X56" s="34" t="str">
        <f>IF(ROW()-ROW(X$4)&lt;=AN$3,ROW()-ROW(X$4),"")</f>
        <v/>
      </c>
      <c r="Y56" s="34"/>
      <c r="Z56" s="35" t="str">
        <f>IF(ISNUMBER(R56),INDEX($BE$5:$BE$2999,MATCH(R56,AH$5:AH$2999,0),1),"")</f>
        <v/>
      </c>
      <c r="AA56" s="35" t="str">
        <f>IF(ISNUMBER(S56),INDEX($BE$5:$BE$2999,MATCH(S56,AI$5:AI$2999,0),1),"")</f>
        <v/>
      </c>
      <c r="AB56" s="35" t="str">
        <f>IF(ISNUMBER(T56),INDEX($BE$5:$BE$2999,MATCH(T56,AJ$5:AJ$2999,0),1),"")</f>
        <v/>
      </c>
      <c r="AC56" s="35" t="str">
        <f>IF(ISNUMBER(U56),INDEX($BE$5:$BE$2999,MATCH(U56,AK$5:AK$2999,0),1),"")</f>
        <v/>
      </c>
      <c r="AD56" s="35" t="str">
        <f>IF(ISNUMBER(V56),INDEX($BE$5:$BE$2999,MATCH(V56,AL$5:AL$2999,0),1),"")</f>
        <v/>
      </c>
      <c r="AE56" s="35" t="str">
        <f>IF(ISNUMBER(W56),INDEX($BE$5:$BE$2999,MATCH(W56,AM$5:AM$2999,0),1),"")</f>
        <v/>
      </c>
      <c r="AF56" s="35" t="str">
        <f>IF(ISNUMBER(X56),INDEX($BE$5:$BE$2999,MATCH(X56,AN$5:AN$2999,0),1),"")</f>
        <v/>
      </c>
      <c r="AG56" s="35"/>
      <c r="AH56" s="34" t="str">
        <f>IF($BE56="","",IF(ISNUMBER(MATCH($BE56,AP$5:AP$29999,0)),MAX(AH$4:AH55)+1,0))</f>
        <v/>
      </c>
      <c r="AI56" s="34" t="str">
        <f>IF($BE56="","",IF(ISNUMBER(MATCH($BE56,AQ$5:AQ$29999,0)),MAX(AI$4:AI55)+1,0))</f>
        <v/>
      </c>
      <c r="AJ56" s="34" t="str">
        <f>IF($BE56="","",IF(ISNUMBER(MATCH($BE56,AR$5:AR$29999,0)),MAX(AJ$4:AJ55)+1,0))</f>
        <v/>
      </c>
      <c r="AK56" s="34" t="str">
        <f>IF($BE56="","",IF(ISNUMBER(MATCH($BE56,AS$5:AS$29999,0)),MAX(AK$4:AK55)+1,0))</f>
        <v/>
      </c>
      <c r="AL56" s="34" t="str">
        <f>IF($BE56="","",IF(ISNUMBER(MATCH($BE56,AT$5:AT$29999,0)),MAX(AL$4:AL55)+1,0))</f>
        <v/>
      </c>
      <c r="AM56" s="34" t="str">
        <f>IF($BE56="","",IF(ISNUMBER(MATCH($BE56,AU$5:AU$29999,0)),MAX(AM$4:AM55)+1,0))</f>
        <v/>
      </c>
      <c r="AN56" s="34" t="str">
        <f>IF($BE56="","",IF(ISNUMBER(MATCH($BE56,AV$5:AV$29999,0)),MAX(AN$4:AN55)+1,0))</f>
        <v/>
      </c>
      <c r="AO56" s="16"/>
      <c r="AP56" s="33"/>
      <c r="AQ56" s="33"/>
      <c r="AR56" s="33"/>
      <c r="AS56" s="33"/>
      <c r="AT56" s="32"/>
      <c r="AU56" s="32"/>
      <c r="AV56" s="32" t="s">
        <v>0</v>
      </c>
      <c r="AW56" s="40"/>
      <c r="AX56" s="20" t="s">
        <v>0</v>
      </c>
      <c r="AY56" s="30"/>
      <c r="AZ56" s="30"/>
      <c r="BA56" s="39" t="s">
        <v>0</v>
      </c>
      <c r="BB56" s="44" t="str">
        <f>IF(ISTEXT(AW56),IF(ISNUMBER(MATCH(AW56,$AY$5:$AY$100,0)),0,MAX(BB$4:BB55)+1),"")</f>
        <v/>
      </c>
      <c r="BC56" s="36" t="str">
        <f>IF(ISTEXT(AY56),MATCH(AY56,$AW$5:$AW$127,0),"")</f>
        <v/>
      </c>
      <c r="BD56" s="36">
        <f>IF(ISNUMBER(BC56),AY56,ROW()-SUM($BC$4:$BD$4))</f>
        <v>15</v>
      </c>
      <c r="BE56" s="20"/>
      <c r="BF56" s="36"/>
      <c r="BG56" s="19" t="str">
        <f>IF(ISNUMBER(MATCH($BE56,Z$5:Z$501,0)),INDEX(Z$5:Z$501,MATCH($BE56,Z$5:Z$501,0),1),"")</f>
        <v/>
      </c>
      <c r="BH56" s="19" t="str">
        <f>IF(ISNUMBER(MATCH($BE56,AA$5:AA$501,0)),INDEX(AA$5:AA$501,MATCH($BE56,AA$5:AA$501,0),1),"")</f>
        <v/>
      </c>
      <c r="BI56" s="19" t="str">
        <f>IF(ISNUMBER(MATCH($BE56,AB$5:AB$501,0)),INDEX(AB$5:AB$501,MATCH($BE56,AB$5:AB$501,0),1),"")</f>
        <v/>
      </c>
      <c r="BJ56" s="19" t="str">
        <f>IF(ISNUMBER(MATCH($BE56,AC$5:AC$501,0)),INDEX(AC$5:AC$501,MATCH($BE56,AC$5:AC$501,0),1),"")</f>
        <v/>
      </c>
      <c r="BK56" s="19" t="str">
        <f>IF(ISNUMBER(MATCH($BE56,AD$5:AD$501,0)),INDEX(AD$5:AD$501,MATCH($BE56,AD$5:AD$501,0),1),"")</f>
        <v/>
      </c>
      <c r="BL56" s="19" t="str">
        <f>IF(ISNUMBER(MATCH($BE56,AE$5:AE$501,0)),INDEX(AE$5:AE$501,MATCH($BE56,AE$5:AE$501,0),1),"")</f>
        <v/>
      </c>
      <c r="BM56" s="19" t="str">
        <f>IF(ISNUMBER(MATCH($BE56,AF$5:AF$501,0)),INDEX(AF$5:AF$501,MATCH($BE56,AF$5:AF$501,0),1),"")</f>
        <v/>
      </c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</row>
    <row r="57" spans="1:78" ht="12" customHeight="1" x14ac:dyDescent="0.25">
      <c r="A57" s="26"/>
      <c r="B57" s="28" t="str">
        <f>IF(ISNUMBER(MATCH(O57,$N$5:$N$1000,0)),MATCH(O57,$N$5:$N$1000,0),"")</f>
        <v/>
      </c>
      <c r="C57" s="15" t="str">
        <f>IF(ISNUMBER(B57),MAX(C$4:C56)+1,"")</f>
        <v/>
      </c>
      <c r="D57" s="15" t="str">
        <f>IF(IF(ISNUMBER(B57),"",MAX(D$4:D56)+1)&lt;=D$3,IF(ISNUMBER(B57),"",MAX(D$4:D56)+1),"")</f>
        <v/>
      </c>
      <c r="E57" s="42" t="str">
        <f>IF(M57&lt;=D$3,MATCH(M57,D$5:D$1000,0),"")</f>
        <v/>
      </c>
      <c r="F57" s="28" t="str">
        <f>IF(ISNUMBER(E57),INDEX($N$5:$N$1000,E57,1),"")</f>
        <v/>
      </c>
      <c r="G57" s="27" t="str">
        <f>IF(ISNUMBER(C57),N57,IF(ISTEXT(N57),INDEX($F$5:$F$1000,MATCH(M57,$E$5:$E$1000,0),1),""))</f>
        <v/>
      </c>
      <c r="H57" s="15" t="str">
        <f>IF(O57="","",IF(ISNUMBER(MATCH(O57,$G$5:$G$1000,0)),"",IF(D57=1,C$3,0)+MAX(H$4:H56)+1))</f>
        <v/>
      </c>
      <c r="I57" s="15" t="str">
        <f>IF(O57="","",IF(ISNUMBER(MATCH(O57,$G$5:$G$1000,0)),"",IF(D57=1,B$4,0)+MAX(I$4:I56)+1))</f>
        <v/>
      </c>
      <c r="J57" s="27" t="str">
        <f>IF(ISNUMBER(MATCH(M57,$I$5:$I$1000,0)),INDEX($O$5:$O$1000,MATCH(M57,$I$5:$I$1000,0),1),"")</f>
        <v/>
      </c>
      <c r="K57" s="27"/>
      <c r="L57" s="26"/>
      <c r="M57" s="14">
        <f>IF(ROW()-ROW(M$4)&lt;=1000,ROW()-ROW(M$4),"")</f>
        <v>53</v>
      </c>
      <c r="N57" s="43"/>
      <c r="O57" s="43"/>
      <c r="P57" s="41" t="str">
        <f>IF(M57&lt;=$B$4,IF(ISTEXT(G57),G57,""),IF(ISTEXT(J57),J57,""))</f>
        <v/>
      </c>
      <c r="Q57" s="16" t="s">
        <v>0</v>
      </c>
      <c r="R57" s="34" t="str">
        <f>IF(ROW()-ROW(R$4)&lt;=AH$3,ROW()-ROW(R$4),"")</f>
        <v/>
      </c>
      <c r="S57" s="34" t="str">
        <f>IF(ROW()-ROW(S$4)&lt;=AI$3,ROW()-ROW(S$4),"")</f>
        <v/>
      </c>
      <c r="T57" s="34" t="str">
        <f>IF(ROW()-ROW(T$4)&lt;=AJ$3,ROW()-ROW(T$4),"")</f>
        <v/>
      </c>
      <c r="U57" s="34" t="str">
        <f>IF(ROW()-ROW(U$4)&lt;=AK$3,ROW()-ROW(U$4),"")</f>
        <v/>
      </c>
      <c r="V57" s="34" t="str">
        <f>IF(ROW()-ROW(V$4)&lt;=AL$3,ROW()-ROW(V$4),"")</f>
        <v/>
      </c>
      <c r="W57" s="34" t="str">
        <f>IF(ROW()-ROW(W$4)&lt;=AM$3,ROW()-ROW(W$4),"")</f>
        <v/>
      </c>
      <c r="X57" s="34" t="str">
        <f>IF(ROW()-ROW(X$4)&lt;=AN$3,ROW()-ROW(X$4),"")</f>
        <v/>
      </c>
      <c r="Y57" s="34"/>
      <c r="Z57" s="35" t="str">
        <f>IF(ISNUMBER(R57),INDEX($BE$5:$BE$2999,MATCH(R57,AH$5:AH$2999,0),1),"")</f>
        <v/>
      </c>
      <c r="AA57" s="35" t="str">
        <f>IF(ISNUMBER(S57),INDEX($BE$5:$BE$2999,MATCH(S57,AI$5:AI$2999,0),1),"")</f>
        <v/>
      </c>
      <c r="AB57" s="35" t="str">
        <f>IF(ISNUMBER(T57),INDEX($BE$5:$BE$2999,MATCH(T57,AJ$5:AJ$2999,0),1),"")</f>
        <v/>
      </c>
      <c r="AC57" s="35" t="str">
        <f>IF(ISNUMBER(U57),INDEX($BE$5:$BE$2999,MATCH(U57,AK$5:AK$2999,0),1),"")</f>
        <v/>
      </c>
      <c r="AD57" s="35" t="str">
        <f>IF(ISNUMBER(V57),INDEX($BE$5:$BE$2999,MATCH(V57,AL$5:AL$2999,0),1),"")</f>
        <v/>
      </c>
      <c r="AE57" s="35" t="str">
        <f>IF(ISNUMBER(W57),INDEX($BE$5:$BE$2999,MATCH(W57,AM$5:AM$2999,0),1),"")</f>
        <v/>
      </c>
      <c r="AF57" s="35" t="str">
        <f>IF(ISNUMBER(X57),INDEX($BE$5:$BE$2999,MATCH(X57,AN$5:AN$2999,0),1),"")</f>
        <v/>
      </c>
      <c r="AG57" s="35"/>
      <c r="AH57" s="34" t="str">
        <f>IF($BE57="","",IF(ISNUMBER(MATCH($BE57,AP$5:AP$29999,0)),MAX(AH$4:AH56)+1,0))</f>
        <v/>
      </c>
      <c r="AI57" s="34" t="str">
        <f>IF($BE57="","",IF(ISNUMBER(MATCH($BE57,AQ$5:AQ$29999,0)),MAX(AI$4:AI56)+1,0))</f>
        <v/>
      </c>
      <c r="AJ57" s="34" t="str">
        <f>IF($BE57="","",IF(ISNUMBER(MATCH($BE57,AR$5:AR$29999,0)),MAX(AJ$4:AJ56)+1,0))</f>
        <v/>
      </c>
      <c r="AK57" s="34" t="str">
        <f>IF($BE57="","",IF(ISNUMBER(MATCH($BE57,AS$5:AS$29999,0)),MAX(AK$4:AK56)+1,0))</f>
        <v/>
      </c>
      <c r="AL57" s="34" t="str">
        <f>IF($BE57="","",IF(ISNUMBER(MATCH($BE57,AT$5:AT$29999,0)),MAX(AL$4:AL56)+1,0))</f>
        <v/>
      </c>
      <c r="AM57" s="34" t="str">
        <f>IF($BE57="","",IF(ISNUMBER(MATCH($BE57,AU$5:AU$29999,0)),MAX(AM$4:AM56)+1,0))</f>
        <v/>
      </c>
      <c r="AN57" s="34" t="str">
        <f>IF($BE57="","",IF(ISNUMBER(MATCH($BE57,AV$5:AV$29999,0)),MAX(AN$4:AN56)+1,0))</f>
        <v/>
      </c>
      <c r="AO57" s="16"/>
      <c r="AP57" s="33"/>
      <c r="AQ57" s="33"/>
      <c r="AR57" s="33"/>
      <c r="AS57" s="33"/>
      <c r="AT57" s="32"/>
      <c r="AU57" s="32"/>
      <c r="AV57" s="32" t="s">
        <v>0</v>
      </c>
      <c r="AW57" s="40"/>
      <c r="AX57" s="20" t="s">
        <v>0</v>
      </c>
      <c r="AY57" s="30"/>
      <c r="AZ57" s="30"/>
      <c r="BA57" s="39" t="s">
        <v>0</v>
      </c>
      <c r="BB57" s="44" t="str">
        <f>IF(ISTEXT(AW57),IF(ISNUMBER(MATCH(AW57,$AY$5:$AY$100,0)),0,MAX(BB$4:BB56)+1),"")</f>
        <v/>
      </c>
      <c r="BC57" s="36" t="str">
        <f>IF(ISTEXT(AY57),MATCH(AY57,$AW$5:$AW$127,0),"")</f>
        <v/>
      </c>
      <c r="BD57" s="36">
        <f>IF(ISNUMBER(BC57),AY57,ROW()-SUM($BC$4:$BD$4))</f>
        <v>16</v>
      </c>
      <c r="BE57" s="20"/>
      <c r="BF57" s="36"/>
      <c r="BG57" s="19" t="str">
        <f>IF(ISNUMBER(MATCH($BE57,Z$5:Z$501,0)),INDEX(Z$5:Z$501,MATCH($BE57,Z$5:Z$501,0),1),"")</f>
        <v/>
      </c>
      <c r="BH57" s="19" t="str">
        <f>IF(ISNUMBER(MATCH($BE57,AA$5:AA$501,0)),INDEX(AA$5:AA$501,MATCH($BE57,AA$5:AA$501,0),1),"")</f>
        <v/>
      </c>
      <c r="BI57" s="19" t="str">
        <f>IF(ISNUMBER(MATCH($BE57,AB$5:AB$501,0)),INDEX(AB$5:AB$501,MATCH($BE57,AB$5:AB$501,0),1),"")</f>
        <v/>
      </c>
      <c r="BJ57" s="19" t="str">
        <f>IF(ISNUMBER(MATCH($BE57,AC$5:AC$501,0)),INDEX(AC$5:AC$501,MATCH($BE57,AC$5:AC$501,0),1),"")</f>
        <v/>
      </c>
      <c r="BK57" s="19" t="str">
        <f>IF(ISNUMBER(MATCH($BE57,AD$5:AD$501,0)),INDEX(AD$5:AD$501,MATCH($BE57,AD$5:AD$501,0),1),"")</f>
        <v/>
      </c>
      <c r="BL57" s="19" t="str">
        <f>IF(ISNUMBER(MATCH($BE57,AE$5:AE$501,0)),INDEX(AE$5:AE$501,MATCH($BE57,AE$5:AE$501,0),1),"")</f>
        <v/>
      </c>
      <c r="BM57" s="19" t="str">
        <f>IF(ISNUMBER(MATCH($BE57,AF$5:AF$501,0)),INDEX(AF$5:AF$501,MATCH($BE57,AF$5:AF$501,0),1),"")</f>
        <v/>
      </c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</row>
    <row r="58" spans="1:78" ht="12" customHeight="1" x14ac:dyDescent="0.25">
      <c r="A58" s="26"/>
      <c r="B58" s="28" t="str">
        <f>IF(ISNUMBER(MATCH(O58,$N$5:$N$1000,0)),MATCH(O58,$N$5:$N$1000,0),"")</f>
        <v/>
      </c>
      <c r="C58" s="15" t="str">
        <f>IF(ISNUMBER(B58),MAX(C$4:C57)+1,"")</f>
        <v/>
      </c>
      <c r="D58" s="15" t="str">
        <f>IF(IF(ISNUMBER(B58),"",MAX(D$4:D57)+1)&lt;=D$3,IF(ISNUMBER(B58),"",MAX(D$4:D57)+1),"")</f>
        <v/>
      </c>
      <c r="E58" s="42" t="str">
        <f>IF(M58&lt;=D$3,MATCH(M58,D$5:D$1000,0),"")</f>
        <v/>
      </c>
      <c r="F58" s="28" t="str">
        <f>IF(ISNUMBER(E58),INDEX($N$5:$N$1000,E58,1),"")</f>
        <v/>
      </c>
      <c r="G58" s="27" t="str">
        <f>IF(ISNUMBER(C58),N58,IF(ISTEXT(N58),INDEX($F$5:$F$1000,MATCH(M58,$E$5:$E$1000,0),1),""))</f>
        <v/>
      </c>
      <c r="H58" s="15" t="str">
        <f>IF(O58="","",IF(ISNUMBER(MATCH(O58,$G$5:$G$1000,0)),"",IF(D58=1,C$3,0)+MAX(H$4:H57)+1))</f>
        <v/>
      </c>
      <c r="I58" s="15" t="str">
        <f>IF(O58="","",IF(ISNUMBER(MATCH(O58,$G$5:$G$1000,0)),"",IF(D58=1,B$4,0)+MAX(I$4:I57)+1))</f>
        <v/>
      </c>
      <c r="J58" s="27" t="str">
        <f>IF(ISNUMBER(MATCH(M58,$I$5:$I$1000,0)),INDEX($O$5:$O$1000,MATCH(M58,$I$5:$I$1000,0),1),"")</f>
        <v/>
      </c>
      <c r="K58" s="27"/>
      <c r="L58" s="26"/>
      <c r="M58" s="14">
        <f>IF(ROW()-ROW(M$4)&lt;=1000,ROW()-ROW(M$4),"")</f>
        <v>54</v>
      </c>
      <c r="N58" s="43"/>
      <c r="O58" s="43"/>
      <c r="P58" s="41" t="str">
        <f>IF(M58&lt;=$B$4,IF(ISTEXT(G58),G58,""),IF(ISTEXT(J58),J58,""))</f>
        <v/>
      </c>
      <c r="Q58" s="16" t="s">
        <v>0</v>
      </c>
      <c r="R58" s="34" t="str">
        <f>IF(ROW()-ROW(R$4)&lt;=AH$3,ROW()-ROW(R$4),"")</f>
        <v/>
      </c>
      <c r="S58" s="34" t="str">
        <f>IF(ROW()-ROW(S$4)&lt;=AI$3,ROW()-ROW(S$4),"")</f>
        <v/>
      </c>
      <c r="T58" s="34" t="str">
        <f>IF(ROW()-ROW(T$4)&lt;=AJ$3,ROW()-ROW(T$4),"")</f>
        <v/>
      </c>
      <c r="U58" s="34" t="str">
        <f>IF(ROW()-ROW(U$4)&lt;=AK$3,ROW()-ROW(U$4),"")</f>
        <v/>
      </c>
      <c r="V58" s="34" t="str">
        <f>IF(ROW()-ROW(V$4)&lt;=AL$3,ROW()-ROW(V$4),"")</f>
        <v/>
      </c>
      <c r="W58" s="34" t="str">
        <f>IF(ROW()-ROW(W$4)&lt;=AM$3,ROW()-ROW(W$4),"")</f>
        <v/>
      </c>
      <c r="X58" s="34" t="str">
        <f>IF(ROW()-ROW(X$4)&lt;=AN$3,ROW()-ROW(X$4),"")</f>
        <v/>
      </c>
      <c r="Y58" s="34"/>
      <c r="Z58" s="35" t="str">
        <f>IF(ISNUMBER(R58),INDEX($BE$5:$BE$2999,MATCH(R58,AH$5:AH$2999,0),1),"")</f>
        <v/>
      </c>
      <c r="AA58" s="35" t="str">
        <f>IF(ISNUMBER(S58),INDEX($BE$5:$BE$2999,MATCH(S58,AI$5:AI$2999,0),1),"")</f>
        <v/>
      </c>
      <c r="AB58" s="35" t="str">
        <f>IF(ISNUMBER(T58),INDEX($BE$5:$BE$2999,MATCH(T58,AJ$5:AJ$2999,0),1),"")</f>
        <v/>
      </c>
      <c r="AC58" s="35" t="str">
        <f>IF(ISNUMBER(U58),INDEX($BE$5:$BE$2999,MATCH(U58,AK$5:AK$2999,0),1),"")</f>
        <v/>
      </c>
      <c r="AD58" s="35" t="str">
        <f>IF(ISNUMBER(V58),INDEX($BE$5:$BE$2999,MATCH(V58,AL$5:AL$2999,0),1),"")</f>
        <v/>
      </c>
      <c r="AE58" s="35" t="str">
        <f>IF(ISNUMBER(W58),INDEX($BE$5:$BE$2999,MATCH(W58,AM$5:AM$2999,0),1),"")</f>
        <v/>
      </c>
      <c r="AF58" s="35" t="str">
        <f>IF(ISNUMBER(X58),INDEX($BE$5:$BE$2999,MATCH(X58,AN$5:AN$2999,0),1),"")</f>
        <v/>
      </c>
      <c r="AG58" s="35"/>
      <c r="AH58" s="34" t="str">
        <f>IF($BE58="","",IF(ISNUMBER(MATCH($BE58,AP$5:AP$29999,0)),MAX(AH$4:AH57)+1,0))</f>
        <v/>
      </c>
      <c r="AI58" s="34" t="str">
        <f>IF($BE58="","",IF(ISNUMBER(MATCH($BE58,AQ$5:AQ$29999,0)),MAX(AI$4:AI57)+1,0))</f>
        <v/>
      </c>
      <c r="AJ58" s="34" t="str">
        <f>IF($BE58="","",IF(ISNUMBER(MATCH($BE58,AR$5:AR$29999,0)),MAX(AJ$4:AJ57)+1,0))</f>
        <v/>
      </c>
      <c r="AK58" s="34" t="str">
        <f>IF($BE58="","",IF(ISNUMBER(MATCH($BE58,AS$5:AS$29999,0)),MAX(AK$4:AK57)+1,0))</f>
        <v/>
      </c>
      <c r="AL58" s="34" t="str">
        <f>IF($BE58="","",IF(ISNUMBER(MATCH($BE58,AT$5:AT$29999,0)),MAX(AL$4:AL57)+1,0))</f>
        <v/>
      </c>
      <c r="AM58" s="34" t="str">
        <f>IF($BE58="","",IF(ISNUMBER(MATCH($BE58,AU$5:AU$29999,0)),MAX(AM$4:AM57)+1,0))</f>
        <v/>
      </c>
      <c r="AN58" s="34" t="str">
        <f>IF($BE58="","",IF(ISNUMBER(MATCH($BE58,AV$5:AV$29999,0)),MAX(AN$4:AN57)+1,0))</f>
        <v/>
      </c>
      <c r="AO58" s="16"/>
      <c r="AP58" s="33"/>
      <c r="AQ58" s="33"/>
      <c r="AR58" s="33"/>
      <c r="AS58" s="33"/>
      <c r="AT58" s="32"/>
      <c r="AU58" s="32"/>
      <c r="AV58" s="32" t="s">
        <v>0</v>
      </c>
      <c r="AW58" s="40"/>
      <c r="AX58" s="20" t="s">
        <v>0</v>
      </c>
      <c r="AY58" s="30"/>
      <c r="AZ58" s="30"/>
      <c r="BA58" s="39" t="s">
        <v>0</v>
      </c>
      <c r="BB58" s="44" t="str">
        <f>IF(ISTEXT(AW58),IF(ISNUMBER(MATCH(AW58,$AY$5:$AY$100,0)),0,MAX(BB$4:BB57)+1),"")</f>
        <v/>
      </c>
      <c r="BC58" s="36" t="str">
        <f>IF(ISTEXT(AY58),MATCH(AY58,$AW$5:$AW$127,0),"")</f>
        <v/>
      </c>
      <c r="BD58" s="36">
        <f>IF(ISNUMBER(BC58),AY58,ROW()-SUM($BC$4:$BD$4))</f>
        <v>17</v>
      </c>
      <c r="BE58" s="20"/>
      <c r="BF58" s="36"/>
      <c r="BG58" s="19" t="str">
        <f>IF(ISNUMBER(MATCH($BE58,Z$5:Z$501,0)),INDEX(Z$5:Z$501,MATCH($BE58,Z$5:Z$501,0),1),"")</f>
        <v/>
      </c>
      <c r="BH58" s="19" t="str">
        <f>IF(ISNUMBER(MATCH($BE58,AA$5:AA$501,0)),INDEX(AA$5:AA$501,MATCH($BE58,AA$5:AA$501,0),1),"")</f>
        <v/>
      </c>
      <c r="BI58" s="19" t="str">
        <f>IF(ISNUMBER(MATCH($BE58,AB$5:AB$501,0)),INDEX(AB$5:AB$501,MATCH($BE58,AB$5:AB$501,0),1),"")</f>
        <v/>
      </c>
      <c r="BJ58" s="19" t="str">
        <f>IF(ISNUMBER(MATCH($BE58,AC$5:AC$501,0)),INDEX(AC$5:AC$501,MATCH($BE58,AC$5:AC$501,0),1),"")</f>
        <v/>
      </c>
      <c r="BK58" s="19" t="str">
        <f>IF(ISNUMBER(MATCH($BE58,AD$5:AD$501,0)),INDEX(AD$5:AD$501,MATCH($BE58,AD$5:AD$501,0),1),"")</f>
        <v/>
      </c>
      <c r="BL58" s="19" t="str">
        <f>IF(ISNUMBER(MATCH($BE58,AE$5:AE$501,0)),INDEX(AE$5:AE$501,MATCH($BE58,AE$5:AE$501,0),1),"")</f>
        <v/>
      </c>
      <c r="BM58" s="19" t="str">
        <f>IF(ISNUMBER(MATCH($BE58,AF$5:AF$501,0)),INDEX(AF$5:AF$501,MATCH($BE58,AF$5:AF$501,0),1),"")</f>
        <v/>
      </c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</row>
    <row r="59" spans="1:78" ht="12" customHeight="1" x14ac:dyDescent="0.25">
      <c r="A59" s="26"/>
      <c r="B59" s="28" t="str">
        <f>IF(ISNUMBER(MATCH(O59,$N$5:$N$1000,0)),MATCH(O59,$N$5:$N$1000,0),"")</f>
        <v/>
      </c>
      <c r="C59" s="15" t="str">
        <f>IF(ISNUMBER(B59),MAX(C$4:C58)+1,"")</f>
        <v/>
      </c>
      <c r="D59" s="15" t="str">
        <f>IF(IF(ISNUMBER(B59),"",MAX(D$4:D58)+1)&lt;=D$3,IF(ISNUMBER(B59),"",MAX(D$4:D58)+1),"")</f>
        <v/>
      </c>
      <c r="E59" s="42" t="str">
        <f>IF(M59&lt;=D$3,MATCH(M59,D$5:D$1000,0),"")</f>
        <v/>
      </c>
      <c r="F59" s="28" t="str">
        <f>IF(ISNUMBER(E59),INDEX($N$5:$N$1000,E59,1),"")</f>
        <v/>
      </c>
      <c r="G59" s="27" t="str">
        <f>IF(ISNUMBER(C59),N59,IF(ISTEXT(N59),INDEX($F$5:$F$1000,MATCH(M59,$E$5:$E$1000,0),1),""))</f>
        <v/>
      </c>
      <c r="H59" s="15" t="str">
        <f>IF(O59="","",IF(ISNUMBER(MATCH(O59,$G$5:$G$1000,0)),"",IF(D59=1,C$3,0)+MAX(H$4:H58)+1))</f>
        <v/>
      </c>
      <c r="I59" s="15" t="str">
        <f>IF(O59="","",IF(ISNUMBER(MATCH(O59,$G$5:$G$1000,0)),"",IF(D59=1,B$4,0)+MAX(I$4:I58)+1))</f>
        <v/>
      </c>
      <c r="J59" s="27" t="str">
        <f>IF(ISNUMBER(MATCH(M59,$I$5:$I$1000,0)),INDEX($O$5:$O$1000,MATCH(M59,$I$5:$I$1000,0),1),"")</f>
        <v/>
      </c>
      <c r="K59" s="27"/>
      <c r="L59" s="26"/>
      <c r="M59" s="14">
        <f>IF(ROW()-ROW(M$4)&lt;=1000,ROW()-ROW(M$4),"")</f>
        <v>55</v>
      </c>
      <c r="N59" s="43"/>
      <c r="O59" s="43"/>
      <c r="P59" s="41" t="str">
        <f>IF(M59&lt;=$B$4,IF(ISTEXT(G59),G59,""),IF(ISTEXT(J59),J59,""))</f>
        <v/>
      </c>
      <c r="Q59" s="16" t="s">
        <v>0</v>
      </c>
      <c r="R59" s="34" t="str">
        <f>IF(ROW()-ROW(R$4)&lt;=AH$3,ROW()-ROW(R$4),"")</f>
        <v/>
      </c>
      <c r="S59" s="34" t="str">
        <f>IF(ROW()-ROW(S$4)&lt;=AI$3,ROW()-ROW(S$4),"")</f>
        <v/>
      </c>
      <c r="T59" s="34" t="str">
        <f>IF(ROW()-ROW(T$4)&lt;=AJ$3,ROW()-ROW(T$4),"")</f>
        <v/>
      </c>
      <c r="U59" s="34" t="str">
        <f>IF(ROW()-ROW(U$4)&lt;=AK$3,ROW()-ROW(U$4),"")</f>
        <v/>
      </c>
      <c r="V59" s="34" t="str">
        <f>IF(ROW()-ROW(V$4)&lt;=AL$3,ROW()-ROW(V$4),"")</f>
        <v/>
      </c>
      <c r="W59" s="34" t="str">
        <f>IF(ROW()-ROW(W$4)&lt;=AM$3,ROW()-ROW(W$4),"")</f>
        <v/>
      </c>
      <c r="X59" s="34" t="str">
        <f>IF(ROW()-ROW(X$4)&lt;=AN$3,ROW()-ROW(X$4),"")</f>
        <v/>
      </c>
      <c r="Y59" s="34"/>
      <c r="Z59" s="35" t="str">
        <f>IF(ISNUMBER(R59),INDEX($BE$5:$BE$2999,MATCH(R59,AH$5:AH$2999,0),1),"")</f>
        <v/>
      </c>
      <c r="AA59" s="35" t="str">
        <f>IF(ISNUMBER(S59),INDEX($BE$5:$BE$2999,MATCH(S59,AI$5:AI$2999,0),1),"")</f>
        <v/>
      </c>
      <c r="AB59" s="35" t="str">
        <f>IF(ISNUMBER(T59),INDEX($BE$5:$BE$2999,MATCH(T59,AJ$5:AJ$2999,0),1),"")</f>
        <v/>
      </c>
      <c r="AC59" s="35" t="str">
        <f>IF(ISNUMBER(U59),INDEX($BE$5:$BE$2999,MATCH(U59,AK$5:AK$2999,0),1),"")</f>
        <v/>
      </c>
      <c r="AD59" s="35" t="str">
        <f>IF(ISNUMBER(V59),INDEX($BE$5:$BE$2999,MATCH(V59,AL$5:AL$2999,0),1),"")</f>
        <v/>
      </c>
      <c r="AE59" s="35" t="str">
        <f>IF(ISNUMBER(W59),INDEX($BE$5:$BE$2999,MATCH(W59,AM$5:AM$2999,0),1),"")</f>
        <v/>
      </c>
      <c r="AF59" s="35" t="str">
        <f>IF(ISNUMBER(X59),INDEX($BE$5:$BE$2999,MATCH(X59,AN$5:AN$2999,0),1),"")</f>
        <v/>
      </c>
      <c r="AG59" s="35"/>
      <c r="AH59" s="34" t="str">
        <f>IF($BE59="","",IF(ISNUMBER(MATCH($BE59,AP$5:AP$29999,0)),MAX(AH$4:AH58)+1,0))</f>
        <v/>
      </c>
      <c r="AI59" s="34" t="str">
        <f>IF($BE59="","",IF(ISNUMBER(MATCH($BE59,AQ$5:AQ$29999,0)),MAX(AI$4:AI58)+1,0))</f>
        <v/>
      </c>
      <c r="AJ59" s="34" t="str">
        <f>IF($BE59="","",IF(ISNUMBER(MATCH($BE59,AR$5:AR$29999,0)),MAX(AJ$4:AJ58)+1,0))</f>
        <v/>
      </c>
      <c r="AK59" s="34" t="str">
        <f>IF($BE59="","",IF(ISNUMBER(MATCH($BE59,AS$5:AS$29999,0)),MAX(AK$4:AK58)+1,0))</f>
        <v/>
      </c>
      <c r="AL59" s="34" t="str">
        <f>IF($BE59="","",IF(ISNUMBER(MATCH($BE59,AT$5:AT$29999,0)),MAX(AL$4:AL58)+1,0))</f>
        <v/>
      </c>
      <c r="AM59" s="34" t="str">
        <f>IF($BE59="","",IF(ISNUMBER(MATCH($BE59,AU$5:AU$29999,0)),MAX(AM$4:AM58)+1,0))</f>
        <v/>
      </c>
      <c r="AN59" s="34" t="str">
        <f>IF($BE59="","",IF(ISNUMBER(MATCH($BE59,AV$5:AV$29999,0)),MAX(AN$4:AN58)+1,0))</f>
        <v/>
      </c>
      <c r="AO59" s="16"/>
      <c r="AP59" s="33"/>
      <c r="AQ59" s="33"/>
      <c r="AR59" s="33"/>
      <c r="AS59" s="33"/>
      <c r="AT59" s="32"/>
      <c r="AU59" s="32"/>
      <c r="AV59" s="32" t="s">
        <v>0</v>
      </c>
      <c r="AW59" s="40"/>
      <c r="AX59" s="20" t="s">
        <v>0</v>
      </c>
      <c r="AY59" s="30"/>
      <c r="AZ59" s="30"/>
      <c r="BA59" s="39" t="s">
        <v>0</v>
      </c>
      <c r="BB59" s="44" t="str">
        <f>IF(ISTEXT(AW59),IF(ISNUMBER(MATCH(AW59,$AY$5:$AY$100,0)),0,MAX(BB$4:BB58)+1),"")</f>
        <v/>
      </c>
      <c r="BC59" s="36" t="str">
        <f>IF(ISTEXT(AY59),MATCH(AY59,$AW$5:$AW$127,0),"")</f>
        <v/>
      </c>
      <c r="BD59" s="36">
        <f>IF(ISNUMBER(BC59),AY59,ROW()-SUM($BC$4:$BD$4))</f>
        <v>18</v>
      </c>
      <c r="BE59" s="20"/>
      <c r="BF59" s="36"/>
      <c r="BG59" s="19" t="str">
        <f>IF(ISNUMBER(MATCH($BE59,Z$5:Z$501,0)),INDEX(Z$5:Z$501,MATCH($BE59,Z$5:Z$501,0),1),"")</f>
        <v/>
      </c>
      <c r="BH59" s="19" t="str">
        <f>IF(ISNUMBER(MATCH($BE59,AA$5:AA$501,0)),INDEX(AA$5:AA$501,MATCH($BE59,AA$5:AA$501,0),1),"")</f>
        <v/>
      </c>
      <c r="BI59" s="19" t="str">
        <f>IF(ISNUMBER(MATCH($BE59,AB$5:AB$501,0)),INDEX(AB$5:AB$501,MATCH($BE59,AB$5:AB$501,0),1),"")</f>
        <v/>
      </c>
      <c r="BJ59" s="19" t="str">
        <f>IF(ISNUMBER(MATCH($BE59,AC$5:AC$501,0)),INDEX(AC$5:AC$501,MATCH($BE59,AC$5:AC$501,0),1),"")</f>
        <v/>
      </c>
      <c r="BK59" s="19" t="str">
        <f>IF(ISNUMBER(MATCH($BE59,AD$5:AD$501,0)),INDEX(AD$5:AD$501,MATCH($BE59,AD$5:AD$501,0),1),"")</f>
        <v/>
      </c>
      <c r="BL59" s="19" t="str">
        <f>IF(ISNUMBER(MATCH($BE59,AE$5:AE$501,0)),INDEX(AE$5:AE$501,MATCH($BE59,AE$5:AE$501,0),1),"")</f>
        <v/>
      </c>
      <c r="BM59" s="19" t="str">
        <f>IF(ISNUMBER(MATCH($BE59,AF$5:AF$501,0)),INDEX(AF$5:AF$501,MATCH($BE59,AF$5:AF$501,0),1),"")</f>
        <v/>
      </c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</row>
    <row r="60" spans="1:78" ht="12" customHeight="1" x14ac:dyDescent="0.25">
      <c r="A60" s="26"/>
      <c r="B60" s="28" t="str">
        <f>IF(ISNUMBER(MATCH(O60,$N$5:$N$1000,0)),MATCH(O60,$N$5:$N$1000,0),"")</f>
        <v/>
      </c>
      <c r="C60" s="15" t="str">
        <f>IF(ISNUMBER(B60),MAX(C$4:C59)+1,"")</f>
        <v/>
      </c>
      <c r="D60" s="15" t="str">
        <f>IF(IF(ISNUMBER(B60),"",MAX(D$4:D59)+1)&lt;=D$3,IF(ISNUMBER(B60),"",MAX(D$4:D59)+1),"")</f>
        <v/>
      </c>
      <c r="E60" s="42" t="str">
        <f>IF(M60&lt;=D$3,MATCH(M60,D$5:D$1000,0),"")</f>
        <v/>
      </c>
      <c r="F60" s="28" t="str">
        <f>IF(ISNUMBER(E60),INDEX($N$5:$N$1000,E60,1),"")</f>
        <v/>
      </c>
      <c r="G60" s="27" t="str">
        <f>IF(ISNUMBER(C60),N60,IF(ISTEXT(N60),INDEX($F$5:$F$1000,MATCH(M60,$E$5:$E$1000,0),1),""))</f>
        <v/>
      </c>
      <c r="H60" s="15" t="str">
        <f>IF(O60="","",IF(ISNUMBER(MATCH(O60,$G$5:$G$1000,0)),"",IF(D60=1,C$3,0)+MAX(H$4:H59)+1))</f>
        <v/>
      </c>
      <c r="I60" s="15" t="str">
        <f>IF(O60="","",IF(ISNUMBER(MATCH(O60,$G$5:$G$1000,0)),"",IF(D60=1,B$4,0)+MAX(I$4:I59)+1))</f>
        <v/>
      </c>
      <c r="J60" s="27" t="str">
        <f>IF(ISNUMBER(MATCH(M60,$I$5:$I$1000,0)),INDEX($O$5:$O$1000,MATCH(M60,$I$5:$I$1000,0),1),"")</f>
        <v/>
      </c>
      <c r="K60" s="27"/>
      <c r="L60" s="26"/>
      <c r="M60" s="14">
        <f>IF(ROW()-ROW(M$4)&lt;=1000,ROW()-ROW(M$4),"")</f>
        <v>56</v>
      </c>
      <c r="N60" s="43"/>
      <c r="O60" s="43"/>
      <c r="P60" s="41" t="str">
        <f>IF(M60&lt;=$B$4,IF(ISTEXT(G60),G60,""),IF(ISTEXT(J60),J60,""))</f>
        <v/>
      </c>
      <c r="Q60" s="16" t="s">
        <v>0</v>
      </c>
      <c r="R60" s="34" t="str">
        <f>IF(ROW()-ROW(R$4)&lt;=AH$3,ROW()-ROW(R$4),"")</f>
        <v/>
      </c>
      <c r="S60" s="34" t="str">
        <f>IF(ROW()-ROW(S$4)&lt;=AI$3,ROW()-ROW(S$4),"")</f>
        <v/>
      </c>
      <c r="T60" s="34" t="str">
        <f>IF(ROW()-ROW(T$4)&lt;=AJ$3,ROW()-ROW(T$4),"")</f>
        <v/>
      </c>
      <c r="U60" s="34" t="str">
        <f>IF(ROW()-ROW(U$4)&lt;=AK$3,ROW()-ROW(U$4),"")</f>
        <v/>
      </c>
      <c r="V60" s="34" t="str">
        <f>IF(ROW()-ROW(V$4)&lt;=AL$3,ROW()-ROW(V$4),"")</f>
        <v/>
      </c>
      <c r="W60" s="34" t="str">
        <f>IF(ROW()-ROW(W$4)&lt;=AM$3,ROW()-ROW(W$4),"")</f>
        <v/>
      </c>
      <c r="X60" s="34" t="str">
        <f>IF(ROW()-ROW(X$4)&lt;=AN$3,ROW()-ROW(X$4),"")</f>
        <v/>
      </c>
      <c r="Y60" s="34"/>
      <c r="Z60" s="35" t="str">
        <f>IF(ISNUMBER(R60),INDEX($BE$5:$BE$2999,MATCH(R60,AH$5:AH$2999,0),1),"")</f>
        <v/>
      </c>
      <c r="AA60" s="35" t="str">
        <f>IF(ISNUMBER(S60),INDEX($BE$5:$BE$2999,MATCH(S60,AI$5:AI$2999,0),1),"")</f>
        <v/>
      </c>
      <c r="AB60" s="35" t="str">
        <f>IF(ISNUMBER(T60),INDEX($BE$5:$BE$2999,MATCH(T60,AJ$5:AJ$2999,0),1),"")</f>
        <v/>
      </c>
      <c r="AC60" s="35" t="str">
        <f>IF(ISNUMBER(U60),INDEX($BE$5:$BE$2999,MATCH(U60,AK$5:AK$2999,0),1),"")</f>
        <v/>
      </c>
      <c r="AD60" s="35" t="str">
        <f>IF(ISNUMBER(V60),INDEX($BE$5:$BE$2999,MATCH(V60,AL$5:AL$2999,0),1),"")</f>
        <v/>
      </c>
      <c r="AE60" s="35" t="str">
        <f>IF(ISNUMBER(W60),INDEX($BE$5:$BE$2999,MATCH(W60,AM$5:AM$2999,0),1),"")</f>
        <v/>
      </c>
      <c r="AF60" s="35" t="str">
        <f>IF(ISNUMBER(X60),INDEX($BE$5:$BE$2999,MATCH(X60,AN$5:AN$2999,0),1),"")</f>
        <v/>
      </c>
      <c r="AG60" s="35"/>
      <c r="AH60" s="34" t="str">
        <f>IF($BE60="","",IF(ISNUMBER(MATCH($BE60,AP$5:AP$29999,0)),MAX(AH$4:AH59)+1,0))</f>
        <v/>
      </c>
      <c r="AI60" s="34" t="str">
        <f>IF($BE60="","",IF(ISNUMBER(MATCH($BE60,AQ$5:AQ$29999,0)),MAX(AI$4:AI59)+1,0))</f>
        <v/>
      </c>
      <c r="AJ60" s="34" t="str">
        <f>IF($BE60="","",IF(ISNUMBER(MATCH($BE60,AR$5:AR$29999,0)),MAX(AJ$4:AJ59)+1,0))</f>
        <v/>
      </c>
      <c r="AK60" s="34" t="str">
        <f>IF($BE60="","",IF(ISNUMBER(MATCH($BE60,AS$5:AS$29999,0)),MAX(AK$4:AK59)+1,0))</f>
        <v/>
      </c>
      <c r="AL60" s="34" t="str">
        <f>IF($BE60="","",IF(ISNUMBER(MATCH($BE60,AT$5:AT$29999,0)),MAX(AL$4:AL59)+1,0))</f>
        <v/>
      </c>
      <c r="AM60" s="34" t="str">
        <f>IF($BE60="","",IF(ISNUMBER(MATCH($BE60,AU$5:AU$29999,0)),MAX(AM$4:AM59)+1,0))</f>
        <v/>
      </c>
      <c r="AN60" s="34" t="str">
        <f>IF($BE60="","",IF(ISNUMBER(MATCH($BE60,AV$5:AV$29999,0)),MAX(AN$4:AN59)+1,0))</f>
        <v/>
      </c>
      <c r="AO60" s="16"/>
      <c r="AP60" s="33"/>
      <c r="AQ60" s="33"/>
      <c r="AR60" s="33"/>
      <c r="AS60" s="33"/>
      <c r="AT60" s="32"/>
      <c r="AU60" s="32"/>
      <c r="AV60" s="32" t="s">
        <v>0</v>
      </c>
      <c r="AW60" s="40"/>
      <c r="AX60" s="20" t="s">
        <v>0</v>
      </c>
      <c r="AY60" s="30"/>
      <c r="AZ60" s="30"/>
      <c r="BA60" s="39" t="s">
        <v>0</v>
      </c>
      <c r="BB60" s="44" t="str">
        <f>IF(ISTEXT(AW60),IF(ISNUMBER(MATCH(AW60,$AY$5:$AY$100,0)),0,MAX(BB$4:BB59)+1),"")</f>
        <v/>
      </c>
      <c r="BC60" s="36" t="str">
        <f>IF(ISTEXT(AY60),MATCH(AY60,$AW$5:$AW$127,0),"")</f>
        <v/>
      </c>
      <c r="BD60" s="36">
        <f>IF(ISNUMBER(BC60),AY60,ROW()-SUM($BC$4:$BD$4))</f>
        <v>19</v>
      </c>
      <c r="BE60" s="20"/>
      <c r="BF60" s="36"/>
      <c r="BG60" s="19" t="str">
        <f>IF(ISNUMBER(MATCH($BE60,Z$5:Z$501,0)),INDEX(Z$5:Z$501,MATCH($BE60,Z$5:Z$501,0),1),"")</f>
        <v/>
      </c>
      <c r="BH60" s="19" t="str">
        <f>IF(ISNUMBER(MATCH($BE60,AA$5:AA$501,0)),INDEX(AA$5:AA$501,MATCH($BE60,AA$5:AA$501,0),1),"")</f>
        <v/>
      </c>
      <c r="BI60" s="19" t="str">
        <f>IF(ISNUMBER(MATCH($BE60,AB$5:AB$501,0)),INDEX(AB$5:AB$501,MATCH($BE60,AB$5:AB$501,0),1),"")</f>
        <v/>
      </c>
      <c r="BJ60" s="19" t="str">
        <f>IF(ISNUMBER(MATCH($BE60,AC$5:AC$501,0)),INDEX(AC$5:AC$501,MATCH($BE60,AC$5:AC$501,0),1),"")</f>
        <v/>
      </c>
      <c r="BK60" s="19" t="str">
        <f>IF(ISNUMBER(MATCH($BE60,AD$5:AD$501,0)),INDEX(AD$5:AD$501,MATCH($BE60,AD$5:AD$501,0),1),"")</f>
        <v/>
      </c>
      <c r="BL60" s="19" t="str">
        <f>IF(ISNUMBER(MATCH($BE60,AE$5:AE$501,0)),INDEX(AE$5:AE$501,MATCH($BE60,AE$5:AE$501,0),1),"")</f>
        <v/>
      </c>
      <c r="BM60" s="19" t="str">
        <f>IF(ISNUMBER(MATCH($BE60,AF$5:AF$501,0)),INDEX(AF$5:AF$501,MATCH($BE60,AF$5:AF$501,0),1),"")</f>
        <v/>
      </c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</row>
    <row r="61" spans="1:78" ht="12" customHeight="1" x14ac:dyDescent="0.25">
      <c r="A61" s="26"/>
      <c r="B61" s="28" t="str">
        <f>IF(ISNUMBER(MATCH(O61,$N$5:$N$1000,0)),MATCH(O61,$N$5:$N$1000,0),"")</f>
        <v/>
      </c>
      <c r="C61" s="15" t="str">
        <f>IF(ISNUMBER(B61),MAX(C$4:C60)+1,"")</f>
        <v/>
      </c>
      <c r="D61" s="15" t="str">
        <f>IF(IF(ISNUMBER(B61),"",MAX(D$4:D60)+1)&lt;=D$3,IF(ISNUMBER(B61),"",MAX(D$4:D60)+1),"")</f>
        <v/>
      </c>
      <c r="E61" s="42" t="str">
        <f>IF(M61&lt;=D$3,MATCH(M61,D$5:D$1000,0),"")</f>
        <v/>
      </c>
      <c r="F61" s="28" t="str">
        <f>IF(ISNUMBER(E61),INDEX($N$5:$N$1000,E61,1),"")</f>
        <v/>
      </c>
      <c r="G61" s="27" t="str">
        <f>IF(ISNUMBER(C61),N61,IF(ISTEXT(N61),INDEX($F$5:$F$1000,MATCH(M61,$E$5:$E$1000,0),1),""))</f>
        <v/>
      </c>
      <c r="H61" s="15" t="str">
        <f>IF(O61="","",IF(ISNUMBER(MATCH(O61,$G$5:$G$1000,0)),"",IF(D61=1,C$3,0)+MAX(H$4:H60)+1))</f>
        <v/>
      </c>
      <c r="I61" s="15" t="str">
        <f>IF(O61="","",IF(ISNUMBER(MATCH(O61,$G$5:$G$1000,0)),"",IF(D61=1,B$4,0)+MAX(I$4:I60)+1))</f>
        <v/>
      </c>
      <c r="J61" s="27" t="str">
        <f>IF(ISNUMBER(MATCH(M61,$I$5:$I$1000,0)),INDEX($O$5:$O$1000,MATCH(M61,$I$5:$I$1000,0),1),"")</f>
        <v/>
      </c>
      <c r="K61" s="27"/>
      <c r="L61" s="26"/>
      <c r="M61" s="14">
        <f>IF(ROW()-ROW(M$4)&lt;=1000,ROW()-ROW(M$4),"")</f>
        <v>57</v>
      </c>
      <c r="N61" s="43"/>
      <c r="O61" s="43"/>
      <c r="P61" s="41" t="str">
        <f>IF(M61&lt;=$B$4,IF(ISTEXT(G61),G61,""),IF(ISTEXT(J61),J61,""))</f>
        <v/>
      </c>
      <c r="Q61" s="16" t="s">
        <v>0</v>
      </c>
      <c r="R61" s="34" t="str">
        <f>IF(ROW()-ROW(R$4)&lt;=AH$3,ROW()-ROW(R$4),"")</f>
        <v/>
      </c>
      <c r="S61" s="34" t="str">
        <f>IF(ROW()-ROW(S$4)&lt;=AI$3,ROW()-ROW(S$4),"")</f>
        <v/>
      </c>
      <c r="T61" s="34" t="str">
        <f>IF(ROW()-ROW(T$4)&lt;=AJ$3,ROW()-ROW(T$4),"")</f>
        <v/>
      </c>
      <c r="U61" s="34" t="str">
        <f>IF(ROW()-ROW(U$4)&lt;=AK$3,ROW()-ROW(U$4),"")</f>
        <v/>
      </c>
      <c r="V61" s="34" t="str">
        <f>IF(ROW()-ROW(V$4)&lt;=AL$3,ROW()-ROW(V$4),"")</f>
        <v/>
      </c>
      <c r="W61" s="34" t="str">
        <f>IF(ROW()-ROW(W$4)&lt;=AM$3,ROW()-ROW(W$4),"")</f>
        <v/>
      </c>
      <c r="X61" s="34" t="str">
        <f>IF(ROW()-ROW(X$4)&lt;=AN$3,ROW()-ROW(X$4),"")</f>
        <v/>
      </c>
      <c r="Y61" s="34"/>
      <c r="Z61" s="35" t="str">
        <f>IF(ISNUMBER(R61),INDEX($BE$5:$BE$2999,MATCH(R61,AH$5:AH$2999,0),1),"")</f>
        <v/>
      </c>
      <c r="AA61" s="35" t="str">
        <f>IF(ISNUMBER(S61),INDEX($BE$5:$BE$2999,MATCH(S61,AI$5:AI$2999,0),1),"")</f>
        <v/>
      </c>
      <c r="AB61" s="35" t="str">
        <f>IF(ISNUMBER(T61),INDEX($BE$5:$BE$2999,MATCH(T61,AJ$5:AJ$2999,0),1),"")</f>
        <v/>
      </c>
      <c r="AC61" s="35" t="str">
        <f>IF(ISNUMBER(U61),INDEX($BE$5:$BE$2999,MATCH(U61,AK$5:AK$2999,0),1),"")</f>
        <v/>
      </c>
      <c r="AD61" s="35" t="str">
        <f>IF(ISNUMBER(V61),INDEX($BE$5:$BE$2999,MATCH(V61,AL$5:AL$2999,0),1),"")</f>
        <v/>
      </c>
      <c r="AE61" s="35" t="str">
        <f>IF(ISNUMBER(W61),INDEX($BE$5:$BE$2999,MATCH(W61,AM$5:AM$2999,0),1),"")</f>
        <v/>
      </c>
      <c r="AF61" s="35" t="str">
        <f>IF(ISNUMBER(X61),INDEX($BE$5:$BE$2999,MATCH(X61,AN$5:AN$2999,0),1),"")</f>
        <v/>
      </c>
      <c r="AG61" s="35"/>
      <c r="AH61" s="34" t="str">
        <f>IF($BE61="","",IF(ISNUMBER(MATCH($BE61,AP$5:AP$29999,0)),MAX(AH$4:AH60)+1,0))</f>
        <v/>
      </c>
      <c r="AI61" s="34" t="str">
        <f>IF($BE61="","",IF(ISNUMBER(MATCH($BE61,AQ$5:AQ$29999,0)),MAX(AI$4:AI60)+1,0))</f>
        <v/>
      </c>
      <c r="AJ61" s="34" t="str">
        <f>IF($BE61="","",IF(ISNUMBER(MATCH($BE61,AR$5:AR$29999,0)),MAX(AJ$4:AJ60)+1,0))</f>
        <v/>
      </c>
      <c r="AK61" s="34" t="str">
        <f>IF($BE61="","",IF(ISNUMBER(MATCH($BE61,AS$5:AS$29999,0)),MAX(AK$4:AK60)+1,0))</f>
        <v/>
      </c>
      <c r="AL61" s="34" t="str">
        <f>IF($BE61="","",IF(ISNUMBER(MATCH($BE61,AT$5:AT$29999,0)),MAX(AL$4:AL60)+1,0))</f>
        <v/>
      </c>
      <c r="AM61" s="34" t="str">
        <f>IF($BE61="","",IF(ISNUMBER(MATCH($BE61,AU$5:AU$29999,0)),MAX(AM$4:AM60)+1,0))</f>
        <v/>
      </c>
      <c r="AN61" s="34" t="str">
        <f>IF($BE61="","",IF(ISNUMBER(MATCH($BE61,AV$5:AV$29999,0)),MAX(AN$4:AN60)+1,0))</f>
        <v/>
      </c>
      <c r="AO61" s="16"/>
      <c r="AP61" s="33"/>
      <c r="AQ61" s="33"/>
      <c r="AR61" s="33"/>
      <c r="AS61" s="33"/>
      <c r="AT61" s="32"/>
      <c r="AU61" s="32"/>
      <c r="AV61" s="32" t="s">
        <v>0</v>
      </c>
      <c r="AW61" s="40"/>
      <c r="AX61" s="20" t="s">
        <v>0</v>
      </c>
      <c r="AY61" s="30"/>
      <c r="AZ61" s="30"/>
      <c r="BA61" s="39" t="s">
        <v>0</v>
      </c>
      <c r="BB61" s="44" t="str">
        <f>IF(ISTEXT(AW61),IF(ISNUMBER(MATCH(AW61,$AY$5:$AY$100,0)),0,MAX(BB$4:BB60)+1),"")</f>
        <v/>
      </c>
      <c r="BC61" s="36" t="str">
        <f>IF(ISTEXT(AY61),MATCH(AY61,$AW$5:$AW$127,0),"")</f>
        <v/>
      </c>
      <c r="BD61" s="36">
        <f>IF(ISNUMBER(BC61),AY61,ROW()-SUM($BC$4:$BD$4))</f>
        <v>20</v>
      </c>
      <c r="BE61" s="20"/>
      <c r="BF61" s="36"/>
      <c r="BG61" s="19" t="str">
        <f>IF(ISNUMBER(MATCH($BE61,Z$5:Z$501,0)),INDEX(Z$5:Z$501,MATCH($BE61,Z$5:Z$501,0),1),"")</f>
        <v/>
      </c>
      <c r="BH61" s="19" t="str">
        <f>IF(ISNUMBER(MATCH($BE61,AA$5:AA$501,0)),INDEX(AA$5:AA$501,MATCH($BE61,AA$5:AA$501,0),1),"")</f>
        <v/>
      </c>
      <c r="BI61" s="19" t="str">
        <f>IF(ISNUMBER(MATCH($BE61,AB$5:AB$501,0)),INDEX(AB$5:AB$501,MATCH($BE61,AB$5:AB$501,0),1),"")</f>
        <v/>
      </c>
      <c r="BJ61" s="19" t="str">
        <f>IF(ISNUMBER(MATCH($BE61,AC$5:AC$501,0)),INDEX(AC$5:AC$501,MATCH($BE61,AC$5:AC$501,0),1),"")</f>
        <v/>
      </c>
      <c r="BK61" s="19" t="str">
        <f>IF(ISNUMBER(MATCH($BE61,AD$5:AD$501,0)),INDEX(AD$5:AD$501,MATCH($BE61,AD$5:AD$501,0),1),"")</f>
        <v/>
      </c>
      <c r="BL61" s="19" t="str">
        <f>IF(ISNUMBER(MATCH($BE61,AE$5:AE$501,0)),INDEX(AE$5:AE$501,MATCH($BE61,AE$5:AE$501,0),1),"")</f>
        <v/>
      </c>
      <c r="BM61" s="19" t="str">
        <f>IF(ISNUMBER(MATCH($BE61,AF$5:AF$501,0)),INDEX(AF$5:AF$501,MATCH($BE61,AF$5:AF$501,0),1),"")</f>
        <v/>
      </c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</row>
    <row r="62" spans="1:78" ht="12" customHeight="1" x14ac:dyDescent="0.25">
      <c r="A62" s="26"/>
      <c r="B62" s="28" t="str">
        <f>IF(ISNUMBER(MATCH(O62,$N$5:$N$1000,0)),MATCH(O62,$N$5:$N$1000,0),"")</f>
        <v/>
      </c>
      <c r="C62" s="15" t="str">
        <f>IF(ISNUMBER(B62),MAX(C$4:C61)+1,"")</f>
        <v/>
      </c>
      <c r="D62" s="15" t="str">
        <f>IF(IF(ISNUMBER(B62),"",MAX(D$4:D61)+1)&lt;=D$3,IF(ISNUMBER(B62),"",MAX(D$4:D61)+1),"")</f>
        <v/>
      </c>
      <c r="E62" s="42" t="str">
        <f>IF(M62&lt;=D$3,MATCH(M62,D$5:D$1000,0),"")</f>
        <v/>
      </c>
      <c r="F62" s="28" t="str">
        <f>IF(ISNUMBER(E62),INDEX($N$5:$N$1000,E62,1),"")</f>
        <v/>
      </c>
      <c r="G62" s="27" t="str">
        <f>IF(ISNUMBER(C62),N62,IF(ISTEXT(N62),INDEX($F$5:$F$1000,MATCH(M62,$E$5:$E$1000,0),1),""))</f>
        <v/>
      </c>
      <c r="H62" s="15" t="str">
        <f>IF(O62="","",IF(ISNUMBER(MATCH(O62,$G$5:$G$1000,0)),"",IF(D62=1,C$3,0)+MAX(H$4:H61)+1))</f>
        <v/>
      </c>
      <c r="I62" s="15" t="str">
        <f>IF(O62="","",IF(ISNUMBER(MATCH(O62,$G$5:$G$1000,0)),"",IF(D62=1,B$4,0)+MAX(I$4:I61)+1))</f>
        <v/>
      </c>
      <c r="J62" s="27" t="str">
        <f>IF(ISNUMBER(MATCH(M62,$I$5:$I$1000,0)),INDEX($O$5:$O$1000,MATCH(M62,$I$5:$I$1000,0),1),"")</f>
        <v/>
      </c>
      <c r="K62" s="27"/>
      <c r="L62" s="26"/>
      <c r="M62" s="14">
        <f>IF(ROW()-ROW(M$4)&lt;=1000,ROW()-ROW(M$4),"")</f>
        <v>58</v>
      </c>
      <c r="N62" s="43"/>
      <c r="O62" s="43"/>
      <c r="P62" s="41" t="str">
        <f>IF(M62&lt;=$B$4,IF(ISTEXT(G62),G62,""),IF(ISTEXT(J62),J62,""))</f>
        <v/>
      </c>
      <c r="Q62" s="16" t="s">
        <v>0</v>
      </c>
      <c r="R62" s="34" t="str">
        <f>IF(ROW()-ROW(R$4)&lt;=AH$3,ROW()-ROW(R$4),"")</f>
        <v/>
      </c>
      <c r="S62" s="34" t="str">
        <f>IF(ROW()-ROW(S$4)&lt;=AI$3,ROW()-ROW(S$4),"")</f>
        <v/>
      </c>
      <c r="T62" s="34" t="str">
        <f>IF(ROW()-ROW(T$4)&lt;=AJ$3,ROW()-ROW(T$4),"")</f>
        <v/>
      </c>
      <c r="U62" s="34" t="str">
        <f>IF(ROW()-ROW(U$4)&lt;=AK$3,ROW()-ROW(U$4),"")</f>
        <v/>
      </c>
      <c r="V62" s="34" t="str">
        <f>IF(ROW()-ROW(V$4)&lt;=AL$3,ROW()-ROW(V$4),"")</f>
        <v/>
      </c>
      <c r="W62" s="34" t="str">
        <f>IF(ROW()-ROW(W$4)&lt;=AM$3,ROW()-ROW(W$4),"")</f>
        <v/>
      </c>
      <c r="X62" s="34" t="str">
        <f>IF(ROW()-ROW(X$4)&lt;=AN$3,ROW()-ROW(X$4),"")</f>
        <v/>
      </c>
      <c r="Y62" s="34"/>
      <c r="Z62" s="35" t="str">
        <f>IF(ISNUMBER(R62),INDEX($BE$5:$BE$2999,MATCH(R62,AH$5:AH$2999,0),1),"")</f>
        <v/>
      </c>
      <c r="AA62" s="35" t="str">
        <f>IF(ISNUMBER(S62),INDEX($BE$5:$BE$2999,MATCH(S62,AI$5:AI$2999,0),1),"")</f>
        <v/>
      </c>
      <c r="AB62" s="35" t="str">
        <f>IF(ISNUMBER(T62),INDEX($BE$5:$BE$2999,MATCH(T62,AJ$5:AJ$2999,0),1),"")</f>
        <v/>
      </c>
      <c r="AC62" s="35" t="str">
        <f>IF(ISNUMBER(U62),INDEX($BE$5:$BE$2999,MATCH(U62,AK$5:AK$2999,0),1),"")</f>
        <v/>
      </c>
      <c r="AD62" s="35" t="str">
        <f>IF(ISNUMBER(V62),INDEX($BE$5:$BE$2999,MATCH(V62,AL$5:AL$2999,0),1),"")</f>
        <v/>
      </c>
      <c r="AE62" s="35" t="str">
        <f>IF(ISNUMBER(W62),INDEX($BE$5:$BE$2999,MATCH(W62,AM$5:AM$2999,0),1),"")</f>
        <v/>
      </c>
      <c r="AF62" s="35" t="str">
        <f>IF(ISNUMBER(X62),INDEX($BE$5:$BE$2999,MATCH(X62,AN$5:AN$2999,0),1),"")</f>
        <v/>
      </c>
      <c r="AG62" s="35"/>
      <c r="AH62" s="34" t="str">
        <f>IF($BE62="","",IF(ISNUMBER(MATCH($BE62,AP$5:AP$29999,0)),MAX(AH$4:AH61)+1,0))</f>
        <v/>
      </c>
      <c r="AI62" s="34" t="str">
        <f>IF($BE62="","",IF(ISNUMBER(MATCH($BE62,AQ$5:AQ$29999,0)),MAX(AI$4:AI61)+1,0))</f>
        <v/>
      </c>
      <c r="AJ62" s="34" t="str">
        <f>IF($BE62="","",IF(ISNUMBER(MATCH($BE62,AR$5:AR$29999,0)),MAX(AJ$4:AJ61)+1,0))</f>
        <v/>
      </c>
      <c r="AK62" s="34" t="str">
        <f>IF($BE62="","",IF(ISNUMBER(MATCH($BE62,AS$5:AS$29999,0)),MAX(AK$4:AK61)+1,0))</f>
        <v/>
      </c>
      <c r="AL62" s="34" t="str">
        <f>IF($BE62="","",IF(ISNUMBER(MATCH($BE62,AT$5:AT$29999,0)),MAX(AL$4:AL61)+1,0))</f>
        <v/>
      </c>
      <c r="AM62" s="34" t="str">
        <f>IF($BE62="","",IF(ISNUMBER(MATCH($BE62,AU$5:AU$29999,0)),MAX(AM$4:AM61)+1,0))</f>
        <v/>
      </c>
      <c r="AN62" s="34" t="str">
        <f>IF($BE62="","",IF(ISNUMBER(MATCH($BE62,AV$5:AV$29999,0)),MAX(AN$4:AN61)+1,0))</f>
        <v/>
      </c>
      <c r="AO62" s="16"/>
      <c r="AP62" s="33"/>
      <c r="AQ62" s="33"/>
      <c r="AR62" s="33"/>
      <c r="AS62" s="33"/>
      <c r="AT62" s="32"/>
      <c r="AU62" s="32"/>
      <c r="AV62" s="32" t="s">
        <v>0</v>
      </c>
      <c r="AW62" s="40"/>
      <c r="AX62" s="20" t="s">
        <v>0</v>
      </c>
      <c r="AY62" s="30"/>
      <c r="AZ62" s="30"/>
      <c r="BA62" s="39" t="s">
        <v>0</v>
      </c>
      <c r="BB62" s="44" t="str">
        <f>IF(ISTEXT(AW62),IF(ISNUMBER(MATCH(AW62,$AY$5:$AY$100,0)),0,MAX(BB$4:BB61)+1),"")</f>
        <v/>
      </c>
      <c r="BC62" s="36" t="str">
        <f>IF(ISTEXT(AY62),MATCH(AY62,$AW$5:$AW$127,0),"")</f>
        <v/>
      </c>
      <c r="BD62" s="36">
        <f>IF(ISNUMBER(BC62),AY62,ROW()-SUM($BC$4:$BD$4))</f>
        <v>21</v>
      </c>
      <c r="BE62" s="20"/>
      <c r="BF62" s="36"/>
      <c r="BG62" s="19" t="str">
        <f>IF(ISNUMBER(MATCH($BE62,Z$5:Z$501,0)),INDEX(Z$5:Z$501,MATCH($BE62,Z$5:Z$501,0),1),"")</f>
        <v/>
      </c>
      <c r="BH62" s="19" t="str">
        <f>IF(ISNUMBER(MATCH($BE62,AA$5:AA$501,0)),INDEX(AA$5:AA$501,MATCH($BE62,AA$5:AA$501,0),1),"")</f>
        <v/>
      </c>
      <c r="BI62" s="19" t="str">
        <f>IF(ISNUMBER(MATCH($BE62,AB$5:AB$501,0)),INDEX(AB$5:AB$501,MATCH($BE62,AB$5:AB$501,0),1),"")</f>
        <v/>
      </c>
      <c r="BJ62" s="19" t="str">
        <f>IF(ISNUMBER(MATCH($BE62,AC$5:AC$501,0)),INDEX(AC$5:AC$501,MATCH($BE62,AC$5:AC$501,0),1),"")</f>
        <v/>
      </c>
      <c r="BK62" s="19" t="str">
        <f>IF(ISNUMBER(MATCH($BE62,AD$5:AD$501,0)),INDEX(AD$5:AD$501,MATCH($BE62,AD$5:AD$501,0),1),"")</f>
        <v/>
      </c>
      <c r="BL62" s="19" t="str">
        <f>IF(ISNUMBER(MATCH($BE62,AE$5:AE$501,0)),INDEX(AE$5:AE$501,MATCH($BE62,AE$5:AE$501,0),1),"")</f>
        <v/>
      </c>
      <c r="BM62" s="19" t="str">
        <f>IF(ISNUMBER(MATCH($BE62,AF$5:AF$501,0)),INDEX(AF$5:AF$501,MATCH($BE62,AF$5:AF$501,0),1),"")</f>
        <v/>
      </c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</row>
    <row r="63" spans="1:78" ht="12" customHeight="1" x14ac:dyDescent="0.25">
      <c r="A63" s="26"/>
      <c r="B63" s="28" t="str">
        <f>IF(ISNUMBER(MATCH(O63,$N$5:$N$1000,0)),MATCH(O63,$N$5:$N$1000,0),"")</f>
        <v/>
      </c>
      <c r="C63" s="15" t="str">
        <f>IF(ISNUMBER(B63),MAX(C$4:C62)+1,"")</f>
        <v/>
      </c>
      <c r="D63" s="15" t="str">
        <f>IF(IF(ISNUMBER(B63),"",MAX(D$4:D62)+1)&lt;=D$3,IF(ISNUMBER(B63),"",MAX(D$4:D62)+1),"")</f>
        <v/>
      </c>
      <c r="E63" s="42" t="str">
        <f>IF(M63&lt;=D$3,MATCH(M63,D$5:D$1000,0),"")</f>
        <v/>
      </c>
      <c r="F63" s="28" t="str">
        <f>IF(ISNUMBER(E63),INDEX($N$5:$N$1000,E63,1),"")</f>
        <v/>
      </c>
      <c r="G63" s="27" t="str">
        <f>IF(ISNUMBER(C63),N63,IF(ISTEXT(N63),INDEX($F$5:$F$1000,MATCH(M63,$E$5:$E$1000,0),1),""))</f>
        <v/>
      </c>
      <c r="H63" s="15" t="str">
        <f>IF(O63="","",IF(ISNUMBER(MATCH(O63,$G$5:$G$1000,0)),"",IF(D63=1,C$3,0)+MAX(H$4:H62)+1))</f>
        <v/>
      </c>
      <c r="I63" s="15" t="str">
        <f>IF(O63="","",IF(ISNUMBER(MATCH(O63,$G$5:$G$1000,0)),"",IF(D63=1,B$4,0)+MAX(I$4:I62)+1))</f>
        <v/>
      </c>
      <c r="J63" s="27" t="str">
        <f>IF(ISNUMBER(MATCH(M63,$I$5:$I$1000,0)),INDEX($O$5:$O$1000,MATCH(M63,$I$5:$I$1000,0),1),"")</f>
        <v/>
      </c>
      <c r="K63" s="27"/>
      <c r="L63" s="26"/>
      <c r="M63" s="14">
        <f>IF(ROW()-ROW(M$4)&lt;=1000,ROW()-ROW(M$4),"")</f>
        <v>59</v>
      </c>
      <c r="N63" s="43"/>
      <c r="O63" s="43"/>
      <c r="P63" s="41" t="str">
        <f>IF(M63&lt;=$B$4,IF(ISTEXT(G63),G63,""),IF(ISTEXT(J63),J63,""))</f>
        <v/>
      </c>
      <c r="Q63" s="16" t="s">
        <v>0</v>
      </c>
      <c r="R63" s="34" t="str">
        <f>IF(ROW()-ROW(R$4)&lt;=AH$3,ROW()-ROW(R$4),"")</f>
        <v/>
      </c>
      <c r="S63" s="34" t="str">
        <f>IF(ROW()-ROW(S$4)&lt;=AI$3,ROW()-ROW(S$4),"")</f>
        <v/>
      </c>
      <c r="T63" s="34" t="str">
        <f>IF(ROW()-ROW(T$4)&lt;=AJ$3,ROW()-ROW(T$4),"")</f>
        <v/>
      </c>
      <c r="U63" s="34" t="str">
        <f>IF(ROW()-ROW(U$4)&lt;=AK$3,ROW()-ROW(U$4),"")</f>
        <v/>
      </c>
      <c r="V63" s="34" t="str">
        <f>IF(ROW()-ROW(V$4)&lt;=AL$3,ROW()-ROW(V$4),"")</f>
        <v/>
      </c>
      <c r="W63" s="34" t="str">
        <f>IF(ROW()-ROW(W$4)&lt;=AM$3,ROW()-ROW(W$4),"")</f>
        <v/>
      </c>
      <c r="X63" s="34" t="str">
        <f>IF(ROW()-ROW(X$4)&lt;=AN$3,ROW()-ROW(X$4),"")</f>
        <v/>
      </c>
      <c r="Y63" s="34"/>
      <c r="Z63" s="35" t="str">
        <f>IF(ISNUMBER(R63),INDEX($BE$5:$BE$2999,MATCH(R63,AH$5:AH$2999,0),1),"")</f>
        <v/>
      </c>
      <c r="AA63" s="35" t="str">
        <f>IF(ISNUMBER(S63),INDEX($BE$5:$BE$2999,MATCH(S63,AI$5:AI$2999,0),1),"")</f>
        <v/>
      </c>
      <c r="AB63" s="35" t="str">
        <f>IF(ISNUMBER(T63),INDEX($BE$5:$BE$2999,MATCH(T63,AJ$5:AJ$2999,0),1),"")</f>
        <v/>
      </c>
      <c r="AC63" s="35" t="str">
        <f>IF(ISNUMBER(U63),INDEX($BE$5:$BE$2999,MATCH(U63,AK$5:AK$2999,0),1),"")</f>
        <v/>
      </c>
      <c r="AD63" s="35" t="str">
        <f>IF(ISNUMBER(V63),INDEX($BE$5:$BE$2999,MATCH(V63,AL$5:AL$2999,0),1),"")</f>
        <v/>
      </c>
      <c r="AE63" s="35" t="str">
        <f>IF(ISNUMBER(W63),INDEX($BE$5:$BE$2999,MATCH(W63,AM$5:AM$2999,0),1),"")</f>
        <v/>
      </c>
      <c r="AF63" s="35" t="str">
        <f>IF(ISNUMBER(X63),INDEX($BE$5:$BE$2999,MATCH(X63,AN$5:AN$2999,0),1),"")</f>
        <v/>
      </c>
      <c r="AG63" s="35"/>
      <c r="AH63" s="34" t="str">
        <f>IF($BE63="","",IF(ISNUMBER(MATCH($BE63,AP$5:AP$29999,0)),MAX(AH$4:AH62)+1,0))</f>
        <v/>
      </c>
      <c r="AI63" s="34" t="str">
        <f>IF($BE63="","",IF(ISNUMBER(MATCH($BE63,AQ$5:AQ$29999,0)),MAX(AI$4:AI62)+1,0))</f>
        <v/>
      </c>
      <c r="AJ63" s="34" t="str">
        <f>IF($BE63="","",IF(ISNUMBER(MATCH($BE63,AR$5:AR$29999,0)),MAX(AJ$4:AJ62)+1,0))</f>
        <v/>
      </c>
      <c r="AK63" s="34" t="str">
        <f>IF($BE63="","",IF(ISNUMBER(MATCH($BE63,AS$5:AS$29999,0)),MAX(AK$4:AK62)+1,0))</f>
        <v/>
      </c>
      <c r="AL63" s="34" t="str">
        <f>IF($BE63="","",IF(ISNUMBER(MATCH($BE63,AT$5:AT$29999,0)),MAX(AL$4:AL62)+1,0))</f>
        <v/>
      </c>
      <c r="AM63" s="34" t="str">
        <f>IF($BE63="","",IF(ISNUMBER(MATCH($BE63,AU$5:AU$29999,0)),MAX(AM$4:AM62)+1,0))</f>
        <v/>
      </c>
      <c r="AN63" s="34" t="str">
        <f>IF($BE63="","",IF(ISNUMBER(MATCH($BE63,AV$5:AV$29999,0)),MAX(AN$4:AN62)+1,0))</f>
        <v/>
      </c>
      <c r="AO63" s="16"/>
      <c r="AP63" s="33"/>
      <c r="AQ63" s="33"/>
      <c r="AR63" s="33"/>
      <c r="AS63" s="33"/>
      <c r="AT63" s="32"/>
      <c r="AU63" s="32"/>
      <c r="AV63" s="32" t="s">
        <v>0</v>
      </c>
      <c r="AW63" s="40"/>
      <c r="AX63" s="20" t="s">
        <v>0</v>
      </c>
      <c r="AY63" s="30"/>
      <c r="AZ63" s="30"/>
      <c r="BA63" s="39" t="s">
        <v>0</v>
      </c>
      <c r="BB63" s="44" t="str">
        <f>IF(ISTEXT(AW63),IF(ISNUMBER(MATCH(AW63,$AY$5:$AY$100,0)),0,MAX(BB$4:BB62)+1),"")</f>
        <v/>
      </c>
      <c r="BC63" s="36" t="str">
        <f>IF(ISTEXT(AY63),MATCH(AY63,$AW$5:$AW$127,0),"")</f>
        <v/>
      </c>
      <c r="BD63" s="36">
        <f>IF(ISNUMBER(BC63),AY63,ROW()-SUM($BC$4:$BD$4))</f>
        <v>22</v>
      </c>
      <c r="BE63" s="20"/>
      <c r="BF63" s="36"/>
      <c r="BG63" s="19" t="str">
        <f>IF(ISNUMBER(MATCH($BE63,Z$5:Z$501,0)),INDEX(Z$5:Z$501,MATCH($BE63,Z$5:Z$501,0),1),"")</f>
        <v/>
      </c>
      <c r="BH63" s="19" t="str">
        <f>IF(ISNUMBER(MATCH($BE63,AA$5:AA$501,0)),INDEX(AA$5:AA$501,MATCH($BE63,AA$5:AA$501,0),1),"")</f>
        <v/>
      </c>
      <c r="BI63" s="19" t="str">
        <f>IF(ISNUMBER(MATCH($BE63,AB$5:AB$501,0)),INDEX(AB$5:AB$501,MATCH($BE63,AB$5:AB$501,0),1),"")</f>
        <v/>
      </c>
      <c r="BJ63" s="19" t="str">
        <f>IF(ISNUMBER(MATCH($BE63,AC$5:AC$501,0)),INDEX(AC$5:AC$501,MATCH($BE63,AC$5:AC$501,0),1),"")</f>
        <v/>
      </c>
      <c r="BK63" s="19" t="str">
        <f>IF(ISNUMBER(MATCH($BE63,AD$5:AD$501,0)),INDEX(AD$5:AD$501,MATCH($BE63,AD$5:AD$501,0),1),"")</f>
        <v/>
      </c>
      <c r="BL63" s="19" t="str">
        <f>IF(ISNUMBER(MATCH($BE63,AE$5:AE$501,0)),INDEX(AE$5:AE$501,MATCH($BE63,AE$5:AE$501,0),1),"")</f>
        <v/>
      </c>
      <c r="BM63" s="19" t="str">
        <f>IF(ISNUMBER(MATCH($BE63,AF$5:AF$501,0)),INDEX(AF$5:AF$501,MATCH($BE63,AF$5:AF$501,0),1),"")</f>
        <v/>
      </c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</row>
    <row r="64" spans="1:78" ht="12" customHeight="1" x14ac:dyDescent="0.25">
      <c r="A64" s="26"/>
      <c r="B64" s="28" t="str">
        <f>IF(ISNUMBER(MATCH(O64,$N$5:$N$1000,0)),MATCH(O64,$N$5:$N$1000,0),"")</f>
        <v/>
      </c>
      <c r="C64" s="15" t="str">
        <f>IF(ISNUMBER(B64),MAX(C$4:C63)+1,"")</f>
        <v/>
      </c>
      <c r="D64" s="15" t="str">
        <f>IF(IF(ISNUMBER(B64),"",MAX(D$4:D63)+1)&lt;=D$3,IF(ISNUMBER(B64),"",MAX(D$4:D63)+1),"")</f>
        <v/>
      </c>
      <c r="E64" s="42" t="str">
        <f>IF(M64&lt;=D$3,MATCH(M64,D$5:D$1000,0),"")</f>
        <v/>
      </c>
      <c r="F64" s="28" t="str">
        <f>IF(ISNUMBER(E64),INDEX($N$5:$N$1000,E64,1),"")</f>
        <v/>
      </c>
      <c r="G64" s="27" t="str">
        <f>IF(ISNUMBER(C64),N64,IF(ISTEXT(N64),INDEX($F$5:$F$1000,MATCH(M64,$E$5:$E$1000,0),1),""))</f>
        <v/>
      </c>
      <c r="H64" s="15" t="str">
        <f>IF(O64="","",IF(ISNUMBER(MATCH(O64,$G$5:$G$1000,0)),"",IF(D64=1,C$3,0)+MAX(H$4:H63)+1))</f>
        <v/>
      </c>
      <c r="I64" s="15" t="str">
        <f>IF(O64="","",IF(ISNUMBER(MATCH(O64,$G$5:$G$1000,0)),"",IF(D64=1,B$4,0)+MAX(I$4:I63)+1))</f>
        <v/>
      </c>
      <c r="J64" s="27" t="str">
        <f>IF(ISNUMBER(MATCH(M64,$I$5:$I$1000,0)),INDEX($O$5:$O$1000,MATCH(M64,$I$5:$I$1000,0),1),"")</f>
        <v/>
      </c>
      <c r="K64" s="27"/>
      <c r="L64" s="26"/>
      <c r="M64" s="14">
        <f>IF(ROW()-ROW(M$4)&lt;=1000,ROW()-ROW(M$4),"")</f>
        <v>60</v>
      </c>
      <c r="N64" s="43"/>
      <c r="O64" s="43"/>
      <c r="P64" s="41" t="str">
        <f>IF(M64&lt;=$B$4,IF(ISTEXT(G64),G64,""),IF(ISTEXT(J64),J64,""))</f>
        <v/>
      </c>
      <c r="Q64" s="16" t="s">
        <v>0</v>
      </c>
      <c r="R64" s="34" t="str">
        <f>IF(ROW()-ROW(R$4)&lt;=AH$3,ROW()-ROW(R$4),"")</f>
        <v/>
      </c>
      <c r="S64" s="34" t="str">
        <f>IF(ROW()-ROW(S$4)&lt;=AI$3,ROW()-ROW(S$4),"")</f>
        <v/>
      </c>
      <c r="T64" s="34" t="str">
        <f>IF(ROW()-ROW(T$4)&lt;=AJ$3,ROW()-ROW(T$4),"")</f>
        <v/>
      </c>
      <c r="U64" s="34" t="str">
        <f>IF(ROW()-ROW(U$4)&lt;=AK$3,ROW()-ROW(U$4),"")</f>
        <v/>
      </c>
      <c r="V64" s="34" t="str">
        <f>IF(ROW()-ROW(V$4)&lt;=AL$3,ROW()-ROW(V$4),"")</f>
        <v/>
      </c>
      <c r="W64" s="34" t="str">
        <f>IF(ROW()-ROW(W$4)&lt;=AM$3,ROW()-ROW(W$4),"")</f>
        <v/>
      </c>
      <c r="X64" s="34" t="str">
        <f>IF(ROW()-ROW(X$4)&lt;=AN$3,ROW()-ROW(X$4),"")</f>
        <v/>
      </c>
      <c r="Y64" s="34"/>
      <c r="Z64" s="35" t="str">
        <f>IF(ISNUMBER(R64),INDEX($BE$5:$BE$2999,MATCH(R64,AH$5:AH$2999,0),1),"")</f>
        <v/>
      </c>
      <c r="AA64" s="35" t="str">
        <f>IF(ISNUMBER(S64),INDEX($BE$5:$BE$2999,MATCH(S64,AI$5:AI$2999,0),1),"")</f>
        <v/>
      </c>
      <c r="AB64" s="35" t="str">
        <f>IF(ISNUMBER(T64),INDEX($BE$5:$BE$2999,MATCH(T64,AJ$5:AJ$2999,0),1),"")</f>
        <v/>
      </c>
      <c r="AC64" s="35" t="str">
        <f>IF(ISNUMBER(U64),INDEX($BE$5:$BE$2999,MATCH(U64,AK$5:AK$2999,0),1),"")</f>
        <v/>
      </c>
      <c r="AD64" s="35" t="str">
        <f>IF(ISNUMBER(V64),INDEX($BE$5:$BE$2999,MATCH(V64,AL$5:AL$2999,0),1),"")</f>
        <v/>
      </c>
      <c r="AE64" s="35" t="str">
        <f>IF(ISNUMBER(W64),INDEX($BE$5:$BE$2999,MATCH(W64,AM$5:AM$2999,0),1),"")</f>
        <v/>
      </c>
      <c r="AF64" s="35" t="str">
        <f>IF(ISNUMBER(X64),INDEX($BE$5:$BE$2999,MATCH(X64,AN$5:AN$2999,0),1),"")</f>
        <v/>
      </c>
      <c r="AG64" s="35"/>
      <c r="AH64" s="34" t="str">
        <f>IF($BE64="","",IF(ISNUMBER(MATCH($BE64,AP$5:AP$29999,0)),MAX(AH$4:AH63)+1,0))</f>
        <v/>
      </c>
      <c r="AI64" s="34" t="str">
        <f>IF($BE64="","",IF(ISNUMBER(MATCH($BE64,AQ$5:AQ$29999,0)),MAX(AI$4:AI63)+1,0))</f>
        <v/>
      </c>
      <c r="AJ64" s="34" t="str">
        <f>IF($BE64="","",IF(ISNUMBER(MATCH($BE64,AR$5:AR$29999,0)),MAX(AJ$4:AJ63)+1,0))</f>
        <v/>
      </c>
      <c r="AK64" s="34" t="str">
        <f>IF($BE64="","",IF(ISNUMBER(MATCH($BE64,AS$5:AS$29999,0)),MAX(AK$4:AK63)+1,0))</f>
        <v/>
      </c>
      <c r="AL64" s="34" t="str">
        <f>IF($BE64="","",IF(ISNUMBER(MATCH($BE64,AT$5:AT$29999,0)),MAX(AL$4:AL63)+1,0))</f>
        <v/>
      </c>
      <c r="AM64" s="34" t="str">
        <f>IF($BE64="","",IF(ISNUMBER(MATCH($BE64,AU$5:AU$29999,0)),MAX(AM$4:AM63)+1,0))</f>
        <v/>
      </c>
      <c r="AN64" s="34" t="str">
        <f>IF($BE64="","",IF(ISNUMBER(MATCH($BE64,AV$5:AV$29999,0)),MAX(AN$4:AN63)+1,0))</f>
        <v/>
      </c>
      <c r="AO64" s="16"/>
      <c r="AP64" s="33"/>
      <c r="AQ64" s="33"/>
      <c r="AR64" s="33"/>
      <c r="AS64" s="33"/>
      <c r="AT64" s="32"/>
      <c r="AU64" s="32"/>
      <c r="AV64" s="32" t="s">
        <v>0</v>
      </c>
      <c r="AW64" s="40"/>
      <c r="AX64" s="20" t="s">
        <v>0</v>
      </c>
      <c r="AY64" s="30"/>
      <c r="AZ64" s="30"/>
      <c r="BA64" s="39" t="s">
        <v>0</v>
      </c>
      <c r="BB64" s="44" t="str">
        <f>IF(ISTEXT(AW64),IF(ISNUMBER(MATCH(AW64,$AY$5:$AY$100,0)),0,MAX(BB$4:BB63)+1),"")</f>
        <v/>
      </c>
      <c r="BC64" s="36" t="str">
        <f>IF(ISTEXT(AY64),MATCH(AY64,$AW$5:$AW$127,0),"")</f>
        <v/>
      </c>
      <c r="BD64" s="36">
        <f>IF(ISNUMBER(BC64),AY64,ROW()-SUM($BC$4:$BD$4))</f>
        <v>23</v>
      </c>
      <c r="BE64" s="20"/>
      <c r="BF64" s="36"/>
      <c r="BG64" s="19" t="str">
        <f>IF(ISNUMBER(MATCH($BE64,Z$5:Z$501,0)),INDEX(Z$5:Z$501,MATCH($BE64,Z$5:Z$501,0),1),"")</f>
        <v/>
      </c>
      <c r="BH64" s="19" t="str">
        <f>IF(ISNUMBER(MATCH($BE64,AA$5:AA$501,0)),INDEX(AA$5:AA$501,MATCH($BE64,AA$5:AA$501,0),1),"")</f>
        <v/>
      </c>
      <c r="BI64" s="19" t="str">
        <f>IF(ISNUMBER(MATCH($BE64,AB$5:AB$501,0)),INDEX(AB$5:AB$501,MATCH($BE64,AB$5:AB$501,0),1),"")</f>
        <v/>
      </c>
      <c r="BJ64" s="19" t="str">
        <f>IF(ISNUMBER(MATCH($BE64,AC$5:AC$501,0)),INDEX(AC$5:AC$501,MATCH($BE64,AC$5:AC$501,0),1),"")</f>
        <v/>
      </c>
      <c r="BK64" s="19" t="str">
        <f>IF(ISNUMBER(MATCH($BE64,AD$5:AD$501,0)),INDEX(AD$5:AD$501,MATCH($BE64,AD$5:AD$501,0),1),"")</f>
        <v/>
      </c>
      <c r="BL64" s="19" t="str">
        <f>IF(ISNUMBER(MATCH($BE64,AE$5:AE$501,0)),INDEX(AE$5:AE$501,MATCH($BE64,AE$5:AE$501,0),1),"")</f>
        <v/>
      </c>
      <c r="BM64" s="19" t="str">
        <f>IF(ISNUMBER(MATCH($BE64,AF$5:AF$501,0)),INDEX(AF$5:AF$501,MATCH($BE64,AF$5:AF$501,0),1),"")</f>
        <v/>
      </c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</row>
    <row r="65" spans="1:78" ht="12" customHeight="1" x14ac:dyDescent="0.25">
      <c r="A65" s="26"/>
      <c r="B65" s="28" t="str">
        <f>IF(ISNUMBER(MATCH(O65,$N$5:$N$1000,0)),MATCH(O65,$N$5:$N$1000,0),"")</f>
        <v/>
      </c>
      <c r="C65" s="15" t="str">
        <f>IF(ISNUMBER(B65),MAX(C$4:C64)+1,"")</f>
        <v/>
      </c>
      <c r="D65" s="15" t="str">
        <f>IF(IF(ISNUMBER(B65),"",MAX(D$4:D64)+1)&lt;=D$3,IF(ISNUMBER(B65),"",MAX(D$4:D64)+1),"")</f>
        <v/>
      </c>
      <c r="E65" s="42" t="str">
        <f>IF(M65&lt;=D$3,MATCH(M65,D$5:D$1000,0),"")</f>
        <v/>
      </c>
      <c r="F65" s="28" t="str">
        <f>IF(ISNUMBER(E65),INDEX($N$5:$N$1000,E65,1),"")</f>
        <v/>
      </c>
      <c r="G65" s="27" t="str">
        <f>IF(ISNUMBER(C65),N65,IF(ISTEXT(N65),INDEX($F$5:$F$1000,MATCH(M65,$E$5:$E$1000,0),1),""))</f>
        <v/>
      </c>
      <c r="H65" s="15" t="str">
        <f>IF(O65="","",IF(ISNUMBER(MATCH(O65,$G$5:$G$1000,0)),"",IF(D65=1,C$3,0)+MAX(H$4:H64)+1))</f>
        <v/>
      </c>
      <c r="I65" s="15" t="str">
        <f>IF(O65="","",IF(ISNUMBER(MATCH(O65,$G$5:$G$1000,0)),"",IF(D65=1,B$4,0)+MAX(I$4:I64)+1))</f>
        <v/>
      </c>
      <c r="J65" s="27" t="str">
        <f>IF(ISNUMBER(MATCH(M65,$I$5:$I$1000,0)),INDEX($O$5:$O$1000,MATCH(M65,$I$5:$I$1000,0),1),"")</f>
        <v/>
      </c>
      <c r="K65" s="27"/>
      <c r="L65" s="26"/>
      <c r="M65" s="14">
        <f>IF(ROW()-ROW(M$4)&lt;=1000,ROW()-ROW(M$4),"")</f>
        <v>61</v>
      </c>
      <c r="N65" s="43"/>
      <c r="O65" s="43"/>
      <c r="P65" s="41" t="str">
        <f>IF(M65&lt;=$B$4,IF(ISTEXT(G65),G65,""),IF(ISTEXT(J65),J65,""))</f>
        <v/>
      </c>
      <c r="Q65" s="16" t="s">
        <v>0</v>
      </c>
      <c r="R65" s="34" t="str">
        <f>IF(ROW()-ROW(R$4)&lt;=AH$3,ROW()-ROW(R$4),"")</f>
        <v/>
      </c>
      <c r="S65" s="34" t="str">
        <f>IF(ROW()-ROW(S$4)&lt;=AI$3,ROW()-ROW(S$4),"")</f>
        <v/>
      </c>
      <c r="T65" s="34" t="str">
        <f>IF(ROW()-ROW(T$4)&lt;=AJ$3,ROW()-ROW(T$4),"")</f>
        <v/>
      </c>
      <c r="U65" s="34" t="str">
        <f>IF(ROW()-ROW(U$4)&lt;=AK$3,ROW()-ROW(U$4),"")</f>
        <v/>
      </c>
      <c r="V65" s="34" t="str">
        <f>IF(ROW()-ROW(V$4)&lt;=AL$3,ROW()-ROW(V$4),"")</f>
        <v/>
      </c>
      <c r="W65" s="34" t="str">
        <f>IF(ROW()-ROW(W$4)&lt;=AM$3,ROW()-ROW(W$4),"")</f>
        <v/>
      </c>
      <c r="X65" s="34" t="str">
        <f>IF(ROW()-ROW(X$4)&lt;=AN$3,ROW()-ROW(X$4),"")</f>
        <v/>
      </c>
      <c r="Y65" s="34"/>
      <c r="Z65" s="35" t="str">
        <f>IF(ISNUMBER(R65),INDEX($BE$5:$BE$2999,MATCH(R65,AH$5:AH$2999,0),1),"")</f>
        <v/>
      </c>
      <c r="AA65" s="35" t="str">
        <f>IF(ISNUMBER(S65),INDEX($BE$5:$BE$2999,MATCH(S65,AI$5:AI$2999,0),1),"")</f>
        <v/>
      </c>
      <c r="AB65" s="35" t="str">
        <f>IF(ISNUMBER(T65),INDEX($BE$5:$BE$2999,MATCH(T65,AJ$5:AJ$2999,0),1),"")</f>
        <v/>
      </c>
      <c r="AC65" s="35" t="str">
        <f>IF(ISNUMBER(U65),INDEX($BE$5:$BE$2999,MATCH(U65,AK$5:AK$2999,0),1),"")</f>
        <v/>
      </c>
      <c r="AD65" s="35" t="str">
        <f>IF(ISNUMBER(V65),INDEX($BE$5:$BE$2999,MATCH(V65,AL$5:AL$2999,0),1),"")</f>
        <v/>
      </c>
      <c r="AE65" s="35" t="str">
        <f>IF(ISNUMBER(W65),INDEX($BE$5:$BE$2999,MATCH(W65,AM$5:AM$2999,0),1),"")</f>
        <v/>
      </c>
      <c r="AF65" s="35" t="str">
        <f>IF(ISNUMBER(X65),INDEX($BE$5:$BE$2999,MATCH(X65,AN$5:AN$2999,0),1),"")</f>
        <v/>
      </c>
      <c r="AG65" s="35"/>
      <c r="AH65" s="34" t="str">
        <f>IF($BE65="","",IF(ISNUMBER(MATCH($BE65,AP$5:AP$29999,0)),MAX(AH$4:AH64)+1,0))</f>
        <v/>
      </c>
      <c r="AI65" s="34" t="str">
        <f>IF($BE65="","",IF(ISNUMBER(MATCH($BE65,AQ$5:AQ$29999,0)),MAX(AI$4:AI64)+1,0))</f>
        <v/>
      </c>
      <c r="AJ65" s="34" t="str">
        <f>IF($BE65="","",IF(ISNUMBER(MATCH($BE65,AR$5:AR$29999,0)),MAX(AJ$4:AJ64)+1,0))</f>
        <v/>
      </c>
      <c r="AK65" s="34" t="str">
        <f>IF($BE65="","",IF(ISNUMBER(MATCH($BE65,AS$5:AS$29999,0)),MAX(AK$4:AK64)+1,0))</f>
        <v/>
      </c>
      <c r="AL65" s="34" t="str">
        <f>IF($BE65="","",IF(ISNUMBER(MATCH($BE65,AT$5:AT$29999,0)),MAX(AL$4:AL64)+1,0))</f>
        <v/>
      </c>
      <c r="AM65" s="34" t="str">
        <f>IF($BE65="","",IF(ISNUMBER(MATCH($BE65,AU$5:AU$29999,0)),MAX(AM$4:AM64)+1,0))</f>
        <v/>
      </c>
      <c r="AN65" s="34" t="str">
        <f>IF($BE65="","",IF(ISNUMBER(MATCH($BE65,AV$5:AV$29999,0)),MAX(AN$4:AN64)+1,0))</f>
        <v/>
      </c>
      <c r="AO65" s="16"/>
      <c r="AP65" s="33"/>
      <c r="AQ65" s="33"/>
      <c r="AR65" s="33"/>
      <c r="AS65" s="33"/>
      <c r="AT65" s="32"/>
      <c r="AU65" s="32"/>
      <c r="AV65" s="32" t="s">
        <v>0</v>
      </c>
      <c r="AW65" s="40"/>
      <c r="AX65" s="20" t="s">
        <v>0</v>
      </c>
      <c r="AY65" s="30"/>
      <c r="AZ65" s="30"/>
      <c r="BA65" s="39" t="s">
        <v>0</v>
      </c>
      <c r="BB65" s="44" t="str">
        <f>IF(ISTEXT(AW65),IF(ISNUMBER(MATCH(AW65,$AY$5:$AY$100,0)),0,MAX(BB$4:BB64)+1),"")</f>
        <v/>
      </c>
      <c r="BC65" s="36" t="str">
        <f>IF(ISTEXT(AY65),MATCH(AY65,$AW$5:$AW$127,0),"")</f>
        <v/>
      </c>
      <c r="BD65" s="36">
        <f>IF(ISNUMBER(BC65),AY65,ROW()-SUM($BC$4:$BD$4))</f>
        <v>24</v>
      </c>
      <c r="BE65" s="20"/>
      <c r="BF65" s="36"/>
      <c r="BG65" s="19" t="str">
        <f>IF(ISNUMBER(MATCH($BE65,Z$5:Z$501,0)),INDEX(Z$5:Z$501,MATCH($BE65,Z$5:Z$501,0),1),"")</f>
        <v/>
      </c>
      <c r="BH65" s="19" t="str">
        <f>IF(ISNUMBER(MATCH($BE65,AA$5:AA$501,0)),INDEX(AA$5:AA$501,MATCH($BE65,AA$5:AA$501,0),1),"")</f>
        <v/>
      </c>
      <c r="BI65" s="19" t="str">
        <f>IF(ISNUMBER(MATCH($BE65,AB$5:AB$501,0)),INDEX(AB$5:AB$501,MATCH($BE65,AB$5:AB$501,0),1),"")</f>
        <v/>
      </c>
      <c r="BJ65" s="19" t="str">
        <f>IF(ISNUMBER(MATCH($BE65,AC$5:AC$501,0)),INDEX(AC$5:AC$501,MATCH($BE65,AC$5:AC$501,0),1),"")</f>
        <v/>
      </c>
      <c r="BK65" s="19" t="str">
        <f>IF(ISNUMBER(MATCH($BE65,AD$5:AD$501,0)),INDEX(AD$5:AD$501,MATCH($BE65,AD$5:AD$501,0),1),"")</f>
        <v/>
      </c>
      <c r="BL65" s="19" t="str">
        <f>IF(ISNUMBER(MATCH($BE65,AE$5:AE$501,0)),INDEX(AE$5:AE$501,MATCH($BE65,AE$5:AE$501,0),1),"")</f>
        <v/>
      </c>
      <c r="BM65" s="19" t="str">
        <f>IF(ISNUMBER(MATCH($BE65,AF$5:AF$501,0)),INDEX(AF$5:AF$501,MATCH($BE65,AF$5:AF$501,0),1),"")</f>
        <v/>
      </c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</row>
    <row r="66" spans="1:78" ht="12" customHeight="1" x14ac:dyDescent="0.25">
      <c r="A66" s="26"/>
      <c r="B66" s="28" t="str">
        <f>IF(ISNUMBER(MATCH(O66,$N$5:$N$1000,0)),MATCH(O66,$N$5:$N$1000,0),"")</f>
        <v/>
      </c>
      <c r="C66" s="15" t="str">
        <f>IF(ISNUMBER(B66),MAX(C$4:C65)+1,"")</f>
        <v/>
      </c>
      <c r="D66" s="15" t="str">
        <f>IF(IF(ISNUMBER(B66),"",MAX(D$4:D65)+1)&lt;=D$3,IF(ISNUMBER(B66),"",MAX(D$4:D65)+1),"")</f>
        <v/>
      </c>
      <c r="E66" s="42" t="str">
        <f>IF(M66&lt;=D$3,MATCH(M66,D$5:D$1000,0),"")</f>
        <v/>
      </c>
      <c r="F66" s="28" t="str">
        <f>IF(ISNUMBER(E66),INDEX($N$5:$N$1000,E66,1),"")</f>
        <v/>
      </c>
      <c r="G66" s="27" t="str">
        <f>IF(ISNUMBER(C66),N66,IF(ISTEXT(N66),INDEX($F$5:$F$1000,MATCH(M66,$E$5:$E$1000,0),1),""))</f>
        <v/>
      </c>
      <c r="H66" s="15" t="str">
        <f>IF(O66="","",IF(ISNUMBER(MATCH(O66,$G$5:$G$1000,0)),"",IF(D66=1,C$3,0)+MAX(H$4:H65)+1))</f>
        <v/>
      </c>
      <c r="I66" s="15" t="str">
        <f>IF(O66="","",IF(ISNUMBER(MATCH(O66,$G$5:$G$1000,0)),"",IF(D66=1,B$4,0)+MAX(I$4:I65)+1))</f>
        <v/>
      </c>
      <c r="J66" s="27" t="str">
        <f>IF(ISNUMBER(MATCH(M66,$I$5:$I$1000,0)),INDEX($O$5:$O$1000,MATCH(M66,$I$5:$I$1000,0),1),"")</f>
        <v/>
      </c>
      <c r="K66" s="27"/>
      <c r="L66" s="26"/>
      <c r="M66" s="14">
        <f>IF(ROW()-ROW(M$4)&lt;=1000,ROW()-ROW(M$4),"")</f>
        <v>62</v>
      </c>
      <c r="N66" s="43"/>
      <c r="O66" s="43"/>
      <c r="P66" s="41" t="str">
        <f>IF(M66&lt;=$B$4,IF(ISTEXT(G66),G66,""),IF(ISTEXT(J66),J66,""))</f>
        <v/>
      </c>
      <c r="Q66" s="16" t="s">
        <v>0</v>
      </c>
      <c r="R66" s="34" t="str">
        <f>IF(ROW()-ROW(R$4)&lt;=AH$3,ROW()-ROW(R$4),"")</f>
        <v/>
      </c>
      <c r="S66" s="34" t="str">
        <f>IF(ROW()-ROW(S$4)&lt;=AI$3,ROW()-ROW(S$4),"")</f>
        <v/>
      </c>
      <c r="T66" s="34" t="str">
        <f>IF(ROW()-ROW(T$4)&lt;=AJ$3,ROW()-ROW(T$4),"")</f>
        <v/>
      </c>
      <c r="U66" s="34" t="str">
        <f>IF(ROW()-ROW(U$4)&lt;=AK$3,ROW()-ROW(U$4),"")</f>
        <v/>
      </c>
      <c r="V66" s="34" t="str">
        <f>IF(ROW()-ROW(V$4)&lt;=AL$3,ROW()-ROW(V$4),"")</f>
        <v/>
      </c>
      <c r="W66" s="34" t="str">
        <f>IF(ROW()-ROW(W$4)&lt;=AM$3,ROW()-ROW(W$4),"")</f>
        <v/>
      </c>
      <c r="X66" s="34" t="str">
        <f>IF(ROW()-ROW(X$4)&lt;=AN$3,ROW()-ROW(X$4),"")</f>
        <v/>
      </c>
      <c r="Y66" s="34"/>
      <c r="Z66" s="35" t="str">
        <f>IF(ISNUMBER(R66),INDEX($BE$5:$BE$2999,MATCH(R66,AH$5:AH$2999,0),1),"")</f>
        <v/>
      </c>
      <c r="AA66" s="35" t="str">
        <f>IF(ISNUMBER(S66),INDEX($BE$5:$BE$2999,MATCH(S66,AI$5:AI$2999,0),1),"")</f>
        <v/>
      </c>
      <c r="AB66" s="35" t="str">
        <f>IF(ISNUMBER(T66),INDEX($BE$5:$BE$2999,MATCH(T66,AJ$5:AJ$2999,0),1),"")</f>
        <v/>
      </c>
      <c r="AC66" s="35" t="str">
        <f>IF(ISNUMBER(U66),INDEX($BE$5:$BE$2999,MATCH(U66,AK$5:AK$2999,0),1),"")</f>
        <v/>
      </c>
      <c r="AD66" s="35" t="str">
        <f>IF(ISNUMBER(V66),INDEX($BE$5:$BE$2999,MATCH(V66,AL$5:AL$2999,0),1),"")</f>
        <v/>
      </c>
      <c r="AE66" s="35" t="str">
        <f>IF(ISNUMBER(W66),INDEX($BE$5:$BE$2999,MATCH(W66,AM$5:AM$2999,0),1),"")</f>
        <v/>
      </c>
      <c r="AF66" s="35" t="str">
        <f>IF(ISNUMBER(X66),INDEX($BE$5:$BE$2999,MATCH(X66,AN$5:AN$2999,0),1),"")</f>
        <v/>
      </c>
      <c r="AG66" s="35"/>
      <c r="AH66" s="34" t="str">
        <f>IF($BE66="","",IF(ISNUMBER(MATCH($BE66,AP$5:AP$29999,0)),MAX(AH$4:AH65)+1,0))</f>
        <v/>
      </c>
      <c r="AI66" s="34" t="str">
        <f>IF($BE66="","",IF(ISNUMBER(MATCH($BE66,AQ$5:AQ$29999,0)),MAX(AI$4:AI65)+1,0))</f>
        <v/>
      </c>
      <c r="AJ66" s="34" t="str">
        <f>IF($BE66="","",IF(ISNUMBER(MATCH($BE66,AR$5:AR$29999,0)),MAX(AJ$4:AJ65)+1,0))</f>
        <v/>
      </c>
      <c r="AK66" s="34" t="str">
        <f>IF($BE66="","",IF(ISNUMBER(MATCH($BE66,AS$5:AS$29999,0)),MAX(AK$4:AK65)+1,0))</f>
        <v/>
      </c>
      <c r="AL66" s="34" t="str">
        <f>IF($BE66="","",IF(ISNUMBER(MATCH($BE66,AT$5:AT$29999,0)),MAX(AL$4:AL65)+1,0))</f>
        <v/>
      </c>
      <c r="AM66" s="34" t="str">
        <f>IF($BE66="","",IF(ISNUMBER(MATCH($BE66,AU$5:AU$29999,0)),MAX(AM$4:AM65)+1,0))</f>
        <v/>
      </c>
      <c r="AN66" s="34" t="str">
        <f>IF($BE66="","",IF(ISNUMBER(MATCH($BE66,AV$5:AV$29999,0)),MAX(AN$4:AN65)+1,0))</f>
        <v/>
      </c>
      <c r="AO66" s="16"/>
      <c r="AP66" s="33"/>
      <c r="AQ66" s="33"/>
      <c r="AR66" s="33"/>
      <c r="AS66" s="33"/>
      <c r="AT66" s="32"/>
      <c r="AU66" s="32"/>
      <c r="AV66" s="32" t="s">
        <v>0</v>
      </c>
      <c r="AW66" s="40"/>
      <c r="AX66" s="20" t="s">
        <v>0</v>
      </c>
      <c r="AY66" s="30"/>
      <c r="AZ66" s="30"/>
      <c r="BA66" s="39" t="s">
        <v>0</v>
      </c>
      <c r="BB66" s="44" t="str">
        <f>IF(ISTEXT(AW66),IF(ISNUMBER(MATCH(AW66,$AY$5:$AY$100,0)),0,MAX(BB$4:BB65)+1),"")</f>
        <v/>
      </c>
      <c r="BC66" s="36" t="str">
        <f>IF(ISTEXT(AY66),MATCH(AY66,$AW$5:$AW$127,0),"")</f>
        <v/>
      </c>
      <c r="BD66" s="36">
        <f>IF(ISNUMBER(BC66),AY66,ROW()-SUM($BC$4:$BD$4))</f>
        <v>25</v>
      </c>
      <c r="BE66" s="20"/>
      <c r="BF66" s="36"/>
      <c r="BG66" s="19" t="str">
        <f>IF(ISNUMBER(MATCH($BE66,Z$5:Z$501,0)),INDEX(Z$5:Z$501,MATCH($BE66,Z$5:Z$501,0),1),"")</f>
        <v/>
      </c>
      <c r="BH66" s="19" t="str">
        <f>IF(ISNUMBER(MATCH($BE66,AA$5:AA$501,0)),INDEX(AA$5:AA$501,MATCH($BE66,AA$5:AA$501,0),1),"")</f>
        <v/>
      </c>
      <c r="BI66" s="19" t="str">
        <f>IF(ISNUMBER(MATCH($BE66,AB$5:AB$501,0)),INDEX(AB$5:AB$501,MATCH($BE66,AB$5:AB$501,0),1),"")</f>
        <v/>
      </c>
      <c r="BJ66" s="19" t="str">
        <f>IF(ISNUMBER(MATCH($BE66,AC$5:AC$501,0)),INDEX(AC$5:AC$501,MATCH($BE66,AC$5:AC$501,0),1),"")</f>
        <v/>
      </c>
      <c r="BK66" s="19" t="str">
        <f>IF(ISNUMBER(MATCH($BE66,AD$5:AD$501,0)),INDEX(AD$5:AD$501,MATCH($BE66,AD$5:AD$501,0),1),"")</f>
        <v/>
      </c>
      <c r="BL66" s="19" t="str">
        <f>IF(ISNUMBER(MATCH($BE66,AE$5:AE$501,0)),INDEX(AE$5:AE$501,MATCH($BE66,AE$5:AE$501,0),1),"")</f>
        <v/>
      </c>
      <c r="BM66" s="19" t="str">
        <f>IF(ISNUMBER(MATCH($BE66,AF$5:AF$501,0)),INDEX(AF$5:AF$501,MATCH($BE66,AF$5:AF$501,0),1),"")</f>
        <v/>
      </c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</row>
    <row r="67" spans="1:78" ht="12" customHeight="1" x14ac:dyDescent="0.25">
      <c r="A67" s="26"/>
      <c r="B67" s="28" t="str">
        <f>IF(ISNUMBER(MATCH(O67,$N$5:$N$1000,0)),MATCH(O67,$N$5:$N$1000,0),"")</f>
        <v/>
      </c>
      <c r="C67" s="15" t="str">
        <f>IF(ISNUMBER(B67),MAX(C$4:C66)+1,"")</f>
        <v/>
      </c>
      <c r="D67" s="15" t="str">
        <f>IF(IF(ISNUMBER(B67),"",MAX(D$4:D66)+1)&lt;=D$3,IF(ISNUMBER(B67),"",MAX(D$4:D66)+1),"")</f>
        <v/>
      </c>
      <c r="E67" s="42" t="str">
        <f>IF(M67&lt;=D$3,MATCH(M67,D$5:D$1000,0),"")</f>
        <v/>
      </c>
      <c r="F67" s="28" t="str">
        <f>IF(ISNUMBER(E67),INDEX($N$5:$N$1000,E67,1),"")</f>
        <v/>
      </c>
      <c r="G67" s="27" t="str">
        <f>IF(ISNUMBER(C67),N67,IF(ISTEXT(N67),INDEX($F$5:$F$1000,MATCH(M67,$E$5:$E$1000,0),1),""))</f>
        <v/>
      </c>
      <c r="H67" s="15" t="str">
        <f>IF(O67="","",IF(ISNUMBER(MATCH(O67,$G$5:$G$1000,0)),"",IF(D67=1,C$3,0)+MAX(H$4:H66)+1))</f>
        <v/>
      </c>
      <c r="I67" s="15" t="str">
        <f>IF(O67="","",IF(ISNUMBER(MATCH(O67,$G$5:$G$1000,0)),"",IF(D67=1,B$4,0)+MAX(I$4:I66)+1))</f>
        <v/>
      </c>
      <c r="J67" s="27" t="str">
        <f>IF(ISNUMBER(MATCH(M67,$I$5:$I$1000,0)),INDEX($O$5:$O$1000,MATCH(M67,$I$5:$I$1000,0),1),"")</f>
        <v/>
      </c>
      <c r="K67" s="27"/>
      <c r="L67" s="26"/>
      <c r="M67" s="14">
        <f>IF(ROW()-ROW(M$4)&lt;=1000,ROW()-ROW(M$4),"")</f>
        <v>63</v>
      </c>
      <c r="N67" s="43"/>
      <c r="O67" s="43"/>
      <c r="P67" s="41" t="str">
        <f>IF(M67&lt;=$B$4,IF(ISTEXT(G67),G67,""),IF(ISTEXT(J67),J67,""))</f>
        <v/>
      </c>
      <c r="Q67" s="16" t="s">
        <v>0</v>
      </c>
      <c r="R67" s="34" t="str">
        <f>IF(ROW()-ROW(R$4)&lt;=AH$3,ROW()-ROW(R$4),"")</f>
        <v/>
      </c>
      <c r="S67" s="34" t="str">
        <f>IF(ROW()-ROW(S$4)&lt;=AI$3,ROW()-ROW(S$4),"")</f>
        <v/>
      </c>
      <c r="T67" s="34" t="str">
        <f>IF(ROW()-ROW(T$4)&lt;=AJ$3,ROW()-ROW(T$4),"")</f>
        <v/>
      </c>
      <c r="U67" s="34" t="str">
        <f>IF(ROW()-ROW(U$4)&lt;=AK$3,ROW()-ROW(U$4),"")</f>
        <v/>
      </c>
      <c r="V67" s="34" t="str">
        <f>IF(ROW()-ROW(V$4)&lt;=AL$3,ROW()-ROW(V$4),"")</f>
        <v/>
      </c>
      <c r="W67" s="34" t="str">
        <f>IF(ROW()-ROW(W$4)&lt;=AM$3,ROW()-ROW(W$4),"")</f>
        <v/>
      </c>
      <c r="X67" s="34" t="str">
        <f>IF(ROW()-ROW(X$4)&lt;=AN$3,ROW()-ROW(X$4),"")</f>
        <v/>
      </c>
      <c r="Y67" s="34"/>
      <c r="Z67" s="35" t="str">
        <f>IF(ISNUMBER(R67),INDEX($BE$5:$BE$2999,MATCH(R67,AH$5:AH$2999,0),1),"")</f>
        <v/>
      </c>
      <c r="AA67" s="35" t="str">
        <f>IF(ISNUMBER(S67),INDEX($BE$5:$BE$2999,MATCH(S67,AI$5:AI$2999,0),1),"")</f>
        <v/>
      </c>
      <c r="AB67" s="35" t="str">
        <f>IF(ISNUMBER(T67),INDEX($BE$5:$BE$2999,MATCH(T67,AJ$5:AJ$2999,0),1),"")</f>
        <v/>
      </c>
      <c r="AC67" s="35" t="str">
        <f>IF(ISNUMBER(U67),INDEX($BE$5:$BE$2999,MATCH(U67,AK$5:AK$2999,0),1),"")</f>
        <v/>
      </c>
      <c r="AD67" s="35" t="str">
        <f>IF(ISNUMBER(V67),INDEX($BE$5:$BE$2999,MATCH(V67,AL$5:AL$2999,0),1),"")</f>
        <v/>
      </c>
      <c r="AE67" s="35" t="str">
        <f>IF(ISNUMBER(W67),INDEX($BE$5:$BE$2999,MATCH(W67,AM$5:AM$2999,0),1),"")</f>
        <v/>
      </c>
      <c r="AF67" s="35" t="str">
        <f>IF(ISNUMBER(X67),INDEX($BE$5:$BE$2999,MATCH(X67,AN$5:AN$2999,0),1),"")</f>
        <v/>
      </c>
      <c r="AG67" s="35"/>
      <c r="AH67" s="34" t="str">
        <f>IF($BE67="","",IF(ISNUMBER(MATCH($BE67,AP$5:AP$29999,0)),MAX(AH$4:AH66)+1,0))</f>
        <v/>
      </c>
      <c r="AI67" s="34" t="str">
        <f>IF($BE67="","",IF(ISNUMBER(MATCH($BE67,AQ$5:AQ$29999,0)),MAX(AI$4:AI66)+1,0))</f>
        <v/>
      </c>
      <c r="AJ67" s="34" t="str">
        <f>IF($BE67="","",IF(ISNUMBER(MATCH($BE67,AR$5:AR$29999,0)),MAX(AJ$4:AJ66)+1,0))</f>
        <v/>
      </c>
      <c r="AK67" s="34" t="str">
        <f>IF($BE67="","",IF(ISNUMBER(MATCH($BE67,AS$5:AS$29999,0)),MAX(AK$4:AK66)+1,0))</f>
        <v/>
      </c>
      <c r="AL67" s="34" t="str">
        <f>IF($BE67="","",IF(ISNUMBER(MATCH($BE67,AT$5:AT$29999,0)),MAX(AL$4:AL66)+1,0))</f>
        <v/>
      </c>
      <c r="AM67" s="34" t="str">
        <f>IF($BE67="","",IF(ISNUMBER(MATCH($BE67,AU$5:AU$29999,0)),MAX(AM$4:AM66)+1,0))</f>
        <v/>
      </c>
      <c r="AN67" s="34" t="str">
        <f>IF($BE67="","",IF(ISNUMBER(MATCH($BE67,AV$5:AV$29999,0)),MAX(AN$4:AN66)+1,0))</f>
        <v/>
      </c>
      <c r="AO67" s="16"/>
      <c r="AP67" s="33"/>
      <c r="AQ67" s="33"/>
      <c r="AR67" s="33"/>
      <c r="AS67" s="33"/>
      <c r="AT67" s="32"/>
      <c r="AU67" s="32"/>
      <c r="AV67" s="32" t="s">
        <v>0</v>
      </c>
      <c r="AW67" s="40"/>
      <c r="AX67" s="20" t="s">
        <v>0</v>
      </c>
      <c r="AY67" s="30"/>
      <c r="AZ67" s="30"/>
      <c r="BA67" s="39" t="s">
        <v>0</v>
      </c>
      <c r="BB67" s="44" t="str">
        <f>IF(ISTEXT(AW67),IF(ISNUMBER(MATCH(AW67,$AY$5:$AY$100,0)),0,MAX(BB$4:BB66)+1),"")</f>
        <v/>
      </c>
      <c r="BC67" s="36" t="str">
        <f>IF(ISTEXT(AY67),MATCH(AY67,$AW$5:$AW$127,0),"")</f>
        <v/>
      </c>
      <c r="BD67" s="36">
        <f>IF(ISNUMBER(BC67),AY67,ROW()-SUM($BC$4:$BD$4))</f>
        <v>26</v>
      </c>
      <c r="BE67" s="20"/>
      <c r="BF67" s="36"/>
      <c r="BG67" s="19" t="str">
        <f>IF(ISNUMBER(MATCH($BE67,Z$5:Z$501,0)),INDEX(Z$5:Z$501,MATCH($BE67,Z$5:Z$501,0),1),"")</f>
        <v/>
      </c>
      <c r="BH67" s="19" t="str">
        <f>IF(ISNUMBER(MATCH($BE67,AA$5:AA$501,0)),INDEX(AA$5:AA$501,MATCH($BE67,AA$5:AA$501,0),1),"")</f>
        <v/>
      </c>
      <c r="BI67" s="19" t="str">
        <f>IF(ISNUMBER(MATCH($BE67,AB$5:AB$501,0)),INDEX(AB$5:AB$501,MATCH($BE67,AB$5:AB$501,0),1),"")</f>
        <v/>
      </c>
      <c r="BJ67" s="19" t="str">
        <f>IF(ISNUMBER(MATCH($BE67,AC$5:AC$501,0)),INDEX(AC$5:AC$501,MATCH($BE67,AC$5:AC$501,0),1),"")</f>
        <v/>
      </c>
      <c r="BK67" s="19" t="str">
        <f>IF(ISNUMBER(MATCH($BE67,AD$5:AD$501,0)),INDEX(AD$5:AD$501,MATCH($BE67,AD$5:AD$501,0),1),"")</f>
        <v/>
      </c>
      <c r="BL67" s="19" t="str">
        <f>IF(ISNUMBER(MATCH($BE67,AE$5:AE$501,0)),INDEX(AE$5:AE$501,MATCH($BE67,AE$5:AE$501,0),1),"")</f>
        <v/>
      </c>
      <c r="BM67" s="19" t="str">
        <f>IF(ISNUMBER(MATCH($BE67,AF$5:AF$501,0)),INDEX(AF$5:AF$501,MATCH($BE67,AF$5:AF$501,0),1),"")</f>
        <v/>
      </c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</row>
    <row r="68" spans="1:78" ht="12" customHeight="1" x14ac:dyDescent="0.25">
      <c r="A68" s="26"/>
      <c r="B68" s="28" t="str">
        <f>IF(ISNUMBER(MATCH(O68,$N$5:$N$1000,0)),MATCH(O68,$N$5:$N$1000,0),"")</f>
        <v/>
      </c>
      <c r="C68" s="15" t="str">
        <f>IF(ISNUMBER(B68),MAX(C$4:C67)+1,"")</f>
        <v/>
      </c>
      <c r="D68" s="15" t="str">
        <f>IF(IF(ISNUMBER(B68),"",MAX(D$4:D67)+1)&lt;=D$3,IF(ISNUMBER(B68),"",MAX(D$4:D67)+1),"")</f>
        <v/>
      </c>
      <c r="E68" s="42" t="str">
        <f>IF(M68&lt;=D$3,MATCH(M68,D$5:D$1000,0),"")</f>
        <v/>
      </c>
      <c r="F68" s="28" t="str">
        <f>IF(ISNUMBER(E68),INDEX($N$5:$N$1000,E68,1),"")</f>
        <v/>
      </c>
      <c r="G68" s="27" t="str">
        <f>IF(ISNUMBER(C68),N68,IF(ISTEXT(N68),INDEX($F$5:$F$1000,MATCH(M68,$E$5:$E$1000,0),1),""))</f>
        <v/>
      </c>
      <c r="H68" s="15" t="str">
        <f>IF(O68="","",IF(ISNUMBER(MATCH(O68,$G$5:$G$1000,0)),"",IF(D68=1,C$3,0)+MAX(H$4:H67)+1))</f>
        <v/>
      </c>
      <c r="I68" s="15" t="str">
        <f>IF(O68="","",IF(ISNUMBER(MATCH(O68,$G$5:$G$1000,0)),"",IF(D68=1,B$4,0)+MAX(I$4:I67)+1))</f>
        <v/>
      </c>
      <c r="J68" s="27" t="str">
        <f>IF(ISNUMBER(MATCH(M68,$I$5:$I$1000,0)),INDEX($O$5:$O$1000,MATCH(M68,$I$5:$I$1000,0),1),"")</f>
        <v/>
      </c>
      <c r="K68" s="27"/>
      <c r="L68" s="26"/>
      <c r="M68" s="14">
        <f>IF(ROW()-ROW(M$4)&lt;=1000,ROW()-ROW(M$4),"")</f>
        <v>64</v>
      </c>
      <c r="N68" s="43"/>
      <c r="O68" s="43"/>
      <c r="P68" s="41" t="str">
        <f>IF(M68&lt;=$B$4,IF(ISTEXT(G68),G68,""),IF(ISTEXT(J68),J68,""))</f>
        <v/>
      </c>
      <c r="Q68" s="16" t="s">
        <v>0</v>
      </c>
      <c r="R68" s="34" t="str">
        <f>IF(ROW()-ROW(R$4)&lt;=AH$3,ROW()-ROW(R$4),"")</f>
        <v/>
      </c>
      <c r="S68" s="34" t="str">
        <f>IF(ROW()-ROW(S$4)&lt;=AI$3,ROW()-ROW(S$4),"")</f>
        <v/>
      </c>
      <c r="T68" s="34" t="str">
        <f>IF(ROW()-ROW(T$4)&lt;=AJ$3,ROW()-ROW(T$4),"")</f>
        <v/>
      </c>
      <c r="U68" s="34" t="str">
        <f>IF(ROW()-ROW(U$4)&lt;=AK$3,ROW()-ROW(U$4),"")</f>
        <v/>
      </c>
      <c r="V68" s="34" t="str">
        <f>IF(ROW()-ROW(V$4)&lt;=AL$3,ROW()-ROW(V$4),"")</f>
        <v/>
      </c>
      <c r="W68" s="34" t="str">
        <f>IF(ROW()-ROW(W$4)&lt;=AM$3,ROW()-ROW(W$4),"")</f>
        <v/>
      </c>
      <c r="X68" s="34" t="str">
        <f>IF(ROW()-ROW(X$4)&lt;=AN$3,ROW()-ROW(X$4),"")</f>
        <v/>
      </c>
      <c r="Y68" s="34"/>
      <c r="Z68" s="35" t="str">
        <f>IF(ISNUMBER(R68),INDEX($BE$5:$BE$2999,MATCH(R68,AH$5:AH$2999,0),1),"")</f>
        <v/>
      </c>
      <c r="AA68" s="35" t="str">
        <f>IF(ISNUMBER(S68),INDEX($BE$5:$BE$2999,MATCH(S68,AI$5:AI$2999,0),1),"")</f>
        <v/>
      </c>
      <c r="AB68" s="35" t="str">
        <f>IF(ISNUMBER(T68),INDEX($BE$5:$BE$2999,MATCH(T68,AJ$5:AJ$2999,0),1),"")</f>
        <v/>
      </c>
      <c r="AC68" s="35" t="str">
        <f>IF(ISNUMBER(U68),INDEX($BE$5:$BE$2999,MATCH(U68,AK$5:AK$2999,0),1),"")</f>
        <v/>
      </c>
      <c r="AD68" s="35" t="str">
        <f>IF(ISNUMBER(V68),INDEX($BE$5:$BE$2999,MATCH(V68,AL$5:AL$2999,0),1),"")</f>
        <v/>
      </c>
      <c r="AE68" s="35" t="str">
        <f>IF(ISNUMBER(W68),INDEX($BE$5:$BE$2999,MATCH(W68,AM$5:AM$2999,0),1),"")</f>
        <v/>
      </c>
      <c r="AF68" s="35" t="str">
        <f>IF(ISNUMBER(X68),INDEX($BE$5:$BE$2999,MATCH(X68,AN$5:AN$2999,0),1),"")</f>
        <v/>
      </c>
      <c r="AG68" s="35"/>
      <c r="AH68" s="34" t="str">
        <f>IF($BE68="","",IF(ISNUMBER(MATCH($BE68,AP$5:AP$29999,0)),MAX(AH$4:AH67)+1,0))</f>
        <v/>
      </c>
      <c r="AI68" s="34" t="str">
        <f>IF($BE68="","",IF(ISNUMBER(MATCH($BE68,AQ$5:AQ$29999,0)),MAX(AI$4:AI67)+1,0))</f>
        <v/>
      </c>
      <c r="AJ68" s="34" t="str">
        <f>IF($BE68="","",IF(ISNUMBER(MATCH($BE68,AR$5:AR$29999,0)),MAX(AJ$4:AJ67)+1,0))</f>
        <v/>
      </c>
      <c r="AK68" s="34" t="str">
        <f>IF($BE68="","",IF(ISNUMBER(MATCH($BE68,AS$5:AS$29999,0)),MAX(AK$4:AK67)+1,0))</f>
        <v/>
      </c>
      <c r="AL68" s="34" t="str">
        <f>IF($BE68="","",IF(ISNUMBER(MATCH($BE68,AT$5:AT$29999,0)),MAX(AL$4:AL67)+1,0))</f>
        <v/>
      </c>
      <c r="AM68" s="34" t="str">
        <f>IF($BE68="","",IF(ISNUMBER(MATCH($BE68,AU$5:AU$29999,0)),MAX(AM$4:AM67)+1,0))</f>
        <v/>
      </c>
      <c r="AN68" s="34" t="str">
        <f>IF($BE68="","",IF(ISNUMBER(MATCH($BE68,AV$5:AV$29999,0)),MAX(AN$4:AN67)+1,0))</f>
        <v/>
      </c>
      <c r="AO68" s="16"/>
      <c r="AP68" s="33"/>
      <c r="AQ68" s="33"/>
      <c r="AR68" s="33"/>
      <c r="AS68" s="33"/>
      <c r="AT68" s="32"/>
      <c r="AU68" s="32"/>
      <c r="AV68" s="32" t="s">
        <v>0</v>
      </c>
      <c r="AW68" s="40"/>
      <c r="AX68" s="20" t="s">
        <v>0</v>
      </c>
      <c r="AY68" s="30"/>
      <c r="AZ68" s="30"/>
      <c r="BA68" s="39" t="s">
        <v>0</v>
      </c>
      <c r="BB68" s="44" t="str">
        <f>IF(ISTEXT(AW68),IF(ISNUMBER(MATCH(AW68,$AY$5:$AY$100,0)),0,MAX(BB$4:BB67)+1),"")</f>
        <v/>
      </c>
      <c r="BC68" s="36" t="str">
        <f>IF(ISTEXT(AY68),MATCH(AY68,$AW$5:$AW$127,0),"")</f>
        <v/>
      </c>
      <c r="BD68" s="36">
        <f>IF(ISNUMBER(BC68),AY68,ROW()-SUM($BC$4:$BD$4))</f>
        <v>27</v>
      </c>
      <c r="BE68" s="20"/>
      <c r="BF68" s="36"/>
      <c r="BG68" s="19" t="str">
        <f>IF(ISNUMBER(MATCH($BE68,Z$5:Z$501,0)),INDEX(Z$5:Z$501,MATCH($BE68,Z$5:Z$501,0),1),"")</f>
        <v/>
      </c>
      <c r="BH68" s="19" t="str">
        <f>IF(ISNUMBER(MATCH($BE68,AA$5:AA$501,0)),INDEX(AA$5:AA$501,MATCH($BE68,AA$5:AA$501,0),1),"")</f>
        <v/>
      </c>
      <c r="BI68" s="19" t="str">
        <f>IF(ISNUMBER(MATCH($BE68,AB$5:AB$501,0)),INDEX(AB$5:AB$501,MATCH($BE68,AB$5:AB$501,0),1),"")</f>
        <v/>
      </c>
      <c r="BJ68" s="19" t="str">
        <f>IF(ISNUMBER(MATCH($BE68,AC$5:AC$501,0)),INDEX(AC$5:AC$501,MATCH($BE68,AC$5:AC$501,0),1),"")</f>
        <v/>
      </c>
      <c r="BK68" s="19" t="str">
        <f>IF(ISNUMBER(MATCH($BE68,AD$5:AD$501,0)),INDEX(AD$5:AD$501,MATCH($BE68,AD$5:AD$501,0),1),"")</f>
        <v/>
      </c>
      <c r="BL68" s="19" t="str">
        <f>IF(ISNUMBER(MATCH($BE68,AE$5:AE$501,0)),INDEX(AE$5:AE$501,MATCH($BE68,AE$5:AE$501,0),1),"")</f>
        <v/>
      </c>
      <c r="BM68" s="19" t="str">
        <f>IF(ISNUMBER(MATCH($BE68,AF$5:AF$501,0)),INDEX(AF$5:AF$501,MATCH($BE68,AF$5:AF$501,0),1),"")</f>
        <v/>
      </c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</row>
    <row r="69" spans="1:78" ht="12" customHeight="1" x14ac:dyDescent="0.25">
      <c r="A69" s="26"/>
      <c r="B69" s="28" t="str">
        <f>IF(ISNUMBER(MATCH(O69,$N$5:$N$1000,0)),MATCH(O69,$N$5:$N$1000,0),"")</f>
        <v/>
      </c>
      <c r="C69" s="15" t="str">
        <f>IF(ISNUMBER(B69),MAX(C$4:C68)+1,"")</f>
        <v/>
      </c>
      <c r="D69" s="15" t="str">
        <f>IF(IF(ISNUMBER(B69),"",MAX(D$4:D68)+1)&lt;=D$3,IF(ISNUMBER(B69),"",MAX(D$4:D68)+1),"")</f>
        <v/>
      </c>
      <c r="E69" s="42" t="str">
        <f>IF(M69&lt;=D$3,MATCH(M69,D$5:D$1000,0),"")</f>
        <v/>
      </c>
      <c r="F69" s="28" t="str">
        <f>IF(ISNUMBER(E69),INDEX($N$5:$N$1000,E69,1),"")</f>
        <v/>
      </c>
      <c r="G69" s="27" t="str">
        <f>IF(ISNUMBER(C69),N69,IF(ISTEXT(N69),INDEX($F$5:$F$1000,MATCH(M69,$E$5:$E$1000,0),1),""))</f>
        <v/>
      </c>
      <c r="H69" s="15" t="str">
        <f>IF(O69="","",IF(ISNUMBER(MATCH(O69,$G$5:$G$1000,0)),"",IF(D69=1,C$3,0)+MAX(H$4:H68)+1))</f>
        <v/>
      </c>
      <c r="I69" s="15" t="str">
        <f>IF(O69="","",IF(ISNUMBER(MATCH(O69,$G$5:$G$1000,0)),"",IF(D69=1,B$4,0)+MAX(I$4:I68)+1))</f>
        <v/>
      </c>
      <c r="J69" s="27" t="str">
        <f>IF(ISNUMBER(MATCH(M69,$I$5:$I$1000,0)),INDEX($O$5:$O$1000,MATCH(M69,$I$5:$I$1000,0),1),"")</f>
        <v/>
      </c>
      <c r="K69" s="27"/>
      <c r="L69" s="26"/>
      <c r="M69" s="14">
        <f>IF(ROW()-ROW(M$4)&lt;=1000,ROW()-ROW(M$4),"")</f>
        <v>65</v>
      </c>
      <c r="N69" s="43"/>
      <c r="O69" s="43"/>
      <c r="P69" s="41" t="str">
        <f>IF(M69&lt;=$B$4,IF(ISTEXT(G69),G69,""),IF(ISTEXT(J69),J69,""))</f>
        <v/>
      </c>
      <c r="Q69" s="16" t="s">
        <v>0</v>
      </c>
      <c r="R69" s="34" t="str">
        <f>IF(ROW()-ROW(R$4)&lt;=AH$3,ROW()-ROW(R$4),"")</f>
        <v/>
      </c>
      <c r="S69" s="34" t="str">
        <f>IF(ROW()-ROW(S$4)&lt;=AI$3,ROW()-ROW(S$4),"")</f>
        <v/>
      </c>
      <c r="T69" s="34" t="str">
        <f>IF(ROW()-ROW(T$4)&lt;=AJ$3,ROW()-ROW(T$4),"")</f>
        <v/>
      </c>
      <c r="U69" s="34" t="str">
        <f>IF(ROW()-ROW(U$4)&lt;=AK$3,ROW()-ROW(U$4),"")</f>
        <v/>
      </c>
      <c r="V69" s="34" t="str">
        <f>IF(ROW()-ROW(V$4)&lt;=AL$3,ROW()-ROW(V$4),"")</f>
        <v/>
      </c>
      <c r="W69" s="34" t="str">
        <f>IF(ROW()-ROW(W$4)&lt;=AM$3,ROW()-ROW(W$4),"")</f>
        <v/>
      </c>
      <c r="X69" s="34" t="str">
        <f>IF(ROW()-ROW(X$4)&lt;=AN$3,ROW()-ROW(X$4),"")</f>
        <v/>
      </c>
      <c r="Y69" s="34"/>
      <c r="Z69" s="35" t="str">
        <f>IF(ISNUMBER(R69),INDEX($BE$5:$BE$2999,MATCH(R69,AH$5:AH$2999,0),1),"")</f>
        <v/>
      </c>
      <c r="AA69" s="35" t="str">
        <f>IF(ISNUMBER(S69),INDEX($BE$5:$BE$2999,MATCH(S69,AI$5:AI$2999,0),1),"")</f>
        <v/>
      </c>
      <c r="AB69" s="35" t="str">
        <f>IF(ISNUMBER(T69),INDEX($BE$5:$BE$2999,MATCH(T69,AJ$5:AJ$2999,0),1),"")</f>
        <v/>
      </c>
      <c r="AC69" s="35" t="str">
        <f>IF(ISNUMBER(U69),INDEX($BE$5:$BE$2999,MATCH(U69,AK$5:AK$2999,0),1),"")</f>
        <v/>
      </c>
      <c r="AD69" s="35" t="str">
        <f>IF(ISNUMBER(V69),INDEX($BE$5:$BE$2999,MATCH(V69,AL$5:AL$2999,0),1),"")</f>
        <v/>
      </c>
      <c r="AE69" s="35" t="str">
        <f>IF(ISNUMBER(W69),INDEX($BE$5:$BE$2999,MATCH(W69,AM$5:AM$2999,0),1),"")</f>
        <v/>
      </c>
      <c r="AF69" s="35" t="str">
        <f>IF(ISNUMBER(X69),INDEX($BE$5:$BE$2999,MATCH(X69,AN$5:AN$2999,0),1),"")</f>
        <v/>
      </c>
      <c r="AG69" s="35"/>
      <c r="AH69" s="34" t="str">
        <f>IF($BE69="","",IF(ISNUMBER(MATCH($BE69,AP$5:AP$29999,0)),MAX(AH$4:AH68)+1,0))</f>
        <v/>
      </c>
      <c r="AI69" s="34" t="str">
        <f>IF($BE69="","",IF(ISNUMBER(MATCH($BE69,AQ$5:AQ$29999,0)),MAX(AI$4:AI68)+1,0))</f>
        <v/>
      </c>
      <c r="AJ69" s="34" t="str">
        <f>IF($BE69="","",IF(ISNUMBER(MATCH($BE69,AR$5:AR$29999,0)),MAX(AJ$4:AJ68)+1,0))</f>
        <v/>
      </c>
      <c r="AK69" s="34" t="str">
        <f>IF($BE69="","",IF(ISNUMBER(MATCH($BE69,AS$5:AS$29999,0)),MAX(AK$4:AK68)+1,0))</f>
        <v/>
      </c>
      <c r="AL69" s="34" t="str">
        <f>IF($BE69="","",IF(ISNUMBER(MATCH($BE69,AT$5:AT$29999,0)),MAX(AL$4:AL68)+1,0))</f>
        <v/>
      </c>
      <c r="AM69" s="34" t="str">
        <f>IF($BE69="","",IF(ISNUMBER(MATCH($BE69,AU$5:AU$29999,0)),MAX(AM$4:AM68)+1,0))</f>
        <v/>
      </c>
      <c r="AN69" s="34" t="str">
        <f>IF($BE69="","",IF(ISNUMBER(MATCH($BE69,AV$5:AV$29999,0)),MAX(AN$4:AN68)+1,0))</f>
        <v/>
      </c>
      <c r="AO69" s="16"/>
      <c r="AP69" s="33"/>
      <c r="AQ69" s="33"/>
      <c r="AR69" s="33"/>
      <c r="AS69" s="33"/>
      <c r="AT69" s="32"/>
      <c r="AU69" s="32"/>
      <c r="AV69" s="32" t="s">
        <v>0</v>
      </c>
      <c r="AW69" s="40"/>
      <c r="AX69" s="20" t="s">
        <v>0</v>
      </c>
      <c r="AY69" s="30"/>
      <c r="AZ69" s="30"/>
      <c r="BA69" s="39" t="s">
        <v>0</v>
      </c>
      <c r="BB69" s="44" t="str">
        <f>IF(ISTEXT(AW69),IF(ISNUMBER(MATCH(AW69,$AY$5:$AY$100,0)),0,MAX(BB$4:BB68)+1),"")</f>
        <v/>
      </c>
      <c r="BC69" s="36" t="str">
        <f>IF(ISTEXT(AY69),MATCH(AY69,$AW$5:$AW$127,0),"")</f>
        <v/>
      </c>
      <c r="BD69" s="36">
        <f>IF(ISNUMBER(BC69),AY69,ROW()-SUM($BC$4:$BD$4))</f>
        <v>28</v>
      </c>
      <c r="BE69" s="20"/>
      <c r="BF69" s="36"/>
      <c r="BG69" s="19" t="str">
        <f>IF(ISNUMBER(MATCH($BE69,Z$5:Z$501,0)),INDEX(Z$5:Z$501,MATCH($BE69,Z$5:Z$501,0),1),"")</f>
        <v/>
      </c>
      <c r="BH69" s="19" t="str">
        <f>IF(ISNUMBER(MATCH($BE69,AA$5:AA$501,0)),INDEX(AA$5:AA$501,MATCH($BE69,AA$5:AA$501,0),1),"")</f>
        <v/>
      </c>
      <c r="BI69" s="19" t="str">
        <f>IF(ISNUMBER(MATCH($BE69,AB$5:AB$501,0)),INDEX(AB$5:AB$501,MATCH($BE69,AB$5:AB$501,0),1),"")</f>
        <v/>
      </c>
      <c r="BJ69" s="19" t="str">
        <f>IF(ISNUMBER(MATCH($BE69,AC$5:AC$501,0)),INDEX(AC$5:AC$501,MATCH($BE69,AC$5:AC$501,0),1),"")</f>
        <v/>
      </c>
      <c r="BK69" s="19" t="str">
        <f>IF(ISNUMBER(MATCH($BE69,AD$5:AD$501,0)),INDEX(AD$5:AD$501,MATCH($BE69,AD$5:AD$501,0),1),"")</f>
        <v/>
      </c>
      <c r="BL69" s="19" t="str">
        <f>IF(ISNUMBER(MATCH($BE69,AE$5:AE$501,0)),INDEX(AE$5:AE$501,MATCH($BE69,AE$5:AE$501,0),1),"")</f>
        <v/>
      </c>
      <c r="BM69" s="19" t="str">
        <f>IF(ISNUMBER(MATCH($BE69,AF$5:AF$501,0)),INDEX(AF$5:AF$501,MATCH($BE69,AF$5:AF$501,0),1),"")</f>
        <v/>
      </c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</row>
    <row r="70" spans="1:78" ht="12" customHeight="1" x14ac:dyDescent="0.25">
      <c r="A70" s="26"/>
      <c r="B70" s="28" t="str">
        <f>IF(ISNUMBER(MATCH(O70,$N$5:$N$1000,0)),MATCH(O70,$N$5:$N$1000,0),"")</f>
        <v/>
      </c>
      <c r="C70" s="15" t="str">
        <f>IF(ISNUMBER(B70),MAX(C$4:C69)+1,"")</f>
        <v/>
      </c>
      <c r="D70" s="15" t="str">
        <f>IF(IF(ISNUMBER(B70),"",MAX(D$4:D69)+1)&lt;=D$3,IF(ISNUMBER(B70),"",MAX(D$4:D69)+1),"")</f>
        <v/>
      </c>
      <c r="E70" s="42" t="str">
        <f>IF(M70&lt;=D$3,MATCH(M70,D$5:D$1000,0),"")</f>
        <v/>
      </c>
      <c r="F70" s="28" t="str">
        <f>IF(ISNUMBER(E70),INDEX($N$5:$N$1000,E70,1),"")</f>
        <v/>
      </c>
      <c r="G70" s="27" t="str">
        <f>IF(ISNUMBER(C70),N70,IF(ISTEXT(N70),INDEX($F$5:$F$1000,MATCH(M70,$E$5:$E$1000,0),1),""))</f>
        <v/>
      </c>
      <c r="H70" s="15" t="str">
        <f>IF(O70="","",IF(ISNUMBER(MATCH(O70,$G$5:$G$1000,0)),"",IF(D70=1,C$3,0)+MAX(H$4:H69)+1))</f>
        <v/>
      </c>
      <c r="I70" s="15" t="str">
        <f>IF(O70="","",IF(ISNUMBER(MATCH(O70,$G$5:$G$1000,0)),"",IF(D70=1,B$4,0)+MAX(I$4:I69)+1))</f>
        <v/>
      </c>
      <c r="J70" s="27" t="str">
        <f>IF(ISNUMBER(MATCH(M70,$I$5:$I$1000,0)),INDEX($O$5:$O$1000,MATCH(M70,$I$5:$I$1000,0),1),"")</f>
        <v/>
      </c>
      <c r="K70" s="27"/>
      <c r="L70" s="26"/>
      <c r="M70" s="14">
        <f>IF(ROW()-ROW(M$4)&lt;=1000,ROW()-ROW(M$4),"")</f>
        <v>66</v>
      </c>
      <c r="N70" s="43"/>
      <c r="O70" s="43"/>
      <c r="P70" s="41" t="str">
        <f>IF(M70&lt;=$B$4,IF(ISTEXT(G70),G70,""),IF(ISTEXT(J70),J70,""))</f>
        <v/>
      </c>
      <c r="Q70" s="16" t="s">
        <v>0</v>
      </c>
      <c r="R70" s="34" t="str">
        <f>IF(ROW()-ROW(R$4)&lt;=AH$3,ROW()-ROW(R$4),"")</f>
        <v/>
      </c>
      <c r="S70" s="34" t="str">
        <f>IF(ROW()-ROW(S$4)&lt;=AI$3,ROW()-ROW(S$4),"")</f>
        <v/>
      </c>
      <c r="T70" s="34" t="str">
        <f>IF(ROW()-ROW(T$4)&lt;=AJ$3,ROW()-ROW(T$4),"")</f>
        <v/>
      </c>
      <c r="U70" s="34" t="str">
        <f>IF(ROW()-ROW(U$4)&lt;=AK$3,ROW()-ROW(U$4),"")</f>
        <v/>
      </c>
      <c r="V70" s="34" t="str">
        <f>IF(ROW()-ROW(V$4)&lt;=AL$3,ROW()-ROW(V$4),"")</f>
        <v/>
      </c>
      <c r="W70" s="34" t="str">
        <f>IF(ROW()-ROW(W$4)&lt;=AM$3,ROW()-ROW(W$4),"")</f>
        <v/>
      </c>
      <c r="X70" s="34" t="str">
        <f>IF(ROW()-ROW(X$4)&lt;=AN$3,ROW()-ROW(X$4),"")</f>
        <v/>
      </c>
      <c r="Y70" s="34"/>
      <c r="Z70" s="35" t="str">
        <f>IF(ISNUMBER(R70),INDEX($BE$5:$BE$2999,MATCH(R70,AH$5:AH$2999,0),1),"")</f>
        <v/>
      </c>
      <c r="AA70" s="35" t="str">
        <f>IF(ISNUMBER(S70),INDEX($BE$5:$BE$2999,MATCH(S70,AI$5:AI$2999,0),1),"")</f>
        <v/>
      </c>
      <c r="AB70" s="35" t="str">
        <f>IF(ISNUMBER(T70),INDEX($BE$5:$BE$2999,MATCH(T70,AJ$5:AJ$2999,0),1),"")</f>
        <v/>
      </c>
      <c r="AC70" s="35" t="str">
        <f>IF(ISNUMBER(U70),INDEX($BE$5:$BE$2999,MATCH(U70,AK$5:AK$2999,0),1),"")</f>
        <v/>
      </c>
      <c r="AD70" s="35" t="str">
        <f>IF(ISNUMBER(V70),INDEX($BE$5:$BE$2999,MATCH(V70,AL$5:AL$2999,0),1),"")</f>
        <v/>
      </c>
      <c r="AE70" s="35" t="str">
        <f>IF(ISNUMBER(W70),INDEX($BE$5:$BE$2999,MATCH(W70,AM$5:AM$2999,0),1),"")</f>
        <v/>
      </c>
      <c r="AF70" s="35" t="str">
        <f>IF(ISNUMBER(X70),INDEX($BE$5:$BE$2999,MATCH(X70,AN$5:AN$2999,0),1),"")</f>
        <v/>
      </c>
      <c r="AG70" s="35"/>
      <c r="AH70" s="34" t="str">
        <f>IF($BE70="","",IF(ISNUMBER(MATCH($BE70,AP$5:AP$29999,0)),MAX(AH$4:AH69)+1,0))</f>
        <v/>
      </c>
      <c r="AI70" s="34" t="str">
        <f>IF($BE70="","",IF(ISNUMBER(MATCH($BE70,AQ$5:AQ$29999,0)),MAX(AI$4:AI69)+1,0))</f>
        <v/>
      </c>
      <c r="AJ70" s="34" t="str">
        <f>IF($BE70="","",IF(ISNUMBER(MATCH($BE70,AR$5:AR$29999,0)),MAX(AJ$4:AJ69)+1,0))</f>
        <v/>
      </c>
      <c r="AK70" s="34" t="str">
        <f>IF($BE70="","",IF(ISNUMBER(MATCH($BE70,AS$5:AS$29999,0)),MAX(AK$4:AK69)+1,0))</f>
        <v/>
      </c>
      <c r="AL70" s="34" t="str">
        <f>IF($BE70="","",IF(ISNUMBER(MATCH($BE70,AT$5:AT$29999,0)),MAX(AL$4:AL69)+1,0))</f>
        <v/>
      </c>
      <c r="AM70" s="34" t="str">
        <f>IF($BE70="","",IF(ISNUMBER(MATCH($BE70,AU$5:AU$29999,0)),MAX(AM$4:AM69)+1,0))</f>
        <v/>
      </c>
      <c r="AN70" s="34" t="str">
        <f>IF($BE70="","",IF(ISNUMBER(MATCH($BE70,AV$5:AV$29999,0)),MAX(AN$4:AN69)+1,0))</f>
        <v/>
      </c>
      <c r="AO70" s="16"/>
      <c r="AP70" s="33"/>
      <c r="AQ70" s="33"/>
      <c r="AR70" s="33"/>
      <c r="AS70" s="33"/>
      <c r="AT70" s="32"/>
      <c r="AU70" s="32"/>
      <c r="AV70" s="32" t="s">
        <v>0</v>
      </c>
      <c r="AW70" s="40"/>
      <c r="AX70" s="20" t="s">
        <v>0</v>
      </c>
      <c r="AY70" s="30"/>
      <c r="AZ70" s="30"/>
      <c r="BA70" s="39" t="s">
        <v>0</v>
      </c>
      <c r="BB70" s="44" t="str">
        <f>IF(ISTEXT(AW70),IF(ISNUMBER(MATCH(AW70,$AY$5:$AY$100,0)),0,MAX(BB$4:BB69)+1),"")</f>
        <v/>
      </c>
      <c r="BC70" s="36" t="str">
        <f>IF(ISTEXT(AY70),MATCH(AY70,$AW$5:$AW$127,0),"")</f>
        <v/>
      </c>
      <c r="BD70" s="36">
        <f>IF(ISNUMBER(BC70),AY70,ROW()-SUM($BC$4:$BD$4))</f>
        <v>29</v>
      </c>
      <c r="BE70" s="20"/>
      <c r="BF70" s="36"/>
      <c r="BG70" s="19" t="str">
        <f>IF(ISNUMBER(MATCH($BE70,Z$5:Z$501,0)),INDEX(Z$5:Z$501,MATCH($BE70,Z$5:Z$501,0),1),"")</f>
        <v/>
      </c>
      <c r="BH70" s="19" t="str">
        <f>IF(ISNUMBER(MATCH($BE70,AA$5:AA$501,0)),INDEX(AA$5:AA$501,MATCH($BE70,AA$5:AA$501,0),1),"")</f>
        <v/>
      </c>
      <c r="BI70" s="19" t="str">
        <f>IF(ISNUMBER(MATCH($BE70,AB$5:AB$501,0)),INDEX(AB$5:AB$501,MATCH($BE70,AB$5:AB$501,0),1),"")</f>
        <v/>
      </c>
      <c r="BJ70" s="19" t="str">
        <f>IF(ISNUMBER(MATCH($BE70,AC$5:AC$501,0)),INDEX(AC$5:AC$501,MATCH($BE70,AC$5:AC$501,0),1),"")</f>
        <v/>
      </c>
      <c r="BK70" s="19" t="str">
        <f>IF(ISNUMBER(MATCH($BE70,AD$5:AD$501,0)),INDEX(AD$5:AD$501,MATCH($BE70,AD$5:AD$501,0),1),"")</f>
        <v/>
      </c>
      <c r="BL70" s="19" t="str">
        <f>IF(ISNUMBER(MATCH($BE70,AE$5:AE$501,0)),INDEX(AE$5:AE$501,MATCH($BE70,AE$5:AE$501,0),1),"")</f>
        <v/>
      </c>
      <c r="BM70" s="19" t="str">
        <f>IF(ISNUMBER(MATCH($BE70,AF$5:AF$501,0)),INDEX(AF$5:AF$501,MATCH($BE70,AF$5:AF$501,0),1),"")</f>
        <v/>
      </c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</row>
    <row r="71" spans="1:78" ht="12" customHeight="1" x14ac:dyDescent="0.25">
      <c r="A71" s="26"/>
      <c r="B71" s="28" t="str">
        <f>IF(ISNUMBER(MATCH(O71,$N$5:$N$1000,0)),MATCH(O71,$N$5:$N$1000,0),"")</f>
        <v/>
      </c>
      <c r="C71" s="15" t="str">
        <f>IF(ISNUMBER(B71),MAX(C$4:C70)+1,"")</f>
        <v/>
      </c>
      <c r="D71" s="15" t="str">
        <f>IF(IF(ISNUMBER(B71),"",MAX(D$4:D70)+1)&lt;=D$3,IF(ISNUMBER(B71),"",MAX(D$4:D70)+1),"")</f>
        <v/>
      </c>
      <c r="E71" s="42" t="str">
        <f>IF(M71&lt;=D$3,MATCH(M71,D$5:D$1000,0),"")</f>
        <v/>
      </c>
      <c r="F71" s="28" t="str">
        <f>IF(ISNUMBER(E71),INDEX($N$5:$N$1000,E71,1),"")</f>
        <v/>
      </c>
      <c r="G71" s="27" t="str">
        <f>IF(ISNUMBER(C71),N71,IF(ISTEXT(N71),INDEX($F$5:$F$1000,MATCH(M71,$E$5:$E$1000,0),1),""))</f>
        <v/>
      </c>
      <c r="H71" s="15" t="str">
        <f>IF(O71="","",IF(ISNUMBER(MATCH(O71,$G$5:$G$1000,0)),"",IF(D71=1,C$3,0)+MAX(H$4:H70)+1))</f>
        <v/>
      </c>
      <c r="I71" s="15" t="str">
        <f>IF(O71="","",IF(ISNUMBER(MATCH(O71,$G$5:$G$1000,0)),"",IF(D71=1,B$4,0)+MAX(I$4:I70)+1))</f>
        <v/>
      </c>
      <c r="J71" s="27" t="str">
        <f>IF(ISNUMBER(MATCH(M71,$I$5:$I$1000,0)),INDEX($O$5:$O$1000,MATCH(M71,$I$5:$I$1000,0),1),"")</f>
        <v/>
      </c>
      <c r="K71" s="27"/>
      <c r="L71" s="26"/>
      <c r="M71" s="14">
        <f>IF(ROW()-ROW(M$4)&lt;=1000,ROW()-ROW(M$4),"")</f>
        <v>67</v>
      </c>
      <c r="N71" s="43"/>
      <c r="O71" s="43"/>
      <c r="P71" s="41" t="str">
        <f>IF(M71&lt;=$B$4,IF(ISTEXT(G71),G71,""),IF(ISTEXT(J71),J71,""))</f>
        <v/>
      </c>
      <c r="Q71" s="16" t="s">
        <v>0</v>
      </c>
      <c r="R71" s="34" t="str">
        <f>IF(ROW()-ROW(R$4)&lt;=AH$3,ROW()-ROW(R$4),"")</f>
        <v/>
      </c>
      <c r="S71" s="34" t="str">
        <f>IF(ROW()-ROW(S$4)&lt;=AI$3,ROW()-ROW(S$4),"")</f>
        <v/>
      </c>
      <c r="T71" s="34" t="str">
        <f>IF(ROW()-ROW(T$4)&lt;=AJ$3,ROW()-ROW(T$4),"")</f>
        <v/>
      </c>
      <c r="U71" s="34" t="str">
        <f>IF(ROW()-ROW(U$4)&lt;=AK$3,ROW()-ROW(U$4),"")</f>
        <v/>
      </c>
      <c r="V71" s="34" t="str">
        <f>IF(ROW()-ROW(V$4)&lt;=AL$3,ROW()-ROW(V$4),"")</f>
        <v/>
      </c>
      <c r="W71" s="34" t="str">
        <f>IF(ROW()-ROW(W$4)&lt;=AM$3,ROW()-ROW(W$4),"")</f>
        <v/>
      </c>
      <c r="X71" s="34" t="str">
        <f>IF(ROW()-ROW(X$4)&lt;=AN$3,ROW()-ROW(X$4),"")</f>
        <v/>
      </c>
      <c r="Y71" s="34"/>
      <c r="Z71" s="35" t="str">
        <f>IF(ISNUMBER(R71),INDEX($BE$5:$BE$2999,MATCH(R71,AH$5:AH$2999,0),1),"")</f>
        <v/>
      </c>
      <c r="AA71" s="35" t="str">
        <f>IF(ISNUMBER(S71),INDEX($BE$5:$BE$2999,MATCH(S71,AI$5:AI$2999,0),1),"")</f>
        <v/>
      </c>
      <c r="AB71" s="35" t="str">
        <f>IF(ISNUMBER(T71),INDEX($BE$5:$BE$2999,MATCH(T71,AJ$5:AJ$2999,0),1),"")</f>
        <v/>
      </c>
      <c r="AC71" s="35" t="str">
        <f>IF(ISNUMBER(U71),INDEX($BE$5:$BE$2999,MATCH(U71,AK$5:AK$2999,0),1),"")</f>
        <v/>
      </c>
      <c r="AD71" s="35" t="str">
        <f>IF(ISNUMBER(V71),INDEX($BE$5:$BE$2999,MATCH(V71,AL$5:AL$2999,0),1),"")</f>
        <v/>
      </c>
      <c r="AE71" s="35" t="str">
        <f>IF(ISNUMBER(W71),INDEX($BE$5:$BE$2999,MATCH(W71,AM$5:AM$2999,0),1),"")</f>
        <v/>
      </c>
      <c r="AF71" s="35" t="str">
        <f>IF(ISNUMBER(X71),INDEX($BE$5:$BE$2999,MATCH(X71,AN$5:AN$2999,0),1),"")</f>
        <v/>
      </c>
      <c r="AG71" s="35"/>
      <c r="AH71" s="34" t="str">
        <f>IF($BE71="","",IF(ISNUMBER(MATCH($BE71,AP$5:AP$29999,0)),MAX(AH$4:AH70)+1,0))</f>
        <v/>
      </c>
      <c r="AI71" s="34" t="str">
        <f>IF($BE71="","",IF(ISNUMBER(MATCH($BE71,AQ$5:AQ$29999,0)),MAX(AI$4:AI70)+1,0))</f>
        <v/>
      </c>
      <c r="AJ71" s="34" t="str">
        <f>IF($BE71="","",IF(ISNUMBER(MATCH($BE71,AR$5:AR$29999,0)),MAX(AJ$4:AJ70)+1,0))</f>
        <v/>
      </c>
      <c r="AK71" s="34" t="str">
        <f>IF($BE71="","",IF(ISNUMBER(MATCH($BE71,AS$5:AS$29999,0)),MAX(AK$4:AK70)+1,0))</f>
        <v/>
      </c>
      <c r="AL71" s="34" t="str">
        <f>IF($BE71="","",IF(ISNUMBER(MATCH($BE71,AT$5:AT$29999,0)),MAX(AL$4:AL70)+1,0))</f>
        <v/>
      </c>
      <c r="AM71" s="34" t="str">
        <f>IF($BE71="","",IF(ISNUMBER(MATCH($BE71,AU$5:AU$29999,0)),MAX(AM$4:AM70)+1,0))</f>
        <v/>
      </c>
      <c r="AN71" s="34" t="str">
        <f>IF($BE71="","",IF(ISNUMBER(MATCH($BE71,AV$5:AV$29999,0)),MAX(AN$4:AN70)+1,0))</f>
        <v/>
      </c>
      <c r="AO71" s="16"/>
      <c r="AP71" s="33"/>
      <c r="AQ71" s="33"/>
      <c r="AR71" s="33"/>
      <c r="AS71" s="33"/>
      <c r="AT71" s="32"/>
      <c r="AU71" s="32"/>
      <c r="AV71" s="32" t="s">
        <v>0</v>
      </c>
      <c r="AW71" s="40"/>
      <c r="AX71" s="20" t="s">
        <v>0</v>
      </c>
      <c r="AY71" s="30"/>
      <c r="AZ71" s="30"/>
      <c r="BA71" s="39" t="s">
        <v>0</v>
      </c>
      <c r="BB71" s="44" t="str">
        <f>IF(ISTEXT(AW71),IF(ISNUMBER(MATCH(AW71,$AY$5:$AY$100,0)),0,MAX(BB$4:BB70)+1),"")</f>
        <v/>
      </c>
      <c r="BC71" s="36" t="str">
        <f>IF(ISTEXT(AY71),MATCH(AY71,$AW$5:$AW$127,0),"")</f>
        <v/>
      </c>
      <c r="BD71" s="36">
        <f>IF(ISNUMBER(BC71),AY71,ROW()-SUM($BC$4:$BD$4))</f>
        <v>30</v>
      </c>
      <c r="BE71" s="20"/>
      <c r="BF71" s="36"/>
      <c r="BG71" s="19" t="str">
        <f>IF(ISNUMBER(MATCH($BE71,Z$5:Z$501,0)),INDEX(Z$5:Z$501,MATCH($BE71,Z$5:Z$501,0),1),"")</f>
        <v/>
      </c>
      <c r="BH71" s="19" t="str">
        <f>IF(ISNUMBER(MATCH($BE71,AA$5:AA$501,0)),INDEX(AA$5:AA$501,MATCH($BE71,AA$5:AA$501,0),1),"")</f>
        <v/>
      </c>
      <c r="BI71" s="19" t="str">
        <f>IF(ISNUMBER(MATCH($BE71,AB$5:AB$501,0)),INDEX(AB$5:AB$501,MATCH($BE71,AB$5:AB$501,0),1),"")</f>
        <v/>
      </c>
      <c r="BJ71" s="19" t="str">
        <f>IF(ISNUMBER(MATCH($BE71,AC$5:AC$501,0)),INDEX(AC$5:AC$501,MATCH($BE71,AC$5:AC$501,0),1),"")</f>
        <v/>
      </c>
      <c r="BK71" s="19" t="str">
        <f>IF(ISNUMBER(MATCH($BE71,AD$5:AD$501,0)),INDEX(AD$5:AD$501,MATCH($BE71,AD$5:AD$501,0),1),"")</f>
        <v/>
      </c>
      <c r="BL71" s="19" t="str">
        <f>IF(ISNUMBER(MATCH($BE71,AE$5:AE$501,0)),INDEX(AE$5:AE$501,MATCH($BE71,AE$5:AE$501,0),1),"")</f>
        <v/>
      </c>
      <c r="BM71" s="19" t="str">
        <f>IF(ISNUMBER(MATCH($BE71,AF$5:AF$501,0)),INDEX(AF$5:AF$501,MATCH($BE71,AF$5:AF$501,0),1),"")</f>
        <v/>
      </c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</row>
    <row r="72" spans="1:78" ht="12" customHeight="1" x14ac:dyDescent="0.25">
      <c r="A72" s="26"/>
      <c r="B72" s="28" t="str">
        <f>IF(ISNUMBER(MATCH(O72,$N$5:$N$1000,0)),MATCH(O72,$N$5:$N$1000,0),"")</f>
        <v/>
      </c>
      <c r="C72" s="15" t="str">
        <f>IF(ISNUMBER(B72),MAX(C$4:C71)+1,"")</f>
        <v/>
      </c>
      <c r="D72" s="15" t="str">
        <f>IF(IF(ISNUMBER(B72),"",MAX(D$4:D71)+1)&lt;=D$3,IF(ISNUMBER(B72),"",MAX(D$4:D71)+1),"")</f>
        <v/>
      </c>
      <c r="E72" s="42" t="str">
        <f>IF(M72&lt;=D$3,MATCH(M72,D$5:D$1000,0),"")</f>
        <v/>
      </c>
      <c r="F72" s="28" t="str">
        <f>IF(ISNUMBER(E72),INDEX($N$5:$N$1000,E72,1),"")</f>
        <v/>
      </c>
      <c r="G72" s="27" t="str">
        <f>IF(ISNUMBER(C72),N72,IF(ISTEXT(N72),INDEX($F$5:$F$1000,MATCH(M72,$E$5:$E$1000,0),1),""))</f>
        <v/>
      </c>
      <c r="H72" s="15" t="str">
        <f>IF(O72="","",IF(ISNUMBER(MATCH(O72,$G$5:$G$1000,0)),"",IF(D72=1,C$3,0)+MAX(H$4:H71)+1))</f>
        <v/>
      </c>
      <c r="I72" s="15" t="str">
        <f>IF(O72="","",IF(ISNUMBER(MATCH(O72,$G$5:$G$1000,0)),"",IF(D72=1,B$4,0)+MAX(I$4:I71)+1))</f>
        <v/>
      </c>
      <c r="J72" s="27" t="str">
        <f>IF(ISNUMBER(MATCH(M72,$I$5:$I$1000,0)),INDEX($O$5:$O$1000,MATCH(M72,$I$5:$I$1000,0),1),"")</f>
        <v/>
      </c>
      <c r="K72" s="27"/>
      <c r="L72" s="26"/>
      <c r="M72" s="14">
        <f>IF(ROW()-ROW(M$4)&lt;=1000,ROW()-ROW(M$4),"")</f>
        <v>68</v>
      </c>
      <c r="N72" s="43"/>
      <c r="O72" s="43"/>
      <c r="P72" s="41" t="str">
        <f>IF(M72&lt;=$B$4,IF(ISTEXT(G72),G72,""),IF(ISTEXT(J72),J72,""))</f>
        <v/>
      </c>
      <c r="Q72" s="16" t="s">
        <v>0</v>
      </c>
      <c r="R72" s="34" t="str">
        <f>IF(ROW()-ROW(R$4)&lt;=AH$3,ROW()-ROW(R$4),"")</f>
        <v/>
      </c>
      <c r="S72" s="34" t="str">
        <f>IF(ROW()-ROW(S$4)&lt;=AI$3,ROW()-ROW(S$4),"")</f>
        <v/>
      </c>
      <c r="T72" s="34" t="str">
        <f>IF(ROW()-ROW(T$4)&lt;=AJ$3,ROW()-ROW(T$4),"")</f>
        <v/>
      </c>
      <c r="U72" s="34" t="str">
        <f>IF(ROW()-ROW(U$4)&lt;=AK$3,ROW()-ROW(U$4),"")</f>
        <v/>
      </c>
      <c r="V72" s="34" t="str">
        <f>IF(ROW()-ROW(V$4)&lt;=AL$3,ROW()-ROW(V$4),"")</f>
        <v/>
      </c>
      <c r="W72" s="34" t="str">
        <f>IF(ROW()-ROW(W$4)&lt;=AM$3,ROW()-ROW(W$4),"")</f>
        <v/>
      </c>
      <c r="X72" s="34" t="str">
        <f>IF(ROW()-ROW(X$4)&lt;=AN$3,ROW()-ROW(X$4),"")</f>
        <v/>
      </c>
      <c r="Y72" s="34"/>
      <c r="Z72" s="35" t="str">
        <f>IF(ISNUMBER(R72),INDEX($BE$5:$BE$2999,MATCH(R72,AH$5:AH$2999,0),1),"")</f>
        <v/>
      </c>
      <c r="AA72" s="35" t="str">
        <f>IF(ISNUMBER(S72),INDEX($BE$5:$BE$2999,MATCH(S72,AI$5:AI$2999,0),1),"")</f>
        <v/>
      </c>
      <c r="AB72" s="35" t="str">
        <f>IF(ISNUMBER(T72),INDEX($BE$5:$BE$2999,MATCH(T72,AJ$5:AJ$2999,0),1),"")</f>
        <v/>
      </c>
      <c r="AC72" s="35" t="str">
        <f>IF(ISNUMBER(U72),INDEX($BE$5:$BE$2999,MATCH(U72,AK$5:AK$2999,0),1),"")</f>
        <v/>
      </c>
      <c r="AD72" s="35" t="str">
        <f>IF(ISNUMBER(V72),INDEX($BE$5:$BE$2999,MATCH(V72,AL$5:AL$2999,0),1),"")</f>
        <v/>
      </c>
      <c r="AE72" s="35" t="str">
        <f>IF(ISNUMBER(W72),INDEX($BE$5:$BE$2999,MATCH(W72,AM$5:AM$2999,0),1),"")</f>
        <v/>
      </c>
      <c r="AF72" s="35" t="str">
        <f>IF(ISNUMBER(X72),INDEX($BE$5:$BE$2999,MATCH(X72,AN$5:AN$2999,0),1),"")</f>
        <v/>
      </c>
      <c r="AG72" s="35"/>
      <c r="AH72" s="34" t="str">
        <f>IF($BE72="","",IF(ISNUMBER(MATCH($BE72,AP$5:AP$29999,0)),MAX(AH$4:AH71)+1,0))</f>
        <v/>
      </c>
      <c r="AI72" s="34" t="str">
        <f>IF($BE72="","",IF(ISNUMBER(MATCH($BE72,AQ$5:AQ$29999,0)),MAX(AI$4:AI71)+1,0))</f>
        <v/>
      </c>
      <c r="AJ72" s="34" t="str">
        <f>IF($BE72="","",IF(ISNUMBER(MATCH($BE72,AR$5:AR$29999,0)),MAX(AJ$4:AJ71)+1,0))</f>
        <v/>
      </c>
      <c r="AK72" s="34" t="str">
        <f>IF($BE72="","",IF(ISNUMBER(MATCH($BE72,AS$5:AS$29999,0)),MAX(AK$4:AK71)+1,0))</f>
        <v/>
      </c>
      <c r="AL72" s="34" t="str">
        <f>IF($BE72="","",IF(ISNUMBER(MATCH($BE72,AT$5:AT$29999,0)),MAX(AL$4:AL71)+1,0))</f>
        <v/>
      </c>
      <c r="AM72" s="34" t="str">
        <f>IF($BE72="","",IF(ISNUMBER(MATCH($BE72,AU$5:AU$29999,0)),MAX(AM$4:AM71)+1,0))</f>
        <v/>
      </c>
      <c r="AN72" s="34" t="str">
        <f>IF($BE72="","",IF(ISNUMBER(MATCH($BE72,AV$5:AV$29999,0)),MAX(AN$4:AN71)+1,0))</f>
        <v/>
      </c>
      <c r="AO72" s="16"/>
      <c r="AP72" s="33"/>
      <c r="AQ72" s="33"/>
      <c r="AR72" s="33"/>
      <c r="AS72" s="33"/>
      <c r="AT72" s="32"/>
      <c r="AU72" s="32"/>
      <c r="AV72" s="32" t="s">
        <v>0</v>
      </c>
      <c r="AW72" s="40"/>
      <c r="AX72" s="20" t="s">
        <v>0</v>
      </c>
      <c r="AY72" s="30"/>
      <c r="AZ72" s="30"/>
      <c r="BA72" s="39" t="s">
        <v>0</v>
      </c>
      <c r="BB72" s="44" t="str">
        <f>IF(ISTEXT(AW72),IF(ISNUMBER(MATCH(AW72,$AY$5:$AY$100,0)),0,MAX(BB$4:BB71)+1),"")</f>
        <v/>
      </c>
      <c r="BC72" s="36" t="str">
        <f>IF(ISTEXT(AY72),MATCH(AY72,$AW$5:$AW$127,0),"")</f>
        <v/>
      </c>
      <c r="BD72" s="36">
        <f>IF(ISNUMBER(BC72),AY72,ROW()-SUM($BC$4:$BD$4))</f>
        <v>31</v>
      </c>
      <c r="BE72" s="20"/>
      <c r="BF72" s="36"/>
      <c r="BG72" s="19" t="str">
        <f>IF(ISNUMBER(MATCH($BE72,Z$5:Z$501,0)),INDEX(Z$5:Z$501,MATCH($BE72,Z$5:Z$501,0),1),"")</f>
        <v/>
      </c>
      <c r="BH72" s="19" t="str">
        <f>IF(ISNUMBER(MATCH($BE72,AA$5:AA$501,0)),INDEX(AA$5:AA$501,MATCH($BE72,AA$5:AA$501,0),1),"")</f>
        <v/>
      </c>
      <c r="BI72" s="19" t="str">
        <f>IF(ISNUMBER(MATCH($BE72,AB$5:AB$501,0)),INDEX(AB$5:AB$501,MATCH($BE72,AB$5:AB$501,0),1),"")</f>
        <v/>
      </c>
      <c r="BJ72" s="19" t="str">
        <f>IF(ISNUMBER(MATCH($BE72,AC$5:AC$501,0)),INDEX(AC$5:AC$501,MATCH($BE72,AC$5:AC$501,0),1),"")</f>
        <v/>
      </c>
      <c r="BK72" s="19" t="str">
        <f>IF(ISNUMBER(MATCH($BE72,AD$5:AD$501,0)),INDEX(AD$5:AD$501,MATCH($BE72,AD$5:AD$501,0),1),"")</f>
        <v/>
      </c>
      <c r="BL72" s="19" t="str">
        <f>IF(ISNUMBER(MATCH($BE72,AE$5:AE$501,0)),INDEX(AE$5:AE$501,MATCH($BE72,AE$5:AE$501,0),1),"")</f>
        <v/>
      </c>
      <c r="BM72" s="19" t="str">
        <f>IF(ISNUMBER(MATCH($BE72,AF$5:AF$501,0)),INDEX(AF$5:AF$501,MATCH($BE72,AF$5:AF$501,0),1),"")</f>
        <v/>
      </c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</row>
    <row r="73" spans="1:78" ht="12" customHeight="1" x14ac:dyDescent="0.25">
      <c r="A73" s="26"/>
      <c r="B73" s="28" t="str">
        <f>IF(ISNUMBER(MATCH(O73,$N$5:$N$1000,0)),MATCH(O73,$N$5:$N$1000,0),"")</f>
        <v/>
      </c>
      <c r="C73" s="15" t="str">
        <f>IF(ISNUMBER(B73),MAX(C$4:C72)+1,"")</f>
        <v/>
      </c>
      <c r="D73" s="15" t="str">
        <f>IF(IF(ISNUMBER(B73),"",MAX(D$4:D72)+1)&lt;=D$3,IF(ISNUMBER(B73),"",MAX(D$4:D72)+1),"")</f>
        <v/>
      </c>
      <c r="E73" s="42" t="str">
        <f>IF(M73&lt;=D$3,MATCH(M73,D$5:D$1000,0),"")</f>
        <v/>
      </c>
      <c r="F73" s="28" t="str">
        <f>IF(ISNUMBER(E73),INDEX($N$5:$N$1000,E73,1),"")</f>
        <v/>
      </c>
      <c r="G73" s="27" t="str">
        <f>IF(ISNUMBER(C73),N73,IF(ISTEXT(N73),INDEX($F$5:$F$1000,MATCH(M73,$E$5:$E$1000,0),1),""))</f>
        <v/>
      </c>
      <c r="H73" s="15" t="str">
        <f>IF(O73="","",IF(ISNUMBER(MATCH(O73,$G$5:$G$1000,0)),"",IF(D73=1,C$3,0)+MAX(H$4:H72)+1))</f>
        <v/>
      </c>
      <c r="I73" s="15" t="str">
        <f>IF(O73="","",IF(ISNUMBER(MATCH(O73,$G$5:$G$1000,0)),"",IF(D73=1,B$4,0)+MAX(I$4:I72)+1))</f>
        <v/>
      </c>
      <c r="J73" s="27" t="str">
        <f>IF(ISNUMBER(MATCH(M73,$I$5:$I$1000,0)),INDEX($O$5:$O$1000,MATCH(M73,$I$5:$I$1000,0),1),"")</f>
        <v/>
      </c>
      <c r="K73" s="27"/>
      <c r="L73" s="26"/>
      <c r="M73" s="14">
        <f>IF(ROW()-ROW(M$4)&lt;=1000,ROW()-ROW(M$4),"")</f>
        <v>69</v>
      </c>
      <c r="N73" s="43"/>
      <c r="O73" s="43"/>
      <c r="P73" s="41" t="str">
        <f>IF(M73&lt;=$B$4,IF(ISTEXT(G73),G73,""),IF(ISTEXT(J73),J73,""))</f>
        <v/>
      </c>
      <c r="Q73" s="16" t="s">
        <v>0</v>
      </c>
      <c r="R73" s="34" t="str">
        <f>IF(ROW()-ROW(R$4)&lt;=AH$3,ROW()-ROW(R$4),"")</f>
        <v/>
      </c>
      <c r="S73" s="34" t="str">
        <f>IF(ROW()-ROW(S$4)&lt;=AI$3,ROW()-ROW(S$4),"")</f>
        <v/>
      </c>
      <c r="T73" s="34" t="str">
        <f>IF(ROW()-ROW(T$4)&lt;=AJ$3,ROW()-ROW(T$4),"")</f>
        <v/>
      </c>
      <c r="U73" s="34" t="str">
        <f>IF(ROW()-ROW(U$4)&lt;=AK$3,ROW()-ROW(U$4),"")</f>
        <v/>
      </c>
      <c r="V73" s="34" t="str">
        <f>IF(ROW()-ROW(V$4)&lt;=AL$3,ROW()-ROW(V$4),"")</f>
        <v/>
      </c>
      <c r="W73" s="34" t="str">
        <f>IF(ROW()-ROW(W$4)&lt;=AM$3,ROW()-ROW(W$4),"")</f>
        <v/>
      </c>
      <c r="X73" s="34" t="str">
        <f>IF(ROW()-ROW(X$4)&lt;=AN$3,ROW()-ROW(X$4),"")</f>
        <v/>
      </c>
      <c r="Y73" s="34"/>
      <c r="Z73" s="35" t="str">
        <f>IF(ISNUMBER(R73),INDEX($BE$5:$BE$2999,MATCH(R73,AH$5:AH$2999,0),1),"")</f>
        <v/>
      </c>
      <c r="AA73" s="35" t="str">
        <f>IF(ISNUMBER(S73),INDEX($BE$5:$BE$2999,MATCH(S73,AI$5:AI$2999,0),1),"")</f>
        <v/>
      </c>
      <c r="AB73" s="35" t="str">
        <f>IF(ISNUMBER(T73),INDEX($BE$5:$BE$2999,MATCH(T73,AJ$5:AJ$2999,0),1),"")</f>
        <v/>
      </c>
      <c r="AC73" s="35" t="str">
        <f>IF(ISNUMBER(U73),INDEX($BE$5:$BE$2999,MATCH(U73,AK$5:AK$2999,0),1),"")</f>
        <v/>
      </c>
      <c r="AD73" s="35" t="str">
        <f>IF(ISNUMBER(V73),INDEX($BE$5:$BE$2999,MATCH(V73,AL$5:AL$2999,0),1),"")</f>
        <v/>
      </c>
      <c r="AE73" s="35" t="str">
        <f>IF(ISNUMBER(W73),INDEX($BE$5:$BE$2999,MATCH(W73,AM$5:AM$2999,0),1),"")</f>
        <v/>
      </c>
      <c r="AF73" s="35" t="str">
        <f>IF(ISNUMBER(X73),INDEX($BE$5:$BE$2999,MATCH(X73,AN$5:AN$2999,0),1),"")</f>
        <v/>
      </c>
      <c r="AG73" s="35"/>
      <c r="AH73" s="34" t="str">
        <f>IF($BE73="","",IF(ISNUMBER(MATCH($BE73,AP$5:AP$29999,0)),MAX(AH$4:AH72)+1,0))</f>
        <v/>
      </c>
      <c r="AI73" s="34" t="str">
        <f>IF($BE73="","",IF(ISNUMBER(MATCH($BE73,AQ$5:AQ$29999,0)),MAX(AI$4:AI72)+1,0))</f>
        <v/>
      </c>
      <c r="AJ73" s="34" t="str">
        <f>IF($BE73="","",IF(ISNUMBER(MATCH($BE73,AR$5:AR$29999,0)),MAX(AJ$4:AJ72)+1,0))</f>
        <v/>
      </c>
      <c r="AK73" s="34" t="str">
        <f>IF($BE73="","",IF(ISNUMBER(MATCH($BE73,AS$5:AS$29999,0)),MAX(AK$4:AK72)+1,0))</f>
        <v/>
      </c>
      <c r="AL73" s="34" t="str">
        <f>IF($BE73="","",IF(ISNUMBER(MATCH($BE73,AT$5:AT$29999,0)),MAX(AL$4:AL72)+1,0))</f>
        <v/>
      </c>
      <c r="AM73" s="34" t="str">
        <f>IF($BE73="","",IF(ISNUMBER(MATCH($BE73,AU$5:AU$29999,0)),MAX(AM$4:AM72)+1,0))</f>
        <v/>
      </c>
      <c r="AN73" s="34" t="str">
        <f>IF($BE73="","",IF(ISNUMBER(MATCH($BE73,AV$5:AV$29999,0)),MAX(AN$4:AN72)+1,0))</f>
        <v/>
      </c>
      <c r="AO73" s="16"/>
      <c r="AP73" s="33"/>
      <c r="AQ73" s="33"/>
      <c r="AR73" s="33"/>
      <c r="AS73" s="33"/>
      <c r="AT73" s="32"/>
      <c r="AU73" s="32"/>
      <c r="AV73" s="32" t="s">
        <v>0</v>
      </c>
      <c r="AW73" s="40"/>
      <c r="AX73" s="20" t="s">
        <v>0</v>
      </c>
      <c r="AY73" s="30"/>
      <c r="AZ73" s="30"/>
      <c r="BA73" s="39" t="s">
        <v>0</v>
      </c>
      <c r="BB73" s="44" t="str">
        <f>IF(ISTEXT(AW73),IF(ISNUMBER(MATCH(AW73,$AY$5:$AY$100,0)),0,MAX(BB$4:BB72)+1),"")</f>
        <v/>
      </c>
      <c r="BC73" s="36" t="str">
        <f>IF(ISTEXT(AY73),MATCH(AY73,$AW$5:$AW$127,0),"")</f>
        <v/>
      </c>
      <c r="BD73" s="36">
        <f>IF(ISNUMBER(BC73),AY73,ROW()-SUM($BC$4:$BD$4))</f>
        <v>32</v>
      </c>
      <c r="BE73" s="20"/>
      <c r="BF73" s="36"/>
      <c r="BG73" s="19" t="str">
        <f>IF(ISNUMBER(MATCH($BE73,Z$5:Z$501,0)),INDEX(Z$5:Z$501,MATCH($BE73,Z$5:Z$501,0),1),"")</f>
        <v/>
      </c>
      <c r="BH73" s="19" t="str">
        <f>IF(ISNUMBER(MATCH($BE73,AA$5:AA$501,0)),INDEX(AA$5:AA$501,MATCH($BE73,AA$5:AA$501,0),1),"")</f>
        <v/>
      </c>
      <c r="BI73" s="19" t="str">
        <f>IF(ISNUMBER(MATCH($BE73,AB$5:AB$501,0)),INDEX(AB$5:AB$501,MATCH($BE73,AB$5:AB$501,0),1),"")</f>
        <v/>
      </c>
      <c r="BJ73" s="19" t="str">
        <f>IF(ISNUMBER(MATCH($BE73,AC$5:AC$501,0)),INDEX(AC$5:AC$501,MATCH($BE73,AC$5:AC$501,0),1),"")</f>
        <v/>
      </c>
      <c r="BK73" s="19" t="str">
        <f>IF(ISNUMBER(MATCH($BE73,AD$5:AD$501,0)),INDEX(AD$5:AD$501,MATCH($BE73,AD$5:AD$501,0),1),"")</f>
        <v/>
      </c>
      <c r="BL73" s="19" t="str">
        <f>IF(ISNUMBER(MATCH($BE73,AE$5:AE$501,0)),INDEX(AE$5:AE$501,MATCH($BE73,AE$5:AE$501,0),1),"")</f>
        <v/>
      </c>
      <c r="BM73" s="19" t="str">
        <f>IF(ISNUMBER(MATCH($BE73,AF$5:AF$501,0)),INDEX(AF$5:AF$501,MATCH($BE73,AF$5:AF$501,0),1),"")</f>
        <v/>
      </c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</row>
    <row r="74" spans="1:78" ht="12" customHeight="1" x14ac:dyDescent="0.25">
      <c r="A74" s="26"/>
      <c r="B74" s="28" t="str">
        <f>IF(ISNUMBER(MATCH(O74,$N$5:$N$1000,0)),MATCH(O74,$N$5:$N$1000,0),"")</f>
        <v/>
      </c>
      <c r="C74" s="15" t="str">
        <f>IF(ISNUMBER(B74),MAX(C$4:C73)+1,"")</f>
        <v/>
      </c>
      <c r="D74" s="15" t="str">
        <f>IF(IF(ISNUMBER(B74),"",MAX(D$4:D73)+1)&lt;=D$3,IF(ISNUMBER(B74),"",MAX(D$4:D73)+1),"")</f>
        <v/>
      </c>
      <c r="E74" s="42" t="str">
        <f>IF(M74&lt;=D$3,MATCH(M74,D$5:D$1000,0),"")</f>
        <v/>
      </c>
      <c r="F74" s="28" t="str">
        <f>IF(ISNUMBER(E74),INDEX($N$5:$N$1000,E74,1),"")</f>
        <v/>
      </c>
      <c r="G74" s="27" t="str">
        <f>IF(ISNUMBER(C74),N74,IF(ISTEXT(N74),INDEX($F$5:$F$1000,MATCH(M74,$E$5:$E$1000,0),1),""))</f>
        <v/>
      </c>
      <c r="H74" s="15" t="str">
        <f>IF(O74="","",IF(ISNUMBER(MATCH(O74,$G$5:$G$1000,0)),"",IF(D74=1,C$3,0)+MAX(H$4:H73)+1))</f>
        <v/>
      </c>
      <c r="I74" s="15" t="str">
        <f>IF(O74="","",IF(ISNUMBER(MATCH(O74,$G$5:$G$1000,0)),"",IF(D74=1,B$4,0)+MAX(I$4:I73)+1))</f>
        <v/>
      </c>
      <c r="J74" s="27" t="str">
        <f>IF(ISNUMBER(MATCH(M74,$I$5:$I$1000,0)),INDEX($O$5:$O$1000,MATCH(M74,$I$5:$I$1000,0),1),"")</f>
        <v/>
      </c>
      <c r="K74" s="27"/>
      <c r="L74" s="26"/>
      <c r="M74" s="14">
        <f>IF(ROW()-ROW(M$4)&lt;=1000,ROW()-ROW(M$4),"")</f>
        <v>70</v>
      </c>
      <c r="N74" s="43"/>
      <c r="O74" s="43"/>
      <c r="P74" s="41" t="str">
        <f>IF(M74&lt;=$B$4,IF(ISTEXT(G74),G74,""),IF(ISTEXT(J74),J74,""))</f>
        <v/>
      </c>
      <c r="Q74" s="16" t="s">
        <v>0</v>
      </c>
      <c r="R74" s="34" t="str">
        <f>IF(ROW()-ROW(R$4)&lt;=AH$3,ROW()-ROW(R$4),"")</f>
        <v/>
      </c>
      <c r="S74" s="34" t="str">
        <f>IF(ROW()-ROW(S$4)&lt;=AI$3,ROW()-ROW(S$4),"")</f>
        <v/>
      </c>
      <c r="T74" s="34" t="str">
        <f>IF(ROW()-ROW(T$4)&lt;=AJ$3,ROW()-ROW(T$4),"")</f>
        <v/>
      </c>
      <c r="U74" s="34" t="str">
        <f>IF(ROW()-ROW(U$4)&lt;=AK$3,ROW()-ROW(U$4),"")</f>
        <v/>
      </c>
      <c r="V74" s="34" t="str">
        <f>IF(ROW()-ROW(V$4)&lt;=AL$3,ROW()-ROW(V$4),"")</f>
        <v/>
      </c>
      <c r="W74" s="34" t="str">
        <f>IF(ROW()-ROW(W$4)&lt;=AM$3,ROW()-ROW(W$4),"")</f>
        <v/>
      </c>
      <c r="X74" s="34" t="str">
        <f>IF(ROW()-ROW(X$4)&lt;=AN$3,ROW()-ROW(X$4),"")</f>
        <v/>
      </c>
      <c r="Y74" s="34"/>
      <c r="Z74" s="35" t="str">
        <f>IF(ISNUMBER(R74),INDEX($BE$5:$BE$2999,MATCH(R74,AH$5:AH$2999,0),1),"")</f>
        <v/>
      </c>
      <c r="AA74" s="35" t="str">
        <f>IF(ISNUMBER(S74),INDEX($BE$5:$BE$2999,MATCH(S74,AI$5:AI$2999,0),1),"")</f>
        <v/>
      </c>
      <c r="AB74" s="35" t="str">
        <f>IF(ISNUMBER(T74),INDEX($BE$5:$BE$2999,MATCH(T74,AJ$5:AJ$2999,0),1),"")</f>
        <v/>
      </c>
      <c r="AC74" s="35" t="str">
        <f>IF(ISNUMBER(U74),INDEX($BE$5:$BE$2999,MATCH(U74,AK$5:AK$2999,0),1),"")</f>
        <v/>
      </c>
      <c r="AD74" s="35" t="str">
        <f>IF(ISNUMBER(V74),INDEX($BE$5:$BE$2999,MATCH(V74,AL$5:AL$2999,0),1),"")</f>
        <v/>
      </c>
      <c r="AE74" s="35" t="str">
        <f>IF(ISNUMBER(W74),INDEX($BE$5:$BE$2999,MATCH(W74,AM$5:AM$2999,0),1),"")</f>
        <v/>
      </c>
      <c r="AF74" s="35" t="str">
        <f>IF(ISNUMBER(X74),INDEX($BE$5:$BE$2999,MATCH(X74,AN$5:AN$2999,0),1),"")</f>
        <v/>
      </c>
      <c r="AG74" s="35"/>
      <c r="AH74" s="34" t="str">
        <f>IF($BE74="","",IF(ISNUMBER(MATCH($BE74,AP$5:AP$29999,0)),MAX(AH$4:AH73)+1,0))</f>
        <v/>
      </c>
      <c r="AI74" s="34" t="str">
        <f>IF($BE74="","",IF(ISNUMBER(MATCH($BE74,AQ$5:AQ$29999,0)),MAX(AI$4:AI73)+1,0))</f>
        <v/>
      </c>
      <c r="AJ74" s="34" t="str">
        <f>IF($BE74="","",IF(ISNUMBER(MATCH($BE74,AR$5:AR$29999,0)),MAX(AJ$4:AJ73)+1,0))</f>
        <v/>
      </c>
      <c r="AK74" s="34" t="str">
        <f>IF($BE74="","",IF(ISNUMBER(MATCH($BE74,AS$5:AS$29999,0)),MAX(AK$4:AK73)+1,0))</f>
        <v/>
      </c>
      <c r="AL74" s="34" t="str">
        <f>IF($BE74="","",IF(ISNUMBER(MATCH($BE74,AT$5:AT$29999,0)),MAX(AL$4:AL73)+1,0))</f>
        <v/>
      </c>
      <c r="AM74" s="34" t="str">
        <f>IF($BE74="","",IF(ISNUMBER(MATCH($BE74,AU$5:AU$29999,0)),MAX(AM$4:AM73)+1,0))</f>
        <v/>
      </c>
      <c r="AN74" s="34" t="str">
        <f>IF($BE74="","",IF(ISNUMBER(MATCH($BE74,AV$5:AV$29999,0)),MAX(AN$4:AN73)+1,0))</f>
        <v/>
      </c>
      <c r="AO74" s="16"/>
      <c r="AP74" s="33"/>
      <c r="AQ74" s="33"/>
      <c r="AR74" s="33"/>
      <c r="AS74" s="33"/>
      <c r="AT74" s="32"/>
      <c r="AU74" s="32"/>
      <c r="AV74" s="32" t="s">
        <v>0</v>
      </c>
      <c r="AW74" s="40"/>
      <c r="AX74" s="20" t="s">
        <v>0</v>
      </c>
      <c r="AY74" s="30"/>
      <c r="AZ74" s="30"/>
      <c r="BA74" s="39" t="s">
        <v>0</v>
      </c>
      <c r="BB74" s="44" t="str">
        <f>IF(ISTEXT(AW74),IF(ISNUMBER(MATCH(AW74,$AY$5:$AY$100,0)),0,MAX(BB$4:BB73)+1),"")</f>
        <v/>
      </c>
      <c r="BC74" s="36" t="str">
        <f>IF(ISTEXT(AY74),MATCH(AY74,$AW$5:$AW$127,0),"")</f>
        <v/>
      </c>
      <c r="BD74" s="36">
        <f>IF(ISNUMBER(BC74),AY74,ROW()-SUM($BC$4:$BD$4))</f>
        <v>33</v>
      </c>
      <c r="BE74" s="20"/>
      <c r="BF74" s="36"/>
      <c r="BG74" s="19" t="str">
        <f>IF(ISNUMBER(MATCH($BE74,Z$5:Z$501,0)),INDEX(Z$5:Z$501,MATCH($BE74,Z$5:Z$501,0),1),"")</f>
        <v/>
      </c>
      <c r="BH74" s="19" t="str">
        <f>IF(ISNUMBER(MATCH($BE74,AA$5:AA$501,0)),INDEX(AA$5:AA$501,MATCH($BE74,AA$5:AA$501,0),1),"")</f>
        <v/>
      </c>
      <c r="BI74" s="19" t="str">
        <f>IF(ISNUMBER(MATCH($BE74,AB$5:AB$501,0)),INDEX(AB$5:AB$501,MATCH($BE74,AB$5:AB$501,0),1),"")</f>
        <v/>
      </c>
      <c r="BJ74" s="19" t="str">
        <f>IF(ISNUMBER(MATCH($BE74,AC$5:AC$501,0)),INDEX(AC$5:AC$501,MATCH($BE74,AC$5:AC$501,0),1),"")</f>
        <v/>
      </c>
      <c r="BK74" s="19" t="str">
        <f>IF(ISNUMBER(MATCH($BE74,AD$5:AD$501,0)),INDEX(AD$5:AD$501,MATCH($BE74,AD$5:AD$501,0),1),"")</f>
        <v/>
      </c>
      <c r="BL74" s="19" t="str">
        <f>IF(ISNUMBER(MATCH($BE74,AE$5:AE$501,0)),INDEX(AE$5:AE$501,MATCH($BE74,AE$5:AE$501,0),1),"")</f>
        <v/>
      </c>
      <c r="BM74" s="19" t="str">
        <f>IF(ISNUMBER(MATCH($BE74,AF$5:AF$501,0)),INDEX(AF$5:AF$501,MATCH($BE74,AF$5:AF$501,0),1),"")</f>
        <v/>
      </c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</row>
    <row r="75" spans="1:78" ht="12" customHeight="1" x14ac:dyDescent="0.25">
      <c r="A75" s="26"/>
      <c r="B75" s="28" t="str">
        <f>IF(ISNUMBER(MATCH(O75,$N$5:$N$1000,0)),MATCH(O75,$N$5:$N$1000,0),"")</f>
        <v/>
      </c>
      <c r="C75" s="15" t="str">
        <f>IF(ISNUMBER(B75),MAX(C$4:C74)+1,"")</f>
        <v/>
      </c>
      <c r="D75" s="15" t="str">
        <f>IF(IF(ISNUMBER(B75),"",MAX(D$4:D74)+1)&lt;=D$3,IF(ISNUMBER(B75),"",MAX(D$4:D74)+1),"")</f>
        <v/>
      </c>
      <c r="E75" s="42" t="str">
        <f>IF(M75&lt;=D$3,MATCH(M75,D$5:D$1000,0),"")</f>
        <v/>
      </c>
      <c r="F75" s="28" t="str">
        <f>IF(ISNUMBER(E75),INDEX($N$5:$N$1000,E75,1),"")</f>
        <v/>
      </c>
      <c r="G75" s="27" t="str">
        <f>IF(ISNUMBER(C75),N75,IF(ISTEXT(N75),INDEX($F$5:$F$1000,MATCH(M75,$E$5:$E$1000,0),1),""))</f>
        <v/>
      </c>
      <c r="H75" s="15" t="str">
        <f>IF(O75="","",IF(ISNUMBER(MATCH(O75,$G$5:$G$1000,0)),"",IF(D75=1,C$3,0)+MAX(H$4:H74)+1))</f>
        <v/>
      </c>
      <c r="I75" s="15" t="str">
        <f>IF(O75="","",IF(ISNUMBER(MATCH(O75,$G$5:$G$1000,0)),"",IF(D75=1,B$4,0)+MAX(I$4:I74)+1))</f>
        <v/>
      </c>
      <c r="J75" s="27" t="str">
        <f>IF(ISNUMBER(MATCH(M75,$I$5:$I$1000,0)),INDEX($O$5:$O$1000,MATCH(M75,$I$5:$I$1000,0),1),"")</f>
        <v/>
      </c>
      <c r="K75" s="27"/>
      <c r="L75" s="26"/>
      <c r="M75" s="14">
        <f>IF(ROW()-ROW(M$4)&lt;=1000,ROW()-ROW(M$4),"")</f>
        <v>71</v>
      </c>
      <c r="N75" s="43"/>
      <c r="O75" s="43"/>
      <c r="P75" s="41" t="str">
        <f>IF(M75&lt;=$B$4,IF(ISTEXT(G75),G75,""),IF(ISTEXT(J75),J75,""))</f>
        <v/>
      </c>
      <c r="Q75" s="16" t="s">
        <v>0</v>
      </c>
      <c r="R75" s="34" t="str">
        <f>IF(ROW()-ROW(R$4)&lt;=AH$3,ROW()-ROW(R$4),"")</f>
        <v/>
      </c>
      <c r="S75" s="34" t="str">
        <f>IF(ROW()-ROW(S$4)&lt;=AI$3,ROW()-ROW(S$4),"")</f>
        <v/>
      </c>
      <c r="T75" s="34" t="str">
        <f>IF(ROW()-ROW(T$4)&lt;=AJ$3,ROW()-ROW(T$4),"")</f>
        <v/>
      </c>
      <c r="U75" s="34" t="str">
        <f>IF(ROW()-ROW(U$4)&lt;=AK$3,ROW()-ROW(U$4),"")</f>
        <v/>
      </c>
      <c r="V75" s="34" t="str">
        <f>IF(ROW()-ROW(V$4)&lt;=AL$3,ROW()-ROW(V$4),"")</f>
        <v/>
      </c>
      <c r="W75" s="34" t="str">
        <f>IF(ROW()-ROW(W$4)&lt;=AM$3,ROW()-ROW(W$4),"")</f>
        <v/>
      </c>
      <c r="X75" s="34" t="str">
        <f>IF(ROW()-ROW(X$4)&lt;=AN$3,ROW()-ROW(X$4),"")</f>
        <v/>
      </c>
      <c r="Y75" s="34"/>
      <c r="Z75" s="35" t="str">
        <f>IF(ISNUMBER(R75),INDEX($BE$5:$BE$2999,MATCH(R75,AH$5:AH$2999,0),1),"")</f>
        <v/>
      </c>
      <c r="AA75" s="35" t="str">
        <f>IF(ISNUMBER(S75),INDEX($BE$5:$BE$2999,MATCH(S75,AI$5:AI$2999,0),1),"")</f>
        <v/>
      </c>
      <c r="AB75" s="35" t="str">
        <f>IF(ISNUMBER(T75),INDEX($BE$5:$BE$2999,MATCH(T75,AJ$5:AJ$2999,0),1),"")</f>
        <v/>
      </c>
      <c r="AC75" s="35" t="str">
        <f>IF(ISNUMBER(U75),INDEX($BE$5:$BE$2999,MATCH(U75,AK$5:AK$2999,0),1),"")</f>
        <v/>
      </c>
      <c r="AD75" s="35" t="str">
        <f>IF(ISNUMBER(V75),INDEX($BE$5:$BE$2999,MATCH(V75,AL$5:AL$2999,0),1),"")</f>
        <v/>
      </c>
      <c r="AE75" s="35" t="str">
        <f>IF(ISNUMBER(W75),INDEX($BE$5:$BE$2999,MATCH(W75,AM$5:AM$2999,0),1),"")</f>
        <v/>
      </c>
      <c r="AF75" s="35" t="str">
        <f>IF(ISNUMBER(X75),INDEX($BE$5:$BE$2999,MATCH(X75,AN$5:AN$2999,0),1),"")</f>
        <v/>
      </c>
      <c r="AG75" s="35"/>
      <c r="AH75" s="34" t="str">
        <f>IF($BE75="","",IF(ISNUMBER(MATCH($BE75,AP$5:AP$29999,0)),MAX(AH$4:AH74)+1,0))</f>
        <v/>
      </c>
      <c r="AI75" s="34" t="str">
        <f>IF($BE75="","",IF(ISNUMBER(MATCH($BE75,AQ$5:AQ$29999,0)),MAX(AI$4:AI74)+1,0))</f>
        <v/>
      </c>
      <c r="AJ75" s="34" t="str">
        <f>IF($BE75="","",IF(ISNUMBER(MATCH($BE75,AR$5:AR$29999,0)),MAX(AJ$4:AJ74)+1,0))</f>
        <v/>
      </c>
      <c r="AK75" s="34" t="str">
        <f>IF($BE75="","",IF(ISNUMBER(MATCH($BE75,AS$5:AS$29999,0)),MAX(AK$4:AK74)+1,0))</f>
        <v/>
      </c>
      <c r="AL75" s="34" t="str">
        <f>IF($BE75="","",IF(ISNUMBER(MATCH($BE75,AT$5:AT$29999,0)),MAX(AL$4:AL74)+1,0))</f>
        <v/>
      </c>
      <c r="AM75" s="34" t="str">
        <f>IF($BE75="","",IF(ISNUMBER(MATCH($BE75,AU$5:AU$29999,0)),MAX(AM$4:AM74)+1,0))</f>
        <v/>
      </c>
      <c r="AN75" s="34" t="str">
        <f>IF($BE75="","",IF(ISNUMBER(MATCH($BE75,AV$5:AV$29999,0)),MAX(AN$4:AN74)+1,0))</f>
        <v/>
      </c>
      <c r="AO75" s="16"/>
      <c r="AP75" s="33"/>
      <c r="AQ75" s="33"/>
      <c r="AR75" s="33"/>
      <c r="AS75" s="33"/>
      <c r="AT75" s="32"/>
      <c r="AU75" s="32"/>
      <c r="AV75" s="32" t="s">
        <v>0</v>
      </c>
      <c r="AW75" s="40"/>
      <c r="AX75" s="20" t="s">
        <v>0</v>
      </c>
      <c r="AY75" s="30"/>
      <c r="AZ75" s="30"/>
      <c r="BA75" s="39" t="s">
        <v>0</v>
      </c>
      <c r="BB75" s="44" t="str">
        <f>IF(ISTEXT(AW75),IF(ISNUMBER(MATCH(AW75,$AY$5:$AY$100,0)),0,MAX(BB$4:BB74)+1),"")</f>
        <v/>
      </c>
      <c r="BC75" s="36" t="str">
        <f>IF(ISTEXT(AY75),MATCH(AY75,$AW$5:$AW$127,0),"")</f>
        <v/>
      </c>
      <c r="BD75" s="36">
        <f>IF(ISNUMBER(BC75),AY75,ROW()-SUM($BC$4:$BD$4))</f>
        <v>34</v>
      </c>
      <c r="BE75" s="20"/>
      <c r="BF75" s="36"/>
      <c r="BG75" s="19" t="str">
        <f>IF(ISNUMBER(MATCH($BE75,Z$5:Z$501,0)),INDEX(Z$5:Z$501,MATCH($BE75,Z$5:Z$501,0),1),"")</f>
        <v/>
      </c>
      <c r="BH75" s="19" t="str">
        <f>IF(ISNUMBER(MATCH($BE75,AA$5:AA$501,0)),INDEX(AA$5:AA$501,MATCH($BE75,AA$5:AA$501,0),1),"")</f>
        <v/>
      </c>
      <c r="BI75" s="19" t="str">
        <f>IF(ISNUMBER(MATCH($BE75,AB$5:AB$501,0)),INDEX(AB$5:AB$501,MATCH($BE75,AB$5:AB$501,0),1),"")</f>
        <v/>
      </c>
      <c r="BJ75" s="19" t="str">
        <f>IF(ISNUMBER(MATCH($BE75,AC$5:AC$501,0)),INDEX(AC$5:AC$501,MATCH($BE75,AC$5:AC$501,0),1),"")</f>
        <v/>
      </c>
      <c r="BK75" s="19" t="str">
        <f>IF(ISNUMBER(MATCH($BE75,AD$5:AD$501,0)),INDEX(AD$5:AD$501,MATCH($BE75,AD$5:AD$501,0),1),"")</f>
        <v/>
      </c>
      <c r="BL75" s="19" t="str">
        <f>IF(ISNUMBER(MATCH($BE75,AE$5:AE$501,0)),INDEX(AE$5:AE$501,MATCH($BE75,AE$5:AE$501,0),1),"")</f>
        <v/>
      </c>
      <c r="BM75" s="19" t="str">
        <f>IF(ISNUMBER(MATCH($BE75,AF$5:AF$501,0)),INDEX(AF$5:AF$501,MATCH($BE75,AF$5:AF$501,0),1),"")</f>
        <v/>
      </c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</row>
    <row r="76" spans="1:78" ht="12" customHeight="1" x14ac:dyDescent="0.25">
      <c r="A76" s="26"/>
      <c r="B76" s="28" t="str">
        <f>IF(ISNUMBER(MATCH(O76,$N$5:$N$1000,0)),MATCH(O76,$N$5:$N$1000,0),"")</f>
        <v/>
      </c>
      <c r="C76" s="15" t="str">
        <f>IF(ISNUMBER(B76),MAX(C$4:C75)+1,"")</f>
        <v/>
      </c>
      <c r="D76" s="15" t="str">
        <f>IF(IF(ISNUMBER(B76),"",MAX(D$4:D75)+1)&lt;=D$3,IF(ISNUMBER(B76),"",MAX(D$4:D75)+1),"")</f>
        <v/>
      </c>
      <c r="E76" s="42" t="str">
        <f>IF(M76&lt;=D$3,MATCH(M76,D$5:D$1000,0),"")</f>
        <v/>
      </c>
      <c r="F76" s="28" t="str">
        <f>IF(ISNUMBER(E76),INDEX($N$5:$N$1000,E76,1),"")</f>
        <v/>
      </c>
      <c r="G76" s="27" t="str">
        <f>IF(ISNUMBER(C76),N76,IF(ISTEXT(N76),INDEX($F$5:$F$1000,MATCH(M76,$E$5:$E$1000,0),1),""))</f>
        <v/>
      </c>
      <c r="H76" s="15" t="str">
        <f>IF(O76="","",IF(ISNUMBER(MATCH(O76,$G$5:$G$1000,0)),"",IF(D76=1,C$3,0)+MAX(H$4:H75)+1))</f>
        <v/>
      </c>
      <c r="I76" s="15" t="str">
        <f>IF(O76="","",IF(ISNUMBER(MATCH(O76,$G$5:$G$1000,0)),"",IF(D76=1,B$4,0)+MAX(I$4:I75)+1))</f>
        <v/>
      </c>
      <c r="J76" s="27" t="str">
        <f>IF(ISNUMBER(MATCH(M76,$I$5:$I$1000,0)),INDEX($O$5:$O$1000,MATCH(M76,$I$5:$I$1000,0),1),"")</f>
        <v/>
      </c>
      <c r="K76" s="27"/>
      <c r="L76" s="26"/>
      <c r="M76" s="14">
        <f>IF(ROW()-ROW(M$4)&lt;=1000,ROW()-ROW(M$4),"")</f>
        <v>72</v>
      </c>
      <c r="N76" s="43"/>
      <c r="O76" s="43"/>
      <c r="P76" s="41" t="str">
        <f>IF(M76&lt;=$B$4,IF(ISTEXT(G76),G76,""),IF(ISTEXT(J76),J76,""))</f>
        <v/>
      </c>
      <c r="Q76" s="16" t="s">
        <v>0</v>
      </c>
      <c r="R76" s="34" t="str">
        <f>IF(ROW()-ROW(R$4)&lt;=AH$3,ROW()-ROW(R$4),"")</f>
        <v/>
      </c>
      <c r="S76" s="34" t="str">
        <f>IF(ROW()-ROW(S$4)&lt;=AI$3,ROW()-ROW(S$4),"")</f>
        <v/>
      </c>
      <c r="T76" s="34" t="str">
        <f>IF(ROW()-ROW(T$4)&lt;=AJ$3,ROW()-ROW(T$4),"")</f>
        <v/>
      </c>
      <c r="U76" s="34" t="str">
        <f>IF(ROW()-ROW(U$4)&lt;=AK$3,ROW()-ROW(U$4),"")</f>
        <v/>
      </c>
      <c r="V76" s="34" t="str">
        <f>IF(ROW()-ROW(V$4)&lt;=AL$3,ROW()-ROW(V$4),"")</f>
        <v/>
      </c>
      <c r="W76" s="34" t="str">
        <f>IF(ROW()-ROW(W$4)&lt;=AM$3,ROW()-ROW(W$4),"")</f>
        <v/>
      </c>
      <c r="X76" s="34" t="str">
        <f>IF(ROW()-ROW(X$4)&lt;=AN$3,ROW()-ROW(X$4),"")</f>
        <v/>
      </c>
      <c r="Y76" s="34"/>
      <c r="Z76" s="35" t="str">
        <f>IF(ISNUMBER(R76),INDEX($BE$5:$BE$2999,MATCH(R76,AH$5:AH$2999,0),1),"")</f>
        <v/>
      </c>
      <c r="AA76" s="35" t="str">
        <f>IF(ISNUMBER(S76),INDEX($BE$5:$BE$2999,MATCH(S76,AI$5:AI$2999,0),1),"")</f>
        <v/>
      </c>
      <c r="AB76" s="35" t="str">
        <f>IF(ISNUMBER(T76),INDEX($BE$5:$BE$2999,MATCH(T76,AJ$5:AJ$2999,0),1),"")</f>
        <v/>
      </c>
      <c r="AC76" s="35" t="str">
        <f>IF(ISNUMBER(U76),INDEX($BE$5:$BE$2999,MATCH(U76,AK$5:AK$2999,0),1),"")</f>
        <v/>
      </c>
      <c r="AD76" s="35" t="str">
        <f>IF(ISNUMBER(V76),INDEX($BE$5:$BE$2999,MATCH(V76,AL$5:AL$2999,0),1),"")</f>
        <v/>
      </c>
      <c r="AE76" s="35" t="str">
        <f>IF(ISNUMBER(W76),INDEX($BE$5:$BE$2999,MATCH(W76,AM$5:AM$2999,0),1),"")</f>
        <v/>
      </c>
      <c r="AF76" s="35" t="str">
        <f>IF(ISNUMBER(X76),INDEX($BE$5:$BE$2999,MATCH(X76,AN$5:AN$2999,0),1),"")</f>
        <v/>
      </c>
      <c r="AG76" s="35"/>
      <c r="AH76" s="34" t="str">
        <f>IF($BE76="","",IF(ISNUMBER(MATCH($BE76,AP$5:AP$29999,0)),MAX(AH$4:AH75)+1,0))</f>
        <v/>
      </c>
      <c r="AI76" s="34" t="str">
        <f>IF($BE76="","",IF(ISNUMBER(MATCH($BE76,AQ$5:AQ$29999,0)),MAX(AI$4:AI75)+1,0))</f>
        <v/>
      </c>
      <c r="AJ76" s="34" t="str">
        <f>IF($BE76="","",IF(ISNUMBER(MATCH($BE76,AR$5:AR$29999,0)),MAX(AJ$4:AJ75)+1,0))</f>
        <v/>
      </c>
      <c r="AK76" s="34" t="str">
        <f>IF($BE76="","",IF(ISNUMBER(MATCH($BE76,AS$5:AS$29999,0)),MAX(AK$4:AK75)+1,0))</f>
        <v/>
      </c>
      <c r="AL76" s="34" t="str">
        <f>IF($BE76="","",IF(ISNUMBER(MATCH($BE76,AT$5:AT$29999,0)),MAX(AL$4:AL75)+1,0))</f>
        <v/>
      </c>
      <c r="AM76" s="34" t="str">
        <f>IF($BE76="","",IF(ISNUMBER(MATCH($BE76,AU$5:AU$29999,0)),MAX(AM$4:AM75)+1,0))</f>
        <v/>
      </c>
      <c r="AN76" s="34" t="str">
        <f>IF($BE76="","",IF(ISNUMBER(MATCH($BE76,AV$5:AV$29999,0)),MAX(AN$4:AN75)+1,0))</f>
        <v/>
      </c>
      <c r="AO76" s="16"/>
      <c r="AP76" s="33"/>
      <c r="AQ76" s="33"/>
      <c r="AR76" s="33"/>
      <c r="AS76" s="33"/>
      <c r="AT76" s="32"/>
      <c r="AU76" s="32"/>
      <c r="AV76" s="32" t="s">
        <v>0</v>
      </c>
      <c r="AW76" s="40"/>
      <c r="AX76" s="20" t="s">
        <v>0</v>
      </c>
      <c r="AY76" s="30"/>
      <c r="AZ76" s="30"/>
      <c r="BA76" s="39" t="s">
        <v>0</v>
      </c>
      <c r="BB76" s="44" t="str">
        <f>IF(ISTEXT(AW76),IF(ISNUMBER(MATCH(AW76,$AY$5:$AY$100,0)),0,MAX(BB$4:BB75)+1),"")</f>
        <v/>
      </c>
      <c r="BC76" s="36" t="str">
        <f>IF(ISTEXT(AY76),MATCH(AY76,$AW$5:$AW$127,0),"")</f>
        <v/>
      </c>
      <c r="BD76" s="36">
        <f>IF(ISNUMBER(BC76),AY76,ROW()-SUM($BC$4:$BD$4))</f>
        <v>35</v>
      </c>
      <c r="BE76" s="20"/>
      <c r="BF76" s="36"/>
      <c r="BG76" s="19" t="str">
        <f>IF(ISNUMBER(MATCH($BE76,Z$5:Z$501,0)),INDEX(Z$5:Z$501,MATCH($BE76,Z$5:Z$501,0),1),"")</f>
        <v/>
      </c>
      <c r="BH76" s="19" t="str">
        <f>IF(ISNUMBER(MATCH($BE76,AA$5:AA$501,0)),INDEX(AA$5:AA$501,MATCH($BE76,AA$5:AA$501,0),1),"")</f>
        <v/>
      </c>
      <c r="BI76" s="19" t="str">
        <f>IF(ISNUMBER(MATCH($BE76,AB$5:AB$501,0)),INDEX(AB$5:AB$501,MATCH($BE76,AB$5:AB$501,0),1),"")</f>
        <v/>
      </c>
      <c r="BJ76" s="19" t="str">
        <f>IF(ISNUMBER(MATCH($BE76,AC$5:AC$501,0)),INDEX(AC$5:AC$501,MATCH($BE76,AC$5:AC$501,0),1),"")</f>
        <v/>
      </c>
      <c r="BK76" s="19" t="str">
        <f>IF(ISNUMBER(MATCH($BE76,AD$5:AD$501,0)),INDEX(AD$5:AD$501,MATCH($BE76,AD$5:AD$501,0),1),"")</f>
        <v/>
      </c>
      <c r="BL76" s="19" t="str">
        <f>IF(ISNUMBER(MATCH($BE76,AE$5:AE$501,0)),INDEX(AE$5:AE$501,MATCH($BE76,AE$5:AE$501,0),1),"")</f>
        <v/>
      </c>
      <c r="BM76" s="19" t="str">
        <f>IF(ISNUMBER(MATCH($BE76,AF$5:AF$501,0)),INDEX(AF$5:AF$501,MATCH($BE76,AF$5:AF$501,0),1),"")</f>
        <v/>
      </c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</row>
    <row r="77" spans="1:78" ht="12" customHeight="1" x14ac:dyDescent="0.25">
      <c r="A77" s="26"/>
      <c r="B77" s="28" t="str">
        <f>IF(ISNUMBER(MATCH(O77,$N$5:$N$1000,0)),MATCH(O77,$N$5:$N$1000,0),"")</f>
        <v/>
      </c>
      <c r="C77" s="15" t="str">
        <f>IF(ISNUMBER(B77),MAX(C$4:C76)+1,"")</f>
        <v/>
      </c>
      <c r="D77" s="15" t="str">
        <f>IF(IF(ISNUMBER(B77),"",MAX(D$4:D76)+1)&lt;=D$3,IF(ISNUMBER(B77),"",MAX(D$4:D76)+1),"")</f>
        <v/>
      </c>
      <c r="E77" s="42" t="str">
        <f>IF(M77&lt;=D$3,MATCH(M77,D$5:D$1000,0),"")</f>
        <v/>
      </c>
      <c r="F77" s="28" t="str">
        <f>IF(ISNUMBER(E77),INDEX($N$5:$N$1000,E77,1),"")</f>
        <v/>
      </c>
      <c r="G77" s="27" t="str">
        <f>IF(ISNUMBER(C77),N77,IF(ISTEXT(N77),INDEX($F$5:$F$1000,MATCH(M77,$E$5:$E$1000,0),1),""))</f>
        <v/>
      </c>
      <c r="H77" s="15" t="str">
        <f>IF(O77="","",IF(ISNUMBER(MATCH(O77,$G$5:$G$1000,0)),"",IF(D77=1,C$3,0)+MAX(H$4:H76)+1))</f>
        <v/>
      </c>
      <c r="I77" s="15" t="str">
        <f>IF(O77="","",IF(ISNUMBER(MATCH(O77,$G$5:$G$1000,0)),"",IF(D77=1,B$4,0)+MAX(I$4:I76)+1))</f>
        <v/>
      </c>
      <c r="J77" s="27" t="str">
        <f>IF(ISNUMBER(MATCH(M77,$I$5:$I$1000,0)),INDEX($O$5:$O$1000,MATCH(M77,$I$5:$I$1000,0),1),"")</f>
        <v/>
      </c>
      <c r="K77" s="27"/>
      <c r="L77" s="26"/>
      <c r="M77" s="14">
        <f>IF(ROW()-ROW(M$4)&lt;=1000,ROW()-ROW(M$4),"")</f>
        <v>73</v>
      </c>
      <c r="N77" s="43"/>
      <c r="O77" s="43"/>
      <c r="P77" s="41" t="str">
        <f>IF(M77&lt;=$B$4,IF(ISTEXT(G77),G77,""),IF(ISTEXT(J77),J77,""))</f>
        <v/>
      </c>
      <c r="Q77" s="16" t="s">
        <v>0</v>
      </c>
      <c r="R77" s="34" t="str">
        <f>IF(ROW()-ROW(R$4)&lt;=AH$3,ROW()-ROW(R$4),"")</f>
        <v/>
      </c>
      <c r="S77" s="34" t="str">
        <f>IF(ROW()-ROW(S$4)&lt;=AI$3,ROW()-ROW(S$4),"")</f>
        <v/>
      </c>
      <c r="T77" s="34" t="str">
        <f>IF(ROW()-ROW(T$4)&lt;=AJ$3,ROW()-ROW(T$4),"")</f>
        <v/>
      </c>
      <c r="U77" s="34" t="str">
        <f>IF(ROW()-ROW(U$4)&lt;=AK$3,ROW()-ROW(U$4),"")</f>
        <v/>
      </c>
      <c r="V77" s="34" t="str">
        <f>IF(ROW()-ROW(V$4)&lt;=AL$3,ROW()-ROW(V$4),"")</f>
        <v/>
      </c>
      <c r="W77" s="34" t="str">
        <f>IF(ROW()-ROW(W$4)&lt;=AM$3,ROW()-ROW(W$4),"")</f>
        <v/>
      </c>
      <c r="X77" s="34" t="str">
        <f>IF(ROW()-ROW(X$4)&lt;=AN$3,ROW()-ROW(X$4),"")</f>
        <v/>
      </c>
      <c r="Y77" s="34"/>
      <c r="Z77" s="35" t="str">
        <f>IF(ISNUMBER(R77),INDEX($BE$5:$BE$2999,MATCH(R77,AH$5:AH$2999,0),1),"")</f>
        <v/>
      </c>
      <c r="AA77" s="35" t="str">
        <f>IF(ISNUMBER(S77),INDEX($BE$5:$BE$2999,MATCH(S77,AI$5:AI$2999,0),1),"")</f>
        <v/>
      </c>
      <c r="AB77" s="35" t="str">
        <f>IF(ISNUMBER(T77),INDEX($BE$5:$BE$2999,MATCH(T77,AJ$5:AJ$2999,0),1),"")</f>
        <v/>
      </c>
      <c r="AC77" s="35" t="str">
        <f>IF(ISNUMBER(U77),INDEX($BE$5:$BE$2999,MATCH(U77,AK$5:AK$2999,0),1),"")</f>
        <v/>
      </c>
      <c r="AD77" s="35" t="str">
        <f>IF(ISNUMBER(V77),INDEX($BE$5:$BE$2999,MATCH(V77,AL$5:AL$2999,0),1),"")</f>
        <v/>
      </c>
      <c r="AE77" s="35" t="str">
        <f>IF(ISNUMBER(W77),INDEX($BE$5:$BE$2999,MATCH(W77,AM$5:AM$2999,0),1),"")</f>
        <v/>
      </c>
      <c r="AF77" s="35" t="str">
        <f>IF(ISNUMBER(X77),INDEX($BE$5:$BE$2999,MATCH(X77,AN$5:AN$2999,0),1),"")</f>
        <v/>
      </c>
      <c r="AG77" s="35"/>
      <c r="AH77" s="34" t="str">
        <f>IF($BE77="","",IF(ISNUMBER(MATCH($BE77,AP$5:AP$29999,0)),MAX(AH$4:AH76)+1,0))</f>
        <v/>
      </c>
      <c r="AI77" s="34" t="str">
        <f>IF($BE77="","",IF(ISNUMBER(MATCH($BE77,AQ$5:AQ$29999,0)),MAX(AI$4:AI76)+1,0))</f>
        <v/>
      </c>
      <c r="AJ77" s="34" t="str">
        <f>IF($BE77="","",IF(ISNUMBER(MATCH($BE77,AR$5:AR$29999,0)),MAX(AJ$4:AJ76)+1,0))</f>
        <v/>
      </c>
      <c r="AK77" s="34" t="str">
        <f>IF($BE77="","",IF(ISNUMBER(MATCH($BE77,AS$5:AS$29999,0)),MAX(AK$4:AK76)+1,0))</f>
        <v/>
      </c>
      <c r="AL77" s="34" t="str">
        <f>IF($BE77="","",IF(ISNUMBER(MATCH($BE77,AT$5:AT$29999,0)),MAX(AL$4:AL76)+1,0))</f>
        <v/>
      </c>
      <c r="AM77" s="34" t="str">
        <f>IF($BE77="","",IF(ISNUMBER(MATCH($BE77,AU$5:AU$29999,0)),MAX(AM$4:AM76)+1,0))</f>
        <v/>
      </c>
      <c r="AN77" s="34" t="str">
        <f>IF($BE77="","",IF(ISNUMBER(MATCH($BE77,AV$5:AV$29999,0)),MAX(AN$4:AN76)+1,0))</f>
        <v/>
      </c>
      <c r="AO77" s="16"/>
      <c r="AP77" s="33"/>
      <c r="AQ77" s="33"/>
      <c r="AR77" s="33"/>
      <c r="AS77" s="33"/>
      <c r="AT77" s="32"/>
      <c r="AU77" s="32"/>
      <c r="AV77" s="32" t="s">
        <v>0</v>
      </c>
      <c r="AW77" s="40"/>
      <c r="AX77" s="20" t="s">
        <v>0</v>
      </c>
      <c r="AY77" s="30"/>
      <c r="AZ77" s="30"/>
      <c r="BA77" s="39" t="s">
        <v>0</v>
      </c>
      <c r="BB77" s="44" t="str">
        <f>IF(ISTEXT(AW77),IF(ISNUMBER(MATCH(AW77,$AY$5:$AY$100,0)),0,MAX(BB$4:BB76)+1),"")</f>
        <v/>
      </c>
      <c r="BC77" s="36" t="str">
        <f>IF(ISTEXT(AY77),MATCH(AY77,$AW$5:$AW$127,0),"")</f>
        <v/>
      </c>
      <c r="BD77" s="36">
        <f>IF(ISNUMBER(BC77),AY77,ROW()-SUM($BC$4:$BD$4))</f>
        <v>36</v>
      </c>
      <c r="BE77" s="20"/>
      <c r="BF77" s="36"/>
      <c r="BG77" s="19" t="str">
        <f>IF(ISNUMBER(MATCH($BE77,Z$5:Z$501,0)),INDEX(Z$5:Z$501,MATCH($BE77,Z$5:Z$501,0),1),"")</f>
        <v/>
      </c>
      <c r="BH77" s="19" t="str">
        <f>IF(ISNUMBER(MATCH($BE77,AA$5:AA$501,0)),INDEX(AA$5:AA$501,MATCH($BE77,AA$5:AA$501,0),1),"")</f>
        <v/>
      </c>
      <c r="BI77" s="19" t="str">
        <f>IF(ISNUMBER(MATCH($BE77,AB$5:AB$501,0)),INDEX(AB$5:AB$501,MATCH($BE77,AB$5:AB$501,0),1),"")</f>
        <v/>
      </c>
      <c r="BJ77" s="19" t="str">
        <f>IF(ISNUMBER(MATCH($BE77,AC$5:AC$501,0)),INDEX(AC$5:AC$501,MATCH($BE77,AC$5:AC$501,0),1),"")</f>
        <v/>
      </c>
      <c r="BK77" s="19" t="str">
        <f>IF(ISNUMBER(MATCH($BE77,AD$5:AD$501,0)),INDEX(AD$5:AD$501,MATCH($BE77,AD$5:AD$501,0),1),"")</f>
        <v/>
      </c>
      <c r="BL77" s="19" t="str">
        <f>IF(ISNUMBER(MATCH($BE77,AE$5:AE$501,0)),INDEX(AE$5:AE$501,MATCH($BE77,AE$5:AE$501,0),1),"")</f>
        <v/>
      </c>
      <c r="BM77" s="19" t="str">
        <f>IF(ISNUMBER(MATCH($BE77,AF$5:AF$501,0)),INDEX(AF$5:AF$501,MATCH($BE77,AF$5:AF$501,0),1),"")</f>
        <v/>
      </c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</row>
    <row r="78" spans="1:78" ht="12" customHeight="1" x14ac:dyDescent="0.25">
      <c r="A78" s="26"/>
      <c r="B78" s="28" t="str">
        <f>IF(ISNUMBER(MATCH(O78,$N$5:$N$1000,0)),MATCH(O78,$N$5:$N$1000,0),"")</f>
        <v/>
      </c>
      <c r="C78" s="15" t="str">
        <f>IF(ISNUMBER(B78),MAX(C$4:C77)+1,"")</f>
        <v/>
      </c>
      <c r="D78" s="15" t="str">
        <f>IF(IF(ISNUMBER(B78),"",MAX(D$4:D77)+1)&lt;=D$3,IF(ISNUMBER(B78),"",MAX(D$4:D77)+1),"")</f>
        <v/>
      </c>
      <c r="E78" s="42" t="str">
        <f>IF(M78&lt;=D$3,MATCH(M78,D$5:D$1000,0),"")</f>
        <v/>
      </c>
      <c r="F78" s="28" t="str">
        <f>IF(ISNUMBER(E78),INDEX($N$5:$N$1000,E78,1),"")</f>
        <v/>
      </c>
      <c r="G78" s="27" t="str">
        <f>IF(ISNUMBER(C78),N78,IF(ISTEXT(N78),INDEX($F$5:$F$1000,MATCH(M78,$E$5:$E$1000,0),1),""))</f>
        <v/>
      </c>
      <c r="H78" s="15" t="str">
        <f>IF(O78="","",IF(ISNUMBER(MATCH(O78,$G$5:$G$1000,0)),"",IF(D78=1,C$3,0)+MAX(H$4:H77)+1))</f>
        <v/>
      </c>
      <c r="I78" s="15" t="str">
        <f>IF(O78="","",IF(ISNUMBER(MATCH(O78,$G$5:$G$1000,0)),"",IF(D78=1,B$4,0)+MAX(I$4:I77)+1))</f>
        <v/>
      </c>
      <c r="J78" s="27" t="str">
        <f>IF(ISNUMBER(MATCH(M78,$I$5:$I$1000,0)),INDEX($O$5:$O$1000,MATCH(M78,$I$5:$I$1000,0),1),"")</f>
        <v/>
      </c>
      <c r="K78" s="27"/>
      <c r="L78" s="26"/>
      <c r="M78" s="14">
        <f>IF(ROW()-ROW(M$4)&lt;=1000,ROW()-ROW(M$4),"")</f>
        <v>74</v>
      </c>
      <c r="N78" s="43"/>
      <c r="O78" s="43"/>
      <c r="P78" s="41" t="str">
        <f>IF(M78&lt;=$B$4,IF(ISTEXT(G78),G78,""),IF(ISTEXT(J78),J78,""))</f>
        <v/>
      </c>
      <c r="Q78" s="16" t="s">
        <v>0</v>
      </c>
      <c r="R78" s="34" t="str">
        <f>IF(ROW()-ROW(R$4)&lt;=AH$3,ROW()-ROW(R$4),"")</f>
        <v/>
      </c>
      <c r="S78" s="34" t="str">
        <f>IF(ROW()-ROW(S$4)&lt;=AI$3,ROW()-ROW(S$4),"")</f>
        <v/>
      </c>
      <c r="T78" s="34" t="str">
        <f>IF(ROW()-ROW(T$4)&lt;=AJ$3,ROW()-ROW(T$4),"")</f>
        <v/>
      </c>
      <c r="U78" s="34" t="str">
        <f>IF(ROW()-ROW(U$4)&lt;=AK$3,ROW()-ROW(U$4),"")</f>
        <v/>
      </c>
      <c r="V78" s="34" t="str">
        <f>IF(ROW()-ROW(V$4)&lt;=AL$3,ROW()-ROW(V$4),"")</f>
        <v/>
      </c>
      <c r="W78" s="34" t="str">
        <f>IF(ROW()-ROW(W$4)&lt;=AM$3,ROW()-ROW(W$4),"")</f>
        <v/>
      </c>
      <c r="X78" s="34" t="str">
        <f>IF(ROW()-ROW(X$4)&lt;=AN$3,ROW()-ROW(X$4),"")</f>
        <v/>
      </c>
      <c r="Y78" s="34"/>
      <c r="Z78" s="35" t="str">
        <f>IF(ISNUMBER(R78),INDEX($BE$5:$BE$2999,MATCH(R78,AH$5:AH$2999,0),1),"")</f>
        <v/>
      </c>
      <c r="AA78" s="35" t="str">
        <f>IF(ISNUMBER(S78),INDEX($BE$5:$BE$2999,MATCH(S78,AI$5:AI$2999,0),1),"")</f>
        <v/>
      </c>
      <c r="AB78" s="35" t="str">
        <f>IF(ISNUMBER(T78),INDEX($BE$5:$BE$2999,MATCH(T78,AJ$5:AJ$2999,0),1),"")</f>
        <v/>
      </c>
      <c r="AC78" s="35" t="str">
        <f>IF(ISNUMBER(U78),INDEX($BE$5:$BE$2999,MATCH(U78,AK$5:AK$2999,0),1),"")</f>
        <v/>
      </c>
      <c r="AD78" s="35" t="str">
        <f>IF(ISNUMBER(V78),INDEX($BE$5:$BE$2999,MATCH(V78,AL$5:AL$2999,0),1),"")</f>
        <v/>
      </c>
      <c r="AE78" s="35" t="str">
        <f>IF(ISNUMBER(W78),INDEX($BE$5:$BE$2999,MATCH(W78,AM$5:AM$2999,0),1),"")</f>
        <v/>
      </c>
      <c r="AF78" s="35" t="str">
        <f>IF(ISNUMBER(X78),INDEX($BE$5:$BE$2999,MATCH(X78,AN$5:AN$2999,0),1),"")</f>
        <v/>
      </c>
      <c r="AG78" s="35"/>
      <c r="AH78" s="34" t="str">
        <f>IF($BE78="","",IF(ISNUMBER(MATCH($BE78,AP$5:AP$29999,0)),MAX(AH$4:AH77)+1,0))</f>
        <v/>
      </c>
      <c r="AI78" s="34" t="str">
        <f>IF($BE78="","",IF(ISNUMBER(MATCH($BE78,AQ$5:AQ$29999,0)),MAX(AI$4:AI77)+1,0))</f>
        <v/>
      </c>
      <c r="AJ78" s="34" t="str">
        <f>IF($BE78="","",IF(ISNUMBER(MATCH($BE78,AR$5:AR$29999,0)),MAX(AJ$4:AJ77)+1,0))</f>
        <v/>
      </c>
      <c r="AK78" s="34" t="str">
        <f>IF($BE78="","",IF(ISNUMBER(MATCH($BE78,AS$5:AS$29999,0)),MAX(AK$4:AK77)+1,0))</f>
        <v/>
      </c>
      <c r="AL78" s="34" t="str">
        <f>IF($BE78="","",IF(ISNUMBER(MATCH($BE78,AT$5:AT$29999,0)),MAX(AL$4:AL77)+1,0))</f>
        <v/>
      </c>
      <c r="AM78" s="34" t="str">
        <f>IF($BE78="","",IF(ISNUMBER(MATCH($BE78,AU$5:AU$29999,0)),MAX(AM$4:AM77)+1,0))</f>
        <v/>
      </c>
      <c r="AN78" s="34" t="str">
        <f>IF($BE78="","",IF(ISNUMBER(MATCH($BE78,AV$5:AV$29999,0)),MAX(AN$4:AN77)+1,0))</f>
        <v/>
      </c>
      <c r="AO78" s="16"/>
      <c r="AP78" s="33"/>
      <c r="AQ78" s="33"/>
      <c r="AR78" s="33"/>
      <c r="AS78" s="33"/>
      <c r="AT78" s="32"/>
      <c r="AU78" s="32"/>
      <c r="AV78" s="32" t="s">
        <v>0</v>
      </c>
      <c r="AW78" s="40"/>
      <c r="AX78" s="20" t="s">
        <v>0</v>
      </c>
      <c r="AY78" s="30"/>
      <c r="AZ78" s="30"/>
      <c r="BA78" s="39" t="s">
        <v>0</v>
      </c>
      <c r="BB78" s="44" t="str">
        <f>IF(ISTEXT(AW78),IF(ISNUMBER(MATCH(AW78,$AY$5:$AY$100,0)),0,MAX(BB$4:BB77)+1),"")</f>
        <v/>
      </c>
      <c r="BC78" s="36" t="str">
        <f>IF(ISTEXT(AY78),MATCH(AY78,$AW$5:$AW$127,0),"")</f>
        <v/>
      </c>
      <c r="BD78" s="36">
        <f>IF(ISNUMBER(BC78),AY78,ROW()-SUM($BC$4:$BD$4))</f>
        <v>37</v>
      </c>
      <c r="BE78" s="20"/>
      <c r="BF78" s="36"/>
      <c r="BG78" s="19" t="str">
        <f>IF(ISNUMBER(MATCH($BE78,Z$5:Z$501,0)),INDEX(Z$5:Z$501,MATCH($BE78,Z$5:Z$501,0),1),"")</f>
        <v/>
      </c>
      <c r="BH78" s="19" t="str">
        <f>IF(ISNUMBER(MATCH($BE78,AA$5:AA$501,0)),INDEX(AA$5:AA$501,MATCH($BE78,AA$5:AA$501,0),1),"")</f>
        <v/>
      </c>
      <c r="BI78" s="19" t="str">
        <f>IF(ISNUMBER(MATCH($BE78,AB$5:AB$501,0)),INDEX(AB$5:AB$501,MATCH($BE78,AB$5:AB$501,0),1),"")</f>
        <v/>
      </c>
      <c r="BJ78" s="19" t="str">
        <f>IF(ISNUMBER(MATCH($BE78,AC$5:AC$501,0)),INDEX(AC$5:AC$501,MATCH($BE78,AC$5:AC$501,0),1),"")</f>
        <v/>
      </c>
      <c r="BK78" s="19" t="str">
        <f>IF(ISNUMBER(MATCH($BE78,AD$5:AD$501,0)),INDEX(AD$5:AD$501,MATCH($BE78,AD$5:AD$501,0),1),"")</f>
        <v/>
      </c>
      <c r="BL78" s="19" t="str">
        <f>IF(ISNUMBER(MATCH($BE78,AE$5:AE$501,0)),INDEX(AE$5:AE$501,MATCH($BE78,AE$5:AE$501,0),1),"")</f>
        <v/>
      </c>
      <c r="BM78" s="19" t="str">
        <f>IF(ISNUMBER(MATCH($BE78,AF$5:AF$501,0)),INDEX(AF$5:AF$501,MATCH($BE78,AF$5:AF$501,0),1),"")</f>
        <v/>
      </c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</row>
    <row r="79" spans="1:78" ht="12" customHeight="1" x14ac:dyDescent="0.25">
      <c r="A79" s="26"/>
      <c r="B79" s="28" t="str">
        <f>IF(ISNUMBER(MATCH(O79,$N$5:$N$1000,0)),MATCH(O79,$N$5:$N$1000,0),"")</f>
        <v/>
      </c>
      <c r="C79" s="15" t="str">
        <f>IF(ISNUMBER(B79),MAX(C$4:C78)+1,"")</f>
        <v/>
      </c>
      <c r="D79" s="15" t="str">
        <f>IF(IF(ISNUMBER(B79),"",MAX(D$4:D78)+1)&lt;=D$3,IF(ISNUMBER(B79),"",MAX(D$4:D78)+1),"")</f>
        <v/>
      </c>
      <c r="E79" s="42" t="str">
        <f>IF(M79&lt;=D$3,MATCH(M79,D$5:D$1000,0),"")</f>
        <v/>
      </c>
      <c r="F79" s="28" t="str">
        <f>IF(ISNUMBER(E79),INDEX($N$5:$N$1000,E79,1),"")</f>
        <v/>
      </c>
      <c r="G79" s="27" t="str">
        <f>IF(ISNUMBER(C79),N79,IF(ISTEXT(N79),INDEX($F$5:$F$1000,MATCH(M79,$E$5:$E$1000,0),1),""))</f>
        <v/>
      </c>
      <c r="H79" s="15" t="str">
        <f>IF(O79="","",IF(ISNUMBER(MATCH(O79,$G$5:$G$1000,0)),"",IF(D79=1,C$3,0)+MAX(H$4:H78)+1))</f>
        <v/>
      </c>
      <c r="I79" s="15" t="str">
        <f>IF(O79="","",IF(ISNUMBER(MATCH(O79,$G$5:$G$1000,0)),"",IF(D79=1,B$4,0)+MAX(I$4:I78)+1))</f>
        <v/>
      </c>
      <c r="J79" s="27" t="str">
        <f>IF(ISNUMBER(MATCH(M79,$I$5:$I$1000,0)),INDEX($O$5:$O$1000,MATCH(M79,$I$5:$I$1000,0),1),"")</f>
        <v/>
      </c>
      <c r="K79" s="27"/>
      <c r="L79" s="26"/>
      <c r="M79" s="14">
        <f>IF(ROW()-ROW(M$4)&lt;=1000,ROW()-ROW(M$4),"")</f>
        <v>75</v>
      </c>
      <c r="N79" s="43"/>
      <c r="O79" s="43"/>
      <c r="P79" s="41" t="str">
        <f>IF(M79&lt;=$B$4,IF(ISTEXT(G79),G79,""),IF(ISTEXT(J79),J79,""))</f>
        <v/>
      </c>
      <c r="Q79" s="16" t="s">
        <v>0</v>
      </c>
      <c r="R79" s="34" t="str">
        <f>IF(ROW()-ROW(R$4)&lt;=AH$3,ROW()-ROW(R$4),"")</f>
        <v/>
      </c>
      <c r="S79" s="34" t="str">
        <f>IF(ROW()-ROW(S$4)&lt;=AI$3,ROW()-ROW(S$4),"")</f>
        <v/>
      </c>
      <c r="T79" s="34" t="str">
        <f>IF(ROW()-ROW(T$4)&lt;=AJ$3,ROW()-ROW(T$4),"")</f>
        <v/>
      </c>
      <c r="U79" s="34" t="str">
        <f>IF(ROW()-ROW(U$4)&lt;=AK$3,ROW()-ROW(U$4),"")</f>
        <v/>
      </c>
      <c r="V79" s="34" t="str">
        <f>IF(ROW()-ROW(V$4)&lt;=AL$3,ROW()-ROW(V$4),"")</f>
        <v/>
      </c>
      <c r="W79" s="34" t="str">
        <f>IF(ROW()-ROW(W$4)&lt;=AM$3,ROW()-ROW(W$4),"")</f>
        <v/>
      </c>
      <c r="X79" s="34" t="str">
        <f>IF(ROW()-ROW(X$4)&lt;=AN$3,ROW()-ROW(X$4),"")</f>
        <v/>
      </c>
      <c r="Y79" s="34"/>
      <c r="Z79" s="35" t="str">
        <f>IF(ISNUMBER(R79),INDEX($BE$5:$BE$2999,MATCH(R79,AH$5:AH$2999,0),1),"")</f>
        <v/>
      </c>
      <c r="AA79" s="35" t="str">
        <f>IF(ISNUMBER(S79),INDEX($BE$5:$BE$2999,MATCH(S79,AI$5:AI$2999,0),1),"")</f>
        <v/>
      </c>
      <c r="AB79" s="35" t="str">
        <f>IF(ISNUMBER(T79),INDEX($BE$5:$BE$2999,MATCH(T79,AJ$5:AJ$2999,0),1),"")</f>
        <v/>
      </c>
      <c r="AC79" s="35" t="str">
        <f>IF(ISNUMBER(U79),INDEX($BE$5:$BE$2999,MATCH(U79,AK$5:AK$2999,0),1),"")</f>
        <v/>
      </c>
      <c r="AD79" s="35" t="str">
        <f>IF(ISNUMBER(V79),INDEX($BE$5:$BE$2999,MATCH(V79,AL$5:AL$2999,0),1),"")</f>
        <v/>
      </c>
      <c r="AE79" s="35" t="str">
        <f>IF(ISNUMBER(W79),INDEX($BE$5:$BE$2999,MATCH(W79,AM$5:AM$2999,0),1),"")</f>
        <v/>
      </c>
      <c r="AF79" s="35" t="str">
        <f>IF(ISNUMBER(X79),INDEX($BE$5:$BE$2999,MATCH(X79,AN$5:AN$2999,0),1),"")</f>
        <v/>
      </c>
      <c r="AG79" s="35"/>
      <c r="AH79" s="34" t="str">
        <f>IF($BE79="","",IF(ISNUMBER(MATCH($BE79,AP$5:AP$29999,0)),MAX(AH$4:AH78)+1,0))</f>
        <v/>
      </c>
      <c r="AI79" s="34" t="str">
        <f>IF($BE79="","",IF(ISNUMBER(MATCH($BE79,AQ$5:AQ$29999,0)),MAX(AI$4:AI78)+1,0))</f>
        <v/>
      </c>
      <c r="AJ79" s="34" t="str">
        <f>IF($BE79="","",IF(ISNUMBER(MATCH($BE79,AR$5:AR$29999,0)),MAX(AJ$4:AJ78)+1,0))</f>
        <v/>
      </c>
      <c r="AK79" s="34" t="str">
        <f>IF($BE79="","",IF(ISNUMBER(MATCH($BE79,AS$5:AS$29999,0)),MAX(AK$4:AK78)+1,0))</f>
        <v/>
      </c>
      <c r="AL79" s="34" t="str">
        <f>IF($BE79="","",IF(ISNUMBER(MATCH($BE79,AT$5:AT$29999,0)),MAX(AL$4:AL78)+1,0))</f>
        <v/>
      </c>
      <c r="AM79" s="34" t="str">
        <f>IF($BE79="","",IF(ISNUMBER(MATCH($BE79,AU$5:AU$29999,0)),MAX(AM$4:AM78)+1,0))</f>
        <v/>
      </c>
      <c r="AN79" s="34" t="str">
        <f>IF($BE79="","",IF(ISNUMBER(MATCH($BE79,AV$5:AV$29999,0)),MAX(AN$4:AN78)+1,0))</f>
        <v/>
      </c>
      <c r="AO79" s="16"/>
      <c r="AP79" s="33"/>
      <c r="AQ79" s="33"/>
      <c r="AR79" s="33"/>
      <c r="AS79" s="33"/>
      <c r="AT79" s="32"/>
      <c r="AU79" s="32"/>
      <c r="AV79" s="32" t="s">
        <v>0</v>
      </c>
      <c r="AW79" s="40"/>
      <c r="AX79" s="20" t="s">
        <v>0</v>
      </c>
      <c r="AY79" s="30"/>
      <c r="BA79" s="39" t="s">
        <v>0</v>
      </c>
      <c r="BB79" s="44" t="str">
        <f>IF(ISTEXT(AW79),IF(ISNUMBER(MATCH(AW79,$AY$5:$AY$100,0)),0,MAX(BB$4:BB78)+1),"")</f>
        <v/>
      </c>
      <c r="BC79" s="36" t="str">
        <f>IF(ISTEXT(AY79),MATCH(AY79,$AW$5:$AW$127,0),"")</f>
        <v/>
      </c>
      <c r="BD79" s="36">
        <f>IF(ISNUMBER(BC79),AY79,ROW()-SUM($BC$4:$BD$4))</f>
        <v>38</v>
      </c>
      <c r="BE79" s="20"/>
      <c r="BF79" s="36"/>
      <c r="BG79" s="19" t="str">
        <f>IF(ISNUMBER(MATCH($BE79,Z$5:Z$501,0)),INDEX(Z$5:Z$501,MATCH($BE79,Z$5:Z$501,0),1),"")</f>
        <v/>
      </c>
      <c r="BH79" s="19" t="str">
        <f>IF(ISNUMBER(MATCH($BE79,AA$5:AA$501,0)),INDEX(AA$5:AA$501,MATCH($BE79,AA$5:AA$501,0),1),"")</f>
        <v/>
      </c>
      <c r="BI79" s="19" t="str">
        <f>IF(ISNUMBER(MATCH($BE79,AB$5:AB$501,0)),INDEX(AB$5:AB$501,MATCH($BE79,AB$5:AB$501,0),1),"")</f>
        <v/>
      </c>
      <c r="BJ79" s="19" t="str">
        <f>IF(ISNUMBER(MATCH($BE79,AC$5:AC$501,0)),INDEX(AC$5:AC$501,MATCH($BE79,AC$5:AC$501,0),1),"")</f>
        <v/>
      </c>
      <c r="BK79" s="19" t="str">
        <f>IF(ISNUMBER(MATCH($BE79,AD$5:AD$501,0)),INDEX(AD$5:AD$501,MATCH($BE79,AD$5:AD$501,0),1),"")</f>
        <v/>
      </c>
      <c r="BL79" s="19" t="str">
        <f>IF(ISNUMBER(MATCH($BE79,AE$5:AE$501,0)),INDEX(AE$5:AE$501,MATCH($BE79,AE$5:AE$501,0),1),"")</f>
        <v/>
      </c>
      <c r="BM79" s="19" t="str">
        <f>IF(ISNUMBER(MATCH($BE79,AF$5:AF$501,0)),INDEX(AF$5:AF$501,MATCH($BE79,AF$5:AF$501,0),1),"")</f>
        <v/>
      </c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</row>
    <row r="80" spans="1:78" ht="12" customHeight="1" x14ac:dyDescent="0.25">
      <c r="A80" s="26"/>
      <c r="B80" s="28" t="str">
        <f>IF(ISNUMBER(MATCH(O80,$N$5:$N$1000,0)),MATCH(O80,$N$5:$N$1000,0),"")</f>
        <v/>
      </c>
      <c r="C80" s="15" t="str">
        <f>IF(ISNUMBER(B80),MAX(C$4:C79)+1,"")</f>
        <v/>
      </c>
      <c r="D80" s="15" t="str">
        <f>IF(IF(ISNUMBER(B80),"",MAX(D$4:D79)+1)&lt;=D$3,IF(ISNUMBER(B80),"",MAX(D$4:D79)+1),"")</f>
        <v/>
      </c>
      <c r="E80" s="42" t="str">
        <f>IF(M80&lt;=D$3,MATCH(M80,D$5:D$1000,0),"")</f>
        <v/>
      </c>
      <c r="F80" s="28" t="str">
        <f>IF(ISNUMBER(E80),INDEX($N$5:$N$1000,E80,1),"")</f>
        <v/>
      </c>
      <c r="G80" s="27" t="str">
        <f>IF(ISNUMBER(C80),N80,IF(ISTEXT(N80),INDEX($F$5:$F$1000,MATCH(M80,$E$5:$E$1000,0),1),""))</f>
        <v/>
      </c>
      <c r="H80" s="15" t="str">
        <f>IF(O80="","",IF(ISNUMBER(MATCH(O80,$G$5:$G$1000,0)),"",IF(D80=1,C$3,0)+MAX(H$4:H79)+1))</f>
        <v/>
      </c>
      <c r="I80" s="15" t="str">
        <f>IF(O80="","",IF(ISNUMBER(MATCH(O80,$G$5:$G$1000,0)),"",IF(D80=1,B$4,0)+MAX(I$4:I79)+1))</f>
        <v/>
      </c>
      <c r="J80" s="27" t="str">
        <f>IF(ISNUMBER(MATCH(M80,$I$5:$I$1000,0)),INDEX($O$5:$O$1000,MATCH(M80,$I$5:$I$1000,0),1),"")</f>
        <v/>
      </c>
      <c r="K80" s="27"/>
      <c r="L80" s="26"/>
      <c r="M80" s="14">
        <f>IF(ROW()-ROW(M$4)&lt;=1000,ROW()-ROW(M$4),"")</f>
        <v>76</v>
      </c>
      <c r="N80" s="43"/>
      <c r="O80" s="43"/>
      <c r="P80" s="41" t="str">
        <f>IF(M80&lt;=$B$4,IF(ISTEXT(G80),G80,""),IF(ISTEXT(J80),J80,""))</f>
        <v/>
      </c>
      <c r="Q80" s="16" t="s">
        <v>0</v>
      </c>
      <c r="R80" s="34" t="str">
        <f>IF(ROW()-ROW(R$4)&lt;=AH$3,ROW()-ROW(R$4),"")</f>
        <v/>
      </c>
      <c r="S80" s="34" t="str">
        <f>IF(ROW()-ROW(S$4)&lt;=AI$3,ROW()-ROW(S$4),"")</f>
        <v/>
      </c>
      <c r="T80" s="34" t="str">
        <f>IF(ROW()-ROW(T$4)&lt;=AJ$3,ROW()-ROW(T$4),"")</f>
        <v/>
      </c>
      <c r="U80" s="34" t="str">
        <f>IF(ROW()-ROW(U$4)&lt;=AK$3,ROW()-ROW(U$4),"")</f>
        <v/>
      </c>
      <c r="V80" s="34" t="str">
        <f>IF(ROW()-ROW(V$4)&lt;=AL$3,ROW()-ROW(V$4),"")</f>
        <v/>
      </c>
      <c r="W80" s="34" t="str">
        <f>IF(ROW()-ROW(W$4)&lt;=AM$3,ROW()-ROW(W$4),"")</f>
        <v/>
      </c>
      <c r="X80" s="34" t="str">
        <f>IF(ROW()-ROW(X$4)&lt;=AN$3,ROW()-ROW(X$4),"")</f>
        <v/>
      </c>
      <c r="Y80" s="34"/>
      <c r="Z80" s="35" t="str">
        <f>IF(ISNUMBER(R80),INDEX($BE$5:$BE$2999,MATCH(R80,AH$5:AH$2999,0),1),"")</f>
        <v/>
      </c>
      <c r="AA80" s="35" t="str">
        <f>IF(ISNUMBER(S80),INDEX($BE$5:$BE$2999,MATCH(S80,AI$5:AI$2999,0),1),"")</f>
        <v/>
      </c>
      <c r="AB80" s="35" t="str">
        <f>IF(ISNUMBER(T80),INDEX($BE$5:$BE$2999,MATCH(T80,AJ$5:AJ$2999,0),1),"")</f>
        <v/>
      </c>
      <c r="AC80" s="35" t="str">
        <f>IF(ISNUMBER(U80),INDEX($BE$5:$BE$2999,MATCH(U80,AK$5:AK$2999,0),1),"")</f>
        <v/>
      </c>
      <c r="AD80" s="35" t="str">
        <f>IF(ISNUMBER(V80),INDEX($BE$5:$BE$2999,MATCH(V80,AL$5:AL$2999,0),1),"")</f>
        <v/>
      </c>
      <c r="AE80" s="35" t="str">
        <f>IF(ISNUMBER(W80),INDEX($BE$5:$BE$2999,MATCH(W80,AM$5:AM$2999,0),1),"")</f>
        <v/>
      </c>
      <c r="AF80" s="35" t="str">
        <f>IF(ISNUMBER(X80),INDEX($BE$5:$BE$2999,MATCH(X80,AN$5:AN$2999,0),1),"")</f>
        <v/>
      </c>
      <c r="AG80" s="35"/>
      <c r="AH80" s="34" t="str">
        <f>IF($BE80="","",IF(ISNUMBER(MATCH($BE80,AP$5:AP$29999,0)),MAX(AH$4:AH79)+1,0))</f>
        <v/>
      </c>
      <c r="AI80" s="34" t="str">
        <f>IF($BE80="","",IF(ISNUMBER(MATCH($BE80,AQ$5:AQ$29999,0)),MAX(AI$4:AI79)+1,0))</f>
        <v/>
      </c>
      <c r="AJ80" s="34" t="str">
        <f>IF($BE80="","",IF(ISNUMBER(MATCH($BE80,AR$5:AR$29999,0)),MAX(AJ$4:AJ79)+1,0))</f>
        <v/>
      </c>
      <c r="AK80" s="34" t="str">
        <f>IF($BE80="","",IF(ISNUMBER(MATCH($BE80,AS$5:AS$29999,0)),MAX(AK$4:AK79)+1,0))</f>
        <v/>
      </c>
      <c r="AL80" s="34" t="str">
        <f>IF($BE80="","",IF(ISNUMBER(MATCH($BE80,AT$5:AT$29999,0)),MAX(AL$4:AL79)+1,0))</f>
        <v/>
      </c>
      <c r="AM80" s="34" t="str">
        <f>IF($BE80="","",IF(ISNUMBER(MATCH($BE80,AU$5:AU$29999,0)),MAX(AM$4:AM79)+1,0))</f>
        <v/>
      </c>
      <c r="AN80" s="34" t="str">
        <f>IF($BE80="","",IF(ISNUMBER(MATCH($BE80,AV$5:AV$29999,0)),MAX(AN$4:AN79)+1,0))</f>
        <v/>
      </c>
      <c r="AO80" s="16"/>
      <c r="AP80" s="33"/>
      <c r="AQ80" s="33"/>
      <c r="AR80" s="33"/>
      <c r="AS80" s="33"/>
      <c r="AT80" s="32"/>
      <c r="AU80" s="32"/>
      <c r="AV80" s="32" t="s">
        <v>0</v>
      </c>
      <c r="AW80" s="40"/>
      <c r="AX80" s="20" t="s">
        <v>0</v>
      </c>
      <c r="AY80" s="30"/>
      <c r="BA80" s="39" t="s">
        <v>0</v>
      </c>
      <c r="BB80" s="44" t="str">
        <f>IF(ISTEXT(AW80),IF(ISNUMBER(MATCH(AW80,$AY$5:$AY$100,0)),0,MAX(BB$4:BB79)+1),"")</f>
        <v/>
      </c>
      <c r="BC80" s="36" t="str">
        <f>IF(ISTEXT(AY80),MATCH(AY80,$AW$5:$AW$127,0),"")</f>
        <v/>
      </c>
      <c r="BD80" s="36">
        <f>IF(ISNUMBER(BC80),AY80,ROW()-SUM($BC$4:$BD$4))</f>
        <v>39</v>
      </c>
      <c r="BE80" s="20"/>
      <c r="BF80" s="36"/>
      <c r="BG80" s="19" t="str">
        <f>IF(ISNUMBER(MATCH($BE80,Z$5:Z$501,0)),INDEX(Z$5:Z$501,MATCH($BE80,Z$5:Z$501,0),1),"")</f>
        <v/>
      </c>
      <c r="BH80" s="19" t="str">
        <f>IF(ISNUMBER(MATCH($BE80,AA$5:AA$501,0)),INDEX(AA$5:AA$501,MATCH($BE80,AA$5:AA$501,0),1),"")</f>
        <v/>
      </c>
      <c r="BI80" s="19" t="str">
        <f>IF(ISNUMBER(MATCH($BE80,AB$5:AB$501,0)),INDEX(AB$5:AB$501,MATCH($BE80,AB$5:AB$501,0),1),"")</f>
        <v/>
      </c>
      <c r="BJ80" s="19" t="str">
        <f>IF(ISNUMBER(MATCH($BE80,AC$5:AC$501,0)),INDEX(AC$5:AC$501,MATCH($BE80,AC$5:AC$501,0),1),"")</f>
        <v/>
      </c>
      <c r="BK80" s="19" t="str">
        <f>IF(ISNUMBER(MATCH($BE80,AD$5:AD$501,0)),INDEX(AD$5:AD$501,MATCH($BE80,AD$5:AD$501,0),1),"")</f>
        <v/>
      </c>
      <c r="BL80" s="19" t="str">
        <f>IF(ISNUMBER(MATCH($BE80,AE$5:AE$501,0)),INDEX(AE$5:AE$501,MATCH($BE80,AE$5:AE$501,0),1),"")</f>
        <v/>
      </c>
      <c r="BM80" s="19" t="str">
        <f>IF(ISNUMBER(MATCH($BE80,AF$5:AF$501,0)),INDEX(AF$5:AF$501,MATCH($BE80,AF$5:AF$501,0),1),"")</f>
        <v/>
      </c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</row>
    <row r="81" spans="1:78" ht="12" customHeight="1" x14ac:dyDescent="0.25">
      <c r="A81" s="26"/>
      <c r="B81" s="28" t="str">
        <f>IF(ISNUMBER(MATCH(O81,$N$5:$N$1000,0)),MATCH(O81,$N$5:$N$1000,0),"")</f>
        <v/>
      </c>
      <c r="C81" s="15" t="str">
        <f>IF(ISNUMBER(B81),MAX(C$4:C80)+1,"")</f>
        <v/>
      </c>
      <c r="D81" s="15" t="str">
        <f>IF(IF(ISNUMBER(B81),"",MAX(D$4:D80)+1)&lt;=D$3,IF(ISNUMBER(B81),"",MAX(D$4:D80)+1),"")</f>
        <v/>
      </c>
      <c r="E81" s="42" t="str">
        <f>IF(M81&lt;=D$3,MATCH(M81,D$5:D$1000,0),"")</f>
        <v/>
      </c>
      <c r="F81" s="28" t="str">
        <f>IF(ISNUMBER(E81),INDEX($N$5:$N$1000,E81,1),"")</f>
        <v/>
      </c>
      <c r="G81" s="27" t="str">
        <f>IF(ISNUMBER(C81),N81,IF(ISTEXT(N81),INDEX($F$5:$F$1000,MATCH(M81,$E$5:$E$1000,0),1),""))</f>
        <v/>
      </c>
      <c r="H81" s="15" t="str">
        <f>IF(O81="","",IF(ISNUMBER(MATCH(O81,$G$5:$G$1000,0)),"",IF(D81=1,C$3,0)+MAX(H$4:H80)+1))</f>
        <v/>
      </c>
      <c r="I81" s="15" t="str">
        <f>IF(O81="","",IF(ISNUMBER(MATCH(O81,$G$5:$G$1000,0)),"",IF(D81=1,B$4,0)+MAX(I$4:I80)+1))</f>
        <v/>
      </c>
      <c r="J81" s="27" t="str">
        <f>IF(ISNUMBER(MATCH(M81,$I$5:$I$1000,0)),INDEX($O$5:$O$1000,MATCH(M81,$I$5:$I$1000,0),1),"")</f>
        <v/>
      </c>
      <c r="K81" s="27"/>
      <c r="L81" s="26"/>
      <c r="M81" s="14">
        <f>IF(ROW()-ROW(M$4)&lt;=1000,ROW()-ROW(M$4),"")</f>
        <v>77</v>
      </c>
      <c r="N81" s="43"/>
      <c r="O81" s="43"/>
      <c r="P81" s="41" t="str">
        <f>IF(M81&lt;=$B$4,IF(ISTEXT(G81),G81,""),IF(ISTEXT(J81),J81,""))</f>
        <v/>
      </c>
      <c r="Q81" s="16" t="s">
        <v>0</v>
      </c>
      <c r="R81" s="34" t="str">
        <f>IF(ROW()-ROW(R$4)&lt;=AH$3,ROW()-ROW(R$4),"")</f>
        <v/>
      </c>
      <c r="S81" s="34" t="str">
        <f>IF(ROW()-ROW(S$4)&lt;=AI$3,ROW()-ROW(S$4),"")</f>
        <v/>
      </c>
      <c r="T81" s="34" t="str">
        <f>IF(ROW()-ROW(T$4)&lt;=AJ$3,ROW()-ROW(T$4),"")</f>
        <v/>
      </c>
      <c r="U81" s="34" t="str">
        <f>IF(ROW()-ROW(U$4)&lt;=AK$3,ROW()-ROW(U$4),"")</f>
        <v/>
      </c>
      <c r="V81" s="34" t="str">
        <f>IF(ROW()-ROW(V$4)&lt;=AL$3,ROW()-ROW(V$4),"")</f>
        <v/>
      </c>
      <c r="W81" s="34" t="str">
        <f>IF(ROW()-ROW(W$4)&lt;=AM$3,ROW()-ROW(W$4),"")</f>
        <v/>
      </c>
      <c r="X81" s="34" t="str">
        <f>IF(ROW()-ROW(X$4)&lt;=AN$3,ROW()-ROW(X$4),"")</f>
        <v/>
      </c>
      <c r="Y81" s="34"/>
      <c r="Z81" s="35" t="str">
        <f>IF(ISNUMBER(R81),INDEX($BE$5:$BE$2999,MATCH(R81,AH$5:AH$2999,0),1),"")</f>
        <v/>
      </c>
      <c r="AA81" s="35" t="str">
        <f>IF(ISNUMBER(S81),INDEX($BE$5:$BE$2999,MATCH(S81,AI$5:AI$2999,0),1),"")</f>
        <v/>
      </c>
      <c r="AB81" s="35" t="str">
        <f>IF(ISNUMBER(T81),INDEX($BE$5:$BE$2999,MATCH(T81,AJ$5:AJ$2999,0),1),"")</f>
        <v/>
      </c>
      <c r="AC81" s="35" t="str">
        <f>IF(ISNUMBER(U81),INDEX($BE$5:$BE$2999,MATCH(U81,AK$5:AK$2999,0),1),"")</f>
        <v/>
      </c>
      <c r="AD81" s="35" t="str">
        <f>IF(ISNUMBER(V81),INDEX($BE$5:$BE$2999,MATCH(V81,AL$5:AL$2999,0),1),"")</f>
        <v/>
      </c>
      <c r="AE81" s="35" t="str">
        <f>IF(ISNUMBER(W81),INDEX($BE$5:$BE$2999,MATCH(W81,AM$5:AM$2999,0),1),"")</f>
        <v/>
      </c>
      <c r="AF81" s="35" t="str">
        <f>IF(ISNUMBER(X81),INDEX($BE$5:$BE$2999,MATCH(X81,AN$5:AN$2999,0),1),"")</f>
        <v/>
      </c>
      <c r="AG81" s="35"/>
      <c r="AH81" s="34" t="str">
        <f>IF($BE81="","",IF(ISNUMBER(MATCH($BE81,AP$5:AP$29999,0)),MAX(AH$4:AH80)+1,0))</f>
        <v/>
      </c>
      <c r="AI81" s="34" t="str">
        <f>IF($BE81="","",IF(ISNUMBER(MATCH($BE81,AQ$5:AQ$29999,0)),MAX(AI$4:AI80)+1,0))</f>
        <v/>
      </c>
      <c r="AJ81" s="34" t="str">
        <f>IF($BE81="","",IF(ISNUMBER(MATCH($BE81,AR$5:AR$29999,0)),MAX(AJ$4:AJ80)+1,0))</f>
        <v/>
      </c>
      <c r="AK81" s="34" t="str">
        <f>IF($BE81="","",IF(ISNUMBER(MATCH($BE81,AS$5:AS$29999,0)),MAX(AK$4:AK80)+1,0))</f>
        <v/>
      </c>
      <c r="AL81" s="34" t="str">
        <f>IF($BE81="","",IF(ISNUMBER(MATCH($BE81,AT$5:AT$29999,0)),MAX(AL$4:AL80)+1,0))</f>
        <v/>
      </c>
      <c r="AM81" s="34" t="str">
        <f>IF($BE81="","",IF(ISNUMBER(MATCH($BE81,AU$5:AU$29999,0)),MAX(AM$4:AM80)+1,0))</f>
        <v/>
      </c>
      <c r="AN81" s="34" t="str">
        <f>IF($BE81="","",IF(ISNUMBER(MATCH($BE81,AV$5:AV$29999,0)),MAX(AN$4:AN80)+1,0))</f>
        <v/>
      </c>
      <c r="AO81" s="16"/>
      <c r="AP81" s="33"/>
      <c r="AQ81" s="33"/>
      <c r="AR81" s="33"/>
      <c r="AS81" s="33"/>
      <c r="AT81" s="32"/>
      <c r="AU81" s="32"/>
      <c r="AV81" s="32" t="s">
        <v>0</v>
      </c>
      <c r="AW81" s="40"/>
      <c r="AX81" s="20" t="s">
        <v>0</v>
      </c>
      <c r="AY81" s="30"/>
      <c r="BA81" s="39" t="s">
        <v>0</v>
      </c>
      <c r="BB81" s="44" t="str">
        <f>IF(ISTEXT(AW81),IF(ISNUMBER(MATCH(AW81,$AY$5:$AY$100,0)),0,MAX(BB$4:BB80)+1),"")</f>
        <v/>
      </c>
      <c r="BC81" s="36" t="str">
        <f>IF(ISTEXT(AY81),MATCH(AY81,$AW$5:$AW$127,0),"")</f>
        <v/>
      </c>
      <c r="BD81" s="36">
        <f>IF(ISNUMBER(BC81),AY81,ROW()-SUM($BC$4:$BD$4))</f>
        <v>40</v>
      </c>
      <c r="BE81" s="20"/>
      <c r="BF81" s="36"/>
      <c r="BG81" s="19" t="str">
        <f>IF(ISNUMBER(MATCH($BE81,Z$5:Z$501,0)),INDEX(Z$5:Z$501,MATCH($BE81,Z$5:Z$501,0),1),"")</f>
        <v/>
      </c>
      <c r="BH81" s="19" t="str">
        <f>IF(ISNUMBER(MATCH($BE81,AA$5:AA$501,0)),INDEX(AA$5:AA$501,MATCH($BE81,AA$5:AA$501,0),1),"")</f>
        <v/>
      </c>
      <c r="BI81" s="19" t="str">
        <f>IF(ISNUMBER(MATCH($BE81,AB$5:AB$501,0)),INDEX(AB$5:AB$501,MATCH($BE81,AB$5:AB$501,0),1),"")</f>
        <v/>
      </c>
      <c r="BJ81" s="19" t="str">
        <f>IF(ISNUMBER(MATCH($BE81,AC$5:AC$501,0)),INDEX(AC$5:AC$501,MATCH($BE81,AC$5:AC$501,0),1),"")</f>
        <v/>
      </c>
      <c r="BK81" s="19" t="str">
        <f>IF(ISNUMBER(MATCH($BE81,AD$5:AD$501,0)),INDEX(AD$5:AD$501,MATCH($BE81,AD$5:AD$501,0),1),"")</f>
        <v/>
      </c>
      <c r="BL81" s="19" t="str">
        <f>IF(ISNUMBER(MATCH($BE81,AE$5:AE$501,0)),INDEX(AE$5:AE$501,MATCH($BE81,AE$5:AE$501,0),1),"")</f>
        <v/>
      </c>
      <c r="BM81" s="19" t="str">
        <f>IF(ISNUMBER(MATCH($BE81,AF$5:AF$501,0)),INDEX(AF$5:AF$501,MATCH($BE81,AF$5:AF$501,0),1),"")</f>
        <v/>
      </c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</row>
    <row r="82" spans="1:78" ht="12" customHeight="1" x14ac:dyDescent="0.25">
      <c r="A82" s="26"/>
      <c r="B82" s="28" t="str">
        <f>IF(ISNUMBER(MATCH(O82,$N$5:$N$1000,0)),MATCH(O82,$N$5:$N$1000,0),"")</f>
        <v/>
      </c>
      <c r="C82" s="15" t="str">
        <f>IF(ISNUMBER(B82),MAX(C$4:C81)+1,"")</f>
        <v/>
      </c>
      <c r="D82" s="15" t="str">
        <f>IF(IF(ISNUMBER(B82),"",MAX(D$4:D81)+1)&lt;=D$3,IF(ISNUMBER(B82),"",MAX(D$4:D81)+1),"")</f>
        <v/>
      </c>
      <c r="E82" s="42" t="str">
        <f>IF(M82&lt;=D$3,MATCH(M82,D$5:D$1000,0),"")</f>
        <v/>
      </c>
      <c r="F82" s="28" t="str">
        <f>IF(ISNUMBER(E82),INDEX($N$5:$N$1000,E82,1),"")</f>
        <v/>
      </c>
      <c r="G82" s="27" t="str">
        <f>IF(ISNUMBER(C82),N82,IF(ISTEXT(N82),INDEX($F$5:$F$1000,MATCH(M82,$E$5:$E$1000,0),1),""))</f>
        <v/>
      </c>
      <c r="H82" s="15" t="str">
        <f>IF(O82="","",IF(ISNUMBER(MATCH(O82,$G$5:$G$1000,0)),"",IF(D82=1,C$3,0)+MAX(H$4:H81)+1))</f>
        <v/>
      </c>
      <c r="I82" s="15" t="str">
        <f>IF(O82="","",IF(ISNUMBER(MATCH(O82,$G$5:$G$1000,0)),"",IF(D82=1,B$4,0)+MAX(I$4:I81)+1))</f>
        <v/>
      </c>
      <c r="J82" s="27" t="str">
        <f>IF(ISNUMBER(MATCH(M82,$I$5:$I$1000,0)),INDEX($O$5:$O$1000,MATCH(M82,$I$5:$I$1000,0),1),"")</f>
        <v/>
      </c>
      <c r="K82" s="27"/>
      <c r="L82" s="26"/>
      <c r="M82" s="14">
        <f>IF(ROW()-ROW(M$4)&lt;=1000,ROW()-ROW(M$4),"")</f>
        <v>78</v>
      </c>
      <c r="N82" s="43"/>
      <c r="O82" s="43"/>
      <c r="P82" s="41" t="str">
        <f>IF(M82&lt;=$B$4,IF(ISTEXT(G82),G82,""),IF(ISTEXT(J82),J82,""))</f>
        <v/>
      </c>
      <c r="Q82" s="16" t="s">
        <v>0</v>
      </c>
      <c r="R82" s="34" t="str">
        <f>IF(ROW()-ROW(R$4)&lt;=AH$3,ROW()-ROW(R$4),"")</f>
        <v/>
      </c>
      <c r="S82" s="34" t="str">
        <f>IF(ROW()-ROW(S$4)&lt;=AI$3,ROW()-ROW(S$4),"")</f>
        <v/>
      </c>
      <c r="T82" s="34" t="str">
        <f>IF(ROW()-ROW(T$4)&lt;=AJ$3,ROW()-ROW(T$4),"")</f>
        <v/>
      </c>
      <c r="U82" s="34" t="str">
        <f>IF(ROW()-ROW(U$4)&lt;=AK$3,ROW()-ROW(U$4),"")</f>
        <v/>
      </c>
      <c r="V82" s="34" t="str">
        <f>IF(ROW()-ROW(V$4)&lt;=AL$3,ROW()-ROW(V$4),"")</f>
        <v/>
      </c>
      <c r="W82" s="34" t="str">
        <f>IF(ROW()-ROW(W$4)&lt;=AM$3,ROW()-ROW(W$4),"")</f>
        <v/>
      </c>
      <c r="X82" s="34" t="str">
        <f>IF(ROW()-ROW(X$4)&lt;=AN$3,ROW()-ROW(X$4),"")</f>
        <v/>
      </c>
      <c r="Y82" s="34"/>
      <c r="Z82" s="35" t="str">
        <f>IF(ISNUMBER(R82),INDEX($BE$5:$BE$2999,MATCH(R82,AH$5:AH$2999,0),1),"")</f>
        <v/>
      </c>
      <c r="AA82" s="35" t="str">
        <f>IF(ISNUMBER(S82),INDEX($BE$5:$BE$2999,MATCH(S82,AI$5:AI$2999,0),1),"")</f>
        <v/>
      </c>
      <c r="AB82" s="35" t="str">
        <f>IF(ISNUMBER(T82),INDEX($BE$5:$BE$2999,MATCH(T82,AJ$5:AJ$2999,0),1),"")</f>
        <v/>
      </c>
      <c r="AC82" s="35" t="str">
        <f>IF(ISNUMBER(U82),INDEX($BE$5:$BE$2999,MATCH(U82,AK$5:AK$2999,0),1),"")</f>
        <v/>
      </c>
      <c r="AD82" s="35" t="str">
        <f>IF(ISNUMBER(V82),INDEX($BE$5:$BE$2999,MATCH(V82,AL$5:AL$2999,0),1),"")</f>
        <v/>
      </c>
      <c r="AE82" s="35" t="str">
        <f>IF(ISNUMBER(W82),INDEX($BE$5:$BE$2999,MATCH(W82,AM$5:AM$2999,0),1),"")</f>
        <v/>
      </c>
      <c r="AF82" s="35" t="str">
        <f>IF(ISNUMBER(X82),INDEX($BE$5:$BE$2999,MATCH(X82,AN$5:AN$2999,0),1),"")</f>
        <v/>
      </c>
      <c r="AG82" s="35"/>
      <c r="AH82" s="34" t="str">
        <f>IF($BE82="","",IF(ISNUMBER(MATCH($BE82,AP$5:AP$29999,0)),MAX(AH$4:AH81)+1,0))</f>
        <v/>
      </c>
      <c r="AI82" s="34" t="str">
        <f>IF($BE82="","",IF(ISNUMBER(MATCH($BE82,AQ$5:AQ$29999,0)),MAX(AI$4:AI81)+1,0))</f>
        <v/>
      </c>
      <c r="AJ82" s="34" t="str">
        <f>IF($BE82="","",IF(ISNUMBER(MATCH($BE82,AR$5:AR$29999,0)),MAX(AJ$4:AJ81)+1,0))</f>
        <v/>
      </c>
      <c r="AK82" s="34" t="str">
        <f>IF($BE82="","",IF(ISNUMBER(MATCH($BE82,AS$5:AS$29999,0)),MAX(AK$4:AK81)+1,0))</f>
        <v/>
      </c>
      <c r="AL82" s="34" t="str">
        <f>IF($BE82="","",IF(ISNUMBER(MATCH($BE82,AT$5:AT$29999,0)),MAX(AL$4:AL81)+1,0))</f>
        <v/>
      </c>
      <c r="AM82" s="34" t="str">
        <f>IF($BE82="","",IF(ISNUMBER(MATCH($BE82,AU$5:AU$29999,0)),MAX(AM$4:AM81)+1,0))</f>
        <v/>
      </c>
      <c r="AN82" s="34" t="str">
        <f>IF($BE82="","",IF(ISNUMBER(MATCH($BE82,AV$5:AV$29999,0)),MAX(AN$4:AN81)+1,0))</f>
        <v/>
      </c>
      <c r="AO82" s="16"/>
      <c r="AP82" s="33"/>
      <c r="AQ82" s="33"/>
      <c r="AR82" s="33"/>
      <c r="AS82" s="33"/>
      <c r="AT82" s="32"/>
      <c r="AU82" s="32"/>
      <c r="AV82" s="32" t="s">
        <v>0</v>
      </c>
      <c r="AW82" s="40"/>
      <c r="AX82" s="20" t="s">
        <v>0</v>
      </c>
      <c r="AY82" s="30"/>
      <c r="BA82" s="39" t="s">
        <v>0</v>
      </c>
      <c r="BB82" s="44" t="str">
        <f>IF(ISTEXT(AW82),IF(ISNUMBER(MATCH(AW82,$AY$5:$AY$100,0)),0,MAX(BB$4:BB81)+1),"")</f>
        <v/>
      </c>
      <c r="BC82" s="36" t="str">
        <f>IF(ISTEXT(AY82),MATCH(AY82,$AW$5:$AW$127,0),"")</f>
        <v/>
      </c>
      <c r="BD82" s="36">
        <f>IF(ISNUMBER(BC82),AY82,ROW()-SUM($BC$4:$BD$4))</f>
        <v>41</v>
      </c>
      <c r="BE82" s="20"/>
      <c r="BF82" s="36"/>
      <c r="BG82" s="19" t="str">
        <f>IF(ISNUMBER(MATCH($BE82,Z$5:Z$501,0)),INDEX(Z$5:Z$501,MATCH($BE82,Z$5:Z$501,0),1),"")</f>
        <v/>
      </c>
      <c r="BH82" s="19" t="str">
        <f>IF(ISNUMBER(MATCH($BE82,AA$5:AA$501,0)),INDEX(AA$5:AA$501,MATCH($BE82,AA$5:AA$501,0),1),"")</f>
        <v/>
      </c>
      <c r="BI82" s="19" t="str">
        <f>IF(ISNUMBER(MATCH($BE82,AB$5:AB$501,0)),INDEX(AB$5:AB$501,MATCH($BE82,AB$5:AB$501,0),1),"")</f>
        <v/>
      </c>
      <c r="BJ82" s="19" t="str">
        <f>IF(ISNUMBER(MATCH($BE82,AC$5:AC$501,0)),INDEX(AC$5:AC$501,MATCH($BE82,AC$5:AC$501,0),1),"")</f>
        <v/>
      </c>
      <c r="BK82" s="19" t="str">
        <f>IF(ISNUMBER(MATCH($BE82,AD$5:AD$501,0)),INDEX(AD$5:AD$501,MATCH($BE82,AD$5:AD$501,0),1),"")</f>
        <v/>
      </c>
      <c r="BL82" s="19" t="str">
        <f>IF(ISNUMBER(MATCH($BE82,AE$5:AE$501,0)),INDEX(AE$5:AE$501,MATCH($BE82,AE$5:AE$501,0),1),"")</f>
        <v/>
      </c>
      <c r="BM82" s="19" t="str">
        <f>IF(ISNUMBER(MATCH($BE82,AF$5:AF$501,0)),INDEX(AF$5:AF$501,MATCH($BE82,AF$5:AF$501,0),1),"")</f>
        <v/>
      </c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</row>
    <row r="83" spans="1:78" ht="12" customHeight="1" x14ac:dyDescent="0.25">
      <c r="A83" s="26"/>
      <c r="B83" s="28" t="str">
        <f>IF(ISNUMBER(MATCH(O83,$N$5:$N$1000,0)),MATCH(O83,$N$5:$N$1000,0),"")</f>
        <v/>
      </c>
      <c r="C83" s="15" t="str">
        <f>IF(ISNUMBER(B83),MAX(C$4:C82)+1,"")</f>
        <v/>
      </c>
      <c r="D83" s="15" t="str">
        <f>IF(IF(ISNUMBER(B83),"",MAX(D$4:D82)+1)&lt;=D$3,IF(ISNUMBER(B83),"",MAX(D$4:D82)+1),"")</f>
        <v/>
      </c>
      <c r="E83" s="42" t="str">
        <f>IF(M83&lt;=D$3,MATCH(M83,D$5:D$1000,0),"")</f>
        <v/>
      </c>
      <c r="F83" s="28" t="str">
        <f>IF(ISNUMBER(E83),INDEX($N$5:$N$1000,E83,1),"")</f>
        <v/>
      </c>
      <c r="G83" s="27" t="str">
        <f>IF(ISNUMBER(C83),N83,IF(ISTEXT(N83),INDEX($F$5:$F$1000,MATCH(M83,$E$5:$E$1000,0),1),""))</f>
        <v/>
      </c>
      <c r="H83" s="15" t="str">
        <f>IF(O83="","",IF(ISNUMBER(MATCH(O83,$G$5:$G$1000,0)),"",IF(D83=1,C$3,0)+MAX(H$4:H82)+1))</f>
        <v/>
      </c>
      <c r="I83" s="15" t="str">
        <f>IF(O83="","",IF(ISNUMBER(MATCH(O83,$G$5:$G$1000,0)),"",IF(D83=1,B$4,0)+MAX(I$4:I82)+1))</f>
        <v/>
      </c>
      <c r="J83" s="27" t="str">
        <f>IF(ISNUMBER(MATCH(M83,$I$5:$I$1000,0)),INDEX($O$5:$O$1000,MATCH(M83,$I$5:$I$1000,0),1),"")</f>
        <v/>
      </c>
      <c r="K83" s="27"/>
      <c r="L83" s="26"/>
      <c r="M83" s="14">
        <f>IF(ROW()-ROW(M$4)&lt;=1000,ROW()-ROW(M$4),"")</f>
        <v>79</v>
      </c>
      <c r="N83" s="43"/>
      <c r="O83" s="43"/>
      <c r="P83" s="41" t="str">
        <f>IF(M83&lt;=$B$4,IF(ISTEXT(G83),G83,""),IF(ISTEXT(J83),J83,""))</f>
        <v/>
      </c>
      <c r="Q83" s="16" t="s">
        <v>0</v>
      </c>
      <c r="R83" s="34" t="str">
        <f>IF(ROW()-ROW(R$4)&lt;=AH$3,ROW()-ROW(R$4),"")</f>
        <v/>
      </c>
      <c r="S83" s="34" t="str">
        <f>IF(ROW()-ROW(S$4)&lt;=AI$3,ROW()-ROW(S$4),"")</f>
        <v/>
      </c>
      <c r="T83" s="34" t="str">
        <f>IF(ROW()-ROW(T$4)&lt;=AJ$3,ROW()-ROW(T$4),"")</f>
        <v/>
      </c>
      <c r="U83" s="34" t="str">
        <f>IF(ROW()-ROW(U$4)&lt;=AK$3,ROW()-ROW(U$4),"")</f>
        <v/>
      </c>
      <c r="V83" s="34" t="str">
        <f>IF(ROW()-ROW(V$4)&lt;=AL$3,ROW()-ROW(V$4),"")</f>
        <v/>
      </c>
      <c r="W83" s="34" t="str">
        <f>IF(ROW()-ROW(W$4)&lt;=AM$3,ROW()-ROW(W$4),"")</f>
        <v/>
      </c>
      <c r="X83" s="34" t="str">
        <f>IF(ROW()-ROW(X$4)&lt;=AN$3,ROW()-ROW(X$4),"")</f>
        <v/>
      </c>
      <c r="Y83" s="34"/>
      <c r="Z83" s="35" t="str">
        <f>IF(ISNUMBER(R83),INDEX($BE$5:$BE$2999,MATCH(R83,AH$5:AH$2999,0),1),"")</f>
        <v/>
      </c>
      <c r="AA83" s="35" t="str">
        <f>IF(ISNUMBER(S83),INDEX($BE$5:$BE$2999,MATCH(S83,AI$5:AI$2999,0),1),"")</f>
        <v/>
      </c>
      <c r="AB83" s="35" t="str">
        <f>IF(ISNUMBER(T83),INDEX($BE$5:$BE$2999,MATCH(T83,AJ$5:AJ$2999,0),1),"")</f>
        <v/>
      </c>
      <c r="AC83" s="35" t="str">
        <f>IF(ISNUMBER(U83),INDEX($BE$5:$BE$2999,MATCH(U83,AK$5:AK$2999,0),1),"")</f>
        <v/>
      </c>
      <c r="AD83" s="35" t="str">
        <f>IF(ISNUMBER(V83),INDEX($BE$5:$BE$2999,MATCH(V83,AL$5:AL$2999,0),1),"")</f>
        <v/>
      </c>
      <c r="AE83" s="35" t="str">
        <f>IF(ISNUMBER(W83),INDEX($BE$5:$BE$2999,MATCH(W83,AM$5:AM$2999,0),1),"")</f>
        <v/>
      </c>
      <c r="AF83" s="35" t="str">
        <f>IF(ISNUMBER(X83),INDEX($BE$5:$BE$2999,MATCH(X83,AN$5:AN$2999,0),1),"")</f>
        <v/>
      </c>
      <c r="AG83" s="35"/>
      <c r="AH83" s="34" t="str">
        <f>IF($BE83="","",IF(ISNUMBER(MATCH($BE83,AP$5:AP$29999,0)),MAX(AH$4:AH82)+1,0))</f>
        <v/>
      </c>
      <c r="AI83" s="34" t="str">
        <f>IF($BE83="","",IF(ISNUMBER(MATCH($BE83,AQ$5:AQ$29999,0)),MAX(AI$4:AI82)+1,0))</f>
        <v/>
      </c>
      <c r="AJ83" s="34" t="str">
        <f>IF($BE83="","",IF(ISNUMBER(MATCH($BE83,AR$5:AR$29999,0)),MAX(AJ$4:AJ82)+1,0))</f>
        <v/>
      </c>
      <c r="AK83" s="34" t="str">
        <f>IF($BE83="","",IF(ISNUMBER(MATCH($BE83,AS$5:AS$29999,0)),MAX(AK$4:AK82)+1,0))</f>
        <v/>
      </c>
      <c r="AL83" s="34" t="str">
        <f>IF($BE83="","",IF(ISNUMBER(MATCH($BE83,AT$5:AT$29999,0)),MAX(AL$4:AL82)+1,0))</f>
        <v/>
      </c>
      <c r="AM83" s="34" t="str">
        <f>IF($BE83="","",IF(ISNUMBER(MATCH($BE83,AU$5:AU$29999,0)),MAX(AM$4:AM82)+1,0))</f>
        <v/>
      </c>
      <c r="AN83" s="34" t="str">
        <f>IF($BE83="","",IF(ISNUMBER(MATCH($BE83,AV$5:AV$29999,0)),MAX(AN$4:AN82)+1,0))</f>
        <v/>
      </c>
      <c r="AO83" s="16"/>
      <c r="AP83" s="33"/>
      <c r="AQ83" s="33"/>
      <c r="AR83" s="33"/>
      <c r="AS83" s="33"/>
      <c r="AT83" s="32"/>
      <c r="AU83" s="32"/>
      <c r="AV83" s="32" t="s">
        <v>0</v>
      </c>
      <c r="AW83" s="40"/>
      <c r="AX83" s="20" t="s">
        <v>0</v>
      </c>
      <c r="AY83" s="30"/>
      <c r="BA83" s="39" t="s">
        <v>0</v>
      </c>
      <c r="BB83" s="44" t="str">
        <f>IF(ISTEXT(AW83),IF(ISNUMBER(MATCH(AW83,$AY$5:$AY$100,0)),0,MAX(BB$4:BB82)+1),"")</f>
        <v/>
      </c>
      <c r="BC83" s="36" t="str">
        <f>IF(ISTEXT(AY83),MATCH(AY83,$AW$5:$AW$127,0),"")</f>
        <v/>
      </c>
      <c r="BD83" s="36">
        <f>IF(ISNUMBER(BC83),AY83,ROW()-SUM($BC$4:$BD$4))</f>
        <v>42</v>
      </c>
      <c r="BE83" s="20"/>
      <c r="BF83" s="36"/>
      <c r="BG83" s="19" t="str">
        <f>IF(ISNUMBER(MATCH($BE83,Z$5:Z$501,0)),INDEX(Z$5:Z$501,MATCH($BE83,Z$5:Z$501,0),1),"")</f>
        <v/>
      </c>
      <c r="BH83" s="19" t="str">
        <f>IF(ISNUMBER(MATCH($BE83,AA$5:AA$501,0)),INDEX(AA$5:AA$501,MATCH($BE83,AA$5:AA$501,0),1),"")</f>
        <v/>
      </c>
      <c r="BI83" s="19" t="str">
        <f>IF(ISNUMBER(MATCH($BE83,AB$5:AB$501,0)),INDEX(AB$5:AB$501,MATCH($BE83,AB$5:AB$501,0),1),"")</f>
        <v/>
      </c>
      <c r="BJ83" s="19" t="str">
        <f>IF(ISNUMBER(MATCH($BE83,AC$5:AC$501,0)),INDEX(AC$5:AC$501,MATCH($BE83,AC$5:AC$501,0),1),"")</f>
        <v/>
      </c>
      <c r="BK83" s="19" t="str">
        <f>IF(ISNUMBER(MATCH($BE83,AD$5:AD$501,0)),INDEX(AD$5:AD$501,MATCH($BE83,AD$5:AD$501,0),1),"")</f>
        <v/>
      </c>
      <c r="BL83" s="19" t="str">
        <f>IF(ISNUMBER(MATCH($BE83,AE$5:AE$501,0)),INDEX(AE$5:AE$501,MATCH($BE83,AE$5:AE$501,0),1),"")</f>
        <v/>
      </c>
      <c r="BM83" s="19" t="str">
        <f>IF(ISNUMBER(MATCH($BE83,AF$5:AF$501,0)),INDEX(AF$5:AF$501,MATCH($BE83,AF$5:AF$501,0),1),"")</f>
        <v/>
      </c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</row>
    <row r="84" spans="1:78" ht="12" customHeight="1" x14ac:dyDescent="0.25">
      <c r="A84" s="26"/>
      <c r="B84" s="28" t="str">
        <f>IF(ISNUMBER(MATCH(O84,$N$5:$N$1000,0)),MATCH(O84,$N$5:$N$1000,0),"")</f>
        <v/>
      </c>
      <c r="C84" s="15" t="str">
        <f>IF(ISNUMBER(B84),MAX(C$4:C83)+1,"")</f>
        <v/>
      </c>
      <c r="D84" s="15" t="str">
        <f>IF(IF(ISNUMBER(B84),"",MAX(D$4:D83)+1)&lt;=D$3,IF(ISNUMBER(B84),"",MAX(D$4:D83)+1),"")</f>
        <v/>
      </c>
      <c r="E84" s="42" t="str">
        <f>IF(M84&lt;=D$3,MATCH(M84,D$5:D$1000,0),"")</f>
        <v/>
      </c>
      <c r="F84" s="28" t="str">
        <f>IF(ISNUMBER(E84),INDEX($N$5:$N$1000,E84,1),"")</f>
        <v/>
      </c>
      <c r="G84" s="27" t="str">
        <f>IF(ISNUMBER(C84),N84,IF(ISTEXT(N84),INDEX($F$5:$F$1000,MATCH(M84,$E$5:$E$1000,0),1),""))</f>
        <v/>
      </c>
      <c r="H84" s="15" t="str">
        <f>IF(O84="","",IF(ISNUMBER(MATCH(O84,$G$5:$G$1000,0)),"",IF(D84=1,C$3,0)+MAX(H$4:H83)+1))</f>
        <v/>
      </c>
      <c r="I84" s="15" t="str">
        <f>IF(O84="","",IF(ISNUMBER(MATCH(O84,$G$5:$G$1000,0)),"",IF(D84=1,B$4,0)+MAX(I$4:I83)+1))</f>
        <v/>
      </c>
      <c r="J84" s="27" t="str">
        <f>IF(ISNUMBER(MATCH(M84,$I$5:$I$1000,0)),INDEX($O$5:$O$1000,MATCH(M84,$I$5:$I$1000,0),1),"")</f>
        <v/>
      </c>
      <c r="K84" s="27"/>
      <c r="L84" s="26"/>
      <c r="M84" s="14">
        <f>IF(ROW()-ROW(M$4)&lt;=1000,ROW()-ROW(M$4),"")</f>
        <v>80</v>
      </c>
      <c r="N84" s="43"/>
      <c r="O84" s="43"/>
      <c r="P84" s="41" t="str">
        <f>IF(M84&lt;=$B$4,IF(ISTEXT(G84),G84,""),IF(ISTEXT(J84),J84,""))</f>
        <v/>
      </c>
      <c r="Q84" s="16" t="s">
        <v>0</v>
      </c>
      <c r="R84" s="34" t="str">
        <f>IF(ROW()-ROW(R$4)&lt;=AH$3,ROW()-ROW(R$4),"")</f>
        <v/>
      </c>
      <c r="S84" s="34" t="str">
        <f>IF(ROW()-ROW(S$4)&lt;=AI$3,ROW()-ROW(S$4),"")</f>
        <v/>
      </c>
      <c r="T84" s="34" t="str">
        <f>IF(ROW()-ROW(T$4)&lt;=AJ$3,ROW()-ROW(T$4),"")</f>
        <v/>
      </c>
      <c r="U84" s="34" t="str">
        <f>IF(ROW()-ROW(U$4)&lt;=AK$3,ROW()-ROW(U$4),"")</f>
        <v/>
      </c>
      <c r="V84" s="34" t="str">
        <f>IF(ROW()-ROW(V$4)&lt;=AL$3,ROW()-ROW(V$4),"")</f>
        <v/>
      </c>
      <c r="W84" s="34" t="str">
        <f>IF(ROW()-ROW(W$4)&lt;=AM$3,ROW()-ROW(W$4),"")</f>
        <v/>
      </c>
      <c r="X84" s="34" t="str">
        <f>IF(ROW()-ROW(X$4)&lt;=AN$3,ROW()-ROW(X$4),"")</f>
        <v/>
      </c>
      <c r="Y84" s="34"/>
      <c r="Z84" s="35" t="str">
        <f>IF(ISNUMBER(R84),INDEX($BE$5:$BE$2999,MATCH(R84,AH$5:AH$2999,0),1),"")</f>
        <v/>
      </c>
      <c r="AA84" s="35" t="str">
        <f>IF(ISNUMBER(S84),INDEX($BE$5:$BE$2999,MATCH(S84,AI$5:AI$2999,0),1),"")</f>
        <v/>
      </c>
      <c r="AB84" s="35" t="str">
        <f>IF(ISNUMBER(T84),INDEX($BE$5:$BE$2999,MATCH(T84,AJ$5:AJ$2999,0),1),"")</f>
        <v/>
      </c>
      <c r="AC84" s="35" t="str">
        <f>IF(ISNUMBER(U84),INDEX($BE$5:$BE$2999,MATCH(U84,AK$5:AK$2999,0),1),"")</f>
        <v/>
      </c>
      <c r="AD84" s="35" t="str">
        <f>IF(ISNUMBER(V84),INDEX($BE$5:$BE$2999,MATCH(V84,AL$5:AL$2999,0),1),"")</f>
        <v/>
      </c>
      <c r="AE84" s="35" t="str">
        <f>IF(ISNUMBER(W84),INDEX($BE$5:$BE$2999,MATCH(W84,AM$5:AM$2999,0),1),"")</f>
        <v/>
      </c>
      <c r="AF84" s="35" t="str">
        <f>IF(ISNUMBER(X84),INDEX($BE$5:$BE$2999,MATCH(X84,AN$5:AN$2999,0),1),"")</f>
        <v/>
      </c>
      <c r="AG84" s="35"/>
      <c r="AH84" s="34" t="str">
        <f>IF($BE84="","",IF(ISNUMBER(MATCH($BE84,AP$5:AP$29999,0)),MAX(AH$4:AH83)+1,0))</f>
        <v/>
      </c>
      <c r="AI84" s="34" t="str">
        <f>IF($BE84="","",IF(ISNUMBER(MATCH($BE84,AQ$5:AQ$29999,0)),MAX(AI$4:AI83)+1,0))</f>
        <v/>
      </c>
      <c r="AJ84" s="34" t="str">
        <f>IF($BE84="","",IF(ISNUMBER(MATCH($BE84,AR$5:AR$29999,0)),MAX(AJ$4:AJ83)+1,0))</f>
        <v/>
      </c>
      <c r="AK84" s="34" t="str">
        <f>IF($BE84="","",IF(ISNUMBER(MATCH($BE84,AS$5:AS$29999,0)),MAX(AK$4:AK83)+1,0))</f>
        <v/>
      </c>
      <c r="AL84" s="34" t="str">
        <f>IF($BE84="","",IF(ISNUMBER(MATCH($BE84,AT$5:AT$29999,0)),MAX(AL$4:AL83)+1,0))</f>
        <v/>
      </c>
      <c r="AM84" s="34" t="str">
        <f>IF($BE84="","",IF(ISNUMBER(MATCH($BE84,AU$5:AU$29999,0)),MAX(AM$4:AM83)+1,0))</f>
        <v/>
      </c>
      <c r="AN84" s="34" t="str">
        <f>IF($BE84="","",IF(ISNUMBER(MATCH($BE84,AV$5:AV$29999,0)),MAX(AN$4:AN83)+1,0))</f>
        <v/>
      </c>
      <c r="AO84" s="16"/>
      <c r="AP84" s="33"/>
      <c r="AQ84" s="33"/>
      <c r="AR84" s="33"/>
      <c r="AS84" s="33"/>
      <c r="AT84" s="32"/>
      <c r="AU84" s="32"/>
      <c r="AV84" s="32" t="s">
        <v>0</v>
      </c>
      <c r="AW84" s="40"/>
      <c r="AX84" s="20" t="s">
        <v>0</v>
      </c>
      <c r="AY84" s="30"/>
      <c r="BA84" s="39" t="s">
        <v>0</v>
      </c>
      <c r="BB84" s="44" t="str">
        <f>IF(ISTEXT(AW84),IF(ISNUMBER(MATCH(AW84,$AY$5:$AY$100,0)),0,MAX(BB$4:BB83)+1),"")</f>
        <v/>
      </c>
      <c r="BC84" s="36" t="str">
        <f>IF(ISTEXT(AY84),MATCH(AY84,$AW$5:$AW$127,0),"")</f>
        <v/>
      </c>
      <c r="BD84" s="36">
        <f>IF(ISNUMBER(BC84),AY84,ROW()-SUM($BC$4:$BD$4))</f>
        <v>43</v>
      </c>
      <c r="BE84" s="20"/>
      <c r="BF84" s="36"/>
      <c r="BG84" s="19" t="str">
        <f>IF(ISNUMBER(MATCH($BE84,Z$5:Z$501,0)),INDEX(Z$5:Z$501,MATCH($BE84,Z$5:Z$501,0),1),"")</f>
        <v/>
      </c>
      <c r="BH84" s="19" t="str">
        <f>IF(ISNUMBER(MATCH($BE84,AA$5:AA$501,0)),INDEX(AA$5:AA$501,MATCH($BE84,AA$5:AA$501,0),1),"")</f>
        <v/>
      </c>
      <c r="BI84" s="19" t="str">
        <f>IF(ISNUMBER(MATCH($BE84,AB$5:AB$501,0)),INDEX(AB$5:AB$501,MATCH($BE84,AB$5:AB$501,0),1),"")</f>
        <v/>
      </c>
      <c r="BJ84" s="19" t="str">
        <f>IF(ISNUMBER(MATCH($BE84,AC$5:AC$501,0)),INDEX(AC$5:AC$501,MATCH($BE84,AC$5:AC$501,0),1),"")</f>
        <v/>
      </c>
      <c r="BK84" s="19" t="str">
        <f>IF(ISNUMBER(MATCH($BE84,AD$5:AD$501,0)),INDEX(AD$5:AD$501,MATCH($BE84,AD$5:AD$501,0),1),"")</f>
        <v/>
      </c>
      <c r="BL84" s="19" t="str">
        <f>IF(ISNUMBER(MATCH($BE84,AE$5:AE$501,0)),INDEX(AE$5:AE$501,MATCH($BE84,AE$5:AE$501,0),1),"")</f>
        <v/>
      </c>
      <c r="BM84" s="19" t="str">
        <f>IF(ISNUMBER(MATCH($BE84,AF$5:AF$501,0)),INDEX(AF$5:AF$501,MATCH($BE84,AF$5:AF$501,0),1),"")</f>
        <v/>
      </c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</row>
    <row r="85" spans="1:78" ht="12" customHeight="1" x14ac:dyDescent="0.25">
      <c r="A85" s="26"/>
      <c r="B85" s="28" t="str">
        <f>IF(ISNUMBER(MATCH(O85,$N$5:$N$1000,0)),MATCH(O85,$N$5:$N$1000,0),"")</f>
        <v/>
      </c>
      <c r="C85" s="15" t="str">
        <f>IF(ISNUMBER(B85),MAX(C$4:C84)+1,"")</f>
        <v/>
      </c>
      <c r="D85" s="15" t="str">
        <f>IF(IF(ISNUMBER(B85),"",MAX(D$4:D84)+1)&lt;=D$3,IF(ISNUMBER(B85),"",MAX(D$4:D84)+1),"")</f>
        <v/>
      </c>
      <c r="E85" s="42" t="str">
        <f>IF(M85&lt;=D$3,MATCH(M85,D$5:D$1000,0),"")</f>
        <v/>
      </c>
      <c r="F85" s="28" t="str">
        <f>IF(ISNUMBER(E85),INDEX($N$5:$N$1000,E85,1),"")</f>
        <v/>
      </c>
      <c r="G85" s="27" t="str">
        <f>IF(ISNUMBER(C85),N85,IF(ISTEXT(N85),INDEX($F$5:$F$1000,MATCH(M85,$E$5:$E$1000,0),1),""))</f>
        <v/>
      </c>
      <c r="H85" s="15" t="str">
        <f>IF(O85="","",IF(ISNUMBER(MATCH(O85,$G$5:$G$1000,0)),"",IF(D85=1,C$3,0)+MAX(H$4:H84)+1))</f>
        <v/>
      </c>
      <c r="I85" s="15" t="str">
        <f>IF(O85="","",IF(ISNUMBER(MATCH(O85,$G$5:$G$1000,0)),"",IF(D85=1,B$4,0)+MAX(I$4:I84)+1))</f>
        <v/>
      </c>
      <c r="J85" s="27" t="str">
        <f>IF(ISNUMBER(MATCH(M85,$I$5:$I$1000,0)),INDEX($O$5:$O$1000,MATCH(M85,$I$5:$I$1000,0),1),"")</f>
        <v/>
      </c>
      <c r="K85" s="27"/>
      <c r="L85" s="26"/>
      <c r="M85" s="14">
        <f>IF(ROW()-ROW(M$4)&lt;=1000,ROW()-ROW(M$4),"")</f>
        <v>81</v>
      </c>
      <c r="N85" s="43"/>
      <c r="O85" s="43"/>
      <c r="P85" s="41" t="str">
        <f>IF(M85&lt;=$B$4,IF(ISTEXT(G85),G85,""),IF(ISTEXT(J85),J85,""))</f>
        <v/>
      </c>
      <c r="Q85" s="16" t="s">
        <v>0</v>
      </c>
      <c r="R85" s="34" t="str">
        <f>IF(ROW()-ROW(R$4)&lt;=AH$3,ROW()-ROW(R$4),"")</f>
        <v/>
      </c>
      <c r="S85" s="34" t="str">
        <f>IF(ROW()-ROW(S$4)&lt;=AI$3,ROW()-ROW(S$4),"")</f>
        <v/>
      </c>
      <c r="T85" s="34" t="str">
        <f>IF(ROW()-ROW(T$4)&lt;=AJ$3,ROW()-ROW(T$4),"")</f>
        <v/>
      </c>
      <c r="U85" s="34" t="str">
        <f>IF(ROW()-ROW(U$4)&lt;=AK$3,ROW()-ROW(U$4),"")</f>
        <v/>
      </c>
      <c r="V85" s="34" t="str">
        <f>IF(ROW()-ROW(V$4)&lt;=AL$3,ROW()-ROW(V$4),"")</f>
        <v/>
      </c>
      <c r="W85" s="34" t="str">
        <f>IF(ROW()-ROW(W$4)&lt;=AM$3,ROW()-ROW(W$4),"")</f>
        <v/>
      </c>
      <c r="X85" s="34" t="str">
        <f>IF(ROW()-ROW(X$4)&lt;=AN$3,ROW()-ROW(X$4),"")</f>
        <v/>
      </c>
      <c r="Y85" s="34"/>
      <c r="Z85" s="35" t="str">
        <f>IF(ISNUMBER(R85),INDEX($BE$5:$BE$2999,MATCH(R85,AH$5:AH$2999,0),1),"")</f>
        <v/>
      </c>
      <c r="AA85" s="35" t="str">
        <f>IF(ISNUMBER(S85),INDEX($BE$5:$BE$2999,MATCH(S85,AI$5:AI$2999,0),1),"")</f>
        <v/>
      </c>
      <c r="AB85" s="35" t="str">
        <f>IF(ISNUMBER(T85),INDEX($BE$5:$BE$2999,MATCH(T85,AJ$5:AJ$2999,0),1),"")</f>
        <v/>
      </c>
      <c r="AC85" s="35" t="str">
        <f>IF(ISNUMBER(U85),INDEX($BE$5:$BE$2999,MATCH(U85,AK$5:AK$2999,0),1),"")</f>
        <v/>
      </c>
      <c r="AD85" s="35" t="str">
        <f>IF(ISNUMBER(V85),INDEX($BE$5:$BE$2999,MATCH(V85,AL$5:AL$2999,0),1),"")</f>
        <v/>
      </c>
      <c r="AE85" s="35" t="str">
        <f>IF(ISNUMBER(W85),INDEX($BE$5:$BE$2999,MATCH(W85,AM$5:AM$2999,0),1),"")</f>
        <v/>
      </c>
      <c r="AF85" s="35" t="str">
        <f>IF(ISNUMBER(X85),INDEX($BE$5:$BE$2999,MATCH(X85,AN$5:AN$2999,0),1),"")</f>
        <v/>
      </c>
      <c r="AG85" s="35"/>
      <c r="AH85" s="34" t="str">
        <f>IF($BE85="","",IF(ISNUMBER(MATCH($BE85,AP$5:AP$29999,0)),MAX(AH$4:AH84)+1,0))</f>
        <v/>
      </c>
      <c r="AI85" s="34" t="str">
        <f>IF($BE85="","",IF(ISNUMBER(MATCH($BE85,AQ$5:AQ$29999,0)),MAX(AI$4:AI84)+1,0))</f>
        <v/>
      </c>
      <c r="AJ85" s="34" t="str">
        <f>IF($BE85="","",IF(ISNUMBER(MATCH($BE85,AR$5:AR$29999,0)),MAX(AJ$4:AJ84)+1,0))</f>
        <v/>
      </c>
      <c r="AK85" s="34" t="str">
        <f>IF($BE85="","",IF(ISNUMBER(MATCH($BE85,AS$5:AS$29999,0)),MAX(AK$4:AK84)+1,0))</f>
        <v/>
      </c>
      <c r="AL85" s="34" t="str">
        <f>IF($BE85="","",IF(ISNUMBER(MATCH($BE85,AT$5:AT$29999,0)),MAX(AL$4:AL84)+1,0))</f>
        <v/>
      </c>
      <c r="AM85" s="34" t="str">
        <f>IF($BE85="","",IF(ISNUMBER(MATCH($BE85,AU$5:AU$29999,0)),MAX(AM$4:AM84)+1,0))</f>
        <v/>
      </c>
      <c r="AN85" s="34" t="str">
        <f>IF($BE85="","",IF(ISNUMBER(MATCH($BE85,AV$5:AV$29999,0)),MAX(AN$4:AN84)+1,0))</f>
        <v/>
      </c>
      <c r="AO85" s="16"/>
      <c r="AP85" s="33"/>
      <c r="AQ85" s="33"/>
      <c r="AR85" s="33"/>
      <c r="AS85" s="33"/>
      <c r="AT85" s="32"/>
      <c r="AU85" s="32"/>
      <c r="AV85" s="32" t="s">
        <v>0</v>
      </c>
      <c r="AW85" s="40"/>
      <c r="AX85" s="20" t="s">
        <v>0</v>
      </c>
      <c r="AY85" s="30"/>
      <c r="BA85" s="39" t="s">
        <v>0</v>
      </c>
      <c r="BB85" s="44" t="str">
        <f>IF(ISTEXT(AW85),IF(ISNUMBER(MATCH(AW85,$AY$5:$AY$100,0)),0,MAX(BB$4:BB84)+1),"")</f>
        <v/>
      </c>
      <c r="BC85" s="36" t="str">
        <f>IF(ISTEXT(AY85),MATCH(AY85,$AW$5:$AW$127,0),"")</f>
        <v/>
      </c>
      <c r="BD85" s="36">
        <f>IF(ISNUMBER(BC85),AY85,ROW()-SUM($BC$4:$BD$4))</f>
        <v>44</v>
      </c>
      <c r="BE85" s="20"/>
      <c r="BF85" s="36"/>
      <c r="BG85" s="19" t="str">
        <f>IF(ISNUMBER(MATCH($BE85,Z$5:Z$501,0)),INDEX(Z$5:Z$501,MATCH($BE85,Z$5:Z$501,0),1),"")</f>
        <v/>
      </c>
      <c r="BH85" s="19" t="str">
        <f>IF(ISNUMBER(MATCH($BE85,AA$5:AA$501,0)),INDEX(AA$5:AA$501,MATCH($BE85,AA$5:AA$501,0),1),"")</f>
        <v/>
      </c>
      <c r="BI85" s="19" t="str">
        <f>IF(ISNUMBER(MATCH($BE85,AB$5:AB$501,0)),INDEX(AB$5:AB$501,MATCH($BE85,AB$5:AB$501,0),1),"")</f>
        <v/>
      </c>
      <c r="BJ85" s="19" t="str">
        <f>IF(ISNUMBER(MATCH($BE85,AC$5:AC$501,0)),INDEX(AC$5:AC$501,MATCH($BE85,AC$5:AC$501,0),1),"")</f>
        <v/>
      </c>
      <c r="BK85" s="19" t="str">
        <f>IF(ISNUMBER(MATCH($BE85,AD$5:AD$501,0)),INDEX(AD$5:AD$501,MATCH($BE85,AD$5:AD$501,0),1),"")</f>
        <v/>
      </c>
      <c r="BL85" s="19" t="str">
        <f>IF(ISNUMBER(MATCH($BE85,AE$5:AE$501,0)),INDEX(AE$5:AE$501,MATCH($BE85,AE$5:AE$501,0),1),"")</f>
        <v/>
      </c>
      <c r="BM85" s="19" t="str">
        <f>IF(ISNUMBER(MATCH($BE85,AF$5:AF$501,0)),INDEX(AF$5:AF$501,MATCH($BE85,AF$5:AF$501,0),1),"")</f>
        <v/>
      </c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</row>
    <row r="86" spans="1:78" ht="12" customHeight="1" x14ac:dyDescent="0.25">
      <c r="A86" s="26"/>
      <c r="B86" s="28" t="str">
        <f>IF(ISNUMBER(MATCH(O86,$N$5:$N$1000,0)),MATCH(O86,$N$5:$N$1000,0),"")</f>
        <v/>
      </c>
      <c r="C86" s="15" t="str">
        <f>IF(ISNUMBER(B86),MAX(C$4:C85)+1,"")</f>
        <v/>
      </c>
      <c r="D86" s="15" t="str">
        <f>IF(IF(ISNUMBER(B86),"",MAX(D$4:D85)+1)&lt;=D$3,IF(ISNUMBER(B86),"",MAX(D$4:D85)+1),"")</f>
        <v/>
      </c>
      <c r="E86" s="42" t="str">
        <f>IF(M86&lt;=D$3,MATCH(M86,D$5:D$1000,0),"")</f>
        <v/>
      </c>
      <c r="F86" s="28" t="str">
        <f>IF(ISNUMBER(E86),INDEX($N$5:$N$1000,E86,1),"")</f>
        <v/>
      </c>
      <c r="G86" s="27" t="str">
        <f>IF(ISNUMBER(C86),N86,IF(ISTEXT(N86),INDEX($F$5:$F$1000,MATCH(M86,$E$5:$E$1000,0),1),""))</f>
        <v/>
      </c>
      <c r="H86" s="15" t="str">
        <f>IF(O86="","",IF(ISNUMBER(MATCH(O86,$G$5:$G$1000,0)),"",IF(D86=1,C$3,0)+MAX(H$4:H85)+1))</f>
        <v/>
      </c>
      <c r="I86" s="15" t="str">
        <f>IF(O86="","",IF(ISNUMBER(MATCH(O86,$G$5:$G$1000,0)),"",IF(D86=1,B$4,0)+MAX(I$4:I85)+1))</f>
        <v/>
      </c>
      <c r="J86" s="27" t="str">
        <f>IF(ISNUMBER(MATCH(M86,$I$5:$I$1000,0)),INDEX($O$5:$O$1000,MATCH(M86,$I$5:$I$1000,0),1),"")</f>
        <v/>
      </c>
      <c r="K86" s="27"/>
      <c r="L86" s="26"/>
      <c r="M86" s="14">
        <f>IF(ROW()-ROW(M$4)&lt;=1000,ROW()-ROW(M$4),"")</f>
        <v>82</v>
      </c>
      <c r="N86" s="43"/>
      <c r="O86" s="43"/>
      <c r="P86" s="41" t="str">
        <f>IF(M86&lt;=$B$4,IF(ISTEXT(G86),G86,""),IF(ISTEXT(J86),J86,""))</f>
        <v/>
      </c>
      <c r="Q86" s="16" t="s">
        <v>0</v>
      </c>
      <c r="R86" s="34" t="str">
        <f>IF(ROW()-ROW(R$4)&lt;=AH$3,ROW()-ROW(R$4),"")</f>
        <v/>
      </c>
      <c r="S86" s="34" t="str">
        <f>IF(ROW()-ROW(S$4)&lt;=AI$3,ROW()-ROW(S$4),"")</f>
        <v/>
      </c>
      <c r="T86" s="34" t="str">
        <f>IF(ROW()-ROW(T$4)&lt;=AJ$3,ROW()-ROW(T$4),"")</f>
        <v/>
      </c>
      <c r="U86" s="34" t="str">
        <f>IF(ROW()-ROW(U$4)&lt;=AK$3,ROW()-ROW(U$4),"")</f>
        <v/>
      </c>
      <c r="V86" s="34" t="str">
        <f>IF(ROW()-ROW(V$4)&lt;=AL$3,ROW()-ROW(V$4),"")</f>
        <v/>
      </c>
      <c r="W86" s="34" t="str">
        <f>IF(ROW()-ROW(W$4)&lt;=AM$3,ROW()-ROW(W$4),"")</f>
        <v/>
      </c>
      <c r="X86" s="34" t="str">
        <f>IF(ROW()-ROW(X$4)&lt;=AN$3,ROW()-ROW(X$4),"")</f>
        <v/>
      </c>
      <c r="Y86" s="34"/>
      <c r="Z86" s="35" t="str">
        <f>IF(ISNUMBER(R86),INDEX($BE$5:$BE$2999,MATCH(R86,AH$5:AH$2999,0),1),"")</f>
        <v/>
      </c>
      <c r="AA86" s="35" t="str">
        <f>IF(ISNUMBER(S86),INDEX($BE$5:$BE$2999,MATCH(S86,AI$5:AI$2999,0),1),"")</f>
        <v/>
      </c>
      <c r="AB86" s="35" t="str">
        <f>IF(ISNUMBER(T86),INDEX($BE$5:$BE$2999,MATCH(T86,AJ$5:AJ$2999,0),1),"")</f>
        <v/>
      </c>
      <c r="AC86" s="35" t="str">
        <f>IF(ISNUMBER(U86),INDEX($BE$5:$BE$2999,MATCH(U86,AK$5:AK$2999,0),1),"")</f>
        <v/>
      </c>
      <c r="AD86" s="35" t="str">
        <f>IF(ISNUMBER(V86),INDEX($BE$5:$BE$2999,MATCH(V86,AL$5:AL$2999,0),1),"")</f>
        <v/>
      </c>
      <c r="AE86" s="35" t="str">
        <f>IF(ISNUMBER(W86),INDEX($BE$5:$BE$2999,MATCH(W86,AM$5:AM$2999,0),1),"")</f>
        <v/>
      </c>
      <c r="AF86" s="35" t="str">
        <f>IF(ISNUMBER(X86),INDEX($BE$5:$BE$2999,MATCH(X86,AN$5:AN$2999,0),1),"")</f>
        <v/>
      </c>
      <c r="AG86" s="35"/>
      <c r="AH86" s="34" t="str">
        <f>IF($BE86="","",IF(ISNUMBER(MATCH($BE86,AP$5:AP$29999,0)),MAX(AH$4:AH85)+1,0))</f>
        <v/>
      </c>
      <c r="AI86" s="34" t="str">
        <f>IF($BE86="","",IF(ISNUMBER(MATCH($BE86,AQ$5:AQ$29999,0)),MAX(AI$4:AI85)+1,0))</f>
        <v/>
      </c>
      <c r="AJ86" s="34" t="str">
        <f>IF($BE86="","",IF(ISNUMBER(MATCH($BE86,AR$5:AR$29999,0)),MAX(AJ$4:AJ85)+1,0))</f>
        <v/>
      </c>
      <c r="AK86" s="34" t="str">
        <f>IF($BE86="","",IF(ISNUMBER(MATCH($BE86,AS$5:AS$29999,0)),MAX(AK$4:AK85)+1,0))</f>
        <v/>
      </c>
      <c r="AL86" s="34" t="str">
        <f>IF($BE86="","",IF(ISNUMBER(MATCH($BE86,AT$5:AT$29999,0)),MAX(AL$4:AL85)+1,0))</f>
        <v/>
      </c>
      <c r="AM86" s="34" t="str">
        <f>IF($BE86="","",IF(ISNUMBER(MATCH($BE86,AU$5:AU$29999,0)),MAX(AM$4:AM85)+1,0))</f>
        <v/>
      </c>
      <c r="AN86" s="34" t="str">
        <f>IF($BE86="","",IF(ISNUMBER(MATCH($BE86,AV$5:AV$29999,0)),MAX(AN$4:AN85)+1,0))</f>
        <v/>
      </c>
      <c r="AO86" s="16"/>
      <c r="AP86" s="33"/>
      <c r="AQ86" s="33"/>
      <c r="AR86" s="33"/>
      <c r="AS86" s="33"/>
      <c r="AT86" s="32"/>
      <c r="AU86" s="32"/>
      <c r="AV86" s="32" t="s">
        <v>0</v>
      </c>
      <c r="AW86" s="40"/>
      <c r="AX86" s="20" t="s">
        <v>0</v>
      </c>
      <c r="AY86" s="30"/>
      <c r="BA86" s="39" t="s">
        <v>0</v>
      </c>
      <c r="BB86" s="44" t="str">
        <f>IF(ISTEXT(AW86),IF(ISNUMBER(MATCH(AW86,$AY$5:$AY$100,0)),0,MAX(BB$4:BB85)+1),"")</f>
        <v/>
      </c>
      <c r="BC86" s="36" t="str">
        <f>IF(ISTEXT(AY86),MATCH(AY86,$AW$5:$AW$127,0),"")</f>
        <v/>
      </c>
      <c r="BD86" s="36">
        <f>IF(ISNUMBER(BC86),AY86,ROW()-SUM($BC$4:$BD$4))</f>
        <v>45</v>
      </c>
      <c r="BE86" s="20"/>
      <c r="BF86" s="36"/>
      <c r="BG86" s="19" t="str">
        <f>IF(ISNUMBER(MATCH($BE86,Z$5:Z$501,0)),INDEX(Z$5:Z$501,MATCH($BE86,Z$5:Z$501,0),1),"")</f>
        <v/>
      </c>
      <c r="BH86" s="19" t="str">
        <f>IF(ISNUMBER(MATCH($BE86,AA$5:AA$501,0)),INDEX(AA$5:AA$501,MATCH($BE86,AA$5:AA$501,0),1),"")</f>
        <v/>
      </c>
      <c r="BI86" s="19" t="str">
        <f>IF(ISNUMBER(MATCH($BE86,AB$5:AB$501,0)),INDEX(AB$5:AB$501,MATCH($BE86,AB$5:AB$501,0),1),"")</f>
        <v/>
      </c>
      <c r="BJ86" s="19" t="str">
        <f>IF(ISNUMBER(MATCH($BE86,AC$5:AC$501,0)),INDEX(AC$5:AC$501,MATCH($BE86,AC$5:AC$501,0),1),"")</f>
        <v/>
      </c>
      <c r="BK86" s="19" t="str">
        <f>IF(ISNUMBER(MATCH($BE86,AD$5:AD$501,0)),INDEX(AD$5:AD$501,MATCH($BE86,AD$5:AD$501,0),1),"")</f>
        <v/>
      </c>
      <c r="BL86" s="19" t="str">
        <f>IF(ISNUMBER(MATCH($BE86,AE$5:AE$501,0)),INDEX(AE$5:AE$501,MATCH($BE86,AE$5:AE$501,0),1),"")</f>
        <v/>
      </c>
      <c r="BM86" s="19" t="str">
        <f>IF(ISNUMBER(MATCH($BE86,AF$5:AF$501,0)),INDEX(AF$5:AF$501,MATCH($BE86,AF$5:AF$501,0),1),"")</f>
        <v/>
      </c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</row>
    <row r="87" spans="1:78" ht="12" customHeight="1" x14ac:dyDescent="0.25">
      <c r="A87" s="26"/>
      <c r="B87" s="28" t="str">
        <f>IF(ISNUMBER(MATCH(O87,$N$5:$N$1000,0)),MATCH(O87,$N$5:$N$1000,0),"")</f>
        <v/>
      </c>
      <c r="C87" s="15" t="str">
        <f>IF(ISNUMBER(B87),MAX(C$4:C86)+1,"")</f>
        <v/>
      </c>
      <c r="D87" s="15" t="str">
        <f>IF(IF(ISNUMBER(B87),"",MAX(D$4:D86)+1)&lt;=D$3,IF(ISNUMBER(B87),"",MAX(D$4:D86)+1),"")</f>
        <v/>
      </c>
      <c r="E87" s="42" t="str">
        <f>IF(M87&lt;=D$3,MATCH(M87,D$5:D$1000,0),"")</f>
        <v/>
      </c>
      <c r="F87" s="28" t="str">
        <f>IF(ISNUMBER(E87),INDEX($N$5:$N$1000,E87,1),"")</f>
        <v/>
      </c>
      <c r="G87" s="27" t="str">
        <f>IF(ISNUMBER(C87),N87,IF(ISTEXT(N87),INDEX($F$5:$F$1000,MATCH(M87,$E$5:$E$1000,0),1),""))</f>
        <v/>
      </c>
      <c r="H87" s="15" t="str">
        <f>IF(O87="","",IF(ISNUMBER(MATCH(O87,$G$5:$G$1000,0)),"",IF(D87=1,C$3,0)+MAX(H$4:H86)+1))</f>
        <v/>
      </c>
      <c r="I87" s="15" t="str">
        <f>IF(O87="","",IF(ISNUMBER(MATCH(O87,$G$5:$G$1000,0)),"",IF(D87=1,B$4,0)+MAX(I$4:I86)+1))</f>
        <v/>
      </c>
      <c r="J87" s="27" t="str">
        <f>IF(ISNUMBER(MATCH(M87,$I$5:$I$1000,0)),INDEX($O$5:$O$1000,MATCH(M87,$I$5:$I$1000,0),1),"")</f>
        <v/>
      </c>
      <c r="K87" s="27"/>
      <c r="L87" s="26"/>
      <c r="M87" s="14">
        <f>IF(ROW()-ROW(M$4)&lt;=1000,ROW()-ROW(M$4),"")</f>
        <v>83</v>
      </c>
      <c r="N87" s="43"/>
      <c r="O87" s="43"/>
      <c r="P87" s="41" t="str">
        <f>IF(M87&lt;=$B$4,IF(ISTEXT(G87),G87,""),IF(ISTEXT(J87),J87,""))</f>
        <v/>
      </c>
      <c r="Q87" s="16" t="s">
        <v>0</v>
      </c>
      <c r="R87" s="34" t="str">
        <f>IF(ROW()-ROW(R$4)&lt;=AH$3,ROW()-ROW(R$4),"")</f>
        <v/>
      </c>
      <c r="S87" s="34" t="str">
        <f>IF(ROW()-ROW(S$4)&lt;=AI$3,ROW()-ROW(S$4),"")</f>
        <v/>
      </c>
      <c r="T87" s="34" t="str">
        <f>IF(ROW()-ROW(T$4)&lt;=AJ$3,ROW()-ROW(T$4),"")</f>
        <v/>
      </c>
      <c r="U87" s="34" t="str">
        <f>IF(ROW()-ROW(U$4)&lt;=AK$3,ROW()-ROW(U$4),"")</f>
        <v/>
      </c>
      <c r="V87" s="34" t="str">
        <f>IF(ROW()-ROW(V$4)&lt;=AL$3,ROW()-ROW(V$4),"")</f>
        <v/>
      </c>
      <c r="W87" s="34" t="str">
        <f>IF(ROW()-ROW(W$4)&lt;=AM$3,ROW()-ROW(W$4),"")</f>
        <v/>
      </c>
      <c r="X87" s="34" t="str">
        <f>IF(ROW()-ROW(X$4)&lt;=AN$3,ROW()-ROW(X$4),"")</f>
        <v/>
      </c>
      <c r="Y87" s="34"/>
      <c r="Z87" s="35" t="str">
        <f>IF(ISNUMBER(R87),INDEX($BE$5:$BE$2999,MATCH(R87,AH$5:AH$2999,0),1),"")</f>
        <v/>
      </c>
      <c r="AA87" s="35" t="str">
        <f>IF(ISNUMBER(S87),INDEX($BE$5:$BE$2999,MATCH(S87,AI$5:AI$2999,0),1),"")</f>
        <v/>
      </c>
      <c r="AB87" s="35" t="str">
        <f>IF(ISNUMBER(T87),INDEX($BE$5:$BE$2999,MATCH(T87,AJ$5:AJ$2999,0),1),"")</f>
        <v/>
      </c>
      <c r="AC87" s="35" t="str">
        <f>IF(ISNUMBER(U87),INDEX($BE$5:$BE$2999,MATCH(U87,AK$5:AK$2999,0),1),"")</f>
        <v/>
      </c>
      <c r="AD87" s="35" t="str">
        <f>IF(ISNUMBER(V87),INDEX($BE$5:$BE$2999,MATCH(V87,AL$5:AL$2999,0),1),"")</f>
        <v/>
      </c>
      <c r="AE87" s="35" t="str">
        <f>IF(ISNUMBER(W87),INDEX($BE$5:$BE$2999,MATCH(W87,AM$5:AM$2999,0),1),"")</f>
        <v/>
      </c>
      <c r="AF87" s="35" t="str">
        <f>IF(ISNUMBER(X87),INDEX($BE$5:$BE$2999,MATCH(X87,AN$5:AN$2999,0),1),"")</f>
        <v/>
      </c>
      <c r="AG87" s="35"/>
      <c r="AH87" s="34" t="str">
        <f>IF($BE87="","",IF(ISNUMBER(MATCH($BE87,AP$5:AP$29999,0)),MAX(AH$4:AH86)+1,0))</f>
        <v/>
      </c>
      <c r="AI87" s="34" t="str">
        <f>IF($BE87="","",IF(ISNUMBER(MATCH($BE87,AQ$5:AQ$29999,0)),MAX(AI$4:AI86)+1,0))</f>
        <v/>
      </c>
      <c r="AJ87" s="34" t="str">
        <f>IF($BE87="","",IF(ISNUMBER(MATCH($BE87,AR$5:AR$29999,0)),MAX(AJ$4:AJ86)+1,0))</f>
        <v/>
      </c>
      <c r="AK87" s="34" t="str">
        <f>IF($BE87="","",IF(ISNUMBER(MATCH($BE87,AS$5:AS$29999,0)),MAX(AK$4:AK86)+1,0))</f>
        <v/>
      </c>
      <c r="AL87" s="34" t="str">
        <f>IF($BE87="","",IF(ISNUMBER(MATCH($BE87,AT$5:AT$29999,0)),MAX(AL$4:AL86)+1,0))</f>
        <v/>
      </c>
      <c r="AM87" s="34" t="str">
        <f>IF($BE87="","",IF(ISNUMBER(MATCH($BE87,AU$5:AU$29999,0)),MAX(AM$4:AM86)+1,0))</f>
        <v/>
      </c>
      <c r="AN87" s="34" t="str">
        <f>IF($BE87="","",IF(ISNUMBER(MATCH($BE87,AV$5:AV$29999,0)),MAX(AN$4:AN86)+1,0))</f>
        <v/>
      </c>
      <c r="AO87" s="16"/>
      <c r="AP87" s="33"/>
      <c r="AQ87" s="33"/>
      <c r="AR87" s="33"/>
      <c r="AS87" s="33"/>
      <c r="AT87" s="32"/>
      <c r="AU87" s="32"/>
      <c r="AV87" s="32" t="s">
        <v>0</v>
      </c>
      <c r="AW87" s="40"/>
      <c r="AX87" s="20" t="s">
        <v>0</v>
      </c>
      <c r="AY87" s="30"/>
      <c r="BA87" s="39" t="s">
        <v>0</v>
      </c>
      <c r="BB87" s="44" t="str">
        <f>IF(ISTEXT(AW87),IF(ISNUMBER(MATCH(AW87,$AY$5:$AY$100,0)),0,MAX(BB$4:BB86)+1),"")</f>
        <v/>
      </c>
      <c r="BC87" s="36" t="str">
        <f>IF(ISTEXT(AY87),MATCH(AY87,$AW$5:$AW$127,0),"")</f>
        <v/>
      </c>
      <c r="BD87" s="36">
        <f>IF(ISNUMBER(BC87),AY87,ROW()-SUM($BC$4:$BD$4))</f>
        <v>46</v>
      </c>
      <c r="BE87" s="20"/>
      <c r="BF87" s="36"/>
      <c r="BG87" s="19" t="str">
        <f>IF(ISNUMBER(MATCH($BE87,Z$5:Z$501,0)),INDEX(Z$5:Z$501,MATCH($BE87,Z$5:Z$501,0),1),"")</f>
        <v/>
      </c>
      <c r="BH87" s="19" t="str">
        <f>IF(ISNUMBER(MATCH($BE87,AA$5:AA$501,0)),INDEX(AA$5:AA$501,MATCH($BE87,AA$5:AA$501,0),1),"")</f>
        <v/>
      </c>
      <c r="BI87" s="19" t="str">
        <f>IF(ISNUMBER(MATCH($BE87,AB$5:AB$501,0)),INDEX(AB$5:AB$501,MATCH($BE87,AB$5:AB$501,0),1),"")</f>
        <v/>
      </c>
      <c r="BJ87" s="19" t="str">
        <f>IF(ISNUMBER(MATCH($BE87,AC$5:AC$501,0)),INDEX(AC$5:AC$501,MATCH($BE87,AC$5:AC$501,0),1),"")</f>
        <v/>
      </c>
      <c r="BK87" s="19" t="str">
        <f>IF(ISNUMBER(MATCH($BE87,AD$5:AD$501,0)),INDEX(AD$5:AD$501,MATCH($BE87,AD$5:AD$501,0),1),"")</f>
        <v/>
      </c>
      <c r="BL87" s="19" t="str">
        <f>IF(ISNUMBER(MATCH($BE87,AE$5:AE$501,0)),INDEX(AE$5:AE$501,MATCH($BE87,AE$5:AE$501,0),1),"")</f>
        <v/>
      </c>
      <c r="BM87" s="19" t="str">
        <f>IF(ISNUMBER(MATCH($BE87,AF$5:AF$501,0)),INDEX(AF$5:AF$501,MATCH($BE87,AF$5:AF$501,0),1),"")</f>
        <v/>
      </c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</row>
    <row r="88" spans="1:78" ht="12" customHeight="1" x14ac:dyDescent="0.25">
      <c r="A88" s="26"/>
      <c r="B88" s="28" t="str">
        <f>IF(ISNUMBER(MATCH(O88,$N$5:$N$1000,0)),MATCH(O88,$N$5:$N$1000,0),"")</f>
        <v/>
      </c>
      <c r="C88" s="15" t="str">
        <f>IF(ISNUMBER(B88),MAX(C$4:C87)+1,"")</f>
        <v/>
      </c>
      <c r="D88" s="15" t="str">
        <f>IF(IF(ISNUMBER(B88),"",MAX(D$4:D87)+1)&lt;=D$3,IF(ISNUMBER(B88),"",MAX(D$4:D87)+1),"")</f>
        <v/>
      </c>
      <c r="E88" s="42" t="str">
        <f>IF(M88&lt;=D$3,MATCH(M88,D$5:D$1000,0),"")</f>
        <v/>
      </c>
      <c r="F88" s="28" t="str">
        <f>IF(ISNUMBER(E88),INDEX($N$5:$N$1000,E88,1),"")</f>
        <v/>
      </c>
      <c r="G88" s="27" t="str">
        <f>IF(ISNUMBER(C88),N88,IF(ISTEXT(N88),INDEX($F$5:$F$1000,MATCH(M88,$E$5:$E$1000,0),1),""))</f>
        <v/>
      </c>
      <c r="H88" s="15" t="str">
        <f>IF(O88="","",IF(ISNUMBER(MATCH(O88,$G$5:$G$1000,0)),"",IF(D88=1,C$3,0)+MAX(H$4:H87)+1))</f>
        <v/>
      </c>
      <c r="I88" s="15" t="str">
        <f>IF(O88="","",IF(ISNUMBER(MATCH(O88,$G$5:$G$1000,0)),"",IF(D88=1,B$4,0)+MAX(I$4:I87)+1))</f>
        <v/>
      </c>
      <c r="J88" s="27" t="str">
        <f>IF(ISNUMBER(MATCH(M88,$I$5:$I$1000,0)),INDEX($O$5:$O$1000,MATCH(M88,$I$5:$I$1000,0),1),"")</f>
        <v/>
      </c>
      <c r="K88" s="27"/>
      <c r="L88" s="26"/>
      <c r="M88" s="14">
        <f>IF(ROW()-ROW(M$4)&lt;=1000,ROW()-ROW(M$4),"")</f>
        <v>84</v>
      </c>
      <c r="N88" s="43"/>
      <c r="O88" s="43"/>
      <c r="P88" s="41" t="str">
        <f>IF(M88&lt;=$B$4,IF(ISTEXT(G88),G88,""),IF(ISTEXT(J88),J88,""))</f>
        <v/>
      </c>
      <c r="Q88" s="16" t="s">
        <v>0</v>
      </c>
      <c r="R88" s="34" t="str">
        <f>IF(ROW()-ROW(R$4)&lt;=AH$3,ROW()-ROW(R$4),"")</f>
        <v/>
      </c>
      <c r="S88" s="34" t="str">
        <f>IF(ROW()-ROW(S$4)&lt;=AI$3,ROW()-ROW(S$4),"")</f>
        <v/>
      </c>
      <c r="T88" s="34" t="str">
        <f>IF(ROW()-ROW(T$4)&lt;=AJ$3,ROW()-ROW(T$4),"")</f>
        <v/>
      </c>
      <c r="U88" s="34" t="str">
        <f>IF(ROW()-ROW(U$4)&lt;=AK$3,ROW()-ROW(U$4),"")</f>
        <v/>
      </c>
      <c r="V88" s="34" t="str">
        <f>IF(ROW()-ROW(V$4)&lt;=AL$3,ROW()-ROW(V$4),"")</f>
        <v/>
      </c>
      <c r="W88" s="34" t="str">
        <f>IF(ROW()-ROW(W$4)&lt;=AM$3,ROW()-ROW(W$4),"")</f>
        <v/>
      </c>
      <c r="X88" s="34" t="str">
        <f>IF(ROW()-ROW(X$4)&lt;=AN$3,ROW()-ROW(X$4),"")</f>
        <v/>
      </c>
      <c r="Y88" s="34"/>
      <c r="Z88" s="35" t="str">
        <f>IF(ISNUMBER(R88),INDEX($BE$5:$BE$2999,MATCH(R88,AH$5:AH$2999,0),1),"")</f>
        <v/>
      </c>
      <c r="AA88" s="35" t="str">
        <f>IF(ISNUMBER(S88),INDEX($BE$5:$BE$2999,MATCH(S88,AI$5:AI$2999,0),1),"")</f>
        <v/>
      </c>
      <c r="AB88" s="35" t="str">
        <f>IF(ISNUMBER(T88),INDEX($BE$5:$BE$2999,MATCH(T88,AJ$5:AJ$2999,0),1),"")</f>
        <v/>
      </c>
      <c r="AC88" s="35" t="str">
        <f>IF(ISNUMBER(U88),INDEX($BE$5:$BE$2999,MATCH(U88,AK$5:AK$2999,0),1),"")</f>
        <v/>
      </c>
      <c r="AD88" s="35" t="str">
        <f>IF(ISNUMBER(V88),INDEX($BE$5:$BE$2999,MATCH(V88,AL$5:AL$2999,0),1),"")</f>
        <v/>
      </c>
      <c r="AE88" s="35" t="str">
        <f>IF(ISNUMBER(W88),INDEX($BE$5:$BE$2999,MATCH(W88,AM$5:AM$2999,0),1),"")</f>
        <v/>
      </c>
      <c r="AF88" s="35" t="str">
        <f>IF(ISNUMBER(X88),INDEX($BE$5:$BE$2999,MATCH(X88,AN$5:AN$2999,0),1),"")</f>
        <v/>
      </c>
      <c r="AG88" s="35"/>
      <c r="AH88" s="34" t="str">
        <f>IF($BE88="","",IF(ISNUMBER(MATCH($BE88,AP$5:AP$29999,0)),MAX(AH$4:AH87)+1,0))</f>
        <v/>
      </c>
      <c r="AI88" s="34" t="str">
        <f>IF($BE88="","",IF(ISNUMBER(MATCH($BE88,AQ$5:AQ$29999,0)),MAX(AI$4:AI87)+1,0))</f>
        <v/>
      </c>
      <c r="AJ88" s="34" t="str">
        <f>IF($BE88="","",IF(ISNUMBER(MATCH($BE88,AR$5:AR$29999,0)),MAX(AJ$4:AJ87)+1,0))</f>
        <v/>
      </c>
      <c r="AK88" s="34" t="str">
        <f>IF($BE88="","",IF(ISNUMBER(MATCH($BE88,AS$5:AS$29999,0)),MAX(AK$4:AK87)+1,0))</f>
        <v/>
      </c>
      <c r="AL88" s="34" t="str">
        <f>IF($BE88="","",IF(ISNUMBER(MATCH($BE88,AT$5:AT$29999,0)),MAX(AL$4:AL87)+1,0))</f>
        <v/>
      </c>
      <c r="AM88" s="34" t="str">
        <f>IF($BE88="","",IF(ISNUMBER(MATCH($BE88,AU$5:AU$29999,0)),MAX(AM$4:AM87)+1,0))</f>
        <v/>
      </c>
      <c r="AN88" s="34" t="str">
        <f>IF($BE88="","",IF(ISNUMBER(MATCH($BE88,AV$5:AV$29999,0)),MAX(AN$4:AN87)+1,0))</f>
        <v/>
      </c>
      <c r="AO88" s="16"/>
      <c r="AP88" s="33"/>
      <c r="AQ88" s="33"/>
      <c r="AR88" s="33"/>
      <c r="AS88" s="33"/>
      <c r="AT88" s="32"/>
      <c r="AU88" s="32"/>
      <c r="AV88" s="32" t="s">
        <v>0</v>
      </c>
      <c r="AW88" s="40"/>
      <c r="AX88" s="20" t="s">
        <v>0</v>
      </c>
      <c r="AY88" s="30"/>
      <c r="AZ88" s="30"/>
      <c r="BA88" s="39" t="s">
        <v>0</v>
      </c>
      <c r="BB88" s="44" t="str">
        <f>IF(ISTEXT(AW88),IF(ISNUMBER(MATCH(AW88,$AY$5:$AY$100,0)),0,MAX(BB$4:BB87)+1),"")</f>
        <v/>
      </c>
      <c r="BC88" s="36" t="str">
        <f>IF(ISTEXT(AY88),MATCH(AY88,$AW$5:$AW$127,0),"")</f>
        <v/>
      </c>
      <c r="BD88" s="36">
        <f>IF(ISNUMBER(BC88),AY88,ROW()-SUM($BC$4:$BD$4))</f>
        <v>47</v>
      </c>
      <c r="BE88" s="20"/>
      <c r="BF88" s="36"/>
      <c r="BG88" s="19" t="str">
        <f>IF(ISNUMBER(MATCH($BE88,Z$5:Z$501,0)),INDEX(Z$5:Z$501,MATCH($BE88,Z$5:Z$501,0),1),"")</f>
        <v/>
      </c>
      <c r="BH88" s="19" t="str">
        <f>IF(ISNUMBER(MATCH($BE88,AA$5:AA$501,0)),INDEX(AA$5:AA$501,MATCH($BE88,AA$5:AA$501,0),1),"")</f>
        <v/>
      </c>
      <c r="BI88" s="19" t="str">
        <f>IF(ISNUMBER(MATCH($BE88,AB$5:AB$501,0)),INDEX(AB$5:AB$501,MATCH($BE88,AB$5:AB$501,0),1),"")</f>
        <v/>
      </c>
      <c r="BJ88" s="19" t="str">
        <f>IF(ISNUMBER(MATCH($BE88,AC$5:AC$501,0)),INDEX(AC$5:AC$501,MATCH($BE88,AC$5:AC$501,0),1),"")</f>
        <v/>
      </c>
      <c r="BK88" s="19" t="str">
        <f>IF(ISNUMBER(MATCH($BE88,AD$5:AD$501,0)),INDEX(AD$5:AD$501,MATCH($BE88,AD$5:AD$501,0),1),"")</f>
        <v/>
      </c>
      <c r="BL88" s="19" t="str">
        <f>IF(ISNUMBER(MATCH($BE88,AE$5:AE$501,0)),INDEX(AE$5:AE$501,MATCH($BE88,AE$5:AE$501,0),1),"")</f>
        <v/>
      </c>
      <c r="BM88" s="19" t="str">
        <f>IF(ISNUMBER(MATCH($BE88,AF$5:AF$501,0)),INDEX(AF$5:AF$501,MATCH($BE88,AF$5:AF$501,0),1),"")</f>
        <v/>
      </c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</row>
    <row r="89" spans="1:78" ht="12" customHeight="1" x14ac:dyDescent="0.25">
      <c r="A89" s="26"/>
      <c r="B89" s="28" t="str">
        <f>IF(ISNUMBER(MATCH(O89,$N$5:$N$1000,0)),MATCH(O89,$N$5:$N$1000,0),"")</f>
        <v/>
      </c>
      <c r="C89" s="15" t="str">
        <f>IF(ISNUMBER(B89),MAX(C$4:C88)+1,"")</f>
        <v/>
      </c>
      <c r="D89" s="15" t="str">
        <f>IF(IF(ISNUMBER(B89),"",MAX(D$4:D88)+1)&lt;=D$3,IF(ISNUMBER(B89),"",MAX(D$4:D88)+1),"")</f>
        <v/>
      </c>
      <c r="E89" s="42" t="str">
        <f>IF(M89&lt;=D$3,MATCH(M89,D$5:D$1000,0),"")</f>
        <v/>
      </c>
      <c r="F89" s="28" t="str">
        <f>IF(ISNUMBER(E89),INDEX($N$5:$N$1000,E89,1),"")</f>
        <v/>
      </c>
      <c r="G89" s="27" t="str">
        <f>IF(ISNUMBER(C89),N89,IF(ISTEXT(N89),INDEX($F$5:$F$1000,MATCH(M89,$E$5:$E$1000,0),1),""))</f>
        <v/>
      </c>
      <c r="H89" s="15" t="str">
        <f>IF(O89="","",IF(ISNUMBER(MATCH(O89,$G$5:$G$1000,0)),"",IF(D89=1,C$3,0)+MAX(H$4:H88)+1))</f>
        <v/>
      </c>
      <c r="I89" s="15" t="str">
        <f>IF(O89="","",IF(ISNUMBER(MATCH(O89,$G$5:$G$1000,0)),"",IF(D89=1,B$4,0)+MAX(I$4:I88)+1))</f>
        <v/>
      </c>
      <c r="J89" s="27" t="str">
        <f>IF(ISNUMBER(MATCH(M89,$I$5:$I$1000,0)),INDEX($O$5:$O$1000,MATCH(M89,$I$5:$I$1000,0),1),"")</f>
        <v/>
      </c>
      <c r="K89" s="27"/>
      <c r="L89" s="26"/>
      <c r="M89" s="14">
        <f>IF(ROW()-ROW(M$4)&lt;=1000,ROW()-ROW(M$4),"")</f>
        <v>85</v>
      </c>
      <c r="N89" s="43"/>
      <c r="O89" s="43"/>
      <c r="P89" s="41" t="str">
        <f>IF(M89&lt;=$B$4,IF(ISTEXT(G89),G89,""),IF(ISTEXT(J89),J89,""))</f>
        <v/>
      </c>
      <c r="Q89" s="16" t="s">
        <v>0</v>
      </c>
      <c r="R89" s="34" t="str">
        <f>IF(ROW()-ROW(R$4)&lt;=AH$3,ROW()-ROW(R$4),"")</f>
        <v/>
      </c>
      <c r="S89" s="34" t="str">
        <f>IF(ROW()-ROW(S$4)&lt;=AI$3,ROW()-ROW(S$4),"")</f>
        <v/>
      </c>
      <c r="T89" s="34" t="str">
        <f>IF(ROW()-ROW(T$4)&lt;=AJ$3,ROW()-ROW(T$4),"")</f>
        <v/>
      </c>
      <c r="U89" s="34" t="str">
        <f>IF(ROW()-ROW(U$4)&lt;=AK$3,ROW()-ROW(U$4),"")</f>
        <v/>
      </c>
      <c r="V89" s="34" t="str">
        <f>IF(ROW()-ROW(V$4)&lt;=AL$3,ROW()-ROW(V$4),"")</f>
        <v/>
      </c>
      <c r="W89" s="34" t="str">
        <f>IF(ROW()-ROW(W$4)&lt;=AM$3,ROW()-ROW(W$4),"")</f>
        <v/>
      </c>
      <c r="X89" s="34" t="str">
        <f>IF(ROW()-ROW(X$4)&lt;=AN$3,ROW()-ROW(X$4),"")</f>
        <v/>
      </c>
      <c r="Y89" s="34"/>
      <c r="Z89" s="35" t="str">
        <f>IF(ISNUMBER(R89),INDEX($BE$5:$BE$2999,MATCH(R89,AH$5:AH$2999,0),1),"")</f>
        <v/>
      </c>
      <c r="AA89" s="35" t="str">
        <f>IF(ISNUMBER(S89),INDEX($BE$5:$BE$2999,MATCH(S89,AI$5:AI$2999,0),1),"")</f>
        <v/>
      </c>
      <c r="AB89" s="35" t="str">
        <f>IF(ISNUMBER(T89),INDEX($BE$5:$BE$2999,MATCH(T89,AJ$5:AJ$2999,0),1),"")</f>
        <v/>
      </c>
      <c r="AC89" s="35" t="str">
        <f>IF(ISNUMBER(U89),INDEX($BE$5:$BE$2999,MATCH(U89,AK$5:AK$2999,0),1),"")</f>
        <v/>
      </c>
      <c r="AD89" s="35" t="str">
        <f>IF(ISNUMBER(V89),INDEX($BE$5:$BE$2999,MATCH(V89,AL$5:AL$2999,0),1),"")</f>
        <v/>
      </c>
      <c r="AE89" s="35" t="str">
        <f>IF(ISNUMBER(W89),INDEX($BE$5:$BE$2999,MATCH(W89,AM$5:AM$2999,0),1),"")</f>
        <v/>
      </c>
      <c r="AF89" s="35" t="str">
        <f>IF(ISNUMBER(X89),INDEX($BE$5:$BE$2999,MATCH(X89,AN$5:AN$2999,0),1),"")</f>
        <v/>
      </c>
      <c r="AG89" s="35"/>
      <c r="AH89" s="34" t="str">
        <f>IF($BE89="","",IF(ISNUMBER(MATCH($BE89,AP$5:AP$29999,0)),MAX(AH$4:AH88)+1,0))</f>
        <v/>
      </c>
      <c r="AI89" s="34" t="str">
        <f>IF($BE89="","",IF(ISNUMBER(MATCH($BE89,AQ$5:AQ$29999,0)),MAX(AI$4:AI88)+1,0))</f>
        <v/>
      </c>
      <c r="AJ89" s="34" t="str">
        <f>IF($BE89="","",IF(ISNUMBER(MATCH($BE89,AR$5:AR$29999,0)),MAX(AJ$4:AJ88)+1,0))</f>
        <v/>
      </c>
      <c r="AK89" s="34" t="str">
        <f>IF($BE89="","",IF(ISNUMBER(MATCH($BE89,AS$5:AS$29999,0)),MAX(AK$4:AK88)+1,0))</f>
        <v/>
      </c>
      <c r="AL89" s="34" t="str">
        <f>IF($BE89="","",IF(ISNUMBER(MATCH($BE89,AT$5:AT$29999,0)),MAX(AL$4:AL88)+1,0))</f>
        <v/>
      </c>
      <c r="AM89" s="34" t="str">
        <f>IF($BE89="","",IF(ISNUMBER(MATCH($BE89,AU$5:AU$29999,0)),MAX(AM$4:AM88)+1,0))</f>
        <v/>
      </c>
      <c r="AN89" s="34" t="str">
        <f>IF($BE89="","",IF(ISNUMBER(MATCH($BE89,AV$5:AV$29999,0)),MAX(AN$4:AN88)+1,0))</f>
        <v/>
      </c>
      <c r="AO89" s="16"/>
      <c r="AP89" s="33"/>
      <c r="AQ89" s="33"/>
      <c r="AR89" s="33"/>
      <c r="AS89" s="33"/>
      <c r="AT89" s="32"/>
      <c r="AU89" s="32"/>
      <c r="AV89" s="32" t="s">
        <v>0</v>
      </c>
      <c r="AW89" s="40"/>
      <c r="AX89" s="20" t="s">
        <v>0</v>
      </c>
      <c r="AY89" s="30"/>
      <c r="AZ89" s="30"/>
      <c r="BA89" s="39" t="s">
        <v>0</v>
      </c>
      <c r="BB89" s="44" t="str">
        <f>IF(ISTEXT(AW89),IF(ISNUMBER(MATCH(AW89,$AY$5:$AY$100,0)),0,MAX(BB$4:BB88)+1),"")</f>
        <v/>
      </c>
      <c r="BC89" s="36" t="str">
        <f>IF(ISTEXT(AY89),MATCH(AY89,$AW$5:$AW$127,0),"")</f>
        <v/>
      </c>
      <c r="BD89" s="36">
        <f>IF(ISNUMBER(BC89),AY89,ROW()-SUM($BC$4:$BD$4))</f>
        <v>48</v>
      </c>
      <c r="BE89" s="20"/>
      <c r="BF89" s="36"/>
      <c r="BG89" s="19" t="str">
        <f>IF(ISNUMBER(MATCH($BE89,Z$5:Z$501,0)),INDEX(Z$5:Z$501,MATCH($BE89,Z$5:Z$501,0),1),"")</f>
        <v/>
      </c>
      <c r="BH89" s="19" t="str">
        <f>IF(ISNUMBER(MATCH($BE89,AA$5:AA$501,0)),INDEX(AA$5:AA$501,MATCH($BE89,AA$5:AA$501,0),1),"")</f>
        <v/>
      </c>
      <c r="BI89" s="19" t="str">
        <f>IF(ISNUMBER(MATCH($BE89,AB$5:AB$501,0)),INDEX(AB$5:AB$501,MATCH($BE89,AB$5:AB$501,0),1),"")</f>
        <v/>
      </c>
      <c r="BJ89" s="19" t="str">
        <f>IF(ISNUMBER(MATCH($BE89,AC$5:AC$501,0)),INDEX(AC$5:AC$501,MATCH($BE89,AC$5:AC$501,0),1),"")</f>
        <v/>
      </c>
      <c r="BK89" s="19" t="str">
        <f>IF(ISNUMBER(MATCH($BE89,AD$5:AD$501,0)),INDEX(AD$5:AD$501,MATCH($BE89,AD$5:AD$501,0),1),"")</f>
        <v/>
      </c>
      <c r="BL89" s="19" t="str">
        <f>IF(ISNUMBER(MATCH($BE89,AE$5:AE$501,0)),INDEX(AE$5:AE$501,MATCH($BE89,AE$5:AE$501,0),1),"")</f>
        <v/>
      </c>
      <c r="BM89" s="19" t="str">
        <f>IF(ISNUMBER(MATCH($BE89,AF$5:AF$501,0)),INDEX(AF$5:AF$501,MATCH($BE89,AF$5:AF$501,0),1),"")</f>
        <v/>
      </c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</row>
    <row r="90" spans="1:78" ht="12" customHeight="1" x14ac:dyDescent="0.25">
      <c r="A90" s="26"/>
      <c r="B90" s="28" t="str">
        <f>IF(ISNUMBER(MATCH(O90,$N$5:$N$1000,0)),MATCH(O90,$N$5:$N$1000,0),"")</f>
        <v/>
      </c>
      <c r="C90" s="15" t="str">
        <f>IF(ISNUMBER(B90),MAX(C$4:C89)+1,"")</f>
        <v/>
      </c>
      <c r="D90" s="15" t="str">
        <f>IF(IF(ISNUMBER(B90),"",MAX(D$4:D89)+1)&lt;=D$3,IF(ISNUMBER(B90),"",MAX(D$4:D89)+1),"")</f>
        <v/>
      </c>
      <c r="E90" s="42" t="str">
        <f>IF(M90&lt;=D$3,MATCH(M90,D$5:D$1000,0),"")</f>
        <v/>
      </c>
      <c r="F90" s="28" t="str">
        <f>IF(ISNUMBER(E90),INDEX($N$5:$N$1000,E90,1),"")</f>
        <v/>
      </c>
      <c r="G90" s="27" t="str">
        <f>IF(ISNUMBER(C90),N90,IF(ISTEXT(N90),INDEX($F$5:$F$1000,MATCH(M90,$E$5:$E$1000,0),1),""))</f>
        <v/>
      </c>
      <c r="H90" s="15" t="str">
        <f>IF(O90="","",IF(ISNUMBER(MATCH(O90,$G$5:$G$1000,0)),"",IF(D90=1,C$3,0)+MAX(H$4:H89)+1))</f>
        <v/>
      </c>
      <c r="I90" s="15" t="str">
        <f>IF(O90="","",IF(ISNUMBER(MATCH(O90,$G$5:$G$1000,0)),"",IF(D90=1,B$4,0)+MAX(I$4:I89)+1))</f>
        <v/>
      </c>
      <c r="J90" s="27" t="str">
        <f>IF(ISNUMBER(MATCH(M90,$I$5:$I$1000,0)),INDEX($O$5:$O$1000,MATCH(M90,$I$5:$I$1000,0),1),"")</f>
        <v/>
      </c>
      <c r="K90" s="27"/>
      <c r="L90" s="26"/>
      <c r="M90" s="14">
        <f>IF(ROW()-ROW(M$4)&lt;=1000,ROW()-ROW(M$4),"")</f>
        <v>86</v>
      </c>
      <c r="N90" s="43"/>
      <c r="O90" s="43"/>
      <c r="P90" s="41" t="str">
        <f>IF(M90&lt;=$B$4,IF(ISTEXT(G90),G90,""),IF(ISTEXT(J90),J90,""))</f>
        <v/>
      </c>
      <c r="Q90" s="16" t="s">
        <v>0</v>
      </c>
      <c r="R90" s="34" t="str">
        <f>IF(ROW()-ROW(R$4)&lt;=AH$3,ROW()-ROW(R$4),"")</f>
        <v/>
      </c>
      <c r="S90" s="34" t="str">
        <f>IF(ROW()-ROW(S$4)&lt;=AI$3,ROW()-ROW(S$4),"")</f>
        <v/>
      </c>
      <c r="T90" s="34" t="str">
        <f>IF(ROW()-ROW(T$4)&lt;=AJ$3,ROW()-ROW(T$4),"")</f>
        <v/>
      </c>
      <c r="U90" s="34" t="str">
        <f>IF(ROW()-ROW(U$4)&lt;=AK$3,ROW()-ROW(U$4),"")</f>
        <v/>
      </c>
      <c r="V90" s="34" t="str">
        <f>IF(ROW()-ROW(V$4)&lt;=AL$3,ROW()-ROW(V$4),"")</f>
        <v/>
      </c>
      <c r="W90" s="34" t="str">
        <f>IF(ROW()-ROW(W$4)&lt;=AM$3,ROW()-ROW(W$4),"")</f>
        <v/>
      </c>
      <c r="X90" s="34" t="str">
        <f>IF(ROW()-ROW(X$4)&lt;=AN$3,ROW()-ROW(X$4),"")</f>
        <v/>
      </c>
      <c r="Y90" s="34"/>
      <c r="Z90" s="35" t="str">
        <f>IF(ISNUMBER(R90),INDEX($BE$5:$BE$2999,MATCH(R90,AH$5:AH$2999,0),1),"")</f>
        <v/>
      </c>
      <c r="AA90" s="35" t="str">
        <f>IF(ISNUMBER(S90),INDEX($BE$5:$BE$2999,MATCH(S90,AI$5:AI$2999,0),1),"")</f>
        <v/>
      </c>
      <c r="AB90" s="35" t="str">
        <f>IF(ISNUMBER(T90),INDEX($BE$5:$BE$2999,MATCH(T90,AJ$5:AJ$2999,0),1),"")</f>
        <v/>
      </c>
      <c r="AC90" s="35" t="str">
        <f>IF(ISNUMBER(U90),INDEX($BE$5:$BE$2999,MATCH(U90,AK$5:AK$2999,0),1),"")</f>
        <v/>
      </c>
      <c r="AD90" s="35" t="str">
        <f>IF(ISNUMBER(V90),INDEX($BE$5:$BE$2999,MATCH(V90,AL$5:AL$2999,0),1),"")</f>
        <v/>
      </c>
      <c r="AE90" s="35" t="str">
        <f>IF(ISNUMBER(W90),INDEX($BE$5:$BE$2999,MATCH(W90,AM$5:AM$2999,0),1),"")</f>
        <v/>
      </c>
      <c r="AF90" s="35" t="str">
        <f>IF(ISNUMBER(X90),INDEX($BE$5:$BE$2999,MATCH(X90,AN$5:AN$2999,0),1),"")</f>
        <v/>
      </c>
      <c r="AG90" s="35"/>
      <c r="AH90" s="34" t="str">
        <f>IF($BE90="","",IF(ISNUMBER(MATCH($BE90,AP$5:AP$29999,0)),MAX(AH$4:AH89)+1,0))</f>
        <v/>
      </c>
      <c r="AI90" s="34" t="str">
        <f>IF($BE90="","",IF(ISNUMBER(MATCH($BE90,AQ$5:AQ$29999,0)),MAX(AI$4:AI89)+1,0))</f>
        <v/>
      </c>
      <c r="AJ90" s="34" t="str">
        <f>IF($BE90="","",IF(ISNUMBER(MATCH($BE90,AR$5:AR$29999,0)),MAX(AJ$4:AJ89)+1,0))</f>
        <v/>
      </c>
      <c r="AK90" s="34" t="str">
        <f>IF($BE90="","",IF(ISNUMBER(MATCH($BE90,AS$5:AS$29999,0)),MAX(AK$4:AK89)+1,0))</f>
        <v/>
      </c>
      <c r="AL90" s="34" t="str">
        <f>IF($BE90="","",IF(ISNUMBER(MATCH($BE90,AT$5:AT$29999,0)),MAX(AL$4:AL89)+1,0))</f>
        <v/>
      </c>
      <c r="AM90" s="34" t="str">
        <f>IF($BE90="","",IF(ISNUMBER(MATCH($BE90,AU$5:AU$29999,0)),MAX(AM$4:AM89)+1,0))</f>
        <v/>
      </c>
      <c r="AN90" s="34" t="str">
        <f>IF($BE90="","",IF(ISNUMBER(MATCH($BE90,AV$5:AV$29999,0)),MAX(AN$4:AN89)+1,0))</f>
        <v/>
      </c>
      <c r="AO90" s="16"/>
      <c r="AP90" s="33"/>
      <c r="AQ90" s="33"/>
      <c r="AR90" s="33"/>
      <c r="AS90" s="33"/>
      <c r="AT90" s="32"/>
      <c r="AU90" s="32"/>
      <c r="AV90" s="32" t="s">
        <v>0</v>
      </c>
      <c r="AW90" s="40"/>
      <c r="AX90" s="20" t="s">
        <v>0</v>
      </c>
      <c r="AY90" s="30"/>
      <c r="AZ90" s="30"/>
      <c r="BA90" s="39" t="s">
        <v>0</v>
      </c>
      <c r="BB90" s="44" t="str">
        <f>IF(ISTEXT(AW90),IF(ISNUMBER(MATCH(AW90,$AY$5:$AY$100,0)),0,MAX(BB$4:BB89)+1),"")</f>
        <v/>
      </c>
      <c r="BC90" s="36" t="str">
        <f>IF(ISTEXT(AY90),MATCH(AY90,$AW$5:$AW$127,0),"")</f>
        <v/>
      </c>
      <c r="BD90" s="36">
        <f>IF(ISNUMBER(BC90),AY90,ROW()-SUM($BC$4:$BD$4))</f>
        <v>49</v>
      </c>
      <c r="BE90" s="20"/>
      <c r="BF90" s="36"/>
      <c r="BG90" s="19" t="str">
        <f>IF(ISNUMBER(MATCH($BE90,Z$5:Z$501,0)),INDEX(Z$5:Z$501,MATCH($BE90,Z$5:Z$501,0),1),"")</f>
        <v/>
      </c>
      <c r="BH90" s="19" t="str">
        <f>IF(ISNUMBER(MATCH($BE90,AA$5:AA$501,0)),INDEX(AA$5:AA$501,MATCH($BE90,AA$5:AA$501,0),1),"")</f>
        <v/>
      </c>
      <c r="BI90" s="19" t="str">
        <f>IF(ISNUMBER(MATCH($BE90,AB$5:AB$501,0)),INDEX(AB$5:AB$501,MATCH($BE90,AB$5:AB$501,0),1),"")</f>
        <v/>
      </c>
      <c r="BJ90" s="19" t="str">
        <f>IF(ISNUMBER(MATCH($BE90,AC$5:AC$501,0)),INDEX(AC$5:AC$501,MATCH($BE90,AC$5:AC$501,0),1),"")</f>
        <v/>
      </c>
      <c r="BK90" s="19" t="str">
        <f>IF(ISNUMBER(MATCH($BE90,AD$5:AD$501,0)),INDEX(AD$5:AD$501,MATCH($BE90,AD$5:AD$501,0),1),"")</f>
        <v/>
      </c>
      <c r="BL90" s="19" t="str">
        <f>IF(ISNUMBER(MATCH($BE90,AE$5:AE$501,0)),INDEX(AE$5:AE$501,MATCH($BE90,AE$5:AE$501,0),1),"")</f>
        <v/>
      </c>
      <c r="BM90" s="19" t="str">
        <f>IF(ISNUMBER(MATCH($BE90,AF$5:AF$501,0)),INDEX(AF$5:AF$501,MATCH($BE90,AF$5:AF$501,0),1),"")</f>
        <v/>
      </c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</row>
    <row r="91" spans="1:78" ht="12" customHeight="1" x14ac:dyDescent="0.25">
      <c r="A91" s="26"/>
      <c r="B91" s="28" t="str">
        <f>IF(ISNUMBER(MATCH(O91,$N$5:$N$1000,0)),MATCH(O91,$N$5:$N$1000,0),"")</f>
        <v/>
      </c>
      <c r="C91" s="15" t="str">
        <f>IF(ISNUMBER(B91),MAX(C$4:C90)+1,"")</f>
        <v/>
      </c>
      <c r="D91" s="15" t="str">
        <f>IF(IF(ISNUMBER(B91),"",MAX(D$4:D90)+1)&lt;=D$3,IF(ISNUMBER(B91),"",MAX(D$4:D90)+1),"")</f>
        <v/>
      </c>
      <c r="E91" s="42" t="str">
        <f>IF(M91&lt;=D$3,MATCH(M91,D$5:D$1000,0),"")</f>
        <v/>
      </c>
      <c r="F91" s="28" t="str">
        <f>IF(ISNUMBER(E91),INDEX($N$5:$N$1000,E91,1),"")</f>
        <v/>
      </c>
      <c r="G91" s="27" t="str">
        <f>IF(ISNUMBER(C91),N91,IF(ISTEXT(N91),INDEX($F$5:$F$1000,MATCH(M91,$E$5:$E$1000,0),1),""))</f>
        <v/>
      </c>
      <c r="H91" s="15" t="str">
        <f>IF(O91="","",IF(ISNUMBER(MATCH(O91,$G$5:$G$1000,0)),"",IF(D91=1,C$3,0)+MAX(H$4:H90)+1))</f>
        <v/>
      </c>
      <c r="I91" s="15" t="str">
        <f>IF(O91="","",IF(ISNUMBER(MATCH(O91,$G$5:$G$1000,0)),"",IF(D91=1,B$4,0)+MAX(I$4:I90)+1))</f>
        <v/>
      </c>
      <c r="J91" s="27" t="str">
        <f>IF(ISNUMBER(MATCH(M91,$I$5:$I$1000,0)),INDEX($O$5:$O$1000,MATCH(M91,$I$5:$I$1000,0),1),"")</f>
        <v/>
      </c>
      <c r="K91" s="27"/>
      <c r="L91" s="26"/>
      <c r="M91" s="14">
        <f>IF(ROW()-ROW(M$4)&lt;=1000,ROW()-ROW(M$4),"")</f>
        <v>87</v>
      </c>
      <c r="N91" s="43"/>
      <c r="O91" s="43"/>
      <c r="P91" s="41" t="str">
        <f>IF(M91&lt;=$B$4,IF(ISTEXT(G91),G91,""),IF(ISTEXT(J91),J91,""))</f>
        <v/>
      </c>
      <c r="Q91" s="16" t="s">
        <v>0</v>
      </c>
      <c r="R91" s="34" t="str">
        <f>IF(ROW()-ROW(R$4)&lt;=AH$3,ROW()-ROW(R$4),"")</f>
        <v/>
      </c>
      <c r="S91" s="34" t="str">
        <f>IF(ROW()-ROW(S$4)&lt;=AI$3,ROW()-ROW(S$4),"")</f>
        <v/>
      </c>
      <c r="T91" s="34" t="str">
        <f>IF(ROW()-ROW(T$4)&lt;=AJ$3,ROW()-ROW(T$4),"")</f>
        <v/>
      </c>
      <c r="U91" s="34" t="str">
        <f>IF(ROW()-ROW(U$4)&lt;=AK$3,ROW()-ROW(U$4),"")</f>
        <v/>
      </c>
      <c r="V91" s="34" t="str">
        <f>IF(ROW()-ROW(V$4)&lt;=AL$3,ROW()-ROW(V$4),"")</f>
        <v/>
      </c>
      <c r="W91" s="34" t="str">
        <f>IF(ROW()-ROW(W$4)&lt;=AM$3,ROW()-ROW(W$4),"")</f>
        <v/>
      </c>
      <c r="X91" s="34" t="str">
        <f>IF(ROW()-ROW(X$4)&lt;=AN$3,ROW()-ROW(X$4),"")</f>
        <v/>
      </c>
      <c r="Y91" s="34"/>
      <c r="Z91" s="35" t="str">
        <f>IF(ISNUMBER(R91),INDEX($BE$5:$BE$2999,MATCH(R91,AH$5:AH$2999,0),1),"")</f>
        <v/>
      </c>
      <c r="AA91" s="35" t="str">
        <f>IF(ISNUMBER(S91),INDEX($BE$5:$BE$2999,MATCH(S91,AI$5:AI$2999,0),1),"")</f>
        <v/>
      </c>
      <c r="AB91" s="35" t="str">
        <f>IF(ISNUMBER(T91),INDEX($BE$5:$BE$2999,MATCH(T91,AJ$5:AJ$2999,0),1),"")</f>
        <v/>
      </c>
      <c r="AC91" s="35" t="str">
        <f>IF(ISNUMBER(U91),INDEX($BE$5:$BE$2999,MATCH(U91,AK$5:AK$2999,0),1),"")</f>
        <v/>
      </c>
      <c r="AD91" s="35" t="str">
        <f>IF(ISNUMBER(V91),INDEX($BE$5:$BE$2999,MATCH(V91,AL$5:AL$2999,0),1),"")</f>
        <v/>
      </c>
      <c r="AE91" s="35" t="str">
        <f>IF(ISNUMBER(W91),INDEX($BE$5:$BE$2999,MATCH(W91,AM$5:AM$2999,0),1),"")</f>
        <v/>
      </c>
      <c r="AF91" s="35" t="str">
        <f>IF(ISNUMBER(X91),INDEX($BE$5:$BE$2999,MATCH(X91,AN$5:AN$2999,0),1),"")</f>
        <v/>
      </c>
      <c r="AG91" s="35"/>
      <c r="AH91" s="34" t="str">
        <f>IF($BE91="","",IF(ISNUMBER(MATCH($BE91,AP$5:AP$29999,0)),MAX(AH$4:AH90)+1,0))</f>
        <v/>
      </c>
      <c r="AI91" s="34" t="str">
        <f>IF($BE91="","",IF(ISNUMBER(MATCH($BE91,AQ$5:AQ$29999,0)),MAX(AI$4:AI90)+1,0))</f>
        <v/>
      </c>
      <c r="AJ91" s="34" t="str">
        <f>IF($BE91="","",IF(ISNUMBER(MATCH($BE91,AR$5:AR$29999,0)),MAX(AJ$4:AJ90)+1,0))</f>
        <v/>
      </c>
      <c r="AK91" s="34" t="str">
        <f>IF($BE91="","",IF(ISNUMBER(MATCH($BE91,AS$5:AS$29999,0)),MAX(AK$4:AK90)+1,0))</f>
        <v/>
      </c>
      <c r="AL91" s="34" t="str">
        <f>IF($BE91="","",IF(ISNUMBER(MATCH($BE91,AT$5:AT$29999,0)),MAX(AL$4:AL90)+1,0))</f>
        <v/>
      </c>
      <c r="AM91" s="34" t="str">
        <f>IF($BE91="","",IF(ISNUMBER(MATCH($BE91,AU$5:AU$29999,0)),MAX(AM$4:AM90)+1,0))</f>
        <v/>
      </c>
      <c r="AN91" s="34" t="str">
        <f>IF($BE91="","",IF(ISNUMBER(MATCH($BE91,AV$5:AV$29999,0)),MAX(AN$4:AN90)+1,0))</f>
        <v/>
      </c>
      <c r="AO91" s="16"/>
      <c r="AP91" s="33"/>
      <c r="AQ91" s="33"/>
      <c r="AR91" s="33"/>
      <c r="AS91" s="33"/>
      <c r="AT91" s="32"/>
      <c r="AU91" s="32"/>
      <c r="AV91" s="32" t="s">
        <v>0</v>
      </c>
      <c r="AW91" s="40"/>
      <c r="AX91" s="20" t="s">
        <v>0</v>
      </c>
      <c r="AY91" s="30"/>
      <c r="AZ91" s="30"/>
      <c r="BA91" s="39" t="s">
        <v>0</v>
      </c>
      <c r="BB91" s="44" t="str">
        <f>IF(ISTEXT(AW91),IF(ISNUMBER(MATCH(AW91,$AY$5:$AY$100,0)),0,MAX(BB$4:BB90)+1),"")</f>
        <v/>
      </c>
      <c r="BC91" s="36" t="str">
        <f>IF(ISTEXT(AY91),MATCH(AY91,$AW$5:$AW$127,0),"")</f>
        <v/>
      </c>
      <c r="BD91" s="36">
        <f>IF(ISNUMBER(BC91),AY91,ROW()-SUM($BC$4:$BD$4))</f>
        <v>50</v>
      </c>
      <c r="BE91" s="20"/>
      <c r="BF91" s="36"/>
      <c r="BG91" s="19" t="str">
        <f>IF(ISNUMBER(MATCH($BE91,Z$5:Z$501,0)),INDEX(Z$5:Z$501,MATCH($BE91,Z$5:Z$501,0),1),"")</f>
        <v/>
      </c>
      <c r="BH91" s="19" t="str">
        <f>IF(ISNUMBER(MATCH($BE91,AA$5:AA$501,0)),INDEX(AA$5:AA$501,MATCH($BE91,AA$5:AA$501,0),1),"")</f>
        <v/>
      </c>
      <c r="BI91" s="19" t="str">
        <f>IF(ISNUMBER(MATCH($BE91,AB$5:AB$501,0)),INDEX(AB$5:AB$501,MATCH($BE91,AB$5:AB$501,0),1),"")</f>
        <v/>
      </c>
      <c r="BJ91" s="19" t="str">
        <f>IF(ISNUMBER(MATCH($BE91,AC$5:AC$501,0)),INDEX(AC$5:AC$501,MATCH($BE91,AC$5:AC$501,0),1),"")</f>
        <v/>
      </c>
      <c r="BK91" s="19" t="str">
        <f>IF(ISNUMBER(MATCH($BE91,AD$5:AD$501,0)),INDEX(AD$5:AD$501,MATCH($BE91,AD$5:AD$501,0),1),"")</f>
        <v/>
      </c>
      <c r="BL91" s="19" t="str">
        <f>IF(ISNUMBER(MATCH($BE91,AE$5:AE$501,0)),INDEX(AE$5:AE$501,MATCH($BE91,AE$5:AE$501,0),1),"")</f>
        <v/>
      </c>
      <c r="BM91" s="19" t="str">
        <f>IF(ISNUMBER(MATCH($BE91,AF$5:AF$501,0)),INDEX(AF$5:AF$501,MATCH($BE91,AF$5:AF$501,0),1),"")</f>
        <v/>
      </c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</row>
    <row r="92" spans="1:78" ht="12" customHeight="1" x14ac:dyDescent="0.25">
      <c r="A92" s="26"/>
      <c r="B92" s="28" t="str">
        <f>IF(ISNUMBER(MATCH(O92,$N$5:$N$1000,0)),MATCH(O92,$N$5:$N$1000,0),"")</f>
        <v/>
      </c>
      <c r="C92" s="15" t="str">
        <f>IF(ISNUMBER(B92),MAX(C$4:C91)+1,"")</f>
        <v/>
      </c>
      <c r="D92" s="15" t="str">
        <f>IF(IF(ISNUMBER(B92),"",MAX(D$4:D91)+1)&lt;=D$3,IF(ISNUMBER(B92),"",MAX(D$4:D91)+1),"")</f>
        <v/>
      </c>
      <c r="E92" s="42" t="str">
        <f>IF(M92&lt;=D$3,MATCH(M92,D$5:D$1000,0),"")</f>
        <v/>
      </c>
      <c r="F92" s="28" t="str">
        <f>IF(ISNUMBER(E92),INDEX($N$5:$N$1000,E92,1),"")</f>
        <v/>
      </c>
      <c r="G92" s="27" t="str">
        <f>IF(ISNUMBER(C92),N92,IF(ISTEXT(N92),INDEX($F$5:$F$1000,MATCH(M92,$E$5:$E$1000,0),1),""))</f>
        <v/>
      </c>
      <c r="H92" s="15" t="str">
        <f>IF(O92="","",IF(ISNUMBER(MATCH(O92,$G$5:$G$1000,0)),"",IF(D92=1,C$3,0)+MAX(H$4:H91)+1))</f>
        <v/>
      </c>
      <c r="I92" s="15" t="str">
        <f>IF(O92="","",IF(ISNUMBER(MATCH(O92,$G$5:$G$1000,0)),"",IF(D92=1,B$4,0)+MAX(I$4:I91)+1))</f>
        <v/>
      </c>
      <c r="J92" s="27" t="str">
        <f>IF(ISNUMBER(MATCH(M92,$I$5:$I$1000,0)),INDEX($O$5:$O$1000,MATCH(M92,$I$5:$I$1000,0),1),"")</f>
        <v/>
      </c>
      <c r="K92" s="27"/>
      <c r="L92" s="26"/>
      <c r="M92" s="14">
        <f>IF(ROW()-ROW(M$4)&lt;=1000,ROW()-ROW(M$4),"")</f>
        <v>88</v>
      </c>
      <c r="N92" s="43"/>
      <c r="O92" s="43"/>
      <c r="P92" s="41" t="str">
        <f>IF(M92&lt;=$B$4,IF(ISTEXT(G92),G92,""),IF(ISTEXT(J92),J92,""))</f>
        <v/>
      </c>
      <c r="Q92" s="16" t="s">
        <v>0</v>
      </c>
      <c r="R92" s="34" t="str">
        <f>IF(ROW()-ROW(R$4)&lt;=AH$3,ROW()-ROW(R$4),"")</f>
        <v/>
      </c>
      <c r="S92" s="34" t="str">
        <f>IF(ROW()-ROW(S$4)&lt;=AI$3,ROW()-ROW(S$4),"")</f>
        <v/>
      </c>
      <c r="T92" s="34" t="str">
        <f>IF(ROW()-ROW(T$4)&lt;=AJ$3,ROW()-ROW(T$4),"")</f>
        <v/>
      </c>
      <c r="U92" s="34" t="str">
        <f>IF(ROW()-ROW(U$4)&lt;=AK$3,ROW()-ROW(U$4),"")</f>
        <v/>
      </c>
      <c r="V92" s="34" t="str">
        <f>IF(ROW()-ROW(V$4)&lt;=AL$3,ROW()-ROW(V$4),"")</f>
        <v/>
      </c>
      <c r="W92" s="34" t="str">
        <f>IF(ROW()-ROW(W$4)&lt;=AM$3,ROW()-ROW(W$4),"")</f>
        <v/>
      </c>
      <c r="X92" s="34" t="str">
        <f>IF(ROW()-ROW(X$4)&lt;=AN$3,ROW()-ROW(X$4),"")</f>
        <v/>
      </c>
      <c r="Y92" s="34"/>
      <c r="Z92" s="35" t="str">
        <f>IF(ISNUMBER(R92),INDEX($BE$5:$BE$2999,MATCH(R92,AH$5:AH$2999,0),1),"")</f>
        <v/>
      </c>
      <c r="AA92" s="35" t="str">
        <f>IF(ISNUMBER(S92),INDEX($BE$5:$BE$2999,MATCH(S92,AI$5:AI$2999,0),1),"")</f>
        <v/>
      </c>
      <c r="AB92" s="35" t="str">
        <f>IF(ISNUMBER(T92),INDEX($BE$5:$BE$2999,MATCH(T92,AJ$5:AJ$2999,0),1),"")</f>
        <v/>
      </c>
      <c r="AC92" s="35" t="str">
        <f>IF(ISNUMBER(U92),INDEX($BE$5:$BE$2999,MATCH(U92,AK$5:AK$2999,0),1),"")</f>
        <v/>
      </c>
      <c r="AD92" s="35" t="str">
        <f>IF(ISNUMBER(V92),INDEX($BE$5:$BE$2999,MATCH(V92,AL$5:AL$2999,0),1),"")</f>
        <v/>
      </c>
      <c r="AE92" s="35" t="str">
        <f>IF(ISNUMBER(W92),INDEX($BE$5:$BE$2999,MATCH(W92,AM$5:AM$2999,0),1),"")</f>
        <v/>
      </c>
      <c r="AF92" s="35" t="str">
        <f>IF(ISNUMBER(X92),INDEX($BE$5:$BE$2999,MATCH(X92,AN$5:AN$2999,0),1),"")</f>
        <v/>
      </c>
      <c r="AG92" s="35"/>
      <c r="AH92" s="34" t="str">
        <f>IF($BE92="","",IF(ISNUMBER(MATCH($BE92,AP$5:AP$29999,0)),MAX(AH$4:AH91)+1,0))</f>
        <v/>
      </c>
      <c r="AI92" s="34" t="str">
        <f>IF($BE92="","",IF(ISNUMBER(MATCH($BE92,AQ$5:AQ$29999,0)),MAX(AI$4:AI91)+1,0))</f>
        <v/>
      </c>
      <c r="AJ92" s="34" t="str">
        <f>IF($BE92="","",IF(ISNUMBER(MATCH($BE92,AR$5:AR$29999,0)),MAX(AJ$4:AJ91)+1,0))</f>
        <v/>
      </c>
      <c r="AK92" s="34" t="str">
        <f>IF($BE92="","",IF(ISNUMBER(MATCH($BE92,AS$5:AS$29999,0)),MAX(AK$4:AK91)+1,0))</f>
        <v/>
      </c>
      <c r="AL92" s="34" t="str">
        <f>IF($BE92="","",IF(ISNUMBER(MATCH($BE92,AT$5:AT$29999,0)),MAX(AL$4:AL91)+1,0))</f>
        <v/>
      </c>
      <c r="AM92" s="34" t="str">
        <f>IF($BE92="","",IF(ISNUMBER(MATCH($BE92,AU$5:AU$29999,0)),MAX(AM$4:AM91)+1,0))</f>
        <v/>
      </c>
      <c r="AN92" s="34" t="str">
        <f>IF($BE92="","",IF(ISNUMBER(MATCH($BE92,AV$5:AV$29999,0)),MAX(AN$4:AN91)+1,0))</f>
        <v/>
      </c>
      <c r="AO92" s="16"/>
      <c r="AP92" s="33"/>
      <c r="AQ92" s="33"/>
      <c r="AR92" s="33"/>
      <c r="AS92" s="33"/>
      <c r="AT92" s="32"/>
      <c r="AU92" s="32"/>
      <c r="AV92" s="32" t="s">
        <v>0</v>
      </c>
      <c r="AW92" s="40"/>
      <c r="AX92" s="20" t="s">
        <v>0</v>
      </c>
      <c r="AY92" s="30"/>
      <c r="AZ92" s="30"/>
      <c r="BA92" s="39" t="s">
        <v>0</v>
      </c>
      <c r="BB92" s="44" t="str">
        <f>IF(ISTEXT(AW92),IF(ISNUMBER(MATCH(AW92,$AY$5:$AY$100,0)),0,MAX(BB$4:BB91)+1),"")</f>
        <v/>
      </c>
      <c r="BC92" s="36" t="str">
        <f>IF(ISTEXT(AY92),MATCH(AY92,$AW$5:$AW$127,0),"")</f>
        <v/>
      </c>
      <c r="BD92" s="36">
        <f>IF(ISNUMBER(BC92),AY92,ROW()-SUM($BC$4:$BD$4))</f>
        <v>51</v>
      </c>
      <c r="BE92" s="20"/>
      <c r="BF92" s="36"/>
      <c r="BG92" s="19" t="str">
        <f>IF(ISNUMBER(MATCH($BE92,Z$5:Z$501,0)),INDEX(Z$5:Z$501,MATCH($BE92,Z$5:Z$501,0),1),"")</f>
        <v/>
      </c>
      <c r="BH92" s="19" t="str">
        <f>IF(ISNUMBER(MATCH($BE92,AA$5:AA$501,0)),INDEX(AA$5:AA$501,MATCH($BE92,AA$5:AA$501,0),1),"")</f>
        <v/>
      </c>
      <c r="BI92" s="19" t="str">
        <f>IF(ISNUMBER(MATCH($BE92,AB$5:AB$501,0)),INDEX(AB$5:AB$501,MATCH($BE92,AB$5:AB$501,0),1),"")</f>
        <v/>
      </c>
      <c r="BJ92" s="19" t="str">
        <f>IF(ISNUMBER(MATCH($BE92,AC$5:AC$501,0)),INDEX(AC$5:AC$501,MATCH($BE92,AC$5:AC$501,0),1),"")</f>
        <v/>
      </c>
      <c r="BK92" s="19" t="str">
        <f>IF(ISNUMBER(MATCH($BE92,AD$5:AD$501,0)),INDEX(AD$5:AD$501,MATCH($BE92,AD$5:AD$501,0),1),"")</f>
        <v/>
      </c>
      <c r="BL92" s="19" t="str">
        <f>IF(ISNUMBER(MATCH($BE92,AE$5:AE$501,0)),INDEX(AE$5:AE$501,MATCH($BE92,AE$5:AE$501,0),1),"")</f>
        <v/>
      </c>
      <c r="BM92" s="19" t="str">
        <f>IF(ISNUMBER(MATCH($BE92,AF$5:AF$501,0)),INDEX(AF$5:AF$501,MATCH($BE92,AF$5:AF$501,0),1),"")</f>
        <v/>
      </c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</row>
    <row r="93" spans="1:78" ht="12" customHeight="1" x14ac:dyDescent="0.25">
      <c r="A93" s="26"/>
      <c r="B93" s="28" t="str">
        <f>IF(ISNUMBER(MATCH(O93,$N$5:$N$1000,0)),MATCH(O93,$N$5:$N$1000,0),"")</f>
        <v/>
      </c>
      <c r="C93" s="15" t="str">
        <f>IF(ISNUMBER(B93),MAX(C$4:C92)+1,"")</f>
        <v/>
      </c>
      <c r="D93" s="15" t="str">
        <f>IF(IF(ISNUMBER(B93),"",MAX(D$4:D92)+1)&lt;=D$3,IF(ISNUMBER(B93),"",MAX(D$4:D92)+1),"")</f>
        <v/>
      </c>
      <c r="E93" s="42" t="str">
        <f>IF(M93&lt;=D$3,MATCH(M93,D$5:D$1000,0),"")</f>
        <v/>
      </c>
      <c r="F93" s="28" t="str">
        <f>IF(ISNUMBER(E93),INDEX($N$5:$N$1000,E93,1),"")</f>
        <v/>
      </c>
      <c r="G93" s="27" t="str">
        <f>IF(ISNUMBER(C93),N93,IF(ISTEXT(N93),INDEX($F$5:$F$1000,MATCH(M93,$E$5:$E$1000,0),1),""))</f>
        <v/>
      </c>
      <c r="H93" s="15" t="str">
        <f>IF(O93="","",IF(ISNUMBER(MATCH(O93,$G$5:$G$1000,0)),"",IF(D93=1,C$3,0)+MAX(H$4:H92)+1))</f>
        <v/>
      </c>
      <c r="I93" s="15" t="str">
        <f>IF(O93="","",IF(ISNUMBER(MATCH(O93,$G$5:$G$1000,0)),"",IF(D93=1,B$4,0)+MAX(I$4:I92)+1))</f>
        <v/>
      </c>
      <c r="J93" s="27" t="str">
        <f>IF(ISNUMBER(MATCH(M93,$I$5:$I$1000,0)),INDEX($O$5:$O$1000,MATCH(M93,$I$5:$I$1000,0),1),"")</f>
        <v/>
      </c>
      <c r="K93" s="27"/>
      <c r="L93" s="26"/>
      <c r="M93" s="14">
        <f>IF(ROW()-ROW(M$4)&lt;=1000,ROW()-ROW(M$4),"")</f>
        <v>89</v>
      </c>
      <c r="N93" s="43"/>
      <c r="O93" s="43"/>
      <c r="P93" s="41" t="str">
        <f>IF(M93&lt;=$B$4,IF(ISTEXT(G93),G93,""),IF(ISTEXT(J93),J93,""))</f>
        <v/>
      </c>
      <c r="Q93" s="16" t="s">
        <v>0</v>
      </c>
      <c r="R93" s="34" t="str">
        <f>IF(ROW()-ROW(R$4)&lt;=AH$3,ROW()-ROW(R$4),"")</f>
        <v/>
      </c>
      <c r="S93" s="34" t="str">
        <f>IF(ROW()-ROW(S$4)&lt;=AI$3,ROW()-ROW(S$4),"")</f>
        <v/>
      </c>
      <c r="T93" s="34" t="str">
        <f>IF(ROW()-ROW(T$4)&lt;=AJ$3,ROW()-ROW(T$4),"")</f>
        <v/>
      </c>
      <c r="U93" s="34" t="str">
        <f>IF(ROW()-ROW(U$4)&lt;=AK$3,ROW()-ROW(U$4),"")</f>
        <v/>
      </c>
      <c r="V93" s="34" t="str">
        <f>IF(ROW()-ROW(V$4)&lt;=AL$3,ROW()-ROW(V$4),"")</f>
        <v/>
      </c>
      <c r="W93" s="34" t="str">
        <f>IF(ROW()-ROW(W$4)&lt;=AM$3,ROW()-ROW(W$4),"")</f>
        <v/>
      </c>
      <c r="X93" s="34" t="str">
        <f>IF(ROW()-ROW(X$4)&lt;=AN$3,ROW()-ROW(X$4),"")</f>
        <v/>
      </c>
      <c r="Y93" s="34"/>
      <c r="Z93" s="35" t="str">
        <f>IF(ISNUMBER(R93),INDEX($BE$5:$BE$2999,MATCH(R93,AH$5:AH$2999,0),1),"")</f>
        <v/>
      </c>
      <c r="AA93" s="35" t="str">
        <f>IF(ISNUMBER(S93),INDEX($BE$5:$BE$2999,MATCH(S93,AI$5:AI$2999,0),1),"")</f>
        <v/>
      </c>
      <c r="AB93" s="35" t="str">
        <f>IF(ISNUMBER(T93),INDEX($BE$5:$BE$2999,MATCH(T93,AJ$5:AJ$2999,0),1),"")</f>
        <v/>
      </c>
      <c r="AC93" s="35" t="str">
        <f>IF(ISNUMBER(U93),INDEX($BE$5:$BE$2999,MATCH(U93,AK$5:AK$2999,0),1),"")</f>
        <v/>
      </c>
      <c r="AD93" s="35" t="str">
        <f>IF(ISNUMBER(V93),INDEX($BE$5:$BE$2999,MATCH(V93,AL$5:AL$2999,0),1),"")</f>
        <v/>
      </c>
      <c r="AE93" s="35" t="str">
        <f>IF(ISNUMBER(W93),INDEX($BE$5:$BE$2999,MATCH(W93,AM$5:AM$2999,0),1),"")</f>
        <v/>
      </c>
      <c r="AF93" s="35" t="str">
        <f>IF(ISNUMBER(X93),INDEX($BE$5:$BE$2999,MATCH(X93,AN$5:AN$2999,0),1),"")</f>
        <v/>
      </c>
      <c r="AG93" s="35"/>
      <c r="AH93" s="34" t="str">
        <f>IF($BE93="","",IF(ISNUMBER(MATCH($BE93,AP$5:AP$29999,0)),MAX(AH$4:AH92)+1,0))</f>
        <v/>
      </c>
      <c r="AI93" s="34" t="str">
        <f>IF($BE93="","",IF(ISNUMBER(MATCH($BE93,AQ$5:AQ$29999,0)),MAX(AI$4:AI92)+1,0))</f>
        <v/>
      </c>
      <c r="AJ93" s="34" t="str">
        <f>IF($BE93="","",IF(ISNUMBER(MATCH($BE93,AR$5:AR$29999,0)),MAX(AJ$4:AJ92)+1,0))</f>
        <v/>
      </c>
      <c r="AK93" s="34" t="str">
        <f>IF($BE93="","",IF(ISNUMBER(MATCH($BE93,AS$5:AS$29999,0)),MAX(AK$4:AK92)+1,0))</f>
        <v/>
      </c>
      <c r="AL93" s="34" t="str">
        <f>IF($BE93="","",IF(ISNUMBER(MATCH($BE93,AT$5:AT$29999,0)),MAX(AL$4:AL92)+1,0))</f>
        <v/>
      </c>
      <c r="AM93" s="34" t="str">
        <f>IF($BE93="","",IF(ISNUMBER(MATCH($BE93,AU$5:AU$29999,0)),MAX(AM$4:AM92)+1,0))</f>
        <v/>
      </c>
      <c r="AN93" s="34" t="str">
        <f>IF($BE93="","",IF(ISNUMBER(MATCH($BE93,AV$5:AV$29999,0)),MAX(AN$4:AN92)+1,0))</f>
        <v/>
      </c>
      <c r="AO93" s="16"/>
      <c r="AP93" s="33"/>
      <c r="AQ93" s="33"/>
      <c r="AR93" s="33"/>
      <c r="AS93" s="33"/>
      <c r="AT93" s="32"/>
      <c r="AU93" s="32"/>
      <c r="AV93" s="32" t="s">
        <v>0</v>
      </c>
      <c r="AW93" s="40"/>
      <c r="AX93" s="20" t="s">
        <v>0</v>
      </c>
      <c r="AY93" s="30"/>
      <c r="AZ93" s="30"/>
      <c r="BA93" s="39" t="s">
        <v>0</v>
      </c>
      <c r="BB93" s="44" t="str">
        <f>IF(ISTEXT(AW93),IF(ISNUMBER(MATCH(AW93,$AY$5:$AY$100,0)),0,MAX(BB$4:BB92)+1),"")</f>
        <v/>
      </c>
      <c r="BC93" s="36" t="str">
        <f>IF(ISTEXT(AY93),MATCH(AY93,$AW$5:$AW$127,0),"")</f>
        <v/>
      </c>
      <c r="BD93" s="36">
        <f>IF(ISNUMBER(BC93),AY93,ROW()-SUM($BC$4:$BD$4))</f>
        <v>52</v>
      </c>
      <c r="BE93" s="20"/>
      <c r="BF93" s="36"/>
      <c r="BG93" s="19" t="str">
        <f>IF(ISNUMBER(MATCH($BE93,Z$5:Z$501,0)),INDEX(Z$5:Z$501,MATCH($BE93,Z$5:Z$501,0),1),"")</f>
        <v/>
      </c>
      <c r="BH93" s="19" t="str">
        <f>IF(ISNUMBER(MATCH($BE93,AA$5:AA$501,0)),INDEX(AA$5:AA$501,MATCH($BE93,AA$5:AA$501,0),1),"")</f>
        <v/>
      </c>
      <c r="BI93" s="19" t="str">
        <f>IF(ISNUMBER(MATCH($BE93,AB$5:AB$501,0)),INDEX(AB$5:AB$501,MATCH($BE93,AB$5:AB$501,0),1),"")</f>
        <v/>
      </c>
      <c r="BJ93" s="19" t="str">
        <f>IF(ISNUMBER(MATCH($BE93,AC$5:AC$501,0)),INDEX(AC$5:AC$501,MATCH($BE93,AC$5:AC$501,0),1),"")</f>
        <v/>
      </c>
      <c r="BK93" s="19" t="str">
        <f>IF(ISNUMBER(MATCH($BE93,AD$5:AD$501,0)),INDEX(AD$5:AD$501,MATCH($BE93,AD$5:AD$501,0),1),"")</f>
        <v/>
      </c>
      <c r="BL93" s="19" t="str">
        <f>IF(ISNUMBER(MATCH($BE93,AE$5:AE$501,0)),INDEX(AE$5:AE$501,MATCH($BE93,AE$5:AE$501,0),1),"")</f>
        <v/>
      </c>
      <c r="BM93" s="19" t="str">
        <f>IF(ISNUMBER(MATCH($BE93,AF$5:AF$501,0)),INDEX(AF$5:AF$501,MATCH($BE93,AF$5:AF$501,0),1),"")</f>
        <v/>
      </c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</row>
    <row r="94" spans="1:78" ht="12" customHeight="1" x14ac:dyDescent="0.25">
      <c r="A94" s="26"/>
      <c r="B94" s="28" t="str">
        <f>IF(ISNUMBER(MATCH(O94,$N$5:$N$1000,0)),MATCH(O94,$N$5:$N$1000,0),"")</f>
        <v/>
      </c>
      <c r="C94" s="15" t="str">
        <f>IF(ISNUMBER(B94),MAX(C$4:C93)+1,"")</f>
        <v/>
      </c>
      <c r="D94" s="15" t="str">
        <f>IF(IF(ISNUMBER(B94),"",MAX(D$4:D93)+1)&lt;=D$3,IF(ISNUMBER(B94),"",MAX(D$4:D93)+1),"")</f>
        <v/>
      </c>
      <c r="E94" s="42" t="str">
        <f>IF(M94&lt;=D$3,MATCH(M94,D$5:D$1000,0),"")</f>
        <v/>
      </c>
      <c r="F94" s="28" t="str">
        <f>IF(ISNUMBER(E94),INDEX($N$5:$N$1000,E94,1),"")</f>
        <v/>
      </c>
      <c r="G94" s="27" t="str">
        <f>IF(ISNUMBER(C94),N94,IF(ISTEXT(N94),INDEX($F$5:$F$1000,MATCH(M94,$E$5:$E$1000,0),1),""))</f>
        <v/>
      </c>
      <c r="H94" s="15" t="str">
        <f>IF(O94="","",IF(ISNUMBER(MATCH(O94,$G$5:$G$1000,0)),"",IF(D94=1,C$3,0)+MAX(H$4:H93)+1))</f>
        <v/>
      </c>
      <c r="I94" s="15" t="str">
        <f>IF(O94="","",IF(ISNUMBER(MATCH(O94,$G$5:$G$1000,0)),"",IF(D94=1,B$4,0)+MAX(I$4:I93)+1))</f>
        <v/>
      </c>
      <c r="J94" s="27" t="str">
        <f>IF(ISNUMBER(MATCH(M94,$I$5:$I$1000,0)),INDEX($O$5:$O$1000,MATCH(M94,$I$5:$I$1000,0),1),"")</f>
        <v/>
      </c>
      <c r="K94" s="27"/>
      <c r="L94" s="26"/>
      <c r="M94" s="14">
        <f>IF(ROW()-ROW(M$4)&lt;=1000,ROW()-ROW(M$4),"")</f>
        <v>90</v>
      </c>
      <c r="N94" s="43"/>
      <c r="O94" s="43"/>
      <c r="P94" s="41" t="str">
        <f>IF(M94&lt;=$B$4,IF(ISTEXT(G94),G94,""),IF(ISTEXT(J94),J94,""))</f>
        <v/>
      </c>
      <c r="Q94" s="16" t="s">
        <v>0</v>
      </c>
      <c r="R94" s="34" t="str">
        <f>IF(ROW()-ROW(R$4)&lt;=AH$3,ROW()-ROW(R$4),"")</f>
        <v/>
      </c>
      <c r="S94" s="34" t="str">
        <f>IF(ROW()-ROW(S$4)&lt;=AI$3,ROW()-ROW(S$4),"")</f>
        <v/>
      </c>
      <c r="T94" s="34" t="str">
        <f>IF(ROW()-ROW(T$4)&lt;=AJ$3,ROW()-ROW(T$4),"")</f>
        <v/>
      </c>
      <c r="U94" s="34" t="str">
        <f>IF(ROW()-ROW(U$4)&lt;=AK$3,ROW()-ROW(U$4),"")</f>
        <v/>
      </c>
      <c r="V94" s="34" t="str">
        <f>IF(ROW()-ROW(V$4)&lt;=AL$3,ROW()-ROW(V$4),"")</f>
        <v/>
      </c>
      <c r="W94" s="34" t="str">
        <f>IF(ROW()-ROW(W$4)&lt;=AM$3,ROW()-ROW(W$4),"")</f>
        <v/>
      </c>
      <c r="X94" s="34" t="str">
        <f>IF(ROW()-ROW(X$4)&lt;=AN$3,ROW()-ROW(X$4),"")</f>
        <v/>
      </c>
      <c r="Y94" s="34"/>
      <c r="Z94" s="35" t="str">
        <f>IF(ISNUMBER(R94),INDEX($BE$5:$BE$2999,MATCH(R94,AH$5:AH$2999,0),1),"")</f>
        <v/>
      </c>
      <c r="AA94" s="35" t="str">
        <f>IF(ISNUMBER(S94),INDEX($BE$5:$BE$2999,MATCH(S94,AI$5:AI$2999,0),1),"")</f>
        <v/>
      </c>
      <c r="AB94" s="35" t="str">
        <f>IF(ISNUMBER(T94),INDEX($BE$5:$BE$2999,MATCH(T94,AJ$5:AJ$2999,0),1),"")</f>
        <v/>
      </c>
      <c r="AC94" s="35" t="str">
        <f>IF(ISNUMBER(U94),INDEX($BE$5:$BE$2999,MATCH(U94,AK$5:AK$2999,0),1),"")</f>
        <v/>
      </c>
      <c r="AD94" s="35" t="str">
        <f>IF(ISNUMBER(V94),INDEX($BE$5:$BE$2999,MATCH(V94,AL$5:AL$2999,0),1),"")</f>
        <v/>
      </c>
      <c r="AE94" s="35" t="str">
        <f>IF(ISNUMBER(W94),INDEX($BE$5:$BE$2999,MATCH(W94,AM$5:AM$2999,0),1),"")</f>
        <v/>
      </c>
      <c r="AF94" s="35" t="str">
        <f>IF(ISNUMBER(X94),INDEX($BE$5:$BE$2999,MATCH(X94,AN$5:AN$2999,0),1),"")</f>
        <v/>
      </c>
      <c r="AG94" s="35"/>
      <c r="AH94" s="34" t="str">
        <f>IF($BE94="","",IF(ISNUMBER(MATCH($BE94,AP$5:AP$29999,0)),MAX(AH$4:AH93)+1,0))</f>
        <v/>
      </c>
      <c r="AI94" s="34" t="str">
        <f>IF($BE94="","",IF(ISNUMBER(MATCH($BE94,AQ$5:AQ$29999,0)),MAX(AI$4:AI93)+1,0))</f>
        <v/>
      </c>
      <c r="AJ94" s="34" t="str">
        <f>IF($BE94="","",IF(ISNUMBER(MATCH($BE94,AR$5:AR$29999,0)),MAX(AJ$4:AJ93)+1,0))</f>
        <v/>
      </c>
      <c r="AK94" s="34" t="str">
        <f>IF($BE94="","",IF(ISNUMBER(MATCH($BE94,AS$5:AS$29999,0)),MAX(AK$4:AK93)+1,0))</f>
        <v/>
      </c>
      <c r="AL94" s="34" t="str">
        <f>IF($BE94="","",IF(ISNUMBER(MATCH($BE94,AT$5:AT$29999,0)),MAX(AL$4:AL93)+1,0))</f>
        <v/>
      </c>
      <c r="AM94" s="34" t="str">
        <f>IF($BE94="","",IF(ISNUMBER(MATCH($BE94,AU$5:AU$29999,0)),MAX(AM$4:AM93)+1,0))</f>
        <v/>
      </c>
      <c r="AN94" s="34" t="str">
        <f>IF($BE94="","",IF(ISNUMBER(MATCH($BE94,AV$5:AV$29999,0)),MAX(AN$4:AN93)+1,0))</f>
        <v/>
      </c>
      <c r="AO94" s="16"/>
      <c r="AP94" s="33"/>
      <c r="AQ94" s="33"/>
      <c r="AR94" s="33"/>
      <c r="AS94" s="33"/>
      <c r="AT94" s="32"/>
      <c r="AU94" s="32"/>
      <c r="AV94" s="32" t="s">
        <v>0</v>
      </c>
      <c r="AW94" s="40"/>
      <c r="AX94" s="20" t="s">
        <v>0</v>
      </c>
      <c r="AY94" s="30"/>
      <c r="AZ94" s="30"/>
      <c r="BA94" s="39" t="s">
        <v>0</v>
      </c>
      <c r="BB94" s="44" t="str">
        <f>IF(ISTEXT(AW94),IF(ISNUMBER(MATCH(AW94,$AY$5:$AY$100,0)),0,MAX(BB$4:BB93)+1),"")</f>
        <v/>
      </c>
      <c r="BC94" s="36" t="str">
        <f>IF(ISTEXT(AY94),MATCH(AY94,$AW$5:$AW$127,0),"")</f>
        <v/>
      </c>
      <c r="BD94" s="36">
        <f>IF(ISNUMBER(BC94),AY94,ROW()-SUM($BC$4:$BD$4))</f>
        <v>53</v>
      </c>
      <c r="BE94" s="20"/>
      <c r="BF94" s="36"/>
      <c r="BG94" s="19" t="str">
        <f>IF(ISNUMBER(MATCH($BE94,Z$5:Z$501,0)),INDEX(Z$5:Z$501,MATCH($BE94,Z$5:Z$501,0),1),"")</f>
        <v/>
      </c>
      <c r="BH94" s="19" t="str">
        <f>IF(ISNUMBER(MATCH($BE94,AA$5:AA$501,0)),INDEX(AA$5:AA$501,MATCH($BE94,AA$5:AA$501,0),1),"")</f>
        <v/>
      </c>
      <c r="BI94" s="19" t="str">
        <f>IF(ISNUMBER(MATCH($BE94,AB$5:AB$501,0)),INDEX(AB$5:AB$501,MATCH($BE94,AB$5:AB$501,0),1),"")</f>
        <v/>
      </c>
      <c r="BJ94" s="19" t="str">
        <f>IF(ISNUMBER(MATCH($BE94,AC$5:AC$501,0)),INDEX(AC$5:AC$501,MATCH($BE94,AC$5:AC$501,0),1),"")</f>
        <v/>
      </c>
      <c r="BK94" s="19" t="str">
        <f>IF(ISNUMBER(MATCH($BE94,AD$5:AD$501,0)),INDEX(AD$5:AD$501,MATCH($BE94,AD$5:AD$501,0),1),"")</f>
        <v/>
      </c>
      <c r="BL94" s="19" t="str">
        <f>IF(ISNUMBER(MATCH($BE94,AE$5:AE$501,0)),INDEX(AE$5:AE$501,MATCH($BE94,AE$5:AE$501,0),1),"")</f>
        <v/>
      </c>
      <c r="BM94" s="19" t="str">
        <f>IF(ISNUMBER(MATCH($BE94,AF$5:AF$501,0)),INDEX(AF$5:AF$501,MATCH($BE94,AF$5:AF$501,0),1),"")</f>
        <v/>
      </c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</row>
    <row r="95" spans="1:78" ht="12" customHeight="1" x14ac:dyDescent="0.25">
      <c r="A95" s="26"/>
      <c r="B95" s="28" t="str">
        <f>IF(ISNUMBER(MATCH(O95,$N$5:$N$1000,0)),MATCH(O95,$N$5:$N$1000,0),"")</f>
        <v/>
      </c>
      <c r="C95" s="15" t="str">
        <f>IF(ISNUMBER(B95),MAX(C$4:C94)+1,"")</f>
        <v/>
      </c>
      <c r="D95" s="15" t="str">
        <f>IF(IF(ISNUMBER(B95),"",MAX(D$4:D94)+1)&lt;=D$3,IF(ISNUMBER(B95),"",MAX(D$4:D94)+1),"")</f>
        <v/>
      </c>
      <c r="E95" s="42" t="str">
        <f>IF(M95&lt;=D$3,MATCH(M95,D$5:D$1000,0),"")</f>
        <v/>
      </c>
      <c r="F95" s="28" t="str">
        <f>IF(ISNUMBER(E95),INDEX($N$5:$N$1000,E95,1),"")</f>
        <v/>
      </c>
      <c r="G95" s="27" t="str">
        <f>IF(ISNUMBER(C95),N95,IF(ISTEXT(N95),INDEX($F$5:$F$1000,MATCH(M95,$E$5:$E$1000,0),1),""))</f>
        <v/>
      </c>
      <c r="H95" s="15" t="str">
        <f>IF(O95="","",IF(ISNUMBER(MATCH(O95,$G$5:$G$1000,0)),"",IF(D95=1,C$3,0)+MAX(H$4:H94)+1))</f>
        <v/>
      </c>
      <c r="I95" s="15" t="str">
        <f>IF(O95="","",IF(ISNUMBER(MATCH(O95,$G$5:$G$1000,0)),"",IF(D95=1,B$4,0)+MAX(I$4:I94)+1))</f>
        <v/>
      </c>
      <c r="J95" s="27" t="str">
        <f>IF(ISNUMBER(MATCH(M95,$I$5:$I$1000,0)),INDEX($O$5:$O$1000,MATCH(M95,$I$5:$I$1000,0),1),"")</f>
        <v/>
      </c>
      <c r="K95" s="27"/>
      <c r="L95" s="26"/>
      <c r="M95" s="14">
        <f>IF(ROW()-ROW(M$4)&lt;=1000,ROW()-ROW(M$4),"")</f>
        <v>91</v>
      </c>
      <c r="N95" s="43"/>
      <c r="O95" s="43"/>
      <c r="P95" s="41" t="str">
        <f>IF(M95&lt;=$B$4,IF(ISTEXT(G95),G95,""),IF(ISTEXT(J95),J95,""))</f>
        <v/>
      </c>
      <c r="Q95" s="16" t="s">
        <v>0</v>
      </c>
      <c r="R95" s="34" t="str">
        <f>IF(ROW()-ROW(R$4)&lt;=AH$3,ROW()-ROW(R$4),"")</f>
        <v/>
      </c>
      <c r="S95" s="34" t="str">
        <f>IF(ROW()-ROW(S$4)&lt;=AI$3,ROW()-ROW(S$4),"")</f>
        <v/>
      </c>
      <c r="T95" s="34" t="str">
        <f>IF(ROW()-ROW(T$4)&lt;=AJ$3,ROW()-ROW(T$4),"")</f>
        <v/>
      </c>
      <c r="U95" s="34" t="str">
        <f>IF(ROW()-ROW(U$4)&lt;=AK$3,ROW()-ROW(U$4),"")</f>
        <v/>
      </c>
      <c r="V95" s="34" t="str">
        <f>IF(ROW()-ROW(V$4)&lt;=AL$3,ROW()-ROW(V$4),"")</f>
        <v/>
      </c>
      <c r="W95" s="34" t="str">
        <f>IF(ROW()-ROW(W$4)&lt;=AM$3,ROW()-ROW(W$4),"")</f>
        <v/>
      </c>
      <c r="X95" s="34" t="str">
        <f>IF(ROW()-ROW(X$4)&lt;=AN$3,ROW()-ROW(X$4),"")</f>
        <v/>
      </c>
      <c r="Y95" s="34"/>
      <c r="Z95" s="35" t="str">
        <f>IF(ISNUMBER(R95),INDEX($BE$5:$BE$2999,MATCH(R95,AH$5:AH$2999,0),1),"")</f>
        <v/>
      </c>
      <c r="AA95" s="35" t="str">
        <f>IF(ISNUMBER(S95),INDEX($BE$5:$BE$2999,MATCH(S95,AI$5:AI$2999,0),1),"")</f>
        <v/>
      </c>
      <c r="AB95" s="35" t="str">
        <f>IF(ISNUMBER(T95),INDEX($BE$5:$BE$2999,MATCH(T95,AJ$5:AJ$2999,0),1),"")</f>
        <v/>
      </c>
      <c r="AC95" s="35" t="str">
        <f>IF(ISNUMBER(U95),INDEX($BE$5:$BE$2999,MATCH(U95,AK$5:AK$2999,0),1),"")</f>
        <v/>
      </c>
      <c r="AD95" s="35" t="str">
        <f>IF(ISNUMBER(V95),INDEX($BE$5:$BE$2999,MATCH(V95,AL$5:AL$2999,0),1),"")</f>
        <v/>
      </c>
      <c r="AE95" s="35" t="str">
        <f>IF(ISNUMBER(W95),INDEX($BE$5:$BE$2999,MATCH(W95,AM$5:AM$2999,0),1),"")</f>
        <v/>
      </c>
      <c r="AF95" s="35" t="str">
        <f>IF(ISNUMBER(X95),INDEX($BE$5:$BE$2999,MATCH(X95,AN$5:AN$2999,0),1),"")</f>
        <v/>
      </c>
      <c r="AG95" s="35"/>
      <c r="AH95" s="34" t="str">
        <f>IF($BE95="","",IF(ISNUMBER(MATCH($BE95,AP$5:AP$29999,0)),MAX(AH$4:AH94)+1,0))</f>
        <v/>
      </c>
      <c r="AI95" s="34" t="str">
        <f>IF($BE95="","",IF(ISNUMBER(MATCH($BE95,AQ$5:AQ$29999,0)),MAX(AI$4:AI94)+1,0))</f>
        <v/>
      </c>
      <c r="AJ95" s="34" t="str">
        <f>IF($BE95="","",IF(ISNUMBER(MATCH($BE95,AR$5:AR$29999,0)),MAX(AJ$4:AJ94)+1,0))</f>
        <v/>
      </c>
      <c r="AK95" s="34" t="str">
        <f>IF($BE95="","",IF(ISNUMBER(MATCH($BE95,AS$5:AS$29999,0)),MAX(AK$4:AK94)+1,0))</f>
        <v/>
      </c>
      <c r="AL95" s="34" t="str">
        <f>IF($BE95="","",IF(ISNUMBER(MATCH($BE95,AT$5:AT$29999,0)),MAX(AL$4:AL94)+1,0))</f>
        <v/>
      </c>
      <c r="AM95" s="34" t="str">
        <f>IF($BE95="","",IF(ISNUMBER(MATCH($BE95,AU$5:AU$29999,0)),MAX(AM$4:AM94)+1,0))</f>
        <v/>
      </c>
      <c r="AN95" s="34" t="str">
        <f>IF($BE95="","",IF(ISNUMBER(MATCH($BE95,AV$5:AV$29999,0)),MAX(AN$4:AN94)+1,0))</f>
        <v/>
      </c>
      <c r="AO95" s="16"/>
      <c r="AP95" s="33"/>
      <c r="AQ95" s="33"/>
      <c r="AR95" s="33"/>
      <c r="AS95" s="33"/>
      <c r="AT95" s="32"/>
      <c r="AU95" s="32"/>
      <c r="AV95" s="32" t="s">
        <v>0</v>
      </c>
      <c r="AW95" s="40"/>
      <c r="AX95" s="20" t="s">
        <v>0</v>
      </c>
      <c r="AY95" s="30"/>
      <c r="AZ95" s="30"/>
      <c r="BA95" s="39" t="s">
        <v>0</v>
      </c>
      <c r="BB95" s="44" t="str">
        <f>IF(ISTEXT(AW95),IF(ISNUMBER(MATCH(AW95,$AY$5:$AY$100,0)),0,MAX(BB$4:BB94)+1),"")</f>
        <v/>
      </c>
      <c r="BC95" s="36" t="str">
        <f>IF(ISTEXT(AY95),MATCH(AY95,$AW$5:$AW$127,0),"")</f>
        <v/>
      </c>
      <c r="BD95" s="36">
        <f>IF(ISNUMBER(BC95),AY95,ROW()-SUM($BC$4:$BD$4))</f>
        <v>54</v>
      </c>
      <c r="BE95" s="20"/>
      <c r="BF95" s="36"/>
      <c r="BG95" s="19" t="str">
        <f>IF(ISNUMBER(MATCH($BE95,Z$5:Z$501,0)),INDEX(Z$5:Z$501,MATCH($BE95,Z$5:Z$501,0),1),"")</f>
        <v/>
      </c>
      <c r="BH95" s="19" t="str">
        <f>IF(ISNUMBER(MATCH($BE95,AA$5:AA$501,0)),INDEX(AA$5:AA$501,MATCH($BE95,AA$5:AA$501,0),1),"")</f>
        <v/>
      </c>
      <c r="BI95" s="19" t="str">
        <f>IF(ISNUMBER(MATCH($BE95,AB$5:AB$501,0)),INDEX(AB$5:AB$501,MATCH($BE95,AB$5:AB$501,0),1),"")</f>
        <v/>
      </c>
      <c r="BJ95" s="19" t="str">
        <f>IF(ISNUMBER(MATCH($BE95,AC$5:AC$501,0)),INDEX(AC$5:AC$501,MATCH($BE95,AC$5:AC$501,0),1),"")</f>
        <v/>
      </c>
      <c r="BK95" s="19" t="str">
        <f>IF(ISNUMBER(MATCH($BE95,AD$5:AD$501,0)),INDEX(AD$5:AD$501,MATCH($BE95,AD$5:AD$501,0),1),"")</f>
        <v/>
      </c>
      <c r="BL95" s="19" t="str">
        <f>IF(ISNUMBER(MATCH($BE95,AE$5:AE$501,0)),INDEX(AE$5:AE$501,MATCH($BE95,AE$5:AE$501,0),1),"")</f>
        <v/>
      </c>
      <c r="BM95" s="19" t="str">
        <f>IF(ISNUMBER(MATCH($BE95,AF$5:AF$501,0)),INDEX(AF$5:AF$501,MATCH($BE95,AF$5:AF$501,0),1),"")</f>
        <v/>
      </c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</row>
    <row r="96" spans="1:78" ht="12" customHeight="1" x14ac:dyDescent="0.25">
      <c r="A96" s="26"/>
      <c r="B96" s="28" t="str">
        <f>IF(ISNUMBER(MATCH(O96,$N$5:$N$1000,0)),MATCH(O96,$N$5:$N$1000,0),"")</f>
        <v/>
      </c>
      <c r="C96" s="15" t="str">
        <f>IF(ISNUMBER(B96),MAX(C$4:C95)+1,"")</f>
        <v/>
      </c>
      <c r="D96" s="15" t="str">
        <f>IF(IF(ISNUMBER(B96),"",MAX(D$4:D95)+1)&lt;=D$3,IF(ISNUMBER(B96),"",MAX(D$4:D95)+1),"")</f>
        <v/>
      </c>
      <c r="E96" s="42" t="str">
        <f>IF(M96&lt;=D$3,MATCH(M96,D$5:D$1000,0),"")</f>
        <v/>
      </c>
      <c r="F96" s="28" t="str">
        <f>IF(ISNUMBER(E96),INDEX($N$5:$N$1000,E96,1),"")</f>
        <v/>
      </c>
      <c r="G96" s="27" t="str">
        <f>IF(ISNUMBER(C96),N96,IF(ISTEXT(N96),INDEX($F$5:$F$1000,MATCH(M96,$E$5:$E$1000,0),1),""))</f>
        <v/>
      </c>
      <c r="H96" s="15" t="str">
        <f>IF(O96="","",IF(ISNUMBER(MATCH(O96,$G$5:$G$1000,0)),"",IF(D96=1,C$3,0)+MAX(H$4:H95)+1))</f>
        <v/>
      </c>
      <c r="I96" s="15" t="str">
        <f>IF(O96="","",IF(ISNUMBER(MATCH(O96,$G$5:$G$1000,0)),"",IF(D96=1,B$4,0)+MAX(I$4:I95)+1))</f>
        <v/>
      </c>
      <c r="J96" s="27" t="str">
        <f>IF(ISNUMBER(MATCH(M96,$I$5:$I$1000,0)),INDEX($O$5:$O$1000,MATCH(M96,$I$5:$I$1000,0),1),"")</f>
        <v/>
      </c>
      <c r="K96" s="27"/>
      <c r="L96" s="26"/>
      <c r="M96" s="14">
        <f>IF(ROW()-ROW(M$4)&lt;=1000,ROW()-ROW(M$4),"")</f>
        <v>92</v>
      </c>
      <c r="N96" s="43"/>
      <c r="O96" s="43"/>
      <c r="P96" s="41" t="str">
        <f>IF(M96&lt;=$B$4,IF(ISTEXT(G96),G96,""),IF(ISTEXT(J96),J96,""))</f>
        <v/>
      </c>
      <c r="Q96" s="16" t="s">
        <v>0</v>
      </c>
      <c r="R96" s="34" t="str">
        <f>IF(ROW()-ROW(R$4)&lt;=AH$3,ROW()-ROW(R$4),"")</f>
        <v/>
      </c>
      <c r="S96" s="34" t="str">
        <f>IF(ROW()-ROW(S$4)&lt;=AI$3,ROW()-ROW(S$4),"")</f>
        <v/>
      </c>
      <c r="T96" s="34" t="str">
        <f>IF(ROW()-ROW(T$4)&lt;=AJ$3,ROW()-ROW(T$4),"")</f>
        <v/>
      </c>
      <c r="U96" s="34" t="str">
        <f>IF(ROW()-ROW(U$4)&lt;=AK$3,ROW()-ROW(U$4),"")</f>
        <v/>
      </c>
      <c r="V96" s="34" t="str">
        <f>IF(ROW()-ROW(V$4)&lt;=AL$3,ROW()-ROW(V$4),"")</f>
        <v/>
      </c>
      <c r="W96" s="34" t="str">
        <f>IF(ROW()-ROW(W$4)&lt;=AM$3,ROW()-ROW(W$4),"")</f>
        <v/>
      </c>
      <c r="X96" s="34" t="str">
        <f>IF(ROW()-ROW(X$4)&lt;=AN$3,ROW()-ROW(X$4),"")</f>
        <v/>
      </c>
      <c r="Y96" s="34"/>
      <c r="Z96" s="35" t="str">
        <f>IF(ISNUMBER(R96),INDEX($BE$5:$BE$2999,MATCH(R96,AH$5:AH$2999,0),1),"")</f>
        <v/>
      </c>
      <c r="AA96" s="35" t="str">
        <f>IF(ISNUMBER(S96),INDEX($BE$5:$BE$2999,MATCH(S96,AI$5:AI$2999,0),1),"")</f>
        <v/>
      </c>
      <c r="AB96" s="35" t="str">
        <f>IF(ISNUMBER(T96),INDEX($BE$5:$BE$2999,MATCH(T96,AJ$5:AJ$2999,0),1),"")</f>
        <v/>
      </c>
      <c r="AC96" s="35" t="str">
        <f>IF(ISNUMBER(U96),INDEX($BE$5:$BE$2999,MATCH(U96,AK$5:AK$2999,0),1),"")</f>
        <v/>
      </c>
      <c r="AD96" s="35" t="str">
        <f>IF(ISNUMBER(V96),INDEX($BE$5:$BE$2999,MATCH(V96,AL$5:AL$2999,0),1),"")</f>
        <v/>
      </c>
      <c r="AE96" s="35" t="str">
        <f>IF(ISNUMBER(W96),INDEX($BE$5:$BE$2999,MATCH(W96,AM$5:AM$2999,0),1),"")</f>
        <v/>
      </c>
      <c r="AF96" s="35" t="str">
        <f>IF(ISNUMBER(X96),INDEX($BE$5:$BE$2999,MATCH(X96,AN$5:AN$2999,0),1),"")</f>
        <v/>
      </c>
      <c r="AG96" s="35"/>
      <c r="AH96" s="34" t="str">
        <f>IF($BE96="","",IF(ISNUMBER(MATCH($BE96,AP$5:AP$29999,0)),MAX(AH$4:AH95)+1,0))</f>
        <v/>
      </c>
      <c r="AI96" s="34" t="str">
        <f>IF($BE96="","",IF(ISNUMBER(MATCH($BE96,AQ$5:AQ$29999,0)),MAX(AI$4:AI95)+1,0))</f>
        <v/>
      </c>
      <c r="AJ96" s="34" t="str">
        <f>IF($BE96="","",IF(ISNUMBER(MATCH($BE96,AR$5:AR$29999,0)),MAX(AJ$4:AJ95)+1,0))</f>
        <v/>
      </c>
      <c r="AK96" s="34" t="str">
        <f>IF($BE96="","",IF(ISNUMBER(MATCH($BE96,AS$5:AS$29999,0)),MAX(AK$4:AK95)+1,0))</f>
        <v/>
      </c>
      <c r="AL96" s="34" t="str">
        <f>IF($BE96="","",IF(ISNUMBER(MATCH($BE96,AT$5:AT$29999,0)),MAX(AL$4:AL95)+1,0))</f>
        <v/>
      </c>
      <c r="AM96" s="34" t="str">
        <f>IF($BE96="","",IF(ISNUMBER(MATCH($BE96,AU$5:AU$29999,0)),MAX(AM$4:AM95)+1,0))</f>
        <v/>
      </c>
      <c r="AN96" s="34" t="str">
        <f>IF($BE96="","",IF(ISNUMBER(MATCH($BE96,AV$5:AV$29999,0)),MAX(AN$4:AN95)+1,0))</f>
        <v/>
      </c>
      <c r="AO96" s="16"/>
      <c r="AP96" s="33"/>
      <c r="AQ96" s="33"/>
      <c r="AR96" s="33"/>
      <c r="AS96" s="33"/>
      <c r="AT96" s="32"/>
      <c r="AU96" s="32"/>
      <c r="AV96" s="32" t="s">
        <v>0</v>
      </c>
      <c r="AW96" s="40"/>
      <c r="AX96" s="20" t="s">
        <v>0</v>
      </c>
      <c r="AY96" s="30"/>
      <c r="AZ96" s="30"/>
      <c r="BA96" s="39"/>
      <c r="BB96" s="37"/>
      <c r="BC96" s="36"/>
      <c r="BD96" s="36"/>
      <c r="BE96" s="20"/>
      <c r="BF96" s="36"/>
      <c r="BG96" s="19" t="str">
        <f>IF(ISNUMBER(MATCH($BE96,Z$5:Z$501,0)),INDEX(Z$5:Z$501,MATCH($BE96,Z$5:Z$501,0),1),"")</f>
        <v/>
      </c>
      <c r="BH96" s="19" t="str">
        <f>IF(ISNUMBER(MATCH($BE96,AA$5:AA$501,0)),INDEX(AA$5:AA$501,MATCH($BE96,AA$5:AA$501,0),1),"")</f>
        <v/>
      </c>
      <c r="BI96" s="19" t="str">
        <f>IF(ISNUMBER(MATCH($BE96,AB$5:AB$501,0)),INDEX(AB$5:AB$501,MATCH($BE96,AB$5:AB$501,0),1),"")</f>
        <v/>
      </c>
      <c r="BJ96" s="19" t="str">
        <f>IF(ISNUMBER(MATCH($BE96,AC$5:AC$501,0)),INDEX(AC$5:AC$501,MATCH($BE96,AC$5:AC$501,0),1),"")</f>
        <v/>
      </c>
      <c r="BK96" s="19" t="str">
        <f>IF(ISNUMBER(MATCH($BE96,AD$5:AD$501,0)),INDEX(AD$5:AD$501,MATCH($BE96,AD$5:AD$501,0),1),"")</f>
        <v/>
      </c>
      <c r="BL96" s="19" t="str">
        <f>IF(ISNUMBER(MATCH($BE96,AE$5:AE$501,0)),INDEX(AE$5:AE$501,MATCH($BE96,AE$5:AE$501,0),1),"")</f>
        <v/>
      </c>
      <c r="BM96" s="19" t="str">
        <f>IF(ISNUMBER(MATCH($BE96,AF$5:AF$501,0)),INDEX(AF$5:AF$501,MATCH($BE96,AF$5:AF$501,0),1),"")</f>
        <v/>
      </c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</row>
    <row r="97" spans="1:78" ht="12" customHeight="1" x14ac:dyDescent="0.25">
      <c r="A97" s="26"/>
      <c r="B97" s="28" t="str">
        <f>IF(ISNUMBER(MATCH(O97,$N$5:$N$1000,0)),MATCH(O97,$N$5:$N$1000,0),"")</f>
        <v/>
      </c>
      <c r="C97" s="15" t="str">
        <f>IF(ISNUMBER(B97),MAX(C$4:C96)+1,"")</f>
        <v/>
      </c>
      <c r="D97" s="15" t="str">
        <f>IF(IF(ISNUMBER(B97),"",MAX(D$4:D96)+1)&lt;=D$3,IF(ISNUMBER(B97),"",MAX(D$4:D96)+1),"")</f>
        <v/>
      </c>
      <c r="E97" s="42" t="str">
        <f>IF(M97&lt;=D$3,MATCH(M97,D$5:D$1000,0),"")</f>
        <v/>
      </c>
      <c r="F97" s="28" t="str">
        <f>IF(ISNUMBER(E97),INDEX($N$5:$N$1000,E97,1),"")</f>
        <v/>
      </c>
      <c r="G97" s="27" t="str">
        <f>IF(ISNUMBER(C97),N97,IF(ISTEXT(N97),INDEX($F$5:$F$1000,MATCH(M97,$E$5:$E$1000,0),1),""))</f>
        <v/>
      </c>
      <c r="H97" s="15" t="str">
        <f>IF(O97="","",IF(ISNUMBER(MATCH(O97,$G$5:$G$1000,0)),"",IF(D97=1,C$3,0)+MAX(H$4:H96)+1))</f>
        <v/>
      </c>
      <c r="I97" s="15" t="str">
        <f>IF(O97="","",IF(ISNUMBER(MATCH(O97,$G$5:$G$1000,0)),"",IF(D97=1,B$4,0)+MAX(I$4:I96)+1))</f>
        <v/>
      </c>
      <c r="J97" s="27" t="str">
        <f>IF(ISNUMBER(MATCH(M97,$I$5:$I$1000,0)),INDEX($O$5:$O$1000,MATCH(M97,$I$5:$I$1000,0),1),"")</f>
        <v/>
      </c>
      <c r="K97" s="27"/>
      <c r="L97" s="26"/>
      <c r="M97" s="14">
        <f>IF(ROW()-ROW(M$4)&lt;=1000,ROW()-ROW(M$4),"")</f>
        <v>93</v>
      </c>
      <c r="N97" s="43"/>
      <c r="O97" s="43"/>
      <c r="P97" s="41" t="str">
        <f>IF(M97&lt;=$B$4,IF(ISTEXT(G97),G97,""),IF(ISTEXT(J97),J97,""))</f>
        <v/>
      </c>
      <c r="Q97" s="16" t="s">
        <v>0</v>
      </c>
      <c r="R97" s="34" t="str">
        <f>IF(ROW()-ROW(R$4)&lt;=AH$3,ROW()-ROW(R$4),"")</f>
        <v/>
      </c>
      <c r="S97" s="34" t="str">
        <f>IF(ROW()-ROW(S$4)&lt;=AI$3,ROW()-ROW(S$4),"")</f>
        <v/>
      </c>
      <c r="T97" s="34" t="str">
        <f>IF(ROW()-ROW(T$4)&lt;=AJ$3,ROW()-ROW(T$4),"")</f>
        <v/>
      </c>
      <c r="U97" s="34" t="str">
        <f>IF(ROW()-ROW(U$4)&lt;=AK$3,ROW()-ROW(U$4),"")</f>
        <v/>
      </c>
      <c r="V97" s="34" t="str">
        <f>IF(ROW()-ROW(V$4)&lt;=AL$3,ROW()-ROW(V$4),"")</f>
        <v/>
      </c>
      <c r="W97" s="34" t="str">
        <f>IF(ROW()-ROW(W$4)&lt;=AM$3,ROW()-ROW(W$4),"")</f>
        <v/>
      </c>
      <c r="X97" s="34" t="str">
        <f>IF(ROW()-ROW(X$4)&lt;=AN$3,ROW()-ROW(X$4),"")</f>
        <v/>
      </c>
      <c r="Y97" s="34"/>
      <c r="Z97" s="35" t="str">
        <f>IF(ISNUMBER(R97),INDEX($BE$5:$BE$2999,MATCH(R97,AH$5:AH$2999,0),1),"")</f>
        <v/>
      </c>
      <c r="AA97" s="35" t="str">
        <f>IF(ISNUMBER(S97),INDEX($BE$5:$BE$2999,MATCH(S97,AI$5:AI$2999,0),1),"")</f>
        <v/>
      </c>
      <c r="AB97" s="35" t="str">
        <f>IF(ISNUMBER(T97),INDEX($BE$5:$BE$2999,MATCH(T97,AJ$5:AJ$2999,0),1),"")</f>
        <v/>
      </c>
      <c r="AC97" s="35" t="str">
        <f>IF(ISNUMBER(U97),INDEX($BE$5:$BE$2999,MATCH(U97,AK$5:AK$2999,0),1),"")</f>
        <v/>
      </c>
      <c r="AD97" s="35" t="str">
        <f>IF(ISNUMBER(V97),INDEX($BE$5:$BE$2999,MATCH(V97,AL$5:AL$2999,0),1),"")</f>
        <v/>
      </c>
      <c r="AE97" s="35" t="str">
        <f>IF(ISNUMBER(W97),INDEX($BE$5:$BE$2999,MATCH(W97,AM$5:AM$2999,0),1),"")</f>
        <v/>
      </c>
      <c r="AF97" s="35" t="str">
        <f>IF(ISNUMBER(X97),INDEX($BE$5:$BE$2999,MATCH(X97,AN$5:AN$2999,0),1),"")</f>
        <v/>
      </c>
      <c r="AG97" s="35"/>
      <c r="AH97" s="34" t="str">
        <f>IF($BE97="","",IF(ISNUMBER(MATCH($BE97,AP$5:AP$29999,0)),MAX(AH$4:AH96)+1,0))</f>
        <v/>
      </c>
      <c r="AI97" s="34" t="str">
        <f>IF($BE97="","",IF(ISNUMBER(MATCH($BE97,AQ$5:AQ$29999,0)),MAX(AI$4:AI96)+1,0))</f>
        <v/>
      </c>
      <c r="AJ97" s="34" t="str">
        <f>IF($BE97="","",IF(ISNUMBER(MATCH($BE97,AR$5:AR$29999,0)),MAX(AJ$4:AJ96)+1,0))</f>
        <v/>
      </c>
      <c r="AK97" s="34" t="str">
        <f>IF($BE97="","",IF(ISNUMBER(MATCH($BE97,AS$5:AS$29999,0)),MAX(AK$4:AK96)+1,0))</f>
        <v/>
      </c>
      <c r="AL97" s="34" t="str">
        <f>IF($BE97="","",IF(ISNUMBER(MATCH($BE97,AT$5:AT$29999,0)),MAX(AL$4:AL96)+1,0))</f>
        <v/>
      </c>
      <c r="AM97" s="34" t="str">
        <f>IF($BE97="","",IF(ISNUMBER(MATCH($BE97,AU$5:AU$29999,0)),MAX(AM$4:AM96)+1,0))</f>
        <v/>
      </c>
      <c r="AN97" s="34" t="str">
        <f>IF($BE97="","",IF(ISNUMBER(MATCH($BE97,AV$5:AV$29999,0)),MAX(AN$4:AN96)+1,0))</f>
        <v/>
      </c>
      <c r="AO97" s="16"/>
      <c r="AP97" s="33"/>
      <c r="AQ97" s="33"/>
      <c r="AR97" s="33"/>
      <c r="AS97" s="33"/>
      <c r="AT97" s="32"/>
      <c r="AU97" s="32"/>
      <c r="AV97" s="32" t="s">
        <v>0</v>
      </c>
      <c r="AW97" s="40"/>
      <c r="AX97" s="20" t="s">
        <v>0</v>
      </c>
      <c r="AY97" s="30"/>
      <c r="AZ97" s="30"/>
      <c r="BA97" s="39"/>
      <c r="BB97" s="37"/>
      <c r="BC97" s="36"/>
      <c r="BD97" s="36"/>
      <c r="BE97" s="20"/>
      <c r="BF97" s="36"/>
      <c r="BG97" s="19" t="str">
        <f>IF(ISNUMBER(MATCH($BE97,Z$5:Z$501,0)),INDEX(Z$5:Z$501,MATCH($BE97,Z$5:Z$501,0),1),"")</f>
        <v/>
      </c>
      <c r="BH97" s="19" t="str">
        <f>IF(ISNUMBER(MATCH($BE97,AA$5:AA$501,0)),INDEX(AA$5:AA$501,MATCH($BE97,AA$5:AA$501,0),1),"")</f>
        <v/>
      </c>
      <c r="BI97" s="19" t="str">
        <f>IF(ISNUMBER(MATCH($BE97,AB$5:AB$501,0)),INDEX(AB$5:AB$501,MATCH($BE97,AB$5:AB$501,0),1),"")</f>
        <v/>
      </c>
      <c r="BJ97" s="19" t="str">
        <f>IF(ISNUMBER(MATCH($BE97,AC$5:AC$501,0)),INDEX(AC$5:AC$501,MATCH($BE97,AC$5:AC$501,0),1),"")</f>
        <v/>
      </c>
      <c r="BK97" s="19" t="str">
        <f>IF(ISNUMBER(MATCH($BE97,AD$5:AD$501,0)),INDEX(AD$5:AD$501,MATCH($BE97,AD$5:AD$501,0),1),"")</f>
        <v/>
      </c>
      <c r="BL97" s="19" t="str">
        <f>IF(ISNUMBER(MATCH($BE97,AE$5:AE$501,0)),INDEX(AE$5:AE$501,MATCH($BE97,AE$5:AE$501,0),1),"")</f>
        <v/>
      </c>
      <c r="BM97" s="19" t="str">
        <f>IF(ISNUMBER(MATCH($BE97,AF$5:AF$501,0)),INDEX(AF$5:AF$501,MATCH($BE97,AF$5:AF$501,0),1),"")</f>
        <v/>
      </c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</row>
    <row r="98" spans="1:78" ht="12" customHeight="1" x14ac:dyDescent="0.25">
      <c r="A98" s="26"/>
      <c r="B98" s="28" t="str">
        <f>IF(ISNUMBER(MATCH(O98,$N$5:$N$1000,0)),MATCH(O98,$N$5:$N$1000,0),"")</f>
        <v/>
      </c>
      <c r="C98" s="15" t="str">
        <f>IF(ISNUMBER(B98),MAX(C$4:C97)+1,"")</f>
        <v/>
      </c>
      <c r="D98" s="15" t="str">
        <f>IF(IF(ISNUMBER(B98),"",MAX(D$4:D97)+1)&lt;=D$3,IF(ISNUMBER(B98),"",MAX(D$4:D97)+1),"")</f>
        <v/>
      </c>
      <c r="E98" s="42" t="str">
        <f>IF(M98&lt;=D$3,MATCH(M98,D$5:D$1000,0),"")</f>
        <v/>
      </c>
      <c r="F98" s="28" t="str">
        <f>IF(ISNUMBER(E98),INDEX($N$5:$N$1000,E98,1),"")</f>
        <v/>
      </c>
      <c r="G98" s="27" t="str">
        <f>IF(ISNUMBER(C98),N98,IF(ISTEXT(N98),INDEX($F$5:$F$1000,MATCH(M98,$E$5:$E$1000,0),1),""))</f>
        <v/>
      </c>
      <c r="H98" s="15" t="str">
        <f>IF(O98="","",IF(ISNUMBER(MATCH(O98,$G$5:$G$1000,0)),"",IF(D98=1,C$3,0)+MAX(H$4:H97)+1))</f>
        <v/>
      </c>
      <c r="I98" s="15" t="str">
        <f>IF(O98="","",IF(ISNUMBER(MATCH(O98,$G$5:$G$1000,0)),"",IF(D98=1,B$4,0)+MAX(I$4:I97)+1))</f>
        <v/>
      </c>
      <c r="J98" s="27" t="str">
        <f>IF(ISNUMBER(MATCH(M98,$I$5:$I$1000,0)),INDEX($O$5:$O$1000,MATCH(M98,$I$5:$I$1000,0),1),"")</f>
        <v/>
      </c>
      <c r="K98" s="27"/>
      <c r="L98" s="26"/>
      <c r="M98" s="14">
        <f>IF(ROW()-ROW(M$4)&lt;=1000,ROW()-ROW(M$4),"")</f>
        <v>94</v>
      </c>
      <c r="N98" s="43"/>
      <c r="O98" s="43"/>
      <c r="P98" s="41" t="str">
        <f>IF(M98&lt;=$B$4,IF(ISTEXT(G98),G98,""),IF(ISTEXT(J98),J98,""))</f>
        <v/>
      </c>
      <c r="Q98" s="16" t="s">
        <v>0</v>
      </c>
      <c r="R98" s="34" t="str">
        <f>IF(ROW()-ROW(R$4)&lt;=AH$3,ROW()-ROW(R$4),"")</f>
        <v/>
      </c>
      <c r="S98" s="34" t="str">
        <f>IF(ROW()-ROW(S$4)&lt;=AI$3,ROW()-ROW(S$4),"")</f>
        <v/>
      </c>
      <c r="T98" s="34" t="str">
        <f>IF(ROW()-ROW(T$4)&lt;=AJ$3,ROW()-ROW(T$4),"")</f>
        <v/>
      </c>
      <c r="U98" s="34" t="str">
        <f>IF(ROW()-ROW(U$4)&lt;=AK$3,ROW()-ROW(U$4),"")</f>
        <v/>
      </c>
      <c r="V98" s="34" t="str">
        <f>IF(ROW()-ROW(V$4)&lt;=AL$3,ROW()-ROW(V$4),"")</f>
        <v/>
      </c>
      <c r="W98" s="34" t="str">
        <f>IF(ROW()-ROW(W$4)&lt;=AM$3,ROW()-ROW(W$4),"")</f>
        <v/>
      </c>
      <c r="X98" s="34" t="str">
        <f>IF(ROW()-ROW(X$4)&lt;=AN$3,ROW()-ROW(X$4),"")</f>
        <v/>
      </c>
      <c r="Y98" s="34"/>
      <c r="Z98" s="35" t="str">
        <f>IF(ISNUMBER(R98),INDEX($BE$5:$BE$2999,MATCH(R98,AH$5:AH$2999,0),1),"")</f>
        <v/>
      </c>
      <c r="AA98" s="35" t="str">
        <f>IF(ISNUMBER(S98),INDEX($BE$5:$BE$2999,MATCH(S98,AI$5:AI$2999,0),1),"")</f>
        <v/>
      </c>
      <c r="AB98" s="35" t="str">
        <f>IF(ISNUMBER(T98),INDEX($BE$5:$BE$2999,MATCH(T98,AJ$5:AJ$2999,0),1),"")</f>
        <v/>
      </c>
      <c r="AC98" s="35" t="str">
        <f>IF(ISNUMBER(U98),INDEX($BE$5:$BE$2999,MATCH(U98,AK$5:AK$2999,0),1),"")</f>
        <v/>
      </c>
      <c r="AD98" s="35" t="str">
        <f>IF(ISNUMBER(V98),INDEX($BE$5:$BE$2999,MATCH(V98,AL$5:AL$2999,0),1),"")</f>
        <v/>
      </c>
      <c r="AE98" s="35" t="str">
        <f>IF(ISNUMBER(W98),INDEX($BE$5:$BE$2999,MATCH(W98,AM$5:AM$2999,0),1),"")</f>
        <v/>
      </c>
      <c r="AF98" s="35" t="str">
        <f>IF(ISNUMBER(X98),INDEX($BE$5:$BE$2999,MATCH(X98,AN$5:AN$2999,0),1),"")</f>
        <v/>
      </c>
      <c r="AG98" s="35"/>
      <c r="AH98" s="34" t="str">
        <f>IF($BE98="","",IF(ISNUMBER(MATCH($BE98,AP$5:AP$29999,0)),MAX(AH$4:AH97)+1,0))</f>
        <v/>
      </c>
      <c r="AI98" s="34" t="str">
        <f>IF($BE98="","",IF(ISNUMBER(MATCH($BE98,AQ$5:AQ$29999,0)),MAX(AI$4:AI97)+1,0))</f>
        <v/>
      </c>
      <c r="AJ98" s="34" t="str">
        <f>IF($BE98="","",IF(ISNUMBER(MATCH($BE98,AR$5:AR$29999,0)),MAX(AJ$4:AJ97)+1,0))</f>
        <v/>
      </c>
      <c r="AK98" s="34" t="str">
        <f>IF($BE98="","",IF(ISNUMBER(MATCH($BE98,AS$5:AS$29999,0)),MAX(AK$4:AK97)+1,0))</f>
        <v/>
      </c>
      <c r="AL98" s="34" t="str">
        <f>IF($BE98="","",IF(ISNUMBER(MATCH($BE98,AT$5:AT$29999,0)),MAX(AL$4:AL97)+1,0))</f>
        <v/>
      </c>
      <c r="AM98" s="34" t="str">
        <f>IF($BE98="","",IF(ISNUMBER(MATCH($BE98,AU$5:AU$29999,0)),MAX(AM$4:AM97)+1,0))</f>
        <v/>
      </c>
      <c r="AN98" s="34" t="str">
        <f>IF($BE98="","",IF(ISNUMBER(MATCH($BE98,AV$5:AV$29999,0)),MAX(AN$4:AN97)+1,0))</f>
        <v/>
      </c>
      <c r="AO98" s="16"/>
      <c r="AP98" s="33"/>
      <c r="AQ98" s="33"/>
      <c r="AR98" s="33"/>
      <c r="AS98" s="33"/>
      <c r="AT98" s="32"/>
      <c r="AU98" s="32"/>
      <c r="AV98" s="32" t="s">
        <v>0</v>
      </c>
      <c r="AW98" s="40"/>
      <c r="AX98" s="20" t="s">
        <v>0</v>
      </c>
      <c r="AY98" s="30"/>
      <c r="AZ98" s="30"/>
      <c r="BA98" s="39"/>
      <c r="BB98" s="37"/>
      <c r="BC98" s="36"/>
      <c r="BD98" s="36"/>
      <c r="BE98" s="20"/>
      <c r="BF98" s="36"/>
      <c r="BG98" s="19" t="str">
        <f>IF(ISNUMBER(MATCH($BE98,Z$5:Z$501,0)),INDEX(Z$5:Z$501,MATCH($BE98,Z$5:Z$501,0),1),"")</f>
        <v/>
      </c>
      <c r="BH98" s="19" t="str">
        <f>IF(ISNUMBER(MATCH($BE98,AA$5:AA$501,0)),INDEX(AA$5:AA$501,MATCH($BE98,AA$5:AA$501,0),1),"")</f>
        <v/>
      </c>
      <c r="BI98" s="19" t="str">
        <f>IF(ISNUMBER(MATCH($BE98,AB$5:AB$501,0)),INDEX(AB$5:AB$501,MATCH($BE98,AB$5:AB$501,0),1),"")</f>
        <v/>
      </c>
      <c r="BJ98" s="19" t="str">
        <f>IF(ISNUMBER(MATCH($BE98,AC$5:AC$501,0)),INDEX(AC$5:AC$501,MATCH($BE98,AC$5:AC$501,0),1),"")</f>
        <v/>
      </c>
      <c r="BK98" s="19" t="str">
        <f>IF(ISNUMBER(MATCH($BE98,AD$5:AD$501,0)),INDEX(AD$5:AD$501,MATCH($BE98,AD$5:AD$501,0),1),"")</f>
        <v/>
      </c>
      <c r="BL98" s="19" t="str">
        <f>IF(ISNUMBER(MATCH($BE98,AE$5:AE$501,0)),INDEX(AE$5:AE$501,MATCH($BE98,AE$5:AE$501,0),1),"")</f>
        <v/>
      </c>
      <c r="BM98" s="19" t="str">
        <f>IF(ISNUMBER(MATCH($BE98,AF$5:AF$501,0)),INDEX(AF$5:AF$501,MATCH($BE98,AF$5:AF$501,0),1),"")</f>
        <v/>
      </c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</row>
    <row r="99" spans="1:78" ht="12" customHeight="1" x14ac:dyDescent="0.25">
      <c r="A99" s="26"/>
      <c r="B99" s="28" t="str">
        <f>IF(ISNUMBER(MATCH(O99,$N$5:$N$1000,0)),MATCH(O99,$N$5:$N$1000,0),"")</f>
        <v/>
      </c>
      <c r="C99" s="15" t="str">
        <f>IF(ISNUMBER(B99),MAX(C$4:C98)+1,"")</f>
        <v/>
      </c>
      <c r="D99" s="15" t="str">
        <f>IF(IF(ISNUMBER(B99),"",MAX(D$4:D98)+1)&lt;=D$3,IF(ISNUMBER(B99),"",MAX(D$4:D98)+1),"")</f>
        <v/>
      </c>
      <c r="E99" s="42" t="str">
        <f>IF(M99&lt;=D$3,MATCH(M99,D$5:D$1000,0),"")</f>
        <v/>
      </c>
      <c r="F99" s="28" t="str">
        <f>IF(ISNUMBER(E99),INDEX($N$5:$N$1000,E99,1),"")</f>
        <v/>
      </c>
      <c r="G99" s="27" t="str">
        <f>IF(ISNUMBER(C99),N99,IF(ISTEXT(N99),INDEX($F$5:$F$1000,MATCH(M99,$E$5:$E$1000,0),1),""))</f>
        <v/>
      </c>
      <c r="H99" s="15" t="str">
        <f>IF(O99="","",IF(ISNUMBER(MATCH(O99,$G$5:$G$1000,0)),"",IF(D99=1,C$3,0)+MAX(H$4:H98)+1))</f>
        <v/>
      </c>
      <c r="I99" s="15" t="str">
        <f>IF(O99="","",IF(ISNUMBER(MATCH(O99,$G$5:$G$1000,0)),"",IF(D99=1,B$4,0)+MAX(I$4:I98)+1))</f>
        <v/>
      </c>
      <c r="J99" s="27" t="str">
        <f>IF(ISNUMBER(MATCH(M99,$I$5:$I$1000,0)),INDEX($O$5:$O$1000,MATCH(M99,$I$5:$I$1000,0),1),"")</f>
        <v/>
      </c>
      <c r="K99" s="27"/>
      <c r="L99" s="26"/>
      <c r="M99" s="14">
        <f>IF(ROW()-ROW(M$4)&lt;=1000,ROW()-ROW(M$4),"")</f>
        <v>95</v>
      </c>
      <c r="N99" s="43"/>
      <c r="O99" s="43"/>
      <c r="P99" s="41" t="str">
        <f>IF(M99&lt;=$B$4,IF(ISTEXT(G99),G99,""),IF(ISTEXT(J99),J99,""))</f>
        <v/>
      </c>
      <c r="Q99" s="16" t="s">
        <v>0</v>
      </c>
      <c r="R99" s="34" t="str">
        <f>IF(ROW()-ROW(R$4)&lt;=AH$3,ROW()-ROW(R$4),"")</f>
        <v/>
      </c>
      <c r="S99" s="34" t="str">
        <f>IF(ROW()-ROW(S$4)&lt;=AI$3,ROW()-ROW(S$4),"")</f>
        <v/>
      </c>
      <c r="T99" s="34" t="str">
        <f>IF(ROW()-ROW(T$4)&lt;=AJ$3,ROW()-ROW(T$4),"")</f>
        <v/>
      </c>
      <c r="U99" s="34" t="str">
        <f>IF(ROW()-ROW(U$4)&lt;=AK$3,ROW()-ROW(U$4),"")</f>
        <v/>
      </c>
      <c r="V99" s="34" t="str">
        <f>IF(ROW()-ROW(V$4)&lt;=AL$3,ROW()-ROW(V$4),"")</f>
        <v/>
      </c>
      <c r="W99" s="34" t="str">
        <f>IF(ROW()-ROW(W$4)&lt;=AM$3,ROW()-ROW(W$4),"")</f>
        <v/>
      </c>
      <c r="X99" s="34" t="str">
        <f>IF(ROW()-ROW(X$4)&lt;=AN$3,ROW()-ROW(X$4),"")</f>
        <v/>
      </c>
      <c r="Y99" s="34"/>
      <c r="Z99" s="35" t="str">
        <f>IF(ISNUMBER(R99),INDEX($BE$5:$BE$2999,MATCH(R99,AH$5:AH$2999,0),1),"")</f>
        <v/>
      </c>
      <c r="AA99" s="35" t="str">
        <f>IF(ISNUMBER(S99),INDEX($BE$5:$BE$2999,MATCH(S99,AI$5:AI$2999,0),1),"")</f>
        <v/>
      </c>
      <c r="AB99" s="35" t="str">
        <f>IF(ISNUMBER(T99),INDEX($BE$5:$BE$2999,MATCH(T99,AJ$5:AJ$2999,0),1),"")</f>
        <v/>
      </c>
      <c r="AC99" s="35" t="str">
        <f>IF(ISNUMBER(U99),INDEX($BE$5:$BE$2999,MATCH(U99,AK$5:AK$2999,0),1),"")</f>
        <v/>
      </c>
      <c r="AD99" s="35" t="str">
        <f>IF(ISNUMBER(V99),INDEX($BE$5:$BE$2999,MATCH(V99,AL$5:AL$2999,0),1),"")</f>
        <v/>
      </c>
      <c r="AE99" s="35" t="str">
        <f>IF(ISNUMBER(W99),INDEX($BE$5:$BE$2999,MATCH(W99,AM$5:AM$2999,0),1),"")</f>
        <v/>
      </c>
      <c r="AF99" s="35" t="str">
        <f>IF(ISNUMBER(X99),INDEX($BE$5:$BE$2999,MATCH(X99,AN$5:AN$2999,0),1),"")</f>
        <v/>
      </c>
      <c r="AG99" s="35"/>
      <c r="AH99" s="34" t="str">
        <f>IF($BE99="","",IF(ISNUMBER(MATCH($BE99,AP$5:AP$29999,0)),MAX(AH$4:AH98)+1,0))</f>
        <v/>
      </c>
      <c r="AI99" s="34" t="str">
        <f>IF($BE99="","",IF(ISNUMBER(MATCH($BE99,AQ$5:AQ$29999,0)),MAX(AI$4:AI98)+1,0))</f>
        <v/>
      </c>
      <c r="AJ99" s="34" t="str">
        <f>IF($BE99="","",IF(ISNUMBER(MATCH($BE99,AR$5:AR$29999,0)),MAX(AJ$4:AJ98)+1,0))</f>
        <v/>
      </c>
      <c r="AK99" s="34" t="str">
        <f>IF($BE99="","",IF(ISNUMBER(MATCH($BE99,AS$5:AS$29999,0)),MAX(AK$4:AK98)+1,0))</f>
        <v/>
      </c>
      <c r="AL99" s="34" t="str">
        <f>IF($BE99="","",IF(ISNUMBER(MATCH($BE99,AT$5:AT$29999,0)),MAX(AL$4:AL98)+1,0))</f>
        <v/>
      </c>
      <c r="AM99" s="34" t="str">
        <f>IF($BE99="","",IF(ISNUMBER(MATCH($BE99,AU$5:AU$29999,0)),MAX(AM$4:AM98)+1,0))</f>
        <v/>
      </c>
      <c r="AN99" s="34" t="str">
        <f>IF($BE99="","",IF(ISNUMBER(MATCH($BE99,AV$5:AV$29999,0)),MAX(AN$4:AN98)+1,0))</f>
        <v/>
      </c>
      <c r="AO99" s="16"/>
      <c r="AP99" s="33"/>
      <c r="AQ99" s="33"/>
      <c r="AR99" s="33"/>
      <c r="AS99" s="33"/>
      <c r="AT99" s="32"/>
      <c r="AU99" s="32"/>
      <c r="AV99" s="32" t="s">
        <v>0</v>
      </c>
      <c r="AW99" s="40"/>
      <c r="AX99" s="20" t="s">
        <v>0</v>
      </c>
      <c r="AY99" s="30"/>
      <c r="AZ99" s="30"/>
      <c r="BA99" s="39"/>
      <c r="BB99" s="37"/>
      <c r="BC99" s="36"/>
      <c r="BD99" s="36"/>
      <c r="BE99" s="20"/>
      <c r="BF99" s="36"/>
      <c r="BG99" s="19" t="str">
        <f>IF(ISNUMBER(MATCH($BE99,Z$5:Z$501,0)),INDEX(Z$5:Z$501,MATCH($BE99,Z$5:Z$501,0),1),"")</f>
        <v/>
      </c>
      <c r="BH99" s="19" t="str">
        <f>IF(ISNUMBER(MATCH($BE99,AA$5:AA$501,0)),INDEX(AA$5:AA$501,MATCH($BE99,AA$5:AA$501,0),1),"")</f>
        <v/>
      </c>
      <c r="BI99" s="19" t="str">
        <f>IF(ISNUMBER(MATCH($BE99,AB$5:AB$501,0)),INDEX(AB$5:AB$501,MATCH($BE99,AB$5:AB$501,0),1),"")</f>
        <v/>
      </c>
      <c r="BJ99" s="19" t="str">
        <f>IF(ISNUMBER(MATCH($BE99,AC$5:AC$501,0)),INDEX(AC$5:AC$501,MATCH($BE99,AC$5:AC$501,0),1),"")</f>
        <v/>
      </c>
      <c r="BK99" s="19" t="str">
        <f>IF(ISNUMBER(MATCH($BE99,AD$5:AD$501,0)),INDEX(AD$5:AD$501,MATCH($BE99,AD$5:AD$501,0),1),"")</f>
        <v/>
      </c>
      <c r="BL99" s="19" t="str">
        <f>IF(ISNUMBER(MATCH($BE99,AE$5:AE$501,0)),INDEX(AE$5:AE$501,MATCH($BE99,AE$5:AE$501,0),1),"")</f>
        <v/>
      </c>
      <c r="BM99" s="19" t="str">
        <f>IF(ISNUMBER(MATCH($BE99,AF$5:AF$501,0)),INDEX(AF$5:AF$501,MATCH($BE99,AF$5:AF$501,0),1),"")</f>
        <v/>
      </c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</row>
    <row r="100" spans="1:78" ht="12" customHeight="1" x14ac:dyDescent="0.25">
      <c r="A100" s="26"/>
      <c r="B100" s="28" t="str">
        <f>IF(ISNUMBER(MATCH(O100,$N$5:$N$1000,0)),MATCH(O100,$N$5:$N$1000,0),"")</f>
        <v/>
      </c>
      <c r="C100" s="15" t="str">
        <f>IF(ISNUMBER(B100),MAX(C$4:C99)+1,"")</f>
        <v/>
      </c>
      <c r="D100" s="15" t="str">
        <f>IF(IF(ISNUMBER(B100),"",MAX(D$4:D99)+1)&lt;=D$3,IF(ISNUMBER(B100),"",MAX(D$4:D99)+1),"")</f>
        <v/>
      </c>
      <c r="E100" s="42" t="str">
        <f>IF(M100&lt;=D$3,MATCH(M100,D$5:D$1000,0),"")</f>
        <v/>
      </c>
      <c r="F100" s="28" t="str">
        <f>IF(ISNUMBER(E100),INDEX($N$5:$N$1000,E100,1),"")</f>
        <v/>
      </c>
      <c r="G100" s="27" t="str">
        <f>IF(ISNUMBER(C100),N100,IF(ISTEXT(N100),INDEX($F$5:$F$1000,MATCH(M100,$E$5:$E$1000,0),1),""))</f>
        <v/>
      </c>
      <c r="H100" s="15" t="str">
        <f>IF(O100="","",IF(ISNUMBER(MATCH(O100,$G$5:$G$1000,0)),"",IF(D100=1,C$3,0)+MAX(H$4:H99)+1))</f>
        <v/>
      </c>
      <c r="I100" s="15" t="str">
        <f>IF(O100="","",IF(ISNUMBER(MATCH(O100,$G$5:$G$1000,0)),"",IF(D100=1,B$4,0)+MAX(I$4:I99)+1))</f>
        <v/>
      </c>
      <c r="J100" s="27" t="str">
        <f>IF(ISNUMBER(MATCH(M100,$I$5:$I$1000,0)),INDEX($O$5:$O$1000,MATCH(M100,$I$5:$I$1000,0),1),"")</f>
        <v/>
      </c>
      <c r="K100" s="27"/>
      <c r="L100" s="26"/>
      <c r="M100" s="14">
        <f>IF(ROW()-ROW(M$4)&lt;=1000,ROW()-ROW(M$4),"")</f>
        <v>96</v>
      </c>
      <c r="N100" s="38"/>
      <c r="O100" s="38"/>
      <c r="P100" s="41" t="str">
        <f>IF(M100&lt;=$B$4,IF(ISTEXT(G100),G100,""),IF(ISTEXT(J100),J100,""))</f>
        <v/>
      </c>
      <c r="Q100" s="16" t="s">
        <v>0</v>
      </c>
      <c r="R100" s="34" t="str">
        <f>IF(ROW()-ROW(R$4)&lt;=AH$3,ROW()-ROW(R$4),"")</f>
        <v/>
      </c>
      <c r="S100" s="34" t="str">
        <f>IF(ROW()-ROW(S$4)&lt;=AI$3,ROW()-ROW(S$4),"")</f>
        <v/>
      </c>
      <c r="T100" s="34" t="str">
        <f>IF(ROW()-ROW(T$4)&lt;=AJ$3,ROW()-ROW(T$4),"")</f>
        <v/>
      </c>
      <c r="U100" s="34" t="str">
        <f>IF(ROW()-ROW(U$4)&lt;=AK$3,ROW()-ROW(U$4),"")</f>
        <v/>
      </c>
      <c r="V100" s="34" t="str">
        <f>IF(ROW()-ROW(V$4)&lt;=AL$3,ROW()-ROW(V$4),"")</f>
        <v/>
      </c>
      <c r="W100" s="34" t="str">
        <f>IF(ROW()-ROW(W$4)&lt;=AM$3,ROW()-ROW(W$4),"")</f>
        <v/>
      </c>
      <c r="X100" s="34" t="str">
        <f>IF(ROW()-ROW(X$4)&lt;=AN$3,ROW()-ROW(X$4),"")</f>
        <v/>
      </c>
      <c r="Y100" s="34"/>
      <c r="Z100" s="35" t="str">
        <f>IF(ISNUMBER(R100),INDEX($BE$5:$BE$2999,MATCH(R100,AH$5:AH$2999,0),1),"")</f>
        <v/>
      </c>
      <c r="AA100" s="35" t="str">
        <f>IF(ISNUMBER(S100),INDEX($BE$5:$BE$2999,MATCH(S100,AI$5:AI$2999,0),1),"")</f>
        <v/>
      </c>
      <c r="AB100" s="35" t="str">
        <f>IF(ISNUMBER(T100),INDEX($BE$5:$BE$2999,MATCH(T100,AJ$5:AJ$2999,0),1),"")</f>
        <v/>
      </c>
      <c r="AC100" s="35" t="str">
        <f>IF(ISNUMBER(U100),INDEX($BE$5:$BE$2999,MATCH(U100,AK$5:AK$2999,0),1),"")</f>
        <v/>
      </c>
      <c r="AD100" s="35" t="str">
        <f>IF(ISNUMBER(V100),INDEX($BE$5:$BE$2999,MATCH(V100,AL$5:AL$2999,0),1),"")</f>
        <v/>
      </c>
      <c r="AE100" s="35" t="str">
        <f>IF(ISNUMBER(W100),INDEX($BE$5:$BE$2999,MATCH(W100,AM$5:AM$2999,0),1),"")</f>
        <v/>
      </c>
      <c r="AF100" s="35" t="str">
        <f>IF(ISNUMBER(X100),INDEX($BE$5:$BE$2999,MATCH(X100,AN$5:AN$2999,0),1),"")</f>
        <v/>
      </c>
      <c r="AG100" s="35"/>
      <c r="AH100" s="34" t="str">
        <f>IF($BE100="","",IF(ISNUMBER(MATCH($BE100,AP$5:AP$29999,0)),MAX(AH$4:AH99)+1,0))</f>
        <v/>
      </c>
      <c r="AI100" s="34" t="str">
        <f>IF($BE100="","",IF(ISNUMBER(MATCH($BE100,AQ$5:AQ$29999,0)),MAX(AI$4:AI99)+1,0))</f>
        <v/>
      </c>
      <c r="AJ100" s="34" t="str">
        <f>IF($BE100="","",IF(ISNUMBER(MATCH($BE100,AR$5:AR$29999,0)),MAX(AJ$4:AJ99)+1,0))</f>
        <v/>
      </c>
      <c r="AK100" s="34" t="str">
        <f>IF($BE100="","",IF(ISNUMBER(MATCH($BE100,AS$5:AS$29999,0)),MAX(AK$4:AK99)+1,0))</f>
        <v/>
      </c>
      <c r="AL100" s="34" t="str">
        <f>IF($BE100="","",IF(ISNUMBER(MATCH($BE100,AT$5:AT$29999,0)),MAX(AL$4:AL99)+1,0))</f>
        <v/>
      </c>
      <c r="AM100" s="34" t="str">
        <f>IF($BE100="","",IF(ISNUMBER(MATCH($BE100,AU$5:AU$29999,0)),MAX(AM$4:AM99)+1,0))</f>
        <v/>
      </c>
      <c r="AN100" s="34" t="str">
        <f>IF($BE100="","",IF(ISNUMBER(MATCH($BE100,AV$5:AV$29999,0)),MAX(AN$4:AN99)+1,0))</f>
        <v/>
      </c>
      <c r="AO100" s="16"/>
      <c r="AP100" s="33"/>
      <c r="AQ100" s="33"/>
      <c r="AR100" s="33"/>
      <c r="AS100" s="33"/>
      <c r="AT100" s="32"/>
      <c r="AU100" s="32"/>
      <c r="AV100" s="32" t="s">
        <v>0</v>
      </c>
      <c r="AW100" s="40"/>
      <c r="AX100" s="20" t="s">
        <v>0</v>
      </c>
      <c r="AY100" s="30"/>
      <c r="AZ100" s="30"/>
      <c r="BA100" s="39"/>
      <c r="BB100" s="37"/>
      <c r="BC100" s="36"/>
      <c r="BD100" s="36"/>
      <c r="BE100" s="20"/>
      <c r="BF100" s="36"/>
      <c r="BG100" s="19" t="str">
        <f>IF(ISNUMBER(MATCH($BE100,Z$5:Z$501,0)),INDEX(Z$5:Z$501,MATCH($BE100,Z$5:Z$501,0),1),"")</f>
        <v/>
      </c>
      <c r="BH100" s="19" t="str">
        <f>IF(ISNUMBER(MATCH($BE100,AA$5:AA$501,0)),INDEX(AA$5:AA$501,MATCH($BE100,AA$5:AA$501,0),1),"")</f>
        <v/>
      </c>
      <c r="BI100" s="19" t="str">
        <f>IF(ISNUMBER(MATCH($BE100,AB$5:AB$501,0)),INDEX(AB$5:AB$501,MATCH($BE100,AB$5:AB$501,0),1),"")</f>
        <v/>
      </c>
      <c r="BJ100" s="19" t="str">
        <f>IF(ISNUMBER(MATCH($BE100,AC$5:AC$501,0)),INDEX(AC$5:AC$501,MATCH($BE100,AC$5:AC$501,0),1),"")</f>
        <v/>
      </c>
      <c r="BK100" s="19" t="str">
        <f>IF(ISNUMBER(MATCH($BE100,AD$5:AD$501,0)),INDEX(AD$5:AD$501,MATCH($BE100,AD$5:AD$501,0),1),"")</f>
        <v/>
      </c>
      <c r="BL100" s="19" t="str">
        <f>IF(ISNUMBER(MATCH($BE100,AE$5:AE$501,0)),INDEX(AE$5:AE$501,MATCH($BE100,AE$5:AE$501,0),1),"")</f>
        <v/>
      </c>
      <c r="BM100" s="19" t="str">
        <f>IF(ISNUMBER(MATCH($BE100,AF$5:AF$501,0)),INDEX(AF$5:AF$501,MATCH($BE100,AF$5:AF$501,0),1),"")</f>
        <v/>
      </c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</row>
    <row r="101" spans="1:78" ht="12" customHeight="1" x14ac:dyDescent="0.25">
      <c r="A101" s="26"/>
      <c r="B101" s="28" t="str">
        <f>IF(ISNUMBER(MATCH(O101,$N$5:$N$1000,0)),MATCH(O101,$N$5:$N$1000,0),"")</f>
        <v/>
      </c>
      <c r="C101" s="15" t="str">
        <f>IF(ISNUMBER(B101),MAX(C$4:C100)+1,"")</f>
        <v/>
      </c>
      <c r="D101" s="15" t="str">
        <f>IF(IF(ISNUMBER(B101),"",MAX(D$4:D100)+1)&lt;=D$3,IF(ISNUMBER(B101),"",MAX(D$4:D100)+1),"")</f>
        <v/>
      </c>
      <c r="E101" s="42" t="str">
        <f>IF(M101&lt;=D$3,MATCH(M101,D$5:D$1000,0),"")</f>
        <v/>
      </c>
      <c r="F101" s="28" t="str">
        <f>IF(ISNUMBER(E101),INDEX($N$5:$N$1000,E101,1),"")</f>
        <v/>
      </c>
      <c r="G101" s="27" t="str">
        <f>IF(ISNUMBER(C101),N101,IF(ISTEXT(N101),INDEX($F$5:$F$1000,MATCH(M101,$E$5:$E$1000,0),1),""))</f>
        <v/>
      </c>
      <c r="H101" s="15" t="str">
        <f>IF(O101="","",IF(ISNUMBER(MATCH(O101,$G$5:$G$1000,0)),"",IF(D101=1,C$3,0)+MAX(H$4:H100)+1))</f>
        <v/>
      </c>
      <c r="I101" s="15" t="str">
        <f>IF(O101="","",IF(ISNUMBER(MATCH(O101,$G$5:$G$1000,0)),"",IF(D101=1,B$4,0)+MAX(I$4:I100)+1))</f>
        <v/>
      </c>
      <c r="J101" s="27" t="str">
        <f>IF(ISNUMBER(MATCH(M101,$I$5:$I$1000,0)),INDEX($O$5:$O$1000,MATCH(M101,$I$5:$I$1000,0),1),"")</f>
        <v/>
      </c>
      <c r="K101" s="27"/>
      <c r="L101" s="26"/>
      <c r="M101" s="14">
        <f>IF(ROW()-ROW(M$4)&lt;=1000,ROW()-ROW(M$4),"")</f>
        <v>97</v>
      </c>
      <c r="N101" s="38"/>
      <c r="O101" s="38"/>
      <c r="P101" s="41" t="str">
        <f>IF(M101&lt;=$B$4,IF(ISTEXT(G101),G101,""),IF(ISTEXT(J101),J101,""))</f>
        <v/>
      </c>
      <c r="Q101" s="16" t="s">
        <v>0</v>
      </c>
      <c r="R101" s="34" t="str">
        <f>IF(ROW()-ROW(R$4)&lt;=AH$3,ROW()-ROW(R$4),"")</f>
        <v/>
      </c>
      <c r="S101" s="34" t="str">
        <f>IF(ROW()-ROW(S$4)&lt;=AI$3,ROW()-ROW(S$4),"")</f>
        <v/>
      </c>
      <c r="T101" s="34" t="str">
        <f>IF(ROW()-ROW(T$4)&lt;=AJ$3,ROW()-ROW(T$4),"")</f>
        <v/>
      </c>
      <c r="U101" s="34" t="str">
        <f>IF(ROW()-ROW(U$4)&lt;=AK$3,ROW()-ROW(U$4),"")</f>
        <v/>
      </c>
      <c r="V101" s="34" t="str">
        <f>IF(ROW()-ROW(V$4)&lt;=AL$3,ROW()-ROW(V$4),"")</f>
        <v/>
      </c>
      <c r="W101" s="34" t="str">
        <f>IF(ROW()-ROW(W$4)&lt;=AM$3,ROW()-ROW(W$4),"")</f>
        <v/>
      </c>
      <c r="X101" s="34" t="str">
        <f>IF(ROW()-ROW(X$4)&lt;=AN$3,ROW()-ROW(X$4),"")</f>
        <v/>
      </c>
      <c r="Y101" s="34"/>
      <c r="Z101" s="35" t="str">
        <f>IF(ISNUMBER(R101),INDEX($BE$5:$BE$2999,MATCH(R101,AH$5:AH$2999,0),1),"")</f>
        <v/>
      </c>
      <c r="AA101" s="35" t="str">
        <f>IF(ISNUMBER(S101),INDEX($BE$5:$BE$2999,MATCH(S101,AI$5:AI$2999,0),1),"")</f>
        <v/>
      </c>
      <c r="AB101" s="35" t="str">
        <f>IF(ISNUMBER(T101),INDEX($BE$5:$BE$2999,MATCH(T101,AJ$5:AJ$2999,0),1),"")</f>
        <v/>
      </c>
      <c r="AC101" s="35" t="str">
        <f>IF(ISNUMBER(U101),INDEX($BE$5:$BE$2999,MATCH(U101,AK$5:AK$2999,0),1),"")</f>
        <v/>
      </c>
      <c r="AD101" s="35" t="str">
        <f>IF(ISNUMBER(V101),INDEX($BE$5:$BE$2999,MATCH(V101,AL$5:AL$2999,0),1),"")</f>
        <v/>
      </c>
      <c r="AE101" s="35" t="str">
        <f>IF(ISNUMBER(W101),INDEX($BE$5:$BE$2999,MATCH(W101,AM$5:AM$2999,0),1),"")</f>
        <v/>
      </c>
      <c r="AF101" s="35" t="str">
        <f>IF(ISNUMBER(X101),INDEX($BE$5:$BE$2999,MATCH(X101,AN$5:AN$2999,0),1),"")</f>
        <v/>
      </c>
      <c r="AG101" s="35"/>
      <c r="AH101" s="34" t="str">
        <f>IF($BE101="","",IF(ISNUMBER(MATCH($BE101,AP$5:AP$29999,0)),MAX(AH$4:AH100)+1,0))</f>
        <v/>
      </c>
      <c r="AI101" s="34" t="str">
        <f>IF($BE101="","",IF(ISNUMBER(MATCH($BE101,AQ$5:AQ$29999,0)),MAX(AI$4:AI100)+1,0))</f>
        <v/>
      </c>
      <c r="AJ101" s="34" t="str">
        <f>IF($BE101="","",IF(ISNUMBER(MATCH($BE101,AR$5:AR$29999,0)),MAX(AJ$4:AJ100)+1,0))</f>
        <v/>
      </c>
      <c r="AK101" s="34" t="str">
        <f>IF($BE101="","",IF(ISNUMBER(MATCH($BE101,AS$5:AS$29999,0)),MAX(AK$4:AK100)+1,0))</f>
        <v/>
      </c>
      <c r="AL101" s="34" t="str">
        <f>IF($BE101="","",IF(ISNUMBER(MATCH($BE101,AT$5:AT$29999,0)),MAX(AL$4:AL100)+1,0))</f>
        <v/>
      </c>
      <c r="AM101" s="34" t="str">
        <f>IF($BE101="","",IF(ISNUMBER(MATCH($BE101,AU$5:AU$29999,0)),MAX(AM$4:AM100)+1,0))</f>
        <v/>
      </c>
      <c r="AN101" s="34" t="str">
        <f>IF($BE101="","",IF(ISNUMBER(MATCH($BE101,AV$5:AV$29999,0)),MAX(AN$4:AN100)+1,0))</f>
        <v/>
      </c>
      <c r="AO101" s="16"/>
      <c r="AP101" s="33"/>
      <c r="AQ101" s="33"/>
      <c r="AR101" s="33"/>
      <c r="AS101" s="33"/>
      <c r="AT101" s="32"/>
      <c r="AU101" s="32"/>
      <c r="AV101" s="32" t="s">
        <v>0</v>
      </c>
      <c r="AW101" s="40"/>
      <c r="AX101" s="20" t="s">
        <v>0</v>
      </c>
      <c r="AY101" s="30"/>
      <c r="AZ101" s="30"/>
      <c r="BA101" s="39"/>
      <c r="BB101" s="37"/>
      <c r="BC101" s="36"/>
      <c r="BD101" s="36"/>
      <c r="BE101" s="20"/>
      <c r="BF101" s="36"/>
      <c r="BG101" s="19" t="str">
        <f>IF(ISNUMBER(MATCH($BE101,Z$5:Z$501,0)),INDEX(Z$5:Z$501,MATCH($BE101,Z$5:Z$501,0),1),"")</f>
        <v/>
      </c>
      <c r="BH101" s="19" t="str">
        <f>IF(ISNUMBER(MATCH($BE101,AA$5:AA$501,0)),INDEX(AA$5:AA$501,MATCH($BE101,AA$5:AA$501,0),1),"")</f>
        <v/>
      </c>
      <c r="BI101" s="19" t="str">
        <f>IF(ISNUMBER(MATCH($BE101,AB$5:AB$501,0)),INDEX(AB$5:AB$501,MATCH($BE101,AB$5:AB$501,0),1),"")</f>
        <v/>
      </c>
      <c r="BJ101" s="19" t="str">
        <f>IF(ISNUMBER(MATCH($BE101,AC$5:AC$501,0)),INDEX(AC$5:AC$501,MATCH($BE101,AC$5:AC$501,0),1),"")</f>
        <v/>
      </c>
      <c r="BK101" s="19" t="str">
        <f>IF(ISNUMBER(MATCH($BE101,AD$5:AD$501,0)),INDEX(AD$5:AD$501,MATCH($BE101,AD$5:AD$501,0),1),"")</f>
        <v/>
      </c>
      <c r="BL101" s="19" t="str">
        <f>IF(ISNUMBER(MATCH($BE101,AE$5:AE$501,0)),INDEX(AE$5:AE$501,MATCH($BE101,AE$5:AE$501,0),1),"")</f>
        <v/>
      </c>
      <c r="BM101" s="19" t="str">
        <f>IF(ISNUMBER(MATCH($BE101,AF$5:AF$501,0)),INDEX(AF$5:AF$501,MATCH($BE101,AF$5:AF$501,0),1),"")</f>
        <v/>
      </c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</row>
    <row r="102" spans="1:78" ht="12" customHeight="1" x14ac:dyDescent="0.25">
      <c r="A102" s="26"/>
      <c r="B102" s="28" t="str">
        <f>IF(ISNUMBER(MATCH(O102,$N$5:$N$1000,0)),MATCH(O102,$N$5:$N$1000,0),"")</f>
        <v/>
      </c>
      <c r="C102" s="15" t="str">
        <f>IF(ISNUMBER(B102),MAX(C$4:C101)+1,"")</f>
        <v/>
      </c>
      <c r="D102" s="15" t="str">
        <f>IF(IF(ISNUMBER(B102),"",MAX(D$4:D101)+1)&lt;=D$3,IF(ISNUMBER(B102),"",MAX(D$4:D101)+1),"")</f>
        <v/>
      </c>
      <c r="E102" s="42" t="str">
        <f>IF(M102&lt;=D$3,MATCH(M102,D$5:D$1000,0),"")</f>
        <v/>
      </c>
      <c r="F102" s="28" t="str">
        <f>IF(ISNUMBER(E102),INDEX($N$5:$N$1000,E102,1),"")</f>
        <v/>
      </c>
      <c r="G102" s="27" t="str">
        <f>IF(ISNUMBER(C102),N102,IF(ISTEXT(N102),INDEX($F$5:$F$1000,MATCH(M102,$E$5:$E$1000,0),1),""))</f>
        <v/>
      </c>
      <c r="H102" s="15" t="str">
        <f>IF(O102="","",IF(ISNUMBER(MATCH(O102,$G$5:$G$1000,0)),"",IF(D102=1,C$3,0)+MAX(H$4:H101)+1))</f>
        <v/>
      </c>
      <c r="I102" s="15" t="str">
        <f>IF(O102="","",IF(ISNUMBER(MATCH(O102,$G$5:$G$1000,0)),"",IF(D102=1,B$4,0)+MAX(I$4:I101)+1))</f>
        <v/>
      </c>
      <c r="J102" s="27" t="str">
        <f>IF(ISNUMBER(MATCH(M102,$I$5:$I$1000,0)),INDEX($O$5:$O$1000,MATCH(M102,$I$5:$I$1000,0),1),"")</f>
        <v/>
      </c>
      <c r="K102" s="27"/>
      <c r="L102" s="26"/>
      <c r="M102" s="14">
        <f>IF(ROW()-ROW(M$4)&lt;=1000,ROW()-ROW(M$4),"")</f>
        <v>98</v>
      </c>
      <c r="N102" s="38"/>
      <c r="O102" s="38"/>
      <c r="P102" s="41" t="str">
        <f>IF(M102&lt;=$B$4,IF(ISTEXT(G102),G102,""),IF(ISTEXT(J102),J102,""))</f>
        <v/>
      </c>
      <c r="Q102" s="16" t="s">
        <v>0</v>
      </c>
      <c r="R102" s="34" t="str">
        <f>IF(ROW()-ROW(R$4)&lt;=AH$3,ROW()-ROW(R$4),"")</f>
        <v/>
      </c>
      <c r="S102" s="34" t="str">
        <f>IF(ROW()-ROW(S$4)&lt;=AI$3,ROW()-ROW(S$4),"")</f>
        <v/>
      </c>
      <c r="T102" s="34" t="str">
        <f>IF(ROW()-ROW(T$4)&lt;=AJ$3,ROW()-ROW(T$4),"")</f>
        <v/>
      </c>
      <c r="U102" s="34" t="str">
        <f>IF(ROW()-ROW(U$4)&lt;=AK$3,ROW()-ROW(U$4),"")</f>
        <v/>
      </c>
      <c r="V102" s="34" t="str">
        <f>IF(ROW()-ROW(V$4)&lt;=AL$3,ROW()-ROW(V$4),"")</f>
        <v/>
      </c>
      <c r="W102" s="34" t="str">
        <f>IF(ROW()-ROW(W$4)&lt;=AM$3,ROW()-ROW(W$4),"")</f>
        <v/>
      </c>
      <c r="X102" s="34" t="str">
        <f>IF(ROW()-ROW(X$4)&lt;=AN$3,ROW()-ROW(X$4),"")</f>
        <v/>
      </c>
      <c r="Y102" s="34"/>
      <c r="Z102" s="35" t="str">
        <f>IF(ISNUMBER(R102),INDEX($BE$5:$BE$2999,MATCH(R102,AH$5:AH$2999,0),1),"")</f>
        <v/>
      </c>
      <c r="AA102" s="35" t="str">
        <f>IF(ISNUMBER(S102),INDEX($BE$5:$BE$2999,MATCH(S102,AI$5:AI$2999,0),1),"")</f>
        <v/>
      </c>
      <c r="AB102" s="35" t="str">
        <f>IF(ISNUMBER(T102),INDEX($BE$5:$BE$2999,MATCH(T102,AJ$5:AJ$2999,0),1),"")</f>
        <v/>
      </c>
      <c r="AC102" s="35" t="str">
        <f>IF(ISNUMBER(U102),INDEX($BE$5:$BE$2999,MATCH(U102,AK$5:AK$2999,0),1),"")</f>
        <v/>
      </c>
      <c r="AD102" s="35" t="str">
        <f>IF(ISNUMBER(V102),INDEX($BE$5:$BE$2999,MATCH(V102,AL$5:AL$2999,0),1),"")</f>
        <v/>
      </c>
      <c r="AE102" s="35" t="str">
        <f>IF(ISNUMBER(W102),INDEX($BE$5:$BE$2999,MATCH(W102,AM$5:AM$2999,0),1),"")</f>
        <v/>
      </c>
      <c r="AF102" s="35" t="str">
        <f>IF(ISNUMBER(X102),INDEX($BE$5:$BE$2999,MATCH(X102,AN$5:AN$2999,0),1),"")</f>
        <v/>
      </c>
      <c r="AG102" s="35"/>
      <c r="AH102" s="34" t="str">
        <f>IF($BE102="","",IF(ISNUMBER(MATCH($BE102,AP$5:AP$29999,0)),MAX(AH$4:AH101)+1,0))</f>
        <v/>
      </c>
      <c r="AI102" s="34" t="str">
        <f>IF($BE102="","",IF(ISNUMBER(MATCH($BE102,AQ$5:AQ$29999,0)),MAX(AI$4:AI101)+1,0))</f>
        <v/>
      </c>
      <c r="AJ102" s="34" t="str">
        <f>IF($BE102="","",IF(ISNUMBER(MATCH($BE102,AR$5:AR$29999,0)),MAX(AJ$4:AJ101)+1,0))</f>
        <v/>
      </c>
      <c r="AK102" s="34" t="str">
        <f>IF($BE102="","",IF(ISNUMBER(MATCH($BE102,AS$5:AS$29999,0)),MAX(AK$4:AK101)+1,0))</f>
        <v/>
      </c>
      <c r="AL102" s="34" t="str">
        <f>IF($BE102="","",IF(ISNUMBER(MATCH($BE102,AT$5:AT$29999,0)),MAX(AL$4:AL101)+1,0))</f>
        <v/>
      </c>
      <c r="AM102" s="34" t="str">
        <f>IF($BE102="","",IF(ISNUMBER(MATCH($BE102,AU$5:AU$29999,0)),MAX(AM$4:AM101)+1,0))</f>
        <v/>
      </c>
      <c r="AN102" s="34" t="str">
        <f>IF($BE102="","",IF(ISNUMBER(MATCH($BE102,AV$5:AV$29999,0)),MAX(AN$4:AN101)+1,0))</f>
        <v/>
      </c>
      <c r="AO102" s="16"/>
      <c r="AP102" s="33"/>
      <c r="AQ102" s="33"/>
      <c r="AR102" s="33"/>
      <c r="AS102" s="33"/>
      <c r="AT102" s="32"/>
      <c r="AU102" s="32"/>
      <c r="AV102" s="32" t="s">
        <v>0</v>
      </c>
      <c r="AW102" s="40"/>
      <c r="AX102" s="20" t="s">
        <v>0</v>
      </c>
      <c r="AY102" s="30"/>
      <c r="AZ102" s="30"/>
      <c r="BA102" s="39"/>
      <c r="BB102" s="37"/>
      <c r="BC102" s="36"/>
      <c r="BD102" s="36"/>
      <c r="BE102" s="20"/>
      <c r="BF102" s="36"/>
      <c r="BG102" s="19" t="str">
        <f>IF(ISNUMBER(MATCH($BE102,Z$5:Z$501,0)),INDEX(Z$5:Z$501,MATCH($BE102,Z$5:Z$501,0),1),"")</f>
        <v/>
      </c>
      <c r="BH102" s="19" t="str">
        <f>IF(ISNUMBER(MATCH($BE102,AA$5:AA$501,0)),INDEX(AA$5:AA$501,MATCH($BE102,AA$5:AA$501,0),1),"")</f>
        <v/>
      </c>
      <c r="BI102" s="19" t="str">
        <f>IF(ISNUMBER(MATCH($BE102,AB$5:AB$501,0)),INDEX(AB$5:AB$501,MATCH($BE102,AB$5:AB$501,0),1),"")</f>
        <v/>
      </c>
      <c r="BJ102" s="19" t="str">
        <f>IF(ISNUMBER(MATCH($BE102,AC$5:AC$501,0)),INDEX(AC$5:AC$501,MATCH($BE102,AC$5:AC$501,0),1),"")</f>
        <v/>
      </c>
      <c r="BK102" s="19" t="str">
        <f>IF(ISNUMBER(MATCH($BE102,AD$5:AD$501,0)),INDEX(AD$5:AD$501,MATCH($BE102,AD$5:AD$501,0),1),"")</f>
        <v/>
      </c>
      <c r="BL102" s="19" t="str">
        <f>IF(ISNUMBER(MATCH($BE102,AE$5:AE$501,0)),INDEX(AE$5:AE$501,MATCH($BE102,AE$5:AE$501,0),1),"")</f>
        <v/>
      </c>
      <c r="BM102" s="19" t="str">
        <f>IF(ISNUMBER(MATCH($BE102,AF$5:AF$501,0)),INDEX(AF$5:AF$501,MATCH($BE102,AF$5:AF$501,0),1),"")</f>
        <v/>
      </c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</row>
    <row r="103" spans="1:78" ht="12" customHeight="1" x14ac:dyDescent="0.25">
      <c r="A103" s="26"/>
      <c r="B103" s="28" t="str">
        <f>IF(ISNUMBER(MATCH(O103,$N$5:$N$1000,0)),MATCH(O103,$N$5:$N$1000,0),"")</f>
        <v/>
      </c>
      <c r="C103" s="15" t="str">
        <f>IF(ISNUMBER(B103),MAX(C$4:C102)+1,"")</f>
        <v/>
      </c>
      <c r="D103" s="15" t="str">
        <f>IF(IF(ISNUMBER(B103),"",MAX(D$4:D102)+1)&lt;=D$3,IF(ISNUMBER(B103),"",MAX(D$4:D102)+1),"")</f>
        <v/>
      </c>
      <c r="E103" s="42" t="str">
        <f>IF(M103&lt;=D$3,MATCH(M103,D$5:D$1000,0),"")</f>
        <v/>
      </c>
      <c r="F103" s="28" t="str">
        <f>IF(ISNUMBER(E103),INDEX($N$5:$N$1000,E103,1),"")</f>
        <v/>
      </c>
      <c r="G103" s="27" t="str">
        <f>IF(ISNUMBER(C103),N103,IF(ISTEXT(N103),INDEX($F$5:$F$1000,MATCH(M103,$E$5:$E$1000,0),1),""))</f>
        <v/>
      </c>
      <c r="H103" s="15" t="str">
        <f>IF(O103="","",IF(ISNUMBER(MATCH(O103,$G$5:$G$1000,0)),"",IF(D103=1,C$3,0)+MAX(H$4:H102)+1))</f>
        <v/>
      </c>
      <c r="I103" s="15" t="str">
        <f>IF(O103="","",IF(ISNUMBER(MATCH(O103,$G$5:$G$1000,0)),"",IF(D103=1,B$4,0)+MAX(I$4:I102)+1))</f>
        <v/>
      </c>
      <c r="J103" s="27" t="str">
        <f>IF(ISNUMBER(MATCH(M103,$I$5:$I$1000,0)),INDEX($O$5:$O$1000,MATCH(M103,$I$5:$I$1000,0),1),"")</f>
        <v/>
      </c>
      <c r="K103" s="27"/>
      <c r="L103" s="26"/>
      <c r="M103" s="14">
        <f>IF(ROW()-ROW(M$4)&lt;=1000,ROW()-ROW(M$4),"")</f>
        <v>99</v>
      </c>
      <c r="N103" s="38"/>
      <c r="O103" s="38"/>
      <c r="P103" s="41" t="str">
        <f>IF(M103&lt;=$B$4,IF(ISTEXT(G103),G103,""),IF(ISTEXT(J103),J103,""))</f>
        <v/>
      </c>
      <c r="Q103" s="16" t="s">
        <v>0</v>
      </c>
      <c r="R103" s="34" t="str">
        <f>IF(ROW()-ROW(R$4)&lt;=AH$3,ROW()-ROW(R$4),"")</f>
        <v/>
      </c>
      <c r="S103" s="34" t="str">
        <f>IF(ROW()-ROW(S$4)&lt;=AI$3,ROW()-ROW(S$4),"")</f>
        <v/>
      </c>
      <c r="T103" s="34" t="str">
        <f>IF(ROW()-ROW(T$4)&lt;=AJ$3,ROW()-ROW(T$4),"")</f>
        <v/>
      </c>
      <c r="U103" s="34" t="str">
        <f>IF(ROW()-ROW(U$4)&lt;=AK$3,ROW()-ROW(U$4),"")</f>
        <v/>
      </c>
      <c r="V103" s="34" t="str">
        <f>IF(ROW()-ROW(V$4)&lt;=AL$3,ROW()-ROW(V$4),"")</f>
        <v/>
      </c>
      <c r="W103" s="34" t="str">
        <f>IF(ROW()-ROW(W$4)&lt;=AM$3,ROW()-ROW(W$4),"")</f>
        <v/>
      </c>
      <c r="X103" s="34" t="str">
        <f>IF(ROW()-ROW(X$4)&lt;=AN$3,ROW()-ROW(X$4),"")</f>
        <v/>
      </c>
      <c r="Y103" s="34"/>
      <c r="Z103" s="35" t="str">
        <f>IF(ISNUMBER(R103),INDEX($BE$5:$BE$2999,MATCH(R103,AH$5:AH$2999,0),1),"")</f>
        <v/>
      </c>
      <c r="AA103" s="35" t="str">
        <f>IF(ISNUMBER(S103),INDEX($BE$5:$BE$2999,MATCH(S103,AI$5:AI$2999,0),1),"")</f>
        <v/>
      </c>
      <c r="AB103" s="35" t="str">
        <f>IF(ISNUMBER(T103),INDEX($BE$5:$BE$2999,MATCH(T103,AJ$5:AJ$2999,0),1),"")</f>
        <v/>
      </c>
      <c r="AC103" s="35" t="str">
        <f>IF(ISNUMBER(U103),INDEX($BE$5:$BE$2999,MATCH(U103,AK$5:AK$2999,0),1),"")</f>
        <v/>
      </c>
      <c r="AD103" s="35" t="str">
        <f>IF(ISNUMBER(V103),INDEX($BE$5:$BE$2999,MATCH(V103,AL$5:AL$2999,0),1),"")</f>
        <v/>
      </c>
      <c r="AE103" s="35" t="str">
        <f>IF(ISNUMBER(W103),INDEX($BE$5:$BE$2999,MATCH(W103,AM$5:AM$2999,0),1),"")</f>
        <v/>
      </c>
      <c r="AF103" s="35" t="str">
        <f>IF(ISNUMBER(X103),INDEX($BE$5:$BE$2999,MATCH(X103,AN$5:AN$2999,0),1),"")</f>
        <v/>
      </c>
      <c r="AG103" s="35"/>
      <c r="AH103" s="34" t="str">
        <f>IF($BE103="","",IF(ISNUMBER(MATCH($BE103,AP$5:AP$29999,0)),MAX(AH$4:AH102)+1,0))</f>
        <v/>
      </c>
      <c r="AI103" s="34" t="str">
        <f>IF($BE103="","",IF(ISNUMBER(MATCH($BE103,AQ$5:AQ$29999,0)),MAX(AI$4:AI102)+1,0))</f>
        <v/>
      </c>
      <c r="AJ103" s="34" t="str">
        <f>IF($BE103="","",IF(ISNUMBER(MATCH($BE103,AR$5:AR$29999,0)),MAX(AJ$4:AJ102)+1,0))</f>
        <v/>
      </c>
      <c r="AK103" s="34" t="str">
        <f>IF($BE103="","",IF(ISNUMBER(MATCH($BE103,AS$5:AS$29999,0)),MAX(AK$4:AK102)+1,0))</f>
        <v/>
      </c>
      <c r="AL103" s="34" t="str">
        <f>IF($BE103="","",IF(ISNUMBER(MATCH($BE103,AT$5:AT$29999,0)),MAX(AL$4:AL102)+1,0))</f>
        <v/>
      </c>
      <c r="AM103" s="34" t="str">
        <f>IF($BE103="","",IF(ISNUMBER(MATCH($BE103,AU$5:AU$29999,0)),MAX(AM$4:AM102)+1,0))</f>
        <v/>
      </c>
      <c r="AN103" s="34" t="str">
        <f>IF($BE103="","",IF(ISNUMBER(MATCH($BE103,AV$5:AV$29999,0)),MAX(AN$4:AN102)+1,0))</f>
        <v/>
      </c>
      <c r="AO103" s="16"/>
      <c r="AP103" s="33"/>
      <c r="AQ103" s="33"/>
      <c r="AR103" s="33"/>
      <c r="AS103" s="33"/>
      <c r="AT103" s="32"/>
      <c r="AU103" s="32"/>
      <c r="AV103" s="32" t="s">
        <v>0</v>
      </c>
      <c r="AW103" s="40"/>
      <c r="AX103" s="20" t="s">
        <v>0</v>
      </c>
      <c r="AY103" s="30"/>
      <c r="AZ103" s="30"/>
      <c r="BA103" s="39"/>
      <c r="BB103" s="37"/>
      <c r="BC103" s="36"/>
      <c r="BD103" s="36"/>
      <c r="BE103" s="20"/>
      <c r="BF103" s="36"/>
      <c r="BG103" s="19" t="str">
        <f>IF(ISNUMBER(MATCH($BE103,Z$5:Z$501,0)),INDEX(Z$5:Z$501,MATCH($BE103,Z$5:Z$501,0),1),"")</f>
        <v/>
      </c>
      <c r="BH103" s="19" t="str">
        <f>IF(ISNUMBER(MATCH($BE103,AA$5:AA$501,0)),INDEX(AA$5:AA$501,MATCH($BE103,AA$5:AA$501,0),1),"")</f>
        <v/>
      </c>
      <c r="BI103" s="19" t="str">
        <f>IF(ISNUMBER(MATCH($BE103,AB$5:AB$501,0)),INDEX(AB$5:AB$501,MATCH($BE103,AB$5:AB$501,0),1),"")</f>
        <v/>
      </c>
      <c r="BJ103" s="19" t="str">
        <f>IF(ISNUMBER(MATCH($BE103,AC$5:AC$501,0)),INDEX(AC$5:AC$501,MATCH($BE103,AC$5:AC$501,0),1),"")</f>
        <v/>
      </c>
      <c r="BK103" s="19" t="str">
        <f>IF(ISNUMBER(MATCH($BE103,AD$5:AD$501,0)),INDEX(AD$5:AD$501,MATCH($BE103,AD$5:AD$501,0),1),"")</f>
        <v/>
      </c>
      <c r="BL103" s="19" t="str">
        <f>IF(ISNUMBER(MATCH($BE103,AE$5:AE$501,0)),INDEX(AE$5:AE$501,MATCH($BE103,AE$5:AE$501,0),1),"")</f>
        <v/>
      </c>
      <c r="BM103" s="19" t="str">
        <f>IF(ISNUMBER(MATCH($BE103,AF$5:AF$501,0)),INDEX(AF$5:AF$501,MATCH($BE103,AF$5:AF$501,0),1),"")</f>
        <v/>
      </c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</row>
    <row r="104" spans="1:78" ht="12" customHeight="1" x14ac:dyDescent="0.25">
      <c r="A104" s="26"/>
      <c r="B104" s="28" t="str">
        <f>IF(ISNUMBER(MATCH(O104,$N$5:$N$1000,0)),MATCH(O104,$N$5:$N$1000,0),"")</f>
        <v/>
      </c>
      <c r="C104" s="15" t="str">
        <f>IF(ISNUMBER(B104),MAX(C$4:C103)+1,"")</f>
        <v/>
      </c>
      <c r="D104" s="15" t="str">
        <f>IF(IF(ISNUMBER(B104),"",MAX(D$4:D103)+1)&lt;=D$3,IF(ISNUMBER(B104),"",MAX(D$4:D103)+1),"")</f>
        <v/>
      </c>
      <c r="E104" s="42" t="str">
        <f>IF(M104&lt;=D$3,MATCH(M104,D$5:D$1000,0),"")</f>
        <v/>
      </c>
      <c r="F104" s="28" t="str">
        <f>IF(ISNUMBER(E104),INDEX($N$5:$N$1000,E104,1),"")</f>
        <v/>
      </c>
      <c r="G104" s="27" t="str">
        <f>IF(ISNUMBER(C104),N104,IF(ISTEXT(N104),INDEX($F$5:$F$1000,MATCH(M104,$E$5:$E$1000,0),1),""))</f>
        <v/>
      </c>
      <c r="H104" s="15" t="str">
        <f>IF(O104="","",IF(ISNUMBER(MATCH(O104,$G$5:$G$1000,0)),"",IF(D104=1,C$3,0)+MAX(H$4:H103)+1))</f>
        <v/>
      </c>
      <c r="I104" s="15" t="str">
        <f>IF(O104="","",IF(ISNUMBER(MATCH(O104,$G$5:$G$1000,0)),"",IF(D104=1,B$4,0)+MAX(I$4:I103)+1))</f>
        <v/>
      </c>
      <c r="J104" s="27" t="str">
        <f>IF(ISNUMBER(MATCH(M104,$I$5:$I$1000,0)),INDEX($O$5:$O$1000,MATCH(M104,$I$5:$I$1000,0),1),"")</f>
        <v/>
      </c>
      <c r="K104" s="27"/>
      <c r="L104" s="26"/>
      <c r="M104" s="14">
        <f>IF(ROW()-ROW(M$4)&lt;=1000,ROW()-ROW(M$4),"")</f>
        <v>100</v>
      </c>
      <c r="N104" s="38"/>
      <c r="O104" s="38"/>
      <c r="P104" s="41" t="str">
        <f>IF(M104&lt;=$B$4,IF(ISTEXT(G104),G104,""),IF(ISTEXT(J104),J104,""))</f>
        <v/>
      </c>
      <c r="Q104" s="16" t="s">
        <v>0</v>
      </c>
      <c r="R104" s="34" t="str">
        <f>IF(ROW()-ROW(R$4)&lt;=AH$3,ROW()-ROW(R$4),"")</f>
        <v/>
      </c>
      <c r="S104" s="34" t="str">
        <f>IF(ROW()-ROW(S$4)&lt;=AI$3,ROW()-ROW(S$4),"")</f>
        <v/>
      </c>
      <c r="T104" s="34" t="str">
        <f>IF(ROW()-ROW(T$4)&lt;=AJ$3,ROW()-ROW(T$4),"")</f>
        <v/>
      </c>
      <c r="U104" s="34" t="str">
        <f>IF(ROW()-ROW(U$4)&lt;=AK$3,ROW()-ROW(U$4),"")</f>
        <v/>
      </c>
      <c r="V104" s="34" t="str">
        <f>IF(ROW()-ROW(V$4)&lt;=AL$3,ROW()-ROW(V$4),"")</f>
        <v/>
      </c>
      <c r="W104" s="34" t="str">
        <f>IF(ROW()-ROW(W$4)&lt;=AM$3,ROW()-ROW(W$4),"")</f>
        <v/>
      </c>
      <c r="X104" s="34" t="str">
        <f>IF(ROW()-ROW(X$4)&lt;=AN$3,ROW()-ROW(X$4),"")</f>
        <v/>
      </c>
      <c r="Y104" s="34"/>
      <c r="Z104" s="35" t="str">
        <f>IF(ISNUMBER(R104),INDEX($BE$5:$BE$2999,MATCH(R104,AH$5:AH$2999,0),1),"")</f>
        <v/>
      </c>
      <c r="AA104" s="35" t="str">
        <f>IF(ISNUMBER(S104),INDEX($BE$5:$BE$2999,MATCH(S104,AI$5:AI$2999,0),1),"")</f>
        <v/>
      </c>
      <c r="AB104" s="35" t="str">
        <f>IF(ISNUMBER(T104),INDEX($BE$5:$BE$2999,MATCH(T104,AJ$5:AJ$2999,0),1),"")</f>
        <v/>
      </c>
      <c r="AC104" s="35" t="str">
        <f>IF(ISNUMBER(U104),INDEX($BE$5:$BE$2999,MATCH(U104,AK$5:AK$2999,0),1),"")</f>
        <v/>
      </c>
      <c r="AD104" s="35" t="str">
        <f>IF(ISNUMBER(V104),INDEX($BE$5:$BE$2999,MATCH(V104,AL$5:AL$2999,0),1),"")</f>
        <v/>
      </c>
      <c r="AE104" s="35" t="str">
        <f>IF(ISNUMBER(W104),INDEX($BE$5:$BE$2999,MATCH(W104,AM$5:AM$2999,0),1),"")</f>
        <v/>
      </c>
      <c r="AF104" s="35" t="str">
        <f>IF(ISNUMBER(X104),INDEX($BE$5:$BE$2999,MATCH(X104,AN$5:AN$2999,0),1),"")</f>
        <v/>
      </c>
      <c r="AG104" s="35"/>
      <c r="AH104" s="34" t="str">
        <f>IF($BE104="","",IF(ISNUMBER(MATCH($BE104,AP$5:AP$29999,0)),MAX(AH$4:AH103)+1,0))</f>
        <v/>
      </c>
      <c r="AI104" s="34" t="str">
        <f>IF($BE104="","",IF(ISNUMBER(MATCH($BE104,AQ$5:AQ$29999,0)),MAX(AI$4:AI103)+1,0))</f>
        <v/>
      </c>
      <c r="AJ104" s="34" t="str">
        <f>IF($BE104="","",IF(ISNUMBER(MATCH($BE104,AR$5:AR$29999,0)),MAX(AJ$4:AJ103)+1,0))</f>
        <v/>
      </c>
      <c r="AK104" s="34" t="str">
        <f>IF($BE104="","",IF(ISNUMBER(MATCH($BE104,AS$5:AS$29999,0)),MAX(AK$4:AK103)+1,0))</f>
        <v/>
      </c>
      <c r="AL104" s="34" t="str">
        <f>IF($BE104="","",IF(ISNUMBER(MATCH($BE104,AT$5:AT$29999,0)),MAX(AL$4:AL103)+1,0))</f>
        <v/>
      </c>
      <c r="AM104" s="34" t="str">
        <f>IF($BE104="","",IF(ISNUMBER(MATCH($BE104,AU$5:AU$29999,0)),MAX(AM$4:AM103)+1,0))</f>
        <v/>
      </c>
      <c r="AN104" s="34" t="str">
        <f>IF($BE104="","",IF(ISNUMBER(MATCH($BE104,AV$5:AV$29999,0)),MAX(AN$4:AN103)+1,0))</f>
        <v/>
      </c>
      <c r="AO104" s="16"/>
      <c r="AP104" s="33"/>
      <c r="AQ104" s="33"/>
      <c r="AR104" s="33"/>
      <c r="AS104" s="33"/>
      <c r="AT104" s="32"/>
      <c r="AU104" s="32"/>
      <c r="AV104" s="32" t="s">
        <v>0</v>
      </c>
      <c r="AW104" s="40"/>
      <c r="AX104" s="20" t="s">
        <v>0</v>
      </c>
      <c r="AY104" s="30"/>
      <c r="AZ104" s="30"/>
      <c r="BA104" s="39"/>
      <c r="BB104" s="37"/>
      <c r="BC104" s="36"/>
      <c r="BD104" s="36"/>
      <c r="BE104" s="20"/>
      <c r="BF104" s="36"/>
      <c r="BG104" s="19" t="str">
        <f>IF(ISNUMBER(MATCH($BE104,Z$5:Z$501,0)),INDEX(Z$5:Z$501,MATCH($BE104,Z$5:Z$501,0),1),"")</f>
        <v/>
      </c>
      <c r="BH104" s="19" t="str">
        <f>IF(ISNUMBER(MATCH($BE104,AA$5:AA$501,0)),INDEX(AA$5:AA$501,MATCH($BE104,AA$5:AA$501,0),1),"")</f>
        <v/>
      </c>
      <c r="BI104" s="19" t="str">
        <f>IF(ISNUMBER(MATCH($BE104,AB$5:AB$501,0)),INDEX(AB$5:AB$501,MATCH($BE104,AB$5:AB$501,0),1),"")</f>
        <v/>
      </c>
      <c r="BJ104" s="19" t="str">
        <f>IF(ISNUMBER(MATCH($BE104,AC$5:AC$501,0)),INDEX(AC$5:AC$501,MATCH($BE104,AC$5:AC$501,0),1),"")</f>
        <v/>
      </c>
      <c r="BK104" s="19" t="str">
        <f>IF(ISNUMBER(MATCH($BE104,AD$5:AD$501,0)),INDEX(AD$5:AD$501,MATCH($BE104,AD$5:AD$501,0),1),"")</f>
        <v/>
      </c>
      <c r="BL104" s="19" t="str">
        <f>IF(ISNUMBER(MATCH($BE104,AE$5:AE$501,0)),INDEX(AE$5:AE$501,MATCH($BE104,AE$5:AE$501,0),1),"")</f>
        <v/>
      </c>
      <c r="BM104" s="19" t="str">
        <f>IF(ISNUMBER(MATCH($BE104,AF$5:AF$501,0)),INDEX(AF$5:AF$501,MATCH($BE104,AF$5:AF$501,0),1),"")</f>
        <v/>
      </c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</row>
    <row r="105" spans="1:78" ht="12" customHeight="1" x14ac:dyDescent="0.25">
      <c r="A105" s="26"/>
      <c r="B105" s="28" t="str">
        <f>IF(ISNUMBER(MATCH(O105,$N$5:$N$1000,0)),MATCH(O105,$N$5:$N$1000,0),"")</f>
        <v/>
      </c>
      <c r="C105" s="15" t="str">
        <f>IF(ISNUMBER(B105),MAX(C$4:C104)+1,"")</f>
        <v/>
      </c>
      <c r="D105" s="15" t="str">
        <f>IF(IF(ISNUMBER(B105),"",MAX(D$4:D104)+1)&lt;=D$3,IF(ISNUMBER(B105),"",MAX(D$4:D104)+1),"")</f>
        <v/>
      </c>
      <c r="E105" s="42" t="str">
        <f>IF(M105&lt;=D$3,MATCH(M105,D$5:D$1000,0),"")</f>
        <v/>
      </c>
      <c r="F105" s="28" t="str">
        <f>IF(ISNUMBER(E105),INDEX($N$5:$N$1000,E105,1),"")</f>
        <v/>
      </c>
      <c r="G105" s="27" t="str">
        <f>IF(ISNUMBER(C105),N105,IF(ISTEXT(N105),INDEX($F$5:$F$1000,MATCH(M105,$E$5:$E$1000,0),1),""))</f>
        <v/>
      </c>
      <c r="H105" s="15" t="str">
        <f>IF(O105="","",IF(ISNUMBER(MATCH(O105,$G$5:$G$1000,0)),"",IF(D105=1,C$3,0)+MAX(H$4:H104)+1))</f>
        <v/>
      </c>
      <c r="I105" s="15" t="str">
        <f>IF(O105="","",IF(ISNUMBER(MATCH(O105,$G$5:$G$1000,0)),"",IF(D105=1,B$4,0)+MAX(I$4:I104)+1))</f>
        <v/>
      </c>
      <c r="J105" s="27" t="str">
        <f>IF(ISNUMBER(MATCH(M105,$I$5:$I$1000,0)),INDEX($O$5:$O$1000,MATCH(M105,$I$5:$I$1000,0),1),"")</f>
        <v/>
      </c>
      <c r="K105" s="27"/>
      <c r="L105" s="26"/>
      <c r="M105" s="14">
        <f>IF(ROW()-ROW(M$4)&lt;=1000,ROW()-ROW(M$4),"")</f>
        <v>101</v>
      </c>
      <c r="N105" s="38"/>
      <c r="O105" s="38"/>
      <c r="P105" s="41" t="str">
        <f>IF(M105&lt;=$B$4,IF(ISTEXT(G105),G105,""),IF(ISTEXT(J105),J105,""))</f>
        <v/>
      </c>
      <c r="Q105" s="16" t="s">
        <v>0</v>
      </c>
      <c r="R105" s="34" t="str">
        <f>IF(ROW()-ROW(R$4)&lt;=AH$3,ROW()-ROW(R$4),"")</f>
        <v/>
      </c>
      <c r="S105" s="34" t="str">
        <f>IF(ROW()-ROW(S$4)&lt;=AI$3,ROW()-ROW(S$4),"")</f>
        <v/>
      </c>
      <c r="T105" s="34" t="str">
        <f>IF(ROW()-ROW(T$4)&lt;=AJ$3,ROW()-ROW(T$4),"")</f>
        <v/>
      </c>
      <c r="U105" s="34" t="str">
        <f>IF(ROW()-ROW(U$4)&lt;=AK$3,ROW()-ROW(U$4),"")</f>
        <v/>
      </c>
      <c r="V105" s="34" t="str">
        <f>IF(ROW()-ROW(V$4)&lt;=AL$3,ROW()-ROW(V$4),"")</f>
        <v/>
      </c>
      <c r="W105" s="34" t="str">
        <f>IF(ROW()-ROW(W$4)&lt;=AM$3,ROW()-ROW(W$4),"")</f>
        <v/>
      </c>
      <c r="X105" s="34" t="str">
        <f>IF(ROW()-ROW(X$4)&lt;=AN$3,ROW()-ROW(X$4),"")</f>
        <v/>
      </c>
      <c r="Y105" s="34"/>
      <c r="Z105" s="35" t="str">
        <f>IF(ISNUMBER(R105),INDEX($BE$5:$BE$2999,MATCH(R105,AH$5:AH$2999,0),1),"")</f>
        <v/>
      </c>
      <c r="AA105" s="35" t="str">
        <f>IF(ISNUMBER(S105),INDEX($BE$5:$BE$2999,MATCH(S105,AI$5:AI$2999,0),1),"")</f>
        <v/>
      </c>
      <c r="AB105" s="35" t="str">
        <f>IF(ISNUMBER(T105),INDEX($BE$5:$BE$2999,MATCH(T105,AJ$5:AJ$2999,0),1),"")</f>
        <v/>
      </c>
      <c r="AC105" s="35" t="str">
        <f>IF(ISNUMBER(U105),INDEX($BE$5:$BE$2999,MATCH(U105,AK$5:AK$2999,0),1),"")</f>
        <v/>
      </c>
      <c r="AD105" s="35" t="str">
        <f>IF(ISNUMBER(V105),INDEX($BE$5:$BE$2999,MATCH(V105,AL$5:AL$2999,0),1),"")</f>
        <v/>
      </c>
      <c r="AE105" s="35" t="str">
        <f>IF(ISNUMBER(W105),INDEX($BE$5:$BE$2999,MATCH(W105,AM$5:AM$2999,0),1),"")</f>
        <v/>
      </c>
      <c r="AF105" s="35" t="str">
        <f>IF(ISNUMBER(X105),INDEX($BE$5:$BE$2999,MATCH(X105,AN$5:AN$2999,0),1),"")</f>
        <v/>
      </c>
      <c r="AG105" s="35"/>
      <c r="AH105" s="34" t="str">
        <f>IF($BE105="","",IF(ISNUMBER(MATCH($BE105,AP$5:AP$29999,0)),MAX(AH$4:AH104)+1,0))</f>
        <v/>
      </c>
      <c r="AI105" s="34" t="str">
        <f>IF($BE105="","",IF(ISNUMBER(MATCH($BE105,AQ$5:AQ$29999,0)),MAX(AI$4:AI104)+1,0))</f>
        <v/>
      </c>
      <c r="AJ105" s="34" t="str">
        <f>IF($BE105="","",IF(ISNUMBER(MATCH($BE105,AR$5:AR$29999,0)),MAX(AJ$4:AJ104)+1,0))</f>
        <v/>
      </c>
      <c r="AK105" s="34" t="str">
        <f>IF($BE105="","",IF(ISNUMBER(MATCH($BE105,AS$5:AS$29999,0)),MAX(AK$4:AK104)+1,0))</f>
        <v/>
      </c>
      <c r="AL105" s="34" t="str">
        <f>IF($BE105="","",IF(ISNUMBER(MATCH($BE105,AT$5:AT$29999,0)),MAX(AL$4:AL104)+1,0))</f>
        <v/>
      </c>
      <c r="AM105" s="34" t="str">
        <f>IF($BE105="","",IF(ISNUMBER(MATCH($BE105,AU$5:AU$29999,0)),MAX(AM$4:AM104)+1,0))</f>
        <v/>
      </c>
      <c r="AN105" s="34" t="str">
        <f>IF($BE105="","",IF(ISNUMBER(MATCH($BE105,AV$5:AV$29999,0)),MAX(AN$4:AN104)+1,0))</f>
        <v/>
      </c>
      <c r="AO105" s="16"/>
      <c r="AP105" s="33"/>
      <c r="AQ105" s="33"/>
      <c r="AR105" s="33"/>
      <c r="AS105" s="33"/>
      <c r="AT105" s="32"/>
      <c r="AU105" s="32"/>
      <c r="AV105" s="32" t="s">
        <v>0</v>
      </c>
      <c r="AW105" s="40"/>
      <c r="AX105" s="20" t="s">
        <v>0</v>
      </c>
      <c r="AY105" s="30"/>
      <c r="AZ105" s="30"/>
      <c r="BA105" s="39"/>
      <c r="BB105" s="37"/>
      <c r="BC105" s="36"/>
      <c r="BD105" s="36"/>
      <c r="BE105" s="20"/>
      <c r="BF105" s="36"/>
      <c r="BG105" s="19" t="str">
        <f>IF(ISNUMBER(MATCH($BE105,Z$5:Z$501,0)),INDEX(Z$5:Z$501,MATCH($BE105,Z$5:Z$501,0),1),"")</f>
        <v/>
      </c>
      <c r="BH105" s="19" t="str">
        <f>IF(ISNUMBER(MATCH($BE105,AA$5:AA$501,0)),INDEX(AA$5:AA$501,MATCH($BE105,AA$5:AA$501,0),1),"")</f>
        <v/>
      </c>
      <c r="BI105" s="19" t="str">
        <f>IF(ISNUMBER(MATCH($BE105,AB$5:AB$501,0)),INDEX(AB$5:AB$501,MATCH($BE105,AB$5:AB$501,0),1),"")</f>
        <v/>
      </c>
      <c r="BJ105" s="19" t="str">
        <f>IF(ISNUMBER(MATCH($BE105,AC$5:AC$501,0)),INDEX(AC$5:AC$501,MATCH($BE105,AC$5:AC$501,0),1),"")</f>
        <v/>
      </c>
      <c r="BK105" s="19" t="str">
        <f>IF(ISNUMBER(MATCH($BE105,AD$5:AD$501,0)),INDEX(AD$5:AD$501,MATCH($BE105,AD$5:AD$501,0),1),"")</f>
        <v/>
      </c>
      <c r="BL105" s="19" t="str">
        <f>IF(ISNUMBER(MATCH($BE105,AE$5:AE$501,0)),INDEX(AE$5:AE$501,MATCH($BE105,AE$5:AE$501,0),1),"")</f>
        <v/>
      </c>
      <c r="BM105" s="19" t="str">
        <f>IF(ISNUMBER(MATCH($BE105,AF$5:AF$501,0)),INDEX(AF$5:AF$501,MATCH($BE105,AF$5:AF$501,0),1),"")</f>
        <v/>
      </c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</row>
    <row r="106" spans="1:78" ht="12" customHeight="1" x14ac:dyDescent="0.25">
      <c r="A106" s="26"/>
      <c r="B106" s="28" t="str">
        <f>IF(ISNUMBER(MATCH(O106,$N$5:$N$1000,0)),MATCH(O106,$N$5:$N$1000,0),"")</f>
        <v/>
      </c>
      <c r="C106" s="15" t="str">
        <f>IF(ISNUMBER(B106),MAX(C$4:C105)+1,"")</f>
        <v/>
      </c>
      <c r="D106" s="15" t="str">
        <f>IF(IF(ISNUMBER(B106),"",MAX(D$4:D105)+1)&lt;=D$3,IF(ISNUMBER(B106),"",MAX(D$4:D105)+1),"")</f>
        <v/>
      </c>
      <c r="E106" s="42" t="str">
        <f>IF(M106&lt;=D$3,MATCH(M106,D$5:D$1000,0),"")</f>
        <v/>
      </c>
      <c r="F106" s="28" t="str">
        <f>IF(ISNUMBER(E106),INDEX($N$5:$N$1000,E106,1),"")</f>
        <v/>
      </c>
      <c r="G106" s="27" t="str">
        <f>IF(ISNUMBER(C106),N106,IF(ISTEXT(N106),INDEX($F$5:$F$1000,MATCH(M106,$E$5:$E$1000,0),1),""))</f>
        <v/>
      </c>
      <c r="H106" s="15" t="str">
        <f>IF(O106="","",IF(ISNUMBER(MATCH(O106,$G$5:$G$1000,0)),"",IF(D106=1,C$3,0)+MAX(H$4:H105)+1))</f>
        <v/>
      </c>
      <c r="I106" s="15" t="str">
        <f>IF(O106="","",IF(ISNUMBER(MATCH(O106,$G$5:$G$1000,0)),"",IF(D106=1,B$4,0)+MAX(I$4:I105)+1))</f>
        <v/>
      </c>
      <c r="J106" s="27" t="str">
        <f>IF(ISNUMBER(MATCH(M106,$I$5:$I$1000,0)),INDEX($O$5:$O$1000,MATCH(M106,$I$5:$I$1000,0),1),"")</f>
        <v/>
      </c>
      <c r="K106" s="27"/>
      <c r="L106" s="26"/>
      <c r="M106" s="14">
        <f>IF(ROW()-ROW(M$4)&lt;=1000,ROW()-ROW(M$4),"")</f>
        <v>102</v>
      </c>
      <c r="N106" s="38"/>
      <c r="O106" s="38"/>
      <c r="P106" s="41" t="str">
        <f>IF(M106&lt;=$B$4,IF(ISTEXT(G106),G106,""),IF(ISTEXT(J106),J106,""))</f>
        <v/>
      </c>
      <c r="Q106" s="16" t="s">
        <v>0</v>
      </c>
      <c r="R106" s="34" t="str">
        <f>IF(ROW()-ROW(R$4)&lt;=AH$3,ROW()-ROW(R$4),"")</f>
        <v/>
      </c>
      <c r="S106" s="34" t="str">
        <f>IF(ROW()-ROW(S$4)&lt;=AI$3,ROW()-ROW(S$4),"")</f>
        <v/>
      </c>
      <c r="T106" s="34" t="str">
        <f>IF(ROW()-ROW(T$4)&lt;=AJ$3,ROW()-ROW(T$4),"")</f>
        <v/>
      </c>
      <c r="U106" s="34" t="str">
        <f>IF(ROW()-ROW(U$4)&lt;=AK$3,ROW()-ROW(U$4),"")</f>
        <v/>
      </c>
      <c r="V106" s="34" t="str">
        <f>IF(ROW()-ROW(V$4)&lt;=AL$3,ROW()-ROW(V$4),"")</f>
        <v/>
      </c>
      <c r="W106" s="34" t="str">
        <f>IF(ROW()-ROW(W$4)&lt;=AM$3,ROW()-ROW(W$4),"")</f>
        <v/>
      </c>
      <c r="X106" s="34" t="str">
        <f>IF(ROW()-ROW(X$4)&lt;=AN$3,ROW()-ROW(X$4),"")</f>
        <v/>
      </c>
      <c r="Y106" s="34"/>
      <c r="Z106" s="35" t="str">
        <f>IF(ISNUMBER(R106),INDEX($BE$5:$BE$2999,MATCH(R106,AH$5:AH$2999,0),1),"")</f>
        <v/>
      </c>
      <c r="AA106" s="35" t="str">
        <f>IF(ISNUMBER(S106),INDEX($BE$5:$BE$2999,MATCH(S106,AI$5:AI$2999,0),1),"")</f>
        <v/>
      </c>
      <c r="AB106" s="35" t="str">
        <f>IF(ISNUMBER(T106),INDEX($BE$5:$BE$2999,MATCH(T106,AJ$5:AJ$2999,0),1),"")</f>
        <v/>
      </c>
      <c r="AC106" s="35" t="str">
        <f>IF(ISNUMBER(U106),INDEX($BE$5:$BE$2999,MATCH(U106,AK$5:AK$2999,0),1),"")</f>
        <v/>
      </c>
      <c r="AD106" s="35" t="str">
        <f>IF(ISNUMBER(V106),INDEX($BE$5:$BE$2999,MATCH(V106,AL$5:AL$2999,0),1),"")</f>
        <v/>
      </c>
      <c r="AE106" s="35" t="str">
        <f>IF(ISNUMBER(W106),INDEX($BE$5:$BE$2999,MATCH(W106,AM$5:AM$2999,0),1),"")</f>
        <v/>
      </c>
      <c r="AF106" s="35" t="str">
        <f>IF(ISNUMBER(X106),INDEX($BE$5:$BE$2999,MATCH(X106,AN$5:AN$2999,0),1),"")</f>
        <v/>
      </c>
      <c r="AG106" s="35"/>
      <c r="AH106" s="34" t="str">
        <f>IF($BE106="","",IF(ISNUMBER(MATCH($BE106,AP$5:AP$29999,0)),MAX(AH$4:AH105)+1,0))</f>
        <v/>
      </c>
      <c r="AI106" s="34" t="str">
        <f>IF($BE106="","",IF(ISNUMBER(MATCH($BE106,AQ$5:AQ$29999,0)),MAX(AI$4:AI105)+1,0))</f>
        <v/>
      </c>
      <c r="AJ106" s="34" t="str">
        <f>IF($BE106="","",IF(ISNUMBER(MATCH($BE106,AR$5:AR$29999,0)),MAX(AJ$4:AJ105)+1,0))</f>
        <v/>
      </c>
      <c r="AK106" s="34" t="str">
        <f>IF($BE106="","",IF(ISNUMBER(MATCH($BE106,AS$5:AS$29999,0)),MAX(AK$4:AK105)+1,0))</f>
        <v/>
      </c>
      <c r="AL106" s="34" t="str">
        <f>IF($BE106="","",IF(ISNUMBER(MATCH($BE106,AT$5:AT$29999,0)),MAX(AL$4:AL105)+1,0))</f>
        <v/>
      </c>
      <c r="AM106" s="34" t="str">
        <f>IF($BE106="","",IF(ISNUMBER(MATCH($BE106,AU$5:AU$29999,0)),MAX(AM$4:AM105)+1,0))</f>
        <v/>
      </c>
      <c r="AN106" s="34" t="str">
        <f>IF($BE106="","",IF(ISNUMBER(MATCH($BE106,AV$5:AV$29999,0)),MAX(AN$4:AN105)+1,0))</f>
        <v/>
      </c>
      <c r="AO106" s="16"/>
      <c r="AP106" s="33"/>
      <c r="AQ106" s="33"/>
      <c r="AR106" s="33"/>
      <c r="AS106" s="33"/>
      <c r="AT106" s="32"/>
      <c r="AU106" s="32"/>
      <c r="AV106" s="32" t="s">
        <v>0</v>
      </c>
      <c r="AW106" s="40"/>
      <c r="AX106" s="20" t="s">
        <v>0</v>
      </c>
      <c r="AY106" s="30"/>
      <c r="AZ106" s="30"/>
      <c r="BA106" s="39"/>
      <c r="BB106" s="37"/>
      <c r="BC106" s="36"/>
      <c r="BD106" s="36"/>
      <c r="BE106" s="20"/>
      <c r="BF106" s="36"/>
      <c r="BG106" s="19" t="str">
        <f>IF(ISNUMBER(MATCH($BE106,Z$5:Z$501,0)),INDEX(Z$5:Z$501,MATCH($BE106,Z$5:Z$501,0),1),"")</f>
        <v/>
      </c>
      <c r="BH106" s="19" t="str">
        <f>IF(ISNUMBER(MATCH($BE106,AA$5:AA$501,0)),INDEX(AA$5:AA$501,MATCH($BE106,AA$5:AA$501,0),1),"")</f>
        <v/>
      </c>
      <c r="BI106" s="19" t="str">
        <f>IF(ISNUMBER(MATCH($BE106,AB$5:AB$501,0)),INDEX(AB$5:AB$501,MATCH($BE106,AB$5:AB$501,0),1),"")</f>
        <v/>
      </c>
      <c r="BJ106" s="19" t="str">
        <f>IF(ISNUMBER(MATCH($BE106,AC$5:AC$501,0)),INDEX(AC$5:AC$501,MATCH($BE106,AC$5:AC$501,0),1),"")</f>
        <v/>
      </c>
      <c r="BK106" s="19" t="str">
        <f>IF(ISNUMBER(MATCH($BE106,AD$5:AD$501,0)),INDEX(AD$5:AD$501,MATCH($BE106,AD$5:AD$501,0),1),"")</f>
        <v/>
      </c>
      <c r="BL106" s="19" t="str">
        <f>IF(ISNUMBER(MATCH($BE106,AE$5:AE$501,0)),INDEX(AE$5:AE$501,MATCH($BE106,AE$5:AE$501,0),1),"")</f>
        <v/>
      </c>
      <c r="BM106" s="19" t="str">
        <f>IF(ISNUMBER(MATCH($BE106,AF$5:AF$501,0)),INDEX(AF$5:AF$501,MATCH($BE106,AF$5:AF$501,0),1),"")</f>
        <v/>
      </c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</row>
    <row r="107" spans="1:78" ht="12" customHeight="1" x14ac:dyDescent="0.25">
      <c r="A107" s="26"/>
      <c r="B107" s="28" t="str">
        <f>IF(ISNUMBER(MATCH(O107,$N$5:$N$1000,0)),MATCH(O107,$N$5:$N$1000,0),"")</f>
        <v/>
      </c>
      <c r="C107" s="15" t="str">
        <f>IF(ISNUMBER(B107),MAX(C$4:C106)+1,"")</f>
        <v/>
      </c>
      <c r="D107" s="15" t="str">
        <f>IF(IF(ISNUMBER(B107),"",MAX(D$4:D106)+1)&lt;=D$3,IF(ISNUMBER(B107),"",MAX(D$4:D106)+1),"")</f>
        <v/>
      </c>
      <c r="E107" s="42" t="str">
        <f>IF(M107&lt;=D$3,MATCH(M107,D$5:D$1000,0),"")</f>
        <v/>
      </c>
      <c r="F107" s="28" t="str">
        <f>IF(ISNUMBER(E107),INDEX($N$5:$N$1000,E107,1),"")</f>
        <v/>
      </c>
      <c r="G107" s="27" t="str">
        <f>IF(ISNUMBER(C107),N107,IF(ISTEXT(N107),INDEX($F$5:$F$1000,MATCH(M107,$E$5:$E$1000,0),1),""))</f>
        <v/>
      </c>
      <c r="H107" s="15" t="str">
        <f>IF(O107="","",IF(ISNUMBER(MATCH(O107,$G$5:$G$1000,0)),"",IF(D107=1,C$3,0)+MAX(H$4:H106)+1))</f>
        <v/>
      </c>
      <c r="I107" s="15" t="str">
        <f>IF(O107="","",IF(ISNUMBER(MATCH(O107,$G$5:$G$1000,0)),"",IF(D107=1,B$4,0)+MAX(I$4:I106)+1))</f>
        <v/>
      </c>
      <c r="J107" s="27" t="str">
        <f>IF(ISNUMBER(MATCH(M107,$I$5:$I$1000,0)),INDEX($O$5:$O$1000,MATCH(M107,$I$5:$I$1000,0),1),"")</f>
        <v/>
      </c>
      <c r="K107" s="27"/>
      <c r="L107" s="26"/>
      <c r="M107" s="14">
        <f>IF(ROW()-ROW(M$4)&lt;=1000,ROW()-ROW(M$4),"")</f>
        <v>103</v>
      </c>
      <c r="N107" s="38"/>
      <c r="O107" s="38"/>
      <c r="P107" s="41" t="str">
        <f>IF(M107&lt;=$B$4,IF(ISTEXT(G107),G107,""),IF(ISTEXT(J107),J107,""))</f>
        <v/>
      </c>
      <c r="Q107" s="16" t="s">
        <v>0</v>
      </c>
      <c r="R107" s="34" t="str">
        <f>IF(ROW()-ROW(R$4)&lt;=AH$3,ROW()-ROW(R$4),"")</f>
        <v/>
      </c>
      <c r="S107" s="34" t="str">
        <f>IF(ROW()-ROW(S$4)&lt;=AI$3,ROW()-ROW(S$4),"")</f>
        <v/>
      </c>
      <c r="T107" s="34" t="str">
        <f>IF(ROW()-ROW(T$4)&lt;=AJ$3,ROW()-ROW(T$4),"")</f>
        <v/>
      </c>
      <c r="U107" s="34" t="str">
        <f>IF(ROW()-ROW(U$4)&lt;=AK$3,ROW()-ROW(U$4),"")</f>
        <v/>
      </c>
      <c r="V107" s="34" t="str">
        <f>IF(ROW()-ROW(V$4)&lt;=AL$3,ROW()-ROW(V$4),"")</f>
        <v/>
      </c>
      <c r="W107" s="34" t="str">
        <f>IF(ROW()-ROW(W$4)&lt;=AM$3,ROW()-ROW(W$4),"")</f>
        <v/>
      </c>
      <c r="X107" s="34" t="str">
        <f>IF(ROW()-ROW(X$4)&lt;=AN$3,ROW()-ROW(X$4),"")</f>
        <v/>
      </c>
      <c r="Y107" s="34"/>
      <c r="Z107" s="35" t="str">
        <f>IF(ISNUMBER(R107),INDEX($BE$5:$BE$2999,MATCH(R107,AH$5:AH$2999,0),1),"")</f>
        <v/>
      </c>
      <c r="AA107" s="35" t="str">
        <f>IF(ISNUMBER(S107),INDEX($BE$5:$BE$2999,MATCH(S107,AI$5:AI$2999,0),1),"")</f>
        <v/>
      </c>
      <c r="AB107" s="35" t="str">
        <f>IF(ISNUMBER(T107),INDEX($BE$5:$BE$2999,MATCH(T107,AJ$5:AJ$2999,0),1),"")</f>
        <v/>
      </c>
      <c r="AC107" s="35" t="str">
        <f>IF(ISNUMBER(U107),INDEX($BE$5:$BE$2999,MATCH(U107,AK$5:AK$2999,0),1),"")</f>
        <v/>
      </c>
      <c r="AD107" s="35" t="str">
        <f>IF(ISNUMBER(V107),INDEX($BE$5:$BE$2999,MATCH(V107,AL$5:AL$2999,0),1),"")</f>
        <v/>
      </c>
      <c r="AE107" s="35" t="str">
        <f>IF(ISNUMBER(W107),INDEX($BE$5:$BE$2999,MATCH(W107,AM$5:AM$2999,0),1),"")</f>
        <v/>
      </c>
      <c r="AF107" s="35" t="str">
        <f>IF(ISNUMBER(X107),INDEX($BE$5:$BE$2999,MATCH(X107,AN$5:AN$2999,0),1),"")</f>
        <v/>
      </c>
      <c r="AG107" s="35"/>
      <c r="AH107" s="34" t="str">
        <f>IF($BE107="","",IF(ISNUMBER(MATCH($BE107,AP$5:AP$29999,0)),MAX(AH$4:AH106)+1,0))</f>
        <v/>
      </c>
      <c r="AI107" s="34" t="str">
        <f>IF($BE107="","",IF(ISNUMBER(MATCH($BE107,AQ$5:AQ$29999,0)),MAX(AI$4:AI106)+1,0))</f>
        <v/>
      </c>
      <c r="AJ107" s="34" t="str">
        <f>IF($BE107="","",IF(ISNUMBER(MATCH($BE107,AR$5:AR$29999,0)),MAX(AJ$4:AJ106)+1,0))</f>
        <v/>
      </c>
      <c r="AK107" s="34" t="str">
        <f>IF($BE107="","",IF(ISNUMBER(MATCH($BE107,AS$5:AS$29999,0)),MAX(AK$4:AK106)+1,0))</f>
        <v/>
      </c>
      <c r="AL107" s="34" t="str">
        <f>IF($BE107="","",IF(ISNUMBER(MATCH($BE107,AT$5:AT$29999,0)),MAX(AL$4:AL106)+1,0))</f>
        <v/>
      </c>
      <c r="AM107" s="34" t="str">
        <f>IF($BE107="","",IF(ISNUMBER(MATCH($BE107,AU$5:AU$29999,0)),MAX(AM$4:AM106)+1,0))</f>
        <v/>
      </c>
      <c r="AN107" s="34" t="str">
        <f>IF($BE107="","",IF(ISNUMBER(MATCH($BE107,AV$5:AV$29999,0)),MAX(AN$4:AN106)+1,0))</f>
        <v/>
      </c>
      <c r="AO107" s="16"/>
      <c r="AP107" s="33"/>
      <c r="AQ107" s="33"/>
      <c r="AR107" s="33"/>
      <c r="AS107" s="33"/>
      <c r="AT107" s="32"/>
      <c r="AU107" s="32"/>
      <c r="AV107" s="32" t="s">
        <v>0</v>
      </c>
      <c r="AW107" s="40"/>
      <c r="AX107" s="20" t="s">
        <v>0</v>
      </c>
      <c r="AY107" s="30"/>
      <c r="AZ107" s="30"/>
      <c r="BA107" s="39"/>
      <c r="BB107" s="37"/>
      <c r="BC107" s="36"/>
      <c r="BD107" s="36"/>
      <c r="BE107" s="20"/>
      <c r="BF107" s="36"/>
      <c r="BG107" s="19" t="str">
        <f>IF(ISNUMBER(MATCH($BE107,Z$5:Z$501,0)),INDEX(Z$5:Z$501,MATCH($BE107,Z$5:Z$501,0),1),"")</f>
        <v/>
      </c>
      <c r="BH107" s="19" t="str">
        <f>IF(ISNUMBER(MATCH($BE107,AA$5:AA$501,0)),INDEX(AA$5:AA$501,MATCH($BE107,AA$5:AA$501,0),1),"")</f>
        <v/>
      </c>
      <c r="BI107" s="19" t="str">
        <f>IF(ISNUMBER(MATCH($BE107,AB$5:AB$501,0)),INDEX(AB$5:AB$501,MATCH($BE107,AB$5:AB$501,0),1),"")</f>
        <v/>
      </c>
      <c r="BJ107" s="19" t="str">
        <f>IF(ISNUMBER(MATCH($BE107,AC$5:AC$501,0)),INDEX(AC$5:AC$501,MATCH($BE107,AC$5:AC$501,0),1),"")</f>
        <v/>
      </c>
      <c r="BK107" s="19" t="str">
        <f>IF(ISNUMBER(MATCH($BE107,AD$5:AD$501,0)),INDEX(AD$5:AD$501,MATCH($BE107,AD$5:AD$501,0),1),"")</f>
        <v/>
      </c>
      <c r="BL107" s="19" t="str">
        <f>IF(ISNUMBER(MATCH($BE107,AE$5:AE$501,0)),INDEX(AE$5:AE$501,MATCH($BE107,AE$5:AE$501,0),1),"")</f>
        <v/>
      </c>
      <c r="BM107" s="19" t="str">
        <f>IF(ISNUMBER(MATCH($BE107,AF$5:AF$501,0)),INDEX(AF$5:AF$501,MATCH($BE107,AF$5:AF$501,0),1),"")</f>
        <v/>
      </c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</row>
    <row r="108" spans="1:78" ht="12" customHeight="1" x14ac:dyDescent="0.25">
      <c r="A108" s="26"/>
      <c r="B108" s="28" t="str">
        <f>IF(ISNUMBER(MATCH(O108,$N$5:$N$1000,0)),MATCH(O108,$N$5:$N$1000,0),"")</f>
        <v/>
      </c>
      <c r="C108" s="15" t="str">
        <f>IF(ISNUMBER(B108),MAX(C$4:C107)+1,"")</f>
        <v/>
      </c>
      <c r="D108" s="15" t="str">
        <f>IF(IF(ISNUMBER(B108),"",MAX(D$4:D107)+1)&lt;=D$3,IF(ISNUMBER(B108),"",MAX(D$4:D107)+1),"")</f>
        <v/>
      </c>
      <c r="E108" s="42" t="str">
        <f>IF(M108&lt;=D$3,MATCH(M108,D$5:D$1000,0),"")</f>
        <v/>
      </c>
      <c r="F108" s="28" t="str">
        <f>IF(ISNUMBER(E108),INDEX($N$5:$N$1000,E108,1),"")</f>
        <v/>
      </c>
      <c r="G108" s="27" t="str">
        <f>IF(ISNUMBER(C108),N108,IF(ISTEXT(N108),INDEX($F$5:$F$1000,MATCH(M108,$E$5:$E$1000,0),1),""))</f>
        <v/>
      </c>
      <c r="H108" s="15" t="str">
        <f>IF(O108="","",IF(ISNUMBER(MATCH(O108,$G$5:$G$1000,0)),"",IF(D108=1,C$3,0)+MAX(H$4:H107)+1))</f>
        <v/>
      </c>
      <c r="I108" s="15" t="str">
        <f>IF(O108="","",IF(ISNUMBER(MATCH(O108,$G$5:$G$1000,0)),"",IF(D108=1,B$4,0)+MAX(I$4:I107)+1))</f>
        <v/>
      </c>
      <c r="J108" s="27" t="str">
        <f>IF(ISNUMBER(MATCH(M108,$I$5:$I$1000,0)),INDEX($O$5:$O$1000,MATCH(M108,$I$5:$I$1000,0),1),"")</f>
        <v/>
      </c>
      <c r="K108" s="27"/>
      <c r="L108" s="26"/>
      <c r="M108" s="14">
        <f>IF(ROW()-ROW(M$4)&lt;=1000,ROW()-ROW(M$4),"")</f>
        <v>104</v>
      </c>
      <c r="N108" s="38"/>
      <c r="O108" s="38"/>
      <c r="P108" s="41" t="str">
        <f>IF(M108&lt;=$B$4,IF(ISTEXT(G108),G108,""),IF(ISTEXT(J108),J108,""))</f>
        <v/>
      </c>
      <c r="Q108" s="16" t="s">
        <v>0</v>
      </c>
      <c r="R108" s="34" t="str">
        <f>IF(ROW()-ROW(R$4)&lt;=AH$3,ROW()-ROW(R$4),"")</f>
        <v/>
      </c>
      <c r="S108" s="34" t="str">
        <f>IF(ROW()-ROW(S$4)&lt;=AI$3,ROW()-ROW(S$4),"")</f>
        <v/>
      </c>
      <c r="T108" s="34" t="str">
        <f>IF(ROW()-ROW(T$4)&lt;=AJ$3,ROW()-ROW(T$4),"")</f>
        <v/>
      </c>
      <c r="U108" s="34" t="str">
        <f>IF(ROW()-ROW(U$4)&lt;=AK$3,ROW()-ROW(U$4),"")</f>
        <v/>
      </c>
      <c r="V108" s="34" t="str">
        <f>IF(ROW()-ROW(V$4)&lt;=AL$3,ROW()-ROW(V$4),"")</f>
        <v/>
      </c>
      <c r="W108" s="34" t="str">
        <f>IF(ROW()-ROW(W$4)&lt;=AM$3,ROW()-ROW(W$4),"")</f>
        <v/>
      </c>
      <c r="X108" s="34" t="str">
        <f>IF(ROW()-ROW(X$4)&lt;=AN$3,ROW()-ROW(X$4),"")</f>
        <v/>
      </c>
      <c r="Y108" s="34"/>
      <c r="Z108" s="35" t="str">
        <f>IF(ISNUMBER(R108),INDEX($BE$5:$BE$2999,MATCH(R108,AH$5:AH$2999,0),1),"")</f>
        <v/>
      </c>
      <c r="AA108" s="35" t="str">
        <f>IF(ISNUMBER(S108),INDEX($BE$5:$BE$2999,MATCH(S108,AI$5:AI$2999,0),1),"")</f>
        <v/>
      </c>
      <c r="AB108" s="35" t="str">
        <f>IF(ISNUMBER(T108),INDEX($BE$5:$BE$2999,MATCH(T108,AJ$5:AJ$2999,0),1),"")</f>
        <v/>
      </c>
      <c r="AC108" s="35" t="str">
        <f>IF(ISNUMBER(U108),INDEX($BE$5:$BE$2999,MATCH(U108,AK$5:AK$2999,0),1),"")</f>
        <v/>
      </c>
      <c r="AD108" s="35" t="str">
        <f>IF(ISNUMBER(V108),INDEX($BE$5:$BE$2999,MATCH(V108,AL$5:AL$2999,0),1),"")</f>
        <v/>
      </c>
      <c r="AE108" s="35" t="str">
        <f>IF(ISNUMBER(W108),INDEX($BE$5:$BE$2999,MATCH(W108,AM$5:AM$2999,0),1),"")</f>
        <v/>
      </c>
      <c r="AF108" s="35" t="str">
        <f>IF(ISNUMBER(X108),INDEX($BE$5:$BE$2999,MATCH(X108,AN$5:AN$2999,0),1),"")</f>
        <v/>
      </c>
      <c r="AG108" s="35"/>
      <c r="AH108" s="34" t="str">
        <f>IF($BE108="","",IF(ISNUMBER(MATCH($BE108,AP$5:AP$29999,0)),MAX(AH$4:AH107)+1,0))</f>
        <v/>
      </c>
      <c r="AI108" s="34" t="str">
        <f>IF($BE108="","",IF(ISNUMBER(MATCH($BE108,AQ$5:AQ$29999,0)),MAX(AI$4:AI107)+1,0))</f>
        <v/>
      </c>
      <c r="AJ108" s="34" t="str">
        <f>IF($BE108="","",IF(ISNUMBER(MATCH($BE108,AR$5:AR$29999,0)),MAX(AJ$4:AJ107)+1,0))</f>
        <v/>
      </c>
      <c r="AK108" s="34" t="str">
        <f>IF($BE108="","",IF(ISNUMBER(MATCH($BE108,AS$5:AS$29999,0)),MAX(AK$4:AK107)+1,0))</f>
        <v/>
      </c>
      <c r="AL108" s="34" t="str">
        <f>IF($BE108="","",IF(ISNUMBER(MATCH($BE108,AT$5:AT$29999,0)),MAX(AL$4:AL107)+1,0))</f>
        <v/>
      </c>
      <c r="AM108" s="34" t="str">
        <f>IF($BE108="","",IF(ISNUMBER(MATCH($BE108,AU$5:AU$29999,0)),MAX(AM$4:AM107)+1,0))</f>
        <v/>
      </c>
      <c r="AN108" s="34" t="str">
        <f>IF($BE108="","",IF(ISNUMBER(MATCH($BE108,AV$5:AV$29999,0)),MAX(AN$4:AN107)+1,0))</f>
        <v/>
      </c>
      <c r="AO108" s="16"/>
      <c r="AP108" s="33"/>
      <c r="AQ108" s="33"/>
      <c r="AR108" s="33"/>
      <c r="AS108" s="33"/>
      <c r="AT108" s="32"/>
      <c r="AU108" s="32"/>
      <c r="AV108" s="32" t="s">
        <v>0</v>
      </c>
      <c r="AW108" s="40"/>
      <c r="AX108" s="20" t="s">
        <v>0</v>
      </c>
      <c r="AY108" s="30"/>
      <c r="AZ108" s="30"/>
      <c r="BA108" s="39"/>
      <c r="BB108" s="37"/>
      <c r="BC108" s="36"/>
      <c r="BD108" s="36"/>
      <c r="BE108" s="20"/>
      <c r="BF108" s="36"/>
      <c r="BG108" s="19" t="str">
        <f>IF(ISNUMBER(MATCH($BE108,Z$5:Z$501,0)),INDEX(Z$5:Z$501,MATCH($BE108,Z$5:Z$501,0),1),"")</f>
        <v/>
      </c>
      <c r="BH108" s="19" t="str">
        <f>IF(ISNUMBER(MATCH($BE108,AA$5:AA$501,0)),INDEX(AA$5:AA$501,MATCH($BE108,AA$5:AA$501,0),1),"")</f>
        <v/>
      </c>
      <c r="BI108" s="19" t="str">
        <f>IF(ISNUMBER(MATCH($BE108,AB$5:AB$501,0)),INDEX(AB$5:AB$501,MATCH($BE108,AB$5:AB$501,0),1),"")</f>
        <v/>
      </c>
      <c r="BJ108" s="19" t="str">
        <f>IF(ISNUMBER(MATCH($BE108,AC$5:AC$501,0)),INDEX(AC$5:AC$501,MATCH($BE108,AC$5:AC$501,0),1),"")</f>
        <v/>
      </c>
      <c r="BK108" s="19" t="str">
        <f>IF(ISNUMBER(MATCH($BE108,AD$5:AD$501,0)),INDEX(AD$5:AD$501,MATCH($BE108,AD$5:AD$501,0),1),"")</f>
        <v/>
      </c>
      <c r="BL108" s="19" t="str">
        <f>IF(ISNUMBER(MATCH($BE108,AE$5:AE$501,0)),INDEX(AE$5:AE$501,MATCH($BE108,AE$5:AE$501,0),1),"")</f>
        <v/>
      </c>
      <c r="BM108" s="19" t="str">
        <f>IF(ISNUMBER(MATCH($BE108,AF$5:AF$501,0)),INDEX(AF$5:AF$501,MATCH($BE108,AF$5:AF$501,0),1),"")</f>
        <v/>
      </c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</row>
    <row r="109" spans="1:78" ht="12" customHeight="1" x14ac:dyDescent="0.25">
      <c r="A109" s="26"/>
      <c r="B109" s="28" t="str">
        <f>IF(ISNUMBER(MATCH(O109,$N$5:$N$1000,0)),MATCH(O109,$N$5:$N$1000,0),"")</f>
        <v/>
      </c>
      <c r="C109" s="15" t="str">
        <f>IF(ISNUMBER(B109),MAX(C$4:C108)+1,"")</f>
        <v/>
      </c>
      <c r="D109" s="15" t="str">
        <f>IF(IF(ISNUMBER(B109),"",MAX(D$4:D108)+1)&lt;=D$3,IF(ISNUMBER(B109),"",MAX(D$4:D108)+1),"")</f>
        <v/>
      </c>
      <c r="E109" s="42" t="str">
        <f>IF(M109&lt;=D$3,MATCH(M109,D$5:D$1000,0),"")</f>
        <v/>
      </c>
      <c r="F109" s="28" t="str">
        <f>IF(ISNUMBER(E109),INDEX($N$5:$N$1000,E109,1),"")</f>
        <v/>
      </c>
      <c r="G109" s="27" t="str">
        <f>IF(ISNUMBER(C109),N109,IF(ISTEXT(N109),INDEX($F$5:$F$1000,MATCH(M109,$E$5:$E$1000,0),1),""))</f>
        <v/>
      </c>
      <c r="H109" s="15" t="str">
        <f>IF(O109="","",IF(ISNUMBER(MATCH(O109,$G$5:$G$1000,0)),"",IF(D109=1,C$3,0)+MAX(H$4:H108)+1))</f>
        <v/>
      </c>
      <c r="I109" s="15" t="str">
        <f>IF(O109="","",IF(ISNUMBER(MATCH(O109,$G$5:$G$1000,0)),"",IF(D109=1,B$4,0)+MAX(I$4:I108)+1))</f>
        <v/>
      </c>
      <c r="J109" s="27" t="str">
        <f>IF(ISNUMBER(MATCH(M109,$I$5:$I$1000,0)),INDEX($O$5:$O$1000,MATCH(M109,$I$5:$I$1000,0),1),"")</f>
        <v/>
      </c>
      <c r="K109" s="27"/>
      <c r="L109" s="26"/>
      <c r="M109" s="14">
        <f>IF(ROW()-ROW(M$4)&lt;=1000,ROW()-ROW(M$4),"")</f>
        <v>105</v>
      </c>
      <c r="N109" s="38"/>
      <c r="O109" s="38"/>
      <c r="P109" s="41" t="str">
        <f>IF(M109&lt;=$B$4,IF(ISTEXT(G109),G109,""),IF(ISTEXT(J109),J109,""))</f>
        <v/>
      </c>
      <c r="Q109" s="16" t="s">
        <v>0</v>
      </c>
      <c r="R109" s="34" t="str">
        <f>IF(ROW()-ROW(R$4)&lt;=AH$3,ROW()-ROW(R$4),"")</f>
        <v/>
      </c>
      <c r="S109" s="34" t="str">
        <f>IF(ROW()-ROW(S$4)&lt;=AI$3,ROW()-ROW(S$4),"")</f>
        <v/>
      </c>
      <c r="T109" s="34" t="str">
        <f>IF(ROW()-ROW(T$4)&lt;=AJ$3,ROW()-ROW(T$4),"")</f>
        <v/>
      </c>
      <c r="U109" s="34" t="str">
        <f>IF(ROW()-ROW(U$4)&lt;=AK$3,ROW()-ROW(U$4),"")</f>
        <v/>
      </c>
      <c r="V109" s="34" t="str">
        <f>IF(ROW()-ROW(V$4)&lt;=AL$3,ROW()-ROW(V$4),"")</f>
        <v/>
      </c>
      <c r="W109" s="34" t="str">
        <f>IF(ROW()-ROW(W$4)&lt;=AM$3,ROW()-ROW(W$4),"")</f>
        <v/>
      </c>
      <c r="X109" s="34" t="str">
        <f>IF(ROW()-ROW(X$4)&lt;=AN$3,ROW()-ROW(X$4),"")</f>
        <v/>
      </c>
      <c r="Y109" s="34"/>
      <c r="Z109" s="35" t="str">
        <f>IF(ISNUMBER(R109),INDEX($BE$5:$BE$2999,MATCH(R109,AH$5:AH$2999,0),1),"")</f>
        <v/>
      </c>
      <c r="AA109" s="35" t="str">
        <f>IF(ISNUMBER(S109),INDEX($BE$5:$BE$2999,MATCH(S109,AI$5:AI$2999,0),1),"")</f>
        <v/>
      </c>
      <c r="AB109" s="35" t="str">
        <f>IF(ISNUMBER(T109),INDEX($BE$5:$BE$2999,MATCH(T109,AJ$5:AJ$2999,0),1),"")</f>
        <v/>
      </c>
      <c r="AC109" s="35" t="str">
        <f>IF(ISNUMBER(U109),INDEX($BE$5:$BE$2999,MATCH(U109,AK$5:AK$2999,0),1),"")</f>
        <v/>
      </c>
      <c r="AD109" s="35" t="str">
        <f>IF(ISNUMBER(V109),INDEX($BE$5:$BE$2999,MATCH(V109,AL$5:AL$2999,0),1),"")</f>
        <v/>
      </c>
      <c r="AE109" s="35" t="str">
        <f>IF(ISNUMBER(W109),INDEX($BE$5:$BE$2999,MATCH(W109,AM$5:AM$2999,0),1),"")</f>
        <v/>
      </c>
      <c r="AF109" s="35" t="str">
        <f>IF(ISNUMBER(X109),INDEX($BE$5:$BE$2999,MATCH(X109,AN$5:AN$2999,0),1),"")</f>
        <v/>
      </c>
      <c r="AG109" s="35"/>
      <c r="AH109" s="34" t="str">
        <f>IF($BE109="","",IF(ISNUMBER(MATCH($BE109,AP$5:AP$29999,0)),MAX(AH$4:AH108)+1,0))</f>
        <v/>
      </c>
      <c r="AI109" s="34" t="str">
        <f>IF($BE109="","",IF(ISNUMBER(MATCH($BE109,AQ$5:AQ$29999,0)),MAX(AI$4:AI108)+1,0))</f>
        <v/>
      </c>
      <c r="AJ109" s="34" t="str">
        <f>IF($BE109="","",IF(ISNUMBER(MATCH($BE109,AR$5:AR$29999,0)),MAX(AJ$4:AJ108)+1,0))</f>
        <v/>
      </c>
      <c r="AK109" s="34" t="str">
        <f>IF($BE109="","",IF(ISNUMBER(MATCH($BE109,AS$5:AS$29999,0)),MAX(AK$4:AK108)+1,0))</f>
        <v/>
      </c>
      <c r="AL109" s="34" t="str">
        <f>IF($BE109="","",IF(ISNUMBER(MATCH($BE109,AT$5:AT$29999,0)),MAX(AL$4:AL108)+1,0))</f>
        <v/>
      </c>
      <c r="AM109" s="34" t="str">
        <f>IF($BE109="","",IF(ISNUMBER(MATCH($BE109,AU$5:AU$29999,0)),MAX(AM$4:AM108)+1,0))</f>
        <v/>
      </c>
      <c r="AN109" s="34" t="str">
        <f>IF($BE109="","",IF(ISNUMBER(MATCH($BE109,AV$5:AV$29999,0)),MAX(AN$4:AN108)+1,0))</f>
        <v/>
      </c>
      <c r="AO109" s="16"/>
      <c r="AP109" s="33"/>
      <c r="AQ109" s="33"/>
      <c r="AR109" s="33"/>
      <c r="AS109" s="33"/>
      <c r="AT109" s="32"/>
      <c r="AU109" s="32"/>
      <c r="AV109" s="32" t="s">
        <v>0</v>
      </c>
      <c r="AW109" s="40"/>
      <c r="AX109" s="20" t="s">
        <v>0</v>
      </c>
      <c r="AY109" s="30"/>
      <c r="AZ109" s="30"/>
      <c r="BA109" s="39"/>
      <c r="BB109" s="37"/>
      <c r="BC109" s="36"/>
      <c r="BD109" s="36"/>
      <c r="BE109" s="20"/>
      <c r="BF109" s="36"/>
      <c r="BG109" s="19" t="str">
        <f>IF(ISNUMBER(MATCH($BE109,Z$5:Z$501,0)),INDEX(Z$5:Z$501,MATCH($BE109,Z$5:Z$501,0),1),"")</f>
        <v/>
      </c>
      <c r="BH109" s="19" t="str">
        <f>IF(ISNUMBER(MATCH($BE109,AA$5:AA$501,0)),INDEX(AA$5:AA$501,MATCH($BE109,AA$5:AA$501,0),1),"")</f>
        <v/>
      </c>
      <c r="BI109" s="19" t="str">
        <f>IF(ISNUMBER(MATCH($BE109,AB$5:AB$501,0)),INDEX(AB$5:AB$501,MATCH($BE109,AB$5:AB$501,0),1),"")</f>
        <v/>
      </c>
      <c r="BJ109" s="19" t="str">
        <f>IF(ISNUMBER(MATCH($BE109,AC$5:AC$501,0)),INDEX(AC$5:AC$501,MATCH($BE109,AC$5:AC$501,0),1),"")</f>
        <v/>
      </c>
      <c r="BK109" s="19" t="str">
        <f>IF(ISNUMBER(MATCH($BE109,AD$5:AD$501,0)),INDEX(AD$5:AD$501,MATCH($BE109,AD$5:AD$501,0),1),"")</f>
        <v/>
      </c>
      <c r="BL109" s="19" t="str">
        <f>IF(ISNUMBER(MATCH($BE109,AE$5:AE$501,0)),INDEX(AE$5:AE$501,MATCH($BE109,AE$5:AE$501,0),1),"")</f>
        <v/>
      </c>
      <c r="BM109" s="19" t="str">
        <f>IF(ISNUMBER(MATCH($BE109,AF$5:AF$501,0)),INDEX(AF$5:AF$501,MATCH($BE109,AF$5:AF$501,0),1),"")</f>
        <v/>
      </c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</row>
    <row r="110" spans="1:78" ht="12" customHeight="1" x14ac:dyDescent="0.25">
      <c r="A110" s="26"/>
      <c r="B110" s="28" t="str">
        <f>IF(ISNUMBER(MATCH(O110,$N$5:$N$1000,0)),MATCH(O110,$N$5:$N$1000,0),"")</f>
        <v/>
      </c>
      <c r="C110" s="15" t="str">
        <f>IF(ISNUMBER(B110),MAX(C$4:C109)+1,"")</f>
        <v/>
      </c>
      <c r="D110" s="15" t="str">
        <f>IF(IF(ISNUMBER(B110),"",MAX(D$4:D109)+1)&lt;=D$3,IF(ISNUMBER(B110),"",MAX(D$4:D109)+1),"")</f>
        <v/>
      </c>
      <c r="E110" s="42" t="str">
        <f>IF(M110&lt;=D$3,MATCH(M110,D$5:D$1000,0),"")</f>
        <v/>
      </c>
      <c r="F110" s="28" t="str">
        <f>IF(ISNUMBER(E110),INDEX($N$5:$N$1000,E110,1),"")</f>
        <v/>
      </c>
      <c r="G110" s="27" t="str">
        <f>IF(ISNUMBER(C110),N110,IF(ISTEXT(N110),INDEX($F$5:$F$1000,MATCH(M110,$E$5:$E$1000,0),1),""))</f>
        <v/>
      </c>
      <c r="H110" s="15" t="str">
        <f>IF(O110="","",IF(ISNUMBER(MATCH(O110,$G$5:$G$1000,0)),"",IF(D110=1,C$3,0)+MAX(H$4:H109)+1))</f>
        <v/>
      </c>
      <c r="I110" s="15" t="str">
        <f>IF(O110="","",IF(ISNUMBER(MATCH(O110,$G$5:$G$1000,0)),"",IF(D110=1,B$4,0)+MAX(I$4:I109)+1))</f>
        <v/>
      </c>
      <c r="J110" s="27" t="str">
        <f>IF(ISNUMBER(MATCH(M110,$I$5:$I$1000,0)),INDEX($O$5:$O$1000,MATCH(M110,$I$5:$I$1000,0),1),"")</f>
        <v/>
      </c>
      <c r="K110" s="27"/>
      <c r="L110" s="26"/>
      <c r="M110" s="14">
        <f>IF(ROW()-ROW(M$4)&lt;=1000,ROW()-ROW(M$4),"")</f>
        <v>106</v>
      </c>
      <c r="N110" s="38"/>
      <c r="O110" s="38"/>
      <c r="P110" s="41" t="str">
        <f>IF(M110&lt;=$B$4,IF(ISTEXT(G110),G110,""),IF(ISTEXT(J110),J110,""))</f>
        <v/>
      </c>
      <c r="Q110" s="16" t="s">
        <v>0</v>
      </c>
      <c r="R110" s="34" t="str">
        <f>IF(ROW()-ROW(R$4)&lt;=AH$3,ROW()-ROW(R$4),"")</f>
        <v/>
      </c>
      <c r="S110" s="34" t="str">
        <f>IF(ROW()-ROW(S$4)&lt;=AI$3,ROW()-ROW(S$4),"")</f>
        <v/>
      </c>
      <c r="T110" s="34" t="str">
        <f>IF(ROW()-ROW(T$4)&lt;=AJ$3,ROW()-ROW(T$4),"")</f>
        <v/>
      </c>
      <c r="U110" s="34" t="str">
        <f>IF(ROW()-ROW(U$4)&lt;=AK$3,ROW()-ROW(U$4),"")</f>
        <v/>
      </c>
      <c r="V110" s="34" t="str">
        <f>IF(ROW()-ROW(V$4)&lt;=AL$3,ROW()-ROW(V$4),"")</f>
        <v/>
      </c>
      <c r="W110" s="34" t="str">
        <f>IF(ROW()-ROW(W$4)&lt;=AM$3,ROW()-ROW(W$4),"")</f>
        <v/>
      </c>
      <c r="X110" s="34" t="str">
        <f>IF(ROW()-ROW(X$4)&lt;=AN$3,ROW()-ROW(X$4),"")</f>
        <v/>
      </c>
      <c r="Y110" s="34"/>
      <c r="Z110" s="35" t="str">
        <f>IF(ISNUMBER(R110),INDEX($BE$5:$BE$2999,MATCH(R110,AH$5:AH$2999,0),1),"")</f>
        <v/>
      </c>
      <c r="AA110" s="35" t="str">
        <f>IF(ISNUMBER(S110),INDEX($BE$5:$BE$2999,MATCH(S110,AI$5:AI$2999,0),1),"")</f>
        <v/>
      </c>
      <c r="AB110" s="35" t="str">
        <f>IF(ISNUMBER(T110),INDEX($BE$5:$BE$2999,MATCH(T110,AJ$5:AJ$2999,0),1),"")</f>
        <v/>
      </c>
      <c r="AC110" s="35" t="str">
        <f>IF(ISNUMBER(U110),INDEX($BE$5:$BE$2999,MATCH(U110,AK$5:AK$2999,0),1),"")</f>
        <v/>
      </c>
      <c r="AD110" s="35" t="str">
        <f>IF(ISNUMBER(V110),INDEX($BE$5:$BE$2999,MATCH(V110,AL$5:AL$2999,0),1),"")</f>
        <v/>
      </c>
      <c r="AE110" s="35" t="str">
        <f>IF(ISNUMBER(W110),INDEX($BE$5:$BE$2999,MATCH(W110,AM$5:AM$2999,0),1),"")</f>
        <v/>
      </c>
      <c r="AF110" s="35" t="str">
        <f>IF(ISNUMBER(X110),INDEX($BE$5:$BE$2999,MATCH(X110,AN$5:AN$2999,0),1),"")</f>
        <v/>
      </c>
      <c r="AG110" s="35"/>
      <c r="AH110" s="34" t="str">
        <f>IF($BE110="","",IF(ISNUMBER(MATCH($BE110,AP$5:AP$29999,0)),MAX(AH$4:AH109)+1,0))</f>
        <v/>
      </c>
      <c r="AI110" s="34" t="str">
        <f>IF($BE110="","",IF(ISNUMBER(MATCH($BE110,AQ$5:AQ$29999,0)),MAX(AI$4:AI109)+1,0))</f>
        <v/>
      </c>
      <c r="AJ110" s="34" t="str">
        <f>IF($BE110="","",IF(ISNUMBER(MATCH($BE110,AR$5:AR$29999,0)),MAX(AJ$4:AJ109)+1,0))</f>
        <v/>
      </c>
      <c r="AK110" s="34" t="str">
        <f>IF($BE110="","",IF(ISNUMBER(MATCH($BE110,AS$5:AS$29999,0)),MAX(AK$4:AK109)+1,0))</f>
        <v/>
      </c>
      <c r="AL110" s="34" t="str">
        <f>IF($BE110="","",IF(ISNUMBER(MATCH($BE110,AT$5:AT$29999,0)),MAX(AL$4:AL109)+1,0))</f>
        <v/>
      </c>
      <c r="AM110" s="34" t="str">
        <f>IF($BE110="","",IF(ISNUMBER(MATCH($BE110,AU$5:AU$29999,0)),MAX(AM$4:AM109)+1,0))</f>
        <v/>
      </c>
      <c r="AN110" s="34" t="str">
        <f>IF($BE110="","",IF(ISNUMBER(MATCH($BE110,AV$5:AV$29999,0)),MAX(AN$4:AN109)+1,0))</f>
        <v/>
      </c>
      <c r="AO110" s="16"/>
      <c r="AP110" s="33"/>
      <c r="AQ110" s="33"/>
      <c r="AR110" s="33"/>
      <c r="AS110" s="33"/>
      <c r="AT110" s="32"/>
      <c r="AU110" s="32"/>
      <c r="AV110" s="32" t="s">
        <v>0</v>
      </c>
      <c r="AW110" s="40"/>
      <c r="AX110" s="20" t="s">
        <v>0</v>
      </c>
      <c r="AY110" s="30"/>
      <c r="AZ110" s="30"/>
      <c r="BA110" s="39"/>
      <c r="BB110" s="37"/>
      <c r="BC110" s="36"/>
      <c r="BD110" s="36"/>
      <c r="BE110" s="20"/>
      <c r="BF110" s="36"/>
      <c r="BG110" s="19" t="str">
        <f>IF(ISNUMBER(MATCH($BE110,Z$5:Z$501,0)),INDEX(Z$5:Z$501,MATCH($BE110,Z$5:Z$501,0),1),"")</f>
        <v/>
      </c>
      <c r="BH110" s="19" t="str">
        <f>IF(ISNUMBER(MATCH($BE110,AA$5:AA$501,0)),INDEX(AA$5:AA$501,MATCH($BE110,AA$5:AA$501,0),1),"")</f>
        <v/>
      </c>
      <c r="BI110" s="19" t="str">
        <f>IF(ISNUMBER(MATCH($BE110,AB$5:AB$501,0)),INDEX(AB$5:AB$501,MATCH($BE110,AB$5:AB$501,0),1),"")</f>
        <v/>
      </c>
      <c r="BJ110" s="19" t="str">
        <f>IF(ISNUMBER(MATCH($BE110,AC$5:AC$501,0)),INDEX(AC$5:AC$501,MATCH($BE110,AC$5:AC$501,0),1),"")</f>
        <v/>
      </c>
      <c r="BK110" s="19" t="str">
        <f>IF(ISNUMBER(MATCH($BE110,AD$5:AD$501,0)),INDEX(AD$5:AD$501,MATCH($BE110,AD$5:AD$501,0),1),"")</f>
        <v/>
      </c>
      <c r="BL110" s="19" t="str">
        <f>IF(ISNUMBER(MATCH($BE110,AE$5:AE$501,0)),INDEX(AE$5:AE$501,MATCH($BE110,AE$5:AE$501,0),1),"")</f>
        <v/>
      </c>
      <c r="BM110" s="19" t="str">
        <f>IF(ISNUMBER(MATCH($BE110,AF$5:AF$501,0)),INDEX(AF$5:AF$501,MATCH($BE110,AF$5:AF$501,0),1),"")</f>
        <v/>
      </c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</row>
    <row r="111" spans="1:78" ht="12" customHeight="1" x14ac:dyDescent="0.25">
      <c r="A111" s="26"/>
      <c r="B111" s="28" t="str">
        <f>IF(ISNUMBER(MATCH(O111,$N$5:$N$1000,0)),MATCH(O111,$N$5:$N$1000,0),"")</f>
        <v/>
      </c>
      <c r="C111" s="15" t="str">
        <f>IF(ISNUMBER(B111),MAX(C$4:C110)+1,"")</f>
        <v/>
      </c>
      <c r="D111" s="15" t="str">
        <f>IF(IF(ISNUMBER(B111),"",MAX(D$4:D110)+1)&lt;=D$3,IF(ISNUMBER(B111),"",MAX(D$4:D110)+1),"")</f>
        <v/>
      </c>
      <c r="E111" s="42" t="str">
        <f>IF(M111&lt;=D$3,MATCH(M111,D$5:D$1000,0),"")</f>
        <v/>
      </c>
      <c r="F111" s="28" t="str">
        <f>IF(ISNUMBER(E111),INDEX($N$5:$N$1000,E111,1),"")</f>
        <v/>
      </c>
      <c r="G111" s="27" t="str">
        <f>IF(ISNUMBER(C111),N111,IF(ISTEXT(N111),INDEX($F$5:$F$1000,MATCH(M111,$E$5:$E$1000,0),1),""))</f>
        <v/>
      </c>
      <c r="H111" s="15" t="str">
        <f>IF(O111="","",IF(ISNUMBER(MATCH(O111,$G$5:$G$1000,0)),"",IF(D111=1,C$3,0)+MAX(H$4:H110)+1))</f>
        <v/>
      </c>
      <c r="I111" s="15" t="str">
        <f>IF(O111="","",IF(ISNUMBER(MATCH(O111,$G$5:$G$1000,0)),"",IF(D111=1,B$4,0)+MAX(I$4:I110)+1))</f>
        <v/>
      </c>
      <c r="J111" s="27" t="str">
        <f>IF(ISNUMBER(MATCH(M111,$I$5:$I$1000,0)),INDEX($O$5:$O$1000,MATCH(M111,$I$5:$I$1000,0),1),"")</f>
        <v/>
      </c>
      <c r="K111" s="27"/>
      <c r="L111" s="26"/>
      <c r="M111" s="14">
        <f>IF(ROW()-ROW(M$4)&lt;=1000,ROW()-ROW(M$4),"")</f>
        <v>107</v>
      </c>
      <c r="N111" s="38"/>
      <c r="O111" s="38"/>
      <c r="P111" s="41" t="str">
        <f>IF(M111&lt;=$B$4,IF(ISTEXT(G111),G111,""),IF(ISTEXT(J111),J111,""))</f>
        <v/>
      </c>
      <c r="Q111" s="16" t="s">
        <v>0</v>
      </c>
      <c r="R111" s="34" t="str">
        <f>IF(ROW()-ROW(R$4)&lt;=AH$3,ROW()-ROW(R$4),"")</f>
        <v/>
      </c>
      <c r="S111" s="34" t="str">
        <f>IF(ROW()-ROW(S$4)&lt;=AI$3,ROW()-ROW(S$4),"")</f>
        <v/>
      </c>
      <c r="T111" s="34" t="str">
        <f>IF(ROW()-ROW(T$4)&lt;=AJ$3,ROW()-ROW(T$4),"")</f>
        <v/>
      </c>
      <c r="U111" s="34" t="str">
        <f>IF(ROW()-ROW(U$4)&lt;=AK$3,ROW()-ROW(U$4),"")</f>
        <v/>
      </c>
      <c r="V111" s="34" t="str">
        <f>IF(ROW()-ROW(V$4)&lt;=AL$3,ROW()-ROW(V$4),"")</f>
        <v/>
      </c>
      <c r="W111" s="34" t="str">
        <f>IF(ROW()-ROW(W$4)&lt;=AM$3,ROW()-ROW(W$4),"")</f>
        <v/>
      </c>
      <c r="X111" s="34" t="str">
        <f>IF(ROW()-ROW(X$4)&lt;=AN$3,ROW()-ROW(X$4),"")</f>
        <v/>
      </c>
      <c r="Y111" s="34"/>
      <c r="Z111" s="35" t="str">
        <f>IF(ISNUMBER(R111),INDEX($BE$5:$BE$2999,MATCH(R111,AH$5:AH$2999,0),1),"")</f>
        <v/>
      </c>
      <c r="AA111" s="35" t="str">
        <f>IF(ISNUMBER(S111),INDEX($BE$5:$BE$2999,MATCH(S111,AI$5:AI$2999,0),1),"")</f>
        <v/>
      </c>
      <c r="AB111" s="35" t="str">
        <f>IF(ISNUMBER(T111),INDEX($BE$5:$BE$2999,MATCH(T111,AJ$5:AJ$2999,0),1),"")</f>
        <v/>
      </c>
      <c r="AC111" s="35" t="str">
        <f>IF(ISNUMBER(U111),INDEX($BE$5:$BE$2999,MATCH(U111,AK$5:AK$2999,0),1),"")</f>
        <v/>
      </c>
      <c r="AD111" s="35" t="str">
        <f>IF(ISNUMBER(V111),INDEX($BE$5:$BE$2999,MATCH(V111,AL$5:AL$2999,0),1),"")</f>
        <v/>
      </c>
      <c r="AE111" s="35" t="str">
        <f>IF(ISNUMBER(W111),INDEX($BE$5:$BE$2999,MATCH(W111,AM$5:AM$2999,0),1),"")</f>
        <v/>
      </c>
      <c r="AF111" s="35" t="str">
        <f>IF(ISNUMBER(X111),INDEX($BE$5:$BE$2999,MATCH(X111,AN$5:AN$2999,0),1),"")</f>
        <v/>
      </c>
      <c r="AG111" s="35"/>
      <c r="AH111" s="34" t="str">
        <f>IF($BE111="","",IF(ISNUMBER(MATCH($BE111,AP$5:AP$29999,0)),MAX(AH$4:AH110)+1,0))</f>
        <v/>
      </c>
      <c r="AI111" s="34" t="str">
        <f>IF($BE111="","",IF(ISNUMBER(MATCH($BE111,AQ$5:AQ$29999,0)),MAX(AI$4:AI110)+1,0))</f>
        <v/>
      </c>
      <c r="AJ111" s="34" t="str">
        <f>IF($BE111="","",IF(ISNUMBER(MATCH($BE111,AR$5:AR$29999,0)),MAX(AJ$4:AJ110)+1,0))</f>
        <v/>
      </c>
      <c r="AK111" s="34" t="str">
        <f>IF($BE111="","",IF(ISNUMBER(MATCH($BE111,AS$5:AS$29999,0)),MAX(AK$4:AK110)+1,0))</f>
        <v/>
      </c>
      <c r="AL111" s="34" t="str">
        <f>IF($BE111="","",IF(ISNUMBER(MATCH($BE111,AT$5:AT$29999,0)),MAX(AL$4:AL110)+1,0))</f>
        <v/>
      </c>
      <c r="AM111" s="34" t="str">
        <f>IF($BE111="","",IF(ISNUMBER(MATCH($BE111,AU$5:AU$29999,0)),MAX(AM$4:AM110)+1,0))</f>
        <v/>
      </c>
      <c r="AN111" s="34" t="str">
        <f>IF($BE111="","",IF(ISNUMBER(MATCH($BE111,AV$5:AV$29999,0)),MAX(AN$4:AN110)+1,0))</f>
        <v/>
      </c>
      <c r="AO111" s="16"/>
      <c r="AP111" s="33"/>
      <c r="AQ111" s="33"/>
      <c r="AR111" s="33"/>
      <c r="AS111" s="33"/>
      <c r="AT111" s="32"/>
      <c r="AU111" s="32"/>
      <c r="AV111" s="32" t="s">
        <v>0</v>
      </c>
      <c r="AW111" s="40"/>
      <c r="AX111" s="20" t="s">
        <v>0</v>
      </c>
      <c r="AY111" s="30"/>
      <c r="AZ111" s="30"/>
      <c r="BA111" s="39"/>
      <c r="BB111" s="37"/>
      <c r="BC111" s="36"/>
      <c r="BD111" s="36"/>
      <c r="BE111" s="20"/>
      <c r="BF111" s="36"/>
      <c r="BG111" s="19" t="str">
        <f>IF(ISNUMBER(MATCH($BE111,Z$5:Z$501,0)),INDEX(Z$5:Z$501,MATCH($BE111,Z$5:Z$501,0),1),"")</f>
        <v/>
      </c>
      <c r="BH111" s="19" t="str">
        <f>IF(ISNUMBER(MATCH($BE111,AA$5:AA$501,0)),INDEX(AA$5:AA$501,MATCH($BE111,AA$5:AA$501,0),1),"")</f>
        <v/>
      </c>
      <c r="BI111" s="19" t="str">
        <f>IF(ISNUMBER(MATCH($BE111,AB$5:AB$501,0)),INDEX(AB$5:AB$501,MATCH($BE111,AB$5:AB$501,0),1),"")</f>
        <v/>
      </c>
      <c r="BJ111" s="19" t="str">
        <f>IF(ISNUMBER(MATCH($BE111,AC$5:AC$501,0)),INDEX(AC$5:AC$501,MATCH($BE111,AC$5:AC$501,0),1),"")</f>
        <v/>
      </c>
      <c r="BK111" s="19" t="str">
        <f>IF(ISNUMBER(MATCH($BE111,AD$5:AD$501,0)),INDEX(AD$5:AD$501,MATCH($BE111,AD$5:AD$501,0),1),"")</f>
        <v/>
      </c>
      <c r="BL111" s="19" t="str">
        <f>IF(ISNUMBER(MATCH($BE111,AE$5:AE$501,0)),INDEX(AE$5:AE$501,MATCH($BE111,AE$5:AE$501,0),1),"")</f>
        <v/>
      </c>
      <c r="BM111" s="19" t="str">
        <f>IF(ISNUMBER(MATCH($BE111,AF$5:AF$501,0)),INDEX(AF$5:AF$501,MATCH($BE111,AF$5:AF$501,0),1),"")</f>
        <v/>
      </c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</row>
    <row r="112" spans="1:78" ht="12" customHeight="1" x14ac:dyDescent="0.25">
      <c r="A112" s="26"/>
      <c r="B112" s="28" t="str">
        <f>IF(ISNUMBER(MATCH(O112,$N$5:$N$1000,0)),MATCH(O112,$N$5:$N$1000,0),"")</f>
        <v/>
      </c>
      <c r="C112" s="15" t="str">
        <f>IF(ISNUMBER(B112),MAX(C$4:C111)+1,"")</f>
        <v/>
      </c>
      <c r="D112" s="15" t="str">
        <f>IF(IF(ISNUMBER(B112),"",MAX(D$4:D111)+1)&lt;=D$3,IF(ISNUMBER(B112),"",MAX(D$4:D111)+1),"")</f>
        <v/>
      </c>
      <c r="E112" s="42" t="str">
        <f>IF(M112&lt;=D$3,MATCH(M112,D$5:D$1000,0),"")</f>
        <v/>
      </c>
      <c r="F112" s="28" t="str">
        <f>IF(ISNUMBER(E112),INDEX($N$5:$N$1000,E112,1),"")</f>
        <v/>
      </c>
      <c r="G112" s="27" t="str">
        <f>IF(ISNUMBER(C112),N112,IF(ISTEXT(N112),INDEX($F$5:$F$1000,MATCH(M112,$E$5:$E$1000,0),1),""))</f>
        <v/>
      </c>
      <c r="H112" s="15" t="str">
        <f>IF(O112="","",IF(ISNUMBER(MATCH(O112,$G$5:$G$1000,0)),"",IF(D112=1,C$3,0)+MAX(H$4:H111)+1))</f>
        <v/>
      </c>
      <c r="I112" s="15" t="str">
        <f>IF(O112="","",IF(ISNUMBER(MATCH(O112,$G$5:$G$1000,0)),"",IF(D112=1,B$4,0)+MAX(I$4:I111)+1))</f>
        <v/>
      </c>
      <c r="J112" s="27" t="str">
        <f>IF(ISNUMBER(MATCH(M112,$I$5:$I$1000,0)),INDEX($O$5:$O$1000,MATCH(M112,$I$5:$I$1000,0),1),"")</f>
        <v/>
      </c>
      <c r="K112" s="27"/>
      <c r="L112" s="26"/>
      <c r="M112" s="14">
        <f>IF(ROW()-ROW(M$4)&lt;=1000,ROW()-ROW(M$4),"")</f>
        <v>108</v>
      </c>
      <c r="N112" s="38"/>
      <c r="O112" s="38"/>
      <c r="P112" s="41" t="str">
        <f>IF(M112&lt;=$B$4,IF(ISTEXT(G112),G112,""),IF(ISTEXT(J112),J112,""))</f>
        <v/>
      </c>
      <c r="Q112" s="16" t="s">
        <v>0</v>
      </c>
      <c r="R112" s="34" t="str">
        <f>IF(ROW()-ROW(R$4)&lt;=AH$3,ROW()-ROW(R$4),"")</f>
        <v/>
      </c>
      <c r="S112" s="34" t="str">
        <f>IF(ROW()-ROW(S$4)&lt;=AI$3,ROW()-ROW(S$4),"")</f>
        <v/>
      </c>
      <c r="T112" s="34" t="str">
        <f>IF(ROW()-ROW(T$4)&lt;=AJ$3,ROW()-ROW(T$4),"")</f>
        <v/>
      </c>
      <c r="U112" s="34" t="str">
        <f>IF(ROW()-ROW(U$4)&lt;=AK$3,ROW()-ROW(U$4),"")</f>
        <v/>
      </c>
      <c r="V112" s="34" t="str">
        <f>IF(ROW()-ROW(V$4)&lt;=AL$3,ROW()-ROW(V$4),"")</f>
        <v/>
      </c>
      <c r="W112" s="34" t="str">
        <f>IF(ROW()-ROW(W$4)&lt;=AM$3,ROW()-ROW(W$4),"")</f>
        <v/>
      </c>
      <c r="X112" s="34" t="str">
        <f>IF(ROW()-ROW(X$4)&lt;=AN$3,ROW()-ROW(X$4),"")</f>
        <v/>
      </c>
      <c r="Y112" s="34"/>
      <c r="Z112" s="35" t="str">
        <f>IF(ISNUMBER(R112),INDEX($BE$5:$BE$2999,MATCH(R112,AH$5:AH$2999,0),1),"")</f>
        <v/>
      </c>
      <c r="AA112" s="35" t="str">
        <f>IF(ISNUMBER(S112),INDEX($BE$5:$BE$2999,MATCH(S112,AI$5:AI$2999,0),1),"")</f>
        <v/>
      </c>
      <c r="AB112" s="35" t="str">
        <f>IF(ISNUMBER(T112),INDEX($BE$5:$BE$2999,MATCH(T112,AJ$5:AJ$2999,0),1),"")</f>
        <v/>
      </c>
      <c r="AC112" s="35" t="str">
        <f>IF(ISNUMBER(U112),INDEX($BE$5:$BE$2999,MATCH(U112,AK$5:AK$2999,0),1),"")</f>
        <v/>
      </c>
      <c r="AD112" s="35" t="str">
        <f>IF(ISNUMBER(V112),INDEX($BE$5:$BE$2999,MATCH(V112,AL$5:AL$2999,0),1),"")</f>
        <v/>
      </c>
      <c r="AE112" s="35" t="str">
        <f>IF(ISNUMBER(W112),INDEX($BE$5:$BE$2999,MATCH(W112,AM$5:AM$2999,0),1),"")</f>
        <v/>
      </c>
      <c r="AF112" s="35" t="str">
        <f>IF(ISNUMBER(X112),INDEX($BE$5:$BE$2999,MATCH(X112,AN$5:AN$2999,0),1),"")</f>
        <v/>
      </c>
      <c r="AG112" s="35"/>
      <c r="AH112" s="34" t="str">
        <f>IF($BE112="","",IF(ISNUMBER(MATCH($BE112,AP$5:AP$29999,0)),MAX(AH$4:AH111)+1,0))</f>
        <v/>
      </c>
      <c r="AI112" s="34" t="str">
        <f>IF($BE112="","",IF(ISNUMBER(MATCH($BE112,AQ$5:AQ$29999,0)),MAX(AI$4:AI111)+1,0))</f>
        <v/>
      </c>
      <c r="AJ112" s="34" t="str">
        <f>IF($BE112="","",IF(ISNUMBER(MATCH($BE112,AR$5:AR$29999,0)),MAX(AJ$4:AJ111)+1,0))</f>
        <v/>
      </c>
      <c r="AK112" s="34" t="str">
        <f>IF($BE112="","",IF(ISNUMBER(MATCH($BE112,AS$5:AS$29999,0)),MAX(AK$4:AK111)+1,0))</f>
        <v/>
      </c>
      <c r="AL112" s="34" t="str">
        <f>IF($BE112="","",IF(ISNUMBER(MATCH($BE112,AT$5:AT$29999,0)),MAX(AL$4:AL111)+1,0))</f>
        <v/>
      </c>
      <c r="AM112" s="34" t="str">
        <f>IF($BE112="","",IF(ISNUMBER(MATCH($BE112,AU$5:AU$29999,0)),MAX(AM$4:AM111)+1,0))</f>
        <v/>
      </c>
      <c r="AN112" s="34" t="str">
        <f>IF($BE112="","",IF(ISNUMBER(MATCH($BE112,AV$5:AV$29999,0)),MAX(AN$4:AN111)+1,0))</f>
        <v/>
      </c>
      <c r="AO112" s="16"/>
      <c r="AP112" s="33"/>
      <c r="AQ112" s="33"/>
      <c r="AR112" s="33"/>
      <c r="AS112" s="33"/>
      <c r="AT112" s="32"/>
      <c r="AU112" s="32"/>
      <c r="AV112" s="32" t="s">
        <v>0</v>
      </c>
      <c r="AW112" s="40"/>
      <c r="AX112" s="20" t="s">
        <v>0</v>
      </c>
      <c r="AY112" s="30"/>
      <c r="AZ112" s="30"/>
      <c r="BA112" s="39"/>
      <c r="BB112" s="37"/>
      <c r="BC112" s="36"/>
      <c r="BD112" s="36"/>
      <c r="BE112" s="20"/>
      <c r="BF112" s="36"/>
      <c r="BG112" s="19" t="str">
        <f>IF(ISNUMBER(MATCH($BE112,Z$5:Z$501,0)),INDEX(Z$5:Z$501,MATCH($BE112,Z$5:Z$501,0),1),"")</f>
        <v/>
      </c>
      <c r="BH112" s="19" t="str">
        <f>IF(ISNUMBER(MATCH($BE112,AA$5:AA$501,0)),INDEX(AA$5:AA$501,MATCH($BE112,AA$5:AA$501,0),1),"")</f>
        <v/>
      </c>
      <c r="BI112" s="19" t="str">
        <f>IF(ISNUMBER(MATCH($BE112,AB$5:AB$501,0)),INDEX(AB$5:AB$501,MATCH($BE112,AB$5:AB$501,0),1),"")</f>
        <v/>
      </c>
      <c r="BJ112" s="19" t="str">
        <f>IF(ISNUMBER(MATCH($BE112,AC$5:AC$501,0)),INDEX(AC$5:AC$501,MATCH($BE112,AC$5:AC$501,0),1),"")</f>
        <v/>
      </c>
      <c r="BK112" s="19" t="str">
        <f>IF(ISNUMBER(MATCH($BE112,AD$5:AD$501,0)),INDEX(AD$5:AD$501,MATCH($BE112,AD$5:AD$501,0),1),"")</f>
        <v/>
      </c>
      <c r="BL112" s="19" t="str">
        <f>IF(ISNUMBER(MATCH($BE112,AE$5:AE$501,0)),INDEX(AE$5:AE$501,MATCH($BE112,AE$5:AE$501,0),1),"")</f>
        <v/>
      </c>
      <c r="BM112" s="19" t="str">
        <f>IF(ISNUMBER(MATCH($BE112,AF$5:AF$501,0)),INDEX(AF$5:AF$501,MATCH($BE112,AF$5:AF$501,0),1),"")</f>
        <v/>
      </c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</row>
    <row r="113" spans="1:78" ht="12" customHeight="1" x14ac:dyDescent="0.25">
      <c r="A113" s="26"/>
      <c r="B113" s="28" t="str">
        <f>IF(ISNUMBER(MATCH(O113,$N$5:$N$1000,0)),MATCH(O113,$N$5:$N$1000,0),"")</f>
        <v/>
      </c>
      <c r="C113" s="15" t="str">
        <f>IF(ISNUMBER(B113),MAX(C$4:C112)+1,"")</f>
        <v/>
      </c>
      <c r="D113" s="15" t="str">
        <f>IF(IF(ISNUMBER(B113),"",MAX(D$4:D112)+1)&lt;=D$3,IF(ISNUMBER(B113),"",MAX(D$4:D112)+1),"")</f>
        <v/>
      </c>
      <c r="E113" s="42" t="str">
        <f>IF(M113&lt;=D$3,MATCH(M113,D$5:D$1000,0),"")</f>
        <v/>
      </c>
      <c r="F113" s="28" t="str">
        <f>IF(ISNUMBER(E113),INDEX($N$5:$N$1000,E113,1),"")</f>
        <v/>
      </c>
      <c r="G113" s="27" t="str">
        <f>IF(ISNUMBER(C113),N113,IF(ISTEXT(N113),INDEX($F$5:$F$1000,MATCH(M113,$E$5:$E$1000,0),1),""))</f>
        <v/>
      </c>
      <c r="H113" s="15" t="str">
        <f>IF(O113="","",IF(ISNUMBER(MATCH(O113,$G$5:$G$1000,0)),"",IF(D113=1,C$3,0)+MAX(H$4:H112)+1))</f>
        <v/>
      </c>
      <c r="I113" s="15" t="str">
        <f>IF(O113="","",IF(ISNUMBER(MATCH(O113,$G$5:$G$1000,0)),"",IF(D113=1,B$4,0)+MAX(I$4:I112)+1))</f>
        <v/>
      </c>
      <c r="J113" s="27" t="str">
        <f>IF(ISNUMBER(MATCH(M113,$I$5:$I$1000,0)),INDEX($O$5:$O$1000,MATCH(M113,$I$5:$I$1000,0),1),"")</f>
        <v/>
      </c>
      <c r="K113" s="27"/>
      <c r="L113" s="26"/>
      <c r="M113" s="14">
        <f>IF(ROW()-ROW(M$4)&lt;=1000,ROW()-ROW(M$4),"")</f>
        <v>109</v>
      </c>
      <c r="N113" s="38"/>
      <c r="O113" s="38"/>
      <c r="P113" s="41" t="str">
        <f>IF(M113&lt;=$B$4,IF(ISTEXT(G113),G113,""),IF(ISTEXT(J113),J113,""))</f>
        <v/>
      </c>
      <c r="Q113" s="16" t="s">
        <v>0</v>
      </c>
      <c r="R113" s="34" t="str">
        <f>IF(ROW()-ROW(R$4)&lt;=AH$3,ROW()-ROW(R$4),"")</f>
        <v/>
      </c>
      <c r="S113" s="34" t="str">
        <f>IF(ROW()-ROW(S$4)&lt;=AI$3,ROW()-ROW(S$4),"")</f>
        <v/>
      </c>
      <c r="T113" s="34" t="str">
        <f>IF(ROW()-ROW(T$4)&lt;=AJ$3,ROW()-ROW(T$4),"")</f>
        <v/>
      </c>
      <c r="U113" s="34" t="str">
        <f>IF(ROW()-ROW(U$4)&lt;=AK$3,ROW()-ROW(U$4),"")</f>
        <v/>
      </c>
      <c r="V113" s="34" t="str">
        <f>IF(ROW()-ROW(V$4)&lt;=AL$3,ROW()-ROW(V$4),"")</f>
        <v/>
      </c>
      <c r="W113" s="34" t="str">
        <f>IF(ROW()-ROW(W$4)&lt;=AM$3,ROW()-ROW(W$4),"")</f>
        <v/>
      </c>
      <c r="X113" s="34" t="str">
        <f>IF(ROW()-ROW(X$4)&lt;=AN$3,ROW()-ROW(X$4),"")</f>
        <v/>
      </c>
      <c r="Y113" s="34"/>
      <c r="Z113" s="35" t="str">
        <f>IF(ISNUMBER(R113),INDEX($BE$5:$BE$2999,MATCH(R113,AH$5:AH$2999,0),1),"")</f>
        <v/>
      </c>
      <c r="AA113" s="35" t="str">
        <f>IF(ISNUMBER(S113),INDEX($BE$5:$BE$2999,MATCH(S113,AI$5:AI$2999,0),1),"")</f>
        <v/>
      </c>
      <c r="AB113" s="35" t="str">
        <f>IF(ISNUMBER(T113),INDEX($BE$5:$BE$2999,MATCH(T113,AJ$5:AJ$2999,0),1),"")</f>
        <v/>
      </c>
      <c r="AC113" s="35" t="str">
        <f>IF(ISNUMBER(U113),INDEX($BE$5:$BE$2999,MATCH(U113,AK$5:AK$2999,0),1),"")</f>
        <v/>
      </c>
      <c r="AD113" s="35" t="str">
        <f>IF(ISNUMBER(V113),INDEX($BE$5:$BE$2999,MATCH(V113,AL$5:AL$2999,0),1),"")</f>
        <v/>
      </c>
      <c r="AE113" s="35" t="str">
        <f>IF(ISNUMBER(W113),INDEX($BE$5:$BE$2999,MATCH(W113,AM$5:AM$2999,0),1),"")</f>
        <v/>
      </c>
      <c r="AF113" s="35" t="str">
        <f>IF(ISNUMBER(X113),INDEX($BE$5:$BE$2999,MATCH(X113,AN$5:AN$2999,0),1),"")</f>
        <v/>
      </c>
      <c r="AG113" s="35"/>
      <c r="AH113" s="34" t="str">
        <f>IF($BE113="","",IF(ISNUMBER(MATCH($BE113,AP$5:AP$29999,0)),MAX(AH$4:AH112)+1,0))</f>
        <v/>
      </c>
      <c r="AI113" s="34" t="str">
        <f>IF($BE113="","",IF(ISNUMBER(MATCH($BE113,AQ$5:AQ$29999,0)),MAX(AI$4:AI112)+1,0))</f>
        <v/>
      </c>
      <c r="AJ113" s="34" t="str">
        <f>IF($BE113="","",IF(ISNUMBER(MATCH($BE113,AR$5:AR$29999,0)),MAX(AJ$4:AJ112)+1,0))</f>
        <v/>
      </c>
      <c r="AK113" s="34" t="str">
        <f>IF($BE113="","",IF(ISNUMBER(MATCH($BE113,AS$5:AS$29999,0)),MAX(AK$4:AK112)+1,0))</f>
        <v/>
      </c>
      <c r="AL113" s="34" t="str">
        <f>IF($BE113="","",IF(ISNUMBER(MATCH($BE113,AT$5:AT$29999,0)),MAX(AL$4:AL112)+1,0))</f>
        <v/>
      </c>
      <c r="AM113" s="34" t="str">
        <f>IF($BE113="","",IF(ISNUMBER(MATCH($BE113,AU$5:AU$29999,0)),MAX(AM$4:AM112)+1,0))</f>
        <v/>
      </c>
      <c r="AN113" s="34" t="str">
        <f>IF($BE113="","",IF(ISNUMBER(MATCH($BE113,AV$5:AV$29999,0)),MAX(AN$4:AN112)+1,0))</f>
        <v/>
      </c>
      <c r="AO113" s="16"/>
      <c r="AP113" s="33"/>
      <c r="AQ113" s="33"/>
      <c r="AR113" s="33"/>
      <c r="AS113" s="33"/>
      <c r="AT113" s="32"/>
      <c r="AU113" s="32"/>
      <c r="AV113" s="32" t="s">
        <v>0</v>
      </c>
      <c r="AW113" s="40"/>
      <c r="AX113" s="20" t="s">
        <v>0</v>
      </c>
      <c r="AY113" s="30"/>
      <c r="AZ113" s="30"/>
      <c r="BA113" s="39"/>
      <c r="BB113" s="37"/>
      <c r="BC113" s="36"/>
      <c r="BD113" s="36"/>
      <c r="BE113" s="20"/>
      <c r="BF113" s="36"/>
      <c r="BG113" s="19" t="str">
        <f>IF(ISNUMBER(MATCH($BE113,Z$5:Z$501,0)),INDEX(Z$5:Z$501,MATCH($BE113,Z$5:Z$501,0),1),"")</f>
        <v/>
      </c>
      <c r="BH113" s="19" t="str">
        <f>IF(ISNUMBER(MATCH($BE113,AA$5:AA$501,0)),INDEX(AA$5:AA$501,MATCH($BE113,AA$5:AA$501,0),1),"")</f>
        <v/>
      </c>
      <c r="BI113" s="19" t="str">
        <f>IF(ISNUMBER(MATCH($BE113,AB$5:AB$501,0)),INDEX(AB$5:AB$501,MATCH($BE113,AB$5:AB$501,0),1),"")</f>
        <v/>
      </c>
      <c r="BJ113" s="19" t="str">
        <f>IF(ISNUMBER(MATCH($BE113,AC$5:AC$501,0)),INDEX(AC$5:AC$501,MATCH($BE113,AC$5:AC$501,0),1),"")</f>
        <v/>
      </c>
      <c r="BK113" s="19" t="str">
        <f>IF(ISNUMBER(MATCH($BE113,AD$5:AD$501,0)),INDEX(AD$5:AD$501,MATCH($BE113,AD$5:AD$501,0),1),"")</f>
        <v/>
      </c>
      <c r="BL113" s="19" t="str">
        <f>IF(ISNUMBER(MATCH($BE113,AE$5:AE$501,0)),INDEX(AE$5:AE$501,MATCH($BE113,AE$5:AE$501,0),1),"")</f>
        <v/>
      </c>
      <c r="BM113" s="19" t="str">
        <f>IF(ISNUMBER(MATCH($BE113,AF$5:AF$501,0)),INDEX(AF$5:AF$501,MATCH($BE113,AF$5:AF$501,0),1),"")</f>
        <v/>
      </c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</row>
    <row r="114" spans="1:78" ht="12" customHeight="1" x14ac:dyDescent="0.25">
      <c r="A114" s="26"/>
      <c r="B114" s="28" t="str">
        <f>IF(ISNUMBER(MATCH(O114,$N$5:$N$1000,0)),MATCH(O114,$N$5:$N$1000,0),"")</f>
        <v/>
      </c>
      <c r="C114" s="15" t="str">
        <f>IF(ISNUMBER(B114),MAX(C$4:C113)+1,"")</f>
        <v/>
      </c>
      <c r="D114" s="15" t="str">
        <f>IF(IF(ISNUMBER(B114),"",MAX(D$4:D113)+1)&lt;=D$3,IF(ISNUMBER(B114),"",MAX(D$4:D113)+1),"")</f>
        <v/>
      </c>
      <c r="E114" s="42" t="str">
        <f>IF(M114&lt;=D$3,MATCH(M114,D$5:D$1000,0),"")</f>
        <v/>
      </c>
      <c r="F114" s="28" t="str">
        <f>IF(ISNUMBER(E114),INDEX($N$5:$N$1000,E114,1),"")</f>
        <v/>
      </c>
      <c r="G114" s="27" t="str">
        <f>IF(ISNUMBER(C114),N114,IF(ISTEXT(N114),INDEX($F$5:$F$1000,MATCH(M114,$E$5:$E$1000,0),1),""))</f>
        <v/>
      </c>
      <c r="H114" s="15" t="str">
        <f>IF(O114="","",IF(ISNUMBER(MATCH(O114,$G$5:$G$1000,0)),"",IF(D114=1,C$3,0)+MAX(H$4:H113)+1))</f>
        <v/>
      </c>
      <c r="I114" s="15" t="str">
        <f>IF(O114="","",IF(ISNUMBER(MATCH(O114,$G$5:$G$1000,0)),"",IF(D114=1,B$4,0)+MAX(I$4:I113)+1))</f>
        <v/>
      </c>
      <c r="J114" s="27" t="str">
        <f>IF(ISNUMBER(MATCH(M114,$I$5:$I$1000,0)),INDEX($O$5:$O$1000,MATCH(M114,$I$5:$I$1000,0),1),"")</f>
        <v/>
      </c>
      <c r="K114" s="27"/>
      <c r="L114" s="26"/>
      <c r="M114" s="14">
        <f>IF(ROW()-ROW(M$4)&lt;=1000,ROW()-ROW(M$4),"")</f>
        <v>110</v>
      </c>
      <c r="N114" s="38"/>
      <c r="O114" s="38"/>
      <c r="P114" s="41" t="str">
        <f>IF(M114&lt;=$B$4,IF(ISTEXT(G114),G114,""),IF(ISTEXT(J114),J114,""))</f>
        <v/>
      </c>
      <c r="Q114" s="16" t="s">
        <v>0</v>
      </c>
      <c r="R114" s="34" t="str">
        <f>IF(ROW()-ROW(R$4)&lt;=AH$3,ROW()-ROW(R$4),"")</f>
        <v/>
      </c>
      <c r="S114" s="34" t="str">
        <f>IF(ROW()-ROW(S$4)&lt;=AI$3,ROW()-ROW(S$4),"")</f>
        <v/>
      </c>
      <c r="T114" s="34" t="str">
        <f>IF(ROW()-ROW(T$4)&lt;=AJ$3,ROW()-ROW(T$4),"")</f>
        <v/>
      </c>
      <c r="U114" s="34" t="str">
        <f>IF(ROW()-ROW(U$4)&lt;=AK$3,ROW()-ROW(U$4),"")</f>
        <v/>
      </c>
      <c r="V114" s="34" t="str">
        <f>IF(ROW()-ROW(V$4)&lt;=AL$3,ROW()-ROW(V$4),"")</f>
        <v/>
      </c>
      <c r="W114" s="34" t="str">
        <f>IF(ROW()-ROW(W$4)&lt;=AM$3,ROW()-ROW(W$4),"")</f>
        <v/>
      </c>
      <c r="X114" s="34" t="str">
        <f>IF(ROW()-ROW(X$4)&lt;=AN$3,ROW()-ROW(X$4),"")</f>
        <v/>
      </c>
      <c r="Y114" s="34"/>
      <c r="Z114" s="35" t="str">
        <f>IF(ISNUMBER(R114),INDEX($BE$5:$BE$2999,MATCH(R114,AH$5:AH$2999,0),1),"")</f>
        <v/>
      </c>
      <c r="AA114" s="35" t="str">
        <f>IF(ISNUMBER(S114),INDEX($BE$5:$BE$2999,MATCH(S114,AI$5:AI$2999,0),1),"")</f>
        <v/>
      </c>
      <c r="AB114" s="35" t="str">
        <f>IF(ISNUMBER(T114),INDEX($BE$5:$BE$2999,MATCH(T114,AJ$5:AJ$2999,0),1),"")</f>
        <v/>
      </c>
      <c r="AC114" s="35" t="str">
        <f>IF(ISNUMBER(U114),INDEX($BE$5:$BE$2999,MATCH(U114,AK$5:AK$2999,0),1),"")</f>
        <v/>
      </c>
      <c r="AD114" s="35" t="str">
        <f>IF(ISNUMBER(V114),INDEX($BE$5:$BE$2999,MATCH(V114,AL$5:AL$2999,0),1),"")</f>
        <v/>
      </c>
      <c r="AE114" s="35" t="str">
        <f>IF(ISNUMBER(W114),INDEX($BE$5:$BE$2999,MATCH(W114,AM$5:AM$2999,0),1),"")</f>
        <v/>
      </c>
      <c r="AF114" s="35" t="str">
        <f>IF(ISNUMBER(X114),INDEX($BE$5:$BE$2999,MATCH(X114,AN$5:AN$2999,0),1),"")</f>
        <v/>
      </c>
      <c r="AG114" s="35"/>
      <c r="AH114" s="34" t="str">
        <f>IF($BE114="","",IF(ISNUMBER(MATCH($BE114,AP$5:AP$29999,0)),MAX(AH$4:AH113)+1,0))</f>
        <v/>
      </c>
      <c r="AI114" s="34" t="str">
        <f>IF($BE114="","",IF(ISNUMBER(MATCH($BE114,AQ$5:AQ$29999,0)),MAX(AI$4:AI113)+1,0))</f>
        <v/>
      </c>
      <c r="AJ114" s="34" t="str">
        <f>IF($BE114="","",IF(ISNUMBER(MATCH($BE114,AR$5:AR$29999,0)),MAX(AJ$4:AJ113)+1,0))</f>
        <v/>
      </c>
      <c r="AK114" s="34" t="str">
        <f>IF($BE114="","",IF(ISNUMBER(MATCH($BE114,AS$5:AS$29999,0)),MAX(AK$4:AK113)+1,0))</f>
        <v/>
      </c>
      <c r="AL114" s="34" t="str">
        <f>IF($BE114="","",IF(ISNUMBER(MATCH($BE114,AT$5:AT$29999,0)),MAX(AL$4:AL113)+1,0))</f>
        <v/>
      </c>
      <c r="AM114" s="34" t="str">
        <f>IF($BE114="","",IF(ISNUMBER(MATCH($BE114,AU$5:AU$29999,0)),MAX(AM$4:AM113)+1,0))</f>
        <v/>
      </c>
      <c r="AN114" s="34" t="str">
        <f>IF($BE114="","",IF(ISNUMBER(MATCH($BE114,AV$5:AV$29999,0)),MAX(AN$4:AN113)+1,0))</f>
        <v/>
      </c>
      <c r="AO114" s="16"/>
      <c r="AP114" s="33"/>
      <c r="AQ114" s="33"/>
      <c r="AR114" s="33"/>
      <c r="AS114" s="33"/>
      <c r="AT114" s="32"/>
      <c r="AU114" s="32"/>
      <c r="AV114" s="32" t="s">
        <v>0</v>
      </c>
      <c r="AW114" s="40"/>
      <c r="AX114" s="20" t="s">
        <v>0</v>
      </c>
      <c r="AY114" s="30"/>
      <c r="AZ114" s="30"/>
      <c r="BA114" s="39"/>
      <c r="BB114" s="37"/>
      <c r="BC114" s="36"/>
      <c r="BD114" s="36"/>
      <c r="BE114" s="20"/>
      <c r="BF114" s="36"/>
      <c r="BG114" s="19" t="str">
        <f>IF(ISNUMBER(MATCH($BE114,Z$5:Z$501,0)),INDEX(Z$5:Z$501,MATCH($BE114,Z$5:Z$501,0),1),"")</f>
        <v/>
      </c>
      <c r="BH114" s="19" t="str">
        <f>IF(ISNUMBER(MATCH($BE114,AA$5:AA$501,0)),INDEX(AA$5:AA$501,MATCH($BE114,AA$5:AA$501,0),1),"")</f>
        <v/>
      </c>
      <c r="BI114" s="19" t="str">
        <f>IF(ISNUMBER(MATCH($BE114,AB$5:AB$501,0)),INDEX(AB$5:AB$501,MATCH($BE114,AB$5:AB$501,0),1),"")</f>
        <v/>
      </c>
      <c r="BJ114" s="19" t="str">
        <f>IF(ISNUMBER(MATCH($BE114,AC$5:AC$501,0)),INDEX(AC$5:AC$501,MATCH($BE114,AC$5:AC$501,0),1),"")</f>
        <v/>
      </c>
      <c r="BK114" s="19" t="str">
        <f>IF(ISNUMBER(MATCH($BE114,AD$5:AD$501,0)),INDEX(AD$5:AD$501,MATCH($BE114,AD$5:AD$501,0),1),"")</f>
        <v/>
      </c>
      <c r="BL114" s="19" t="str">
        <f>IF(ISNUMBER(MATCH($BE114,AE$5:AE$501,0)),INDEX(AE$5:AE$501,MATCH($BE114,AE$5:AE$501,0),1),"")</f>
        <v/>
      </c>
      <c r="BM114" s="19" t="str">
        <f>IF(ISNUMBER(MATCH($BE114,AF$5:AF$501,0)),INDEX(AF$5:AF$501,MATCH($BE114,AF$5:AF$501,0),1),"")</f>
        <v/>
      </c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</row>
    <row r="115" spans="1:78" ht="12" customHeight="1" x14ac:dyDescent="0.25">
      <c r="A115" s="26"/>
      <c r="B115" s="28" t="str">
        <f>IF(ISNUMBER(MATCH(O115,$N$5:$N$1000,0)),MATCH(O115,$N$5:$N$1000,0),"")</f>
        <v/>
      </c>
      <c r="C115" s="15" t="str">
        <f>IF(ISNUMBER(B115),MAX(C$4:C114)+1,"")</f>
        <v/>
      </c>
      <c r="D115" s="15" t="str">
        <f>IF(IF(ISNUMBER(B115),"",MAX(D$4:D114)+1)&lt;=D$3,IF(ISNUMBER(B115),"",MAX(D$4:D114)+1),"")</f>
        <v/>
      </c>
      <c r="E115" s="42" t="str">
        <f>IF(M115&lt;=D$3,MATCH(M115,D$5:D$1000,0),"")</f>
        <v/>
      </c>
      <c r="F115" s="28" t="str">
        <f>IF(ISNUMBER(E115),INDEX($N$5:$N$1000,E115,1),"")</f>
        <v/>
      </c>
      <c r="G115" s="27" t="str">
        <f>IF(ISNUMBER(C115),N115,IF(ISTEXT(N115),INDEX($F$5:$F$1000,MATCH(M115,$E$5:$E$1000,0),1),""))</f>
        <v/>
      </c>
      <c r="H115" s="15" t="str">
        <f>IF(O115="","",IF(ISNUMBER(MATCH(O115,$G$5:$G$1000,0)),"",IF(D115=1,C$3,0)+MAX(H$4:H114)+1))</f>
        <v/>
      </c>
      <c r="I115" s="15" t="str">
        <f>IF(O115="","",IF(ISNUMBER(MATCH(O115,$G$5:$G$1000,0)),"",IF(D115=1,B$4,0)+MAX(I$4:I114)+1))</f>
        <v/>
      </c>
      <c r="J115" s="27" t="str">
        <f>IF(ISNUMBER(MATCH(M115,$I$5:$I$1000,0)),INDEX($O$5:$O$1000,MATCH(M115,$I$5:$I$1000,0),1),"")</f>
        <v/>
      </c>
      <c r="K115" s="27"/>
      <c r="L115" s="26"/>
      <c r="M115" s="14">
        <f>IF(ROW()-ROW(M$4)&lt;=1000,ROW()-ROW(M$4),"")</f>
        <v>111</v>
      </c>
      <c r="N115" s="38"/>
      <c r="O115" s="38"/>
      <c r="P115" s="41" t="str">
        <f>IF(M115&lt;=$B$4,IF(ISTEXT(G115),G115,""),IF(ISTEXT(J115),J115,""))</f>
        <v/>
      </c>
      <c r="Q115" s="16" t="s">
        <v>0</v>
      </c>
      <c r="R115" s="34" t="str">
        <f>IF(ROW()-ROW(R$4)&lt;=AH$3,ROW()-ROW(R$4),"")</f>
        <v/>
      </c>
      <c r="S115" s="34" t="str">
        <f>IF(ROW()-ROW(S$4)&lt;=AI$3,ROW()-ROW(S$4),"")</f>
        <v/>
      </c>
      <c r="T115" s="34" t="str">
        <f>IF(ROW()-ROW(T$4)&lt;=AJ$3,ROW()-ROW(T$4),"")</f>
        <v/>
      </c>
      <c r="U115" s="34" t="str">
        <f>IF(ROW()-ROW(U$4)&lt;=AK$3,ROW()-ROW(U$4),"")</f>
        <v/>
      </c>
      <c r="V115" s="34" t="str">
        <f>IF(ROW()-ROW(V$4)&lt;=AL$3,ROW()-ROW(V$4),"")</f>
        <v/>
      </c>
      <c r="W115" s="34" t="str">
        <f>IF(ROW()-ROW(W$4)&lt;=AM$3,ROW()-ROW(W$4),"")</f>
        <v/>
      </c>
      <c r="X115" s="34" t="str">
        <f>IF(ROW()-ROW(X$4)&lt;=AN$3,ROW()-ROW(X$4),"")</f>
        <v/>
      </c>
      <c r="Y115" s="34"/>
      <c r="Z115" s="35" t="str">
        <f>IF(ISNUMBER(R115),INDEX($BE$5:$BE$2999,MATCH(R115,AH$5:AH$2999,0),1),"")</f>
        <v/>
      </c>
      <c r="AA115" s="35" t="str">
        <f>IF(ISNUMBER(S115),INDEX($BE$5:$BE$2999,MATCH(S115,AI$5:AI$2999,0),1),"")</f>
        <v/>
      </c>
      <c r="AB115" s="35" t="str">
        <f>IF(ISNUMBER(T115),INDEX($BE$5:$BE$2999,MATCH(T115,AJ$5:AJ$2999,0),1),"")</f>
        <v/>
      </c>
      <c r="AC115" s="35" t="str">
        <f>IF(ISNUMBER(U115),INDEX($BE$5:$BE$2999,MATCH(U115,AK$5:AK$2999,0),1),"")</f>
        <v/>
      </c>
      <c r="AD115" s="35" t="str">
        <f>IF(ISNUMBER(V115),INDEX($BE$5:$BE$2999,MATCH(V115,AL$5:AL$2999,0),1),"")</f>
        <v/>
      </c>
      <c r="AE115" s="35" t="str">
        <f>IF(ISNUMBER(W115),INDEX($BE$5:$BE$2999,MATCH(W115,AM$5:AM$2999,0),1),"")</f>
        <v/>
      </c>
      <c r="AF115" s="35" t="str">
        <f>IF(ISNUMBER(X115),INDEX($BE$5:$BE$2999,MATCH(X115,AN$5:AN$2999,0),1),"")</f>
        <v/>
      </c>
      <c r="AG115" s="35"/>
      <c r="AH115" s="34" t="str">
        <f>IF($BE115="","",IF(ISNUMBER(MATCH($BE115,AP$5:AP$29999,0)),MAX(AH$4:AH114)+1,0))</f>
        <v/>
      </c>
      <c r="AI115" s="34" t="str">
        <f>IF($BE115="","",IF(ISNUMBER(MATCH($BE115,AQ$5:AQ$29999,0)),MAX(AI$4:AI114)+1,0))</f>
        <v/>
      </c>
      <c r="AJ115" s="34" t="str">
        <f>IF($BE115="","",IF(ISNUMBER(MATCH($BE115,AR$5:AR$29999,0)),MAX(AJ$4:AJ114)+1,0))</f>
        <v/>
      </c>
      <c r="AK115" s="34" t="str">
        <f>IF($BE115="","",IF(ISNUMBER(MATCH($BE115,AS$5:AS$29999,0)),MAX(AK$4:AK114)+1,0))</f>
        <v/>
      </c>
      <c r="AL115" s="34" t="str">
        <f>IF($BE115="","",IF(ISNUMBER(MATCH($BE115,AT$5:AT$29999,0)),MAX(AL$4:AL114)+1,0))</f>
        <v/>
      </c>
      <c r="AM115" s="34" t="str">
        <f>IF($BE115="","",IF(ISNUMBER(MATCH($BE115,AU$5:AU$29999,0)),MAX(AM$4:AM114)+1,0))</f>
        <v/>
      </c>
      <c r="AN115" s="34" t="str">
        <f>IF($BE115="","",IF(ISNUMBER(MATCH($BE115,AV$5:AV$29999,0)),MAX(AN$4:AN114)+1,0))</f>
        <v/>
      </c>
      <c r="AO115" s="16"/>
      <c r="AP115" s="33"/>
      <c r="AQ115" s="33"/>
      <c r="AR115" s="33"/>
      <c r="AS115" s="33"/>
      <c r="AT115" s="32"/>
      <c r="AU115" s="32"/>
      <c r="AV115" s="32" t="s">
        <v>0</v>
      </c>
      <c r="AW115" s="40"/>
      <c r="AX115" s="20" t="s">
        <v>0</v>
      </c>
      <c r="AY115" s="30"/>
      <c r="AZ115" s="30"/>
      <c r="BA115" s="39"/>
      <c r="BB115" s="37"/>
      <c r="BC115" s="36"/>
      <c r="BD115" s="36"/>
      <c r="BE115" s="20"/>
      <c r="BF115" s="36"/>
      <c r="BG115" s="19" t="str">
        <f>IF(ISNUMBER(MATCH($BE115,Z$5:Z$501,0)),INDEX(Z$5:Z$501,MATCH($BE115,Z$5:Z$501,0),1),"")</f>
        <v/>
      </c>
      <c r="BH115" s="19" t="str">
        <f>IF(ISNUMBER(MATCH($BE115,AA$5:AA$501,0)),INDEX(AA$5:AA$501,MATCH($BE115,AA$5:AA$501,0),1),"")</f>
        <v/>
      </c>
      <c r="BI115" s="19" t="str">
        <f>IF(ISNUMBER(MATCH($BE115,AB$5:AB$501,0)),INDEX(AB$5:AB$501,MATCH($BE115,AB$5:AB$501,0),1),"")</f>
        <v/>
      </c>
      <c r="BJ115" s="19" t="str">
        <f>IF(ISNUMBER(MATCH($BE115,AC$5:AC$501,0)),INDEX(AC$5:AC$501,MATCH($BE115,AC$5:AC$501,0),1),"")</f>
        <v/>
      </c>
      <c r="BK115" s="19" t="str">
        <f>IF(ISNUMBER(MATCH($BE115,AD$5:AD$501,0)),INDEX(AD$5:AD$501,MATCH($BE115,AD$5:AD$501,0),1),"")</f>
        <v/>
      </c>
      <c r="BL115" s="19" t="str">
        <f>IF(ISNUMBER(MATCH($BE115,AE$5:AE$501,0)),INDEX(AE$5:AE$501,MATCH($BE115,AE$5:AE$501,0),1),"")</f>
        <v/>
      </c>
      <c r="BM115" s="19" t="str">
        <f>IF(ISNUMBER(MATCH($BE115,AF$5:AF$501,0)),INDEX(AF$5:AF$501,MATCH($BE115,AF$5:AF$501,0),1),"")</f>
        <v/>
      </c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</row>
    <row r="116" spans="1:78" ht="12" customHeight="1" x14ac:dyDescent="0.25">
      <c r="A116" s="26"/>
      <c r="B116" s="28" t="str">
        <f>IF(ISNUMBER(MATCH(O116,$N$5:$N$1000,0)),MATCH(O116,$N$5:$N$1000,0),"")</f>
        <v/>
      </c>
      <c r="C116" s="15" t="str">
        <f>IF(ISNUMBER(B116),MAX(C$4:C115)+1,"")</f>
        <v/>
      </c>
      <c r="D116" s="15" t="str">
        <f>IF(IF(ISNUMBER(B116),"",MAX(D$4:D115)+1)&lt;=D$3,IF(ISNUMBER(B116),"",MAX(D$4:D115)+1),"")</f>
        <v/>
      </c>
      <c r="E116" s="42" t="str">
        <f>IF(M116&lt;=D$3,MATCH(M116,D$5:D$1000,0),"")</f>
        <v/>
      </c>
      <c r="F116" s="28" t="str">
        <f>IF(ISNUMBER(E116),INDEX($N$5:$N$1000,E116,1),"")</f>
        <v/>
      </c>
      <c r="G116" s="27" t="str">
        <f>IF(ISNUMBER(C116),N116,IF(ISTEXT(N116),INDEX($F$5:$F$1000,MATCH(M116,$E$5:$E$1000,0),1),""))</f>
        <v/>
      </c>
      <c r="H116" s="15" t="str">
        <f>IF(O116="","",IF(ISNUMBER(MATCH(O116,$G$5:$G$1000,0)),"",IF(D116=1,C$3,0)+MAX(H$4:H115)+1))</f>
        <v/>
      </c>
      <c r="I116" s="15" t="str">
        <f>IF(O116="","",IF(ISNUMBER(MATCH(O116,$G$5:$G$1000,0)),"",IF(D116=1,B$4,0)+MAX(I$4:I115)+1))</f>
        <v/>
      </c>
      <c r="J116" s="27" t="str">
        <f>IF(ISNUMBER(MATCH(M116,$I$5:$I$1000,0)),INDEX($O$5:$O$1000,MATCH(M116,$I$5:$I$1000,0),1),"")</f>
        <v/>
      </c>
      <c r="K116" s="27"/>
      <c r="L116" s="26"/>
      <c r="M116" s="14">
        <f>IF(ROW()-ROW(M$4)&lt;=1000,ROW()-ROW(M$4),"")</f>
        <v>112</v>
      </c>
      <c r="N116" s="38"/>
      <c r="O116" s="38"/>
      <c r="P116" s="41" t="str">
        <f>IF(M116&lt;=$B$4,IF(ISTEXT(G116),G116,""),IF(ISTEXT(J116),J116,""))</f>
        <v/>
      </c>
      <c r="Q116" s="16" t="s">
        <v>0</v>
      </c>
      <c r="R116" s="34" t="str">
        <f>IF(ROW()-ROW(R$4)&lt;=AH$3,ROW()-ROW(R$4),"")</f>
        <v/>
      </c>
      <c r="S116" s="34" t="str">
        <f>IF(ROW()-ROW(S$4)&lt;=AI$3,ROW()-ROW(S$4),"")</f>
        <v/>
      </c>
      <c r="T116" s="34" t="str">
        <f>IF(ROW()-ROW(T$4)&lt;=AJ$3,ROW()-ROW(T$4),"")</f>
        <v/>
      </c>
      <c r="U116" s="34" t="str">
        <f>IF(ROW()-ROW(U$4)&lt;=AK$3,ROW()-ROW(U$4),"")</f>
        <v/>
      </c>
      <c r="V116" s="34" t="str">
        <f>IF(ROW()-ROW(V$4)&lt;=AL$3,ROW()-ROW(V$4),"")</f>
        <v/>
      </c>
      <c r="W116" s="34" t="str">
        <f>IF(ROW()-ROW(W$4)&lt;=AM$3,ROW()-ROW(W$4),"")</f>
        <v/>
      </c>
      <c r="X116" s="34" t="str">
        <f>IF(ROW()-ROW(X$4)&lt;=AN$3,ROW()-ROW(X$4),"")</f>
        <v/>
      </c>
      <c r="Y116" s="34"/>
      <c r="Z116" s="35" t="str">
        <f>IF(ISNUMBER(R116),INDEX($BE$5:$BE$2999,MATCH(R116,AH$5:AH$2999,0),1),"")</f>
        <v/>
      </c>
      <c r="AA116" s="35" t="str">
        <f>IF(ISNUMBER(S116),INDEX($BE$5:$BE$2999,MATCH(S116,AI$5:AI$2999,0),1),"")</f>
        <v/>
      </c>
      <c r="AB116" s="35" t="str">
        <f>IF(ISNUMBER(T116),INDEX($BE$5:$BE$2999,MATCH(T116,AJ$5:AJ$2999,0),1),"")</f>
        <v/>
      </c>
      <c r="AC116" s="35" t="str">
        <f>IF(ISNUMBER(U116),INDEX($BE$5:$BE$2999,MATCH(U116,AK$5:AK$2999,0),1),"")</f>
        <v/>
      </c>
      <c r="AD116" s="35" t="str">
        <f>IF(ISNUMBER(V116),INDEX($BE$5:$BE$2999,MATCH(V116,AL$5:AL$2999,0),1),"")</f>
        <v/>
      </c>
      <c r="AE116" s="35" t="str">
        <f>IF(ISNUMBER(W116),INDEX($BE$5:$BE$2999,MATCH(W116,AM$5:AM$2999,0),1),"")</f>
        <v/>
      </c>
      <c r="AF116" s="35" t="str">
        <f>IF(ISNUMBER(X116),INDEX($BE$5:$BE$2999,MATCH(X116,AN$5:AN$2999,0),1),"")</f>
        <v/>
      </c>
      <c r="AG116" s="35"/>
      <c r="AH116" s="34" t="str">
        <f>IF($BE116="","",IF(ISNUMBER(MATCH($BE116,AP$5:AP$29999,0)),MAX(AH$4:AH115)+1,0))</f>
        <v/>
      </c>
      <c r="AI116" s="34" t="str">
        <f>IF($BE116="","",IF(ISNUMBER(MATCH($BE116,AQ$5:AQ$29999,0)),MAX(AI$4:AI115)+1,0))</f>
        <v/>
      </c>
      <c r="AJ116" s="34" t="str">
        <f>IF($BE116="","",IF(ISNUMBER(MATCH($BE116,AR$5:AR$29999,0)),MAX(AJ$4:AJ115)+1,0))</f>
        <v/>
      </c>
      <c r="AK116" s="34" t="str">
        <f>IF($BE116="","",IF(ISNUMBER(MATCH($BE116,AS$5:AS$29999,0)),MAX(AK$4:AK115)+1,0))</f>
        <v/>
      </c>
      <c r="AL116" s="34" t="str">
        <f>IF($BE116="","",IF(ISNUMBER(MATCH($BE116,AT$5:AT$29999,0)),MAX(AL$4:AL115)+1,0))</f>
        <v/>
      </c>
      <c r="AM116" s="34" t="str">
        <f>IF($BE116="","",IF(ISNUMBER(MATCH($BE116,AU$5:AU$29999,0)),MAX(AM$4:AM115)+1,0))</f>
        <v/>
      </c>
      <c r="AN116" s="34" t="str">
        <f>IF($BE116="","",IF(ISNUMBER(MATCH($BE116,AV$5:AV$29999,0)),MAX(AN$4:AN115)+1,0))</f>
        <v/>
      </c>
      <c r="AO116" s="16"/>
      <c r="AP116" s="33"/>
      <c r="AQ116" s="33"/>
      <c r="AR116" s="33"/>
      <c r="AS116" s="33"/>
      <c r="AT116" s="32"/>
      <c r="AU116" s="32"/>
      <c r="AV116" s="32" t="s">
        <v>0</v>
      </c>
      <c r="AW116" s="40"/>
      <c r="AX116" s="20" t="s">
        <v>0</v>
      </c>
      <c r="AY116" s="30"/>
      <c r="AZ116" s="30"/>
      <c r="BA116" s="39"/>
      <c r="BB116" s="37"/>
      <c r="BC116" s="36"/>
      <c r="BD116" s="36"/>
      <c r="BE116" s="20"/>
      <c r="BF116" s="36"/>
      <c r="BG116" s="19" t="str">
        <f>IF(ISNUMBER(MATCH($BE116,Z$5:Z$501,0)),INDEX(Z$5:Z$501,MATCH($BE116,Z$5:Z$501,0),1),"")</f>
        <v/>
      </c>
      <c r="BH116" s="19" t="str">
        <f>IF(ISNUMBER(MATCH($BE116,AA$5:AA$501,0)),INDEX(AA$5:AA$501,MATCH($BE116,AA$5:AA$501,0),1),"")</f>
        <v/>
      </c>
      <c r="BI116" s="19" t="str">
        <f>IF(ISNUMBER(MATCH($BE116,AB$5:AB$501,0)),INDEX(AB$5:AB$501,MATCH($BE116,AB$5:AB$501,0),1),"")</f>
        <v/>
      </c>
      <c r="BJ116" s="19" t="str">
        <f>IF(ISNUMBER(MATCH($BE116,AC$5:AC$501,0)),INDEX(AC$5:AC$501,MATCH($BE116,AC$5:AC$501,0),1),"")</f>
        <v/>
      </c>
      <c r="BK116" s="19" t="str">
        <f>IF(ISNUMBER(MATCH($BE116,AD$5:AD$501,0)),INDEX(AD$5:AD$501,MATCH($BE116,AD$5:AD$501,0),1),"")</f>
        <v/>
      </c>
      <c r="BL116" s="19" t="str">
        <f>IF(ISNUMBER(MATCH($BE116,AE$5:AE$501,0)),INDEX(AE$5:AE$501,MATCH($BE116,AE$5:AE$501,0),1),"")</f>
        <v/>
      </c>
      <c r="BM116" s="19" t="str">
        <f>IF(ISNUMBER(MATCH($BE116,AF$5:AF$501,0)),INDEX(AF$5:AF$501,MATCH($BE116,AF$5:AF$501,0),1),"")</f>
        <v/>
      </c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</row>
    <row r="117" spans="1:78" ht="12" customHeight="1" x14ac:dyDescent="0.25">
      <c r="A117" s="26"/>
      <c r="B117" s="28" t="str">
        <f>IF(ISNUMBER(MATCH(O117,$N$5:$N$1000,0)),MATCH(O117,$N$5:$N$1000,0),"")</f>
        <v/>
      </c>
      <c r="C117" s="15" t="str">
        <f>IF(ISNUMBER(B117),MAX(C$4:C116)+1,"")</f>
        <v/>
      </c>
      <c r="D117" s="15" t="str">
        <f>IF(IF(ISNUMBER(B117),"",MAX(D$4:D116)+1)&lt;=D$3,IF(ISNUMBER(B117),"",MAX(D$4:D116)+1),"")</f>
        <v/>
      </c>
      <c r="E117" s="42" t="str">
        <f>IF(M117&lt;=D$3,MATCH(M117,D$5:D$1000,0),"")</f>
        <v/>
      </c>
      <c r="F117" s="28" t="str">
        <f>IF(ISNUMBER(E117),INDEX($N$5:$N$1000,E117,1),"")</f>
        <v/>
      </c>
      <c r="G117" s="27" t="str">
        <f>IF(ISNUMBER(C117),N117,IF(ISTEXT(N117),INDEX($F$5:$F$1000,MATCH(M117,$E$5:$E$1000,0),1),""))</f>
        <v/>
      </c>
      <c r="H117" s="15" t="str">
        <f>IF(O117="","",IF(ISNUMBER(MATCH(O117,$G$5:$G$1000,0)),"",IF(D117=1,C$3,0)+MAX(H$4:H116)+1))</f>
        <v/>
      </c>
      <c r="I117" s="15" t="str">
        <f>IF(O117="","",IF(ISNUMBER(MATCH(O117,$G$5:$G$1000,0)),"",IF(D117=1,B$4,0)+MAX(I$4:I116)+1))</f>
        <v/>
      </c>
      <c r="J117" s="27" t="str">
        <f>IF(ISNUMBER(MATCH(M117,$I$5:$I$1000,0)),INDEX($O$5:$O$1000,MATCH(M117,$I$5:$I$1000,0),1),"")</f>
        <v/>
      </c>
      <c r="K117" s="27"/>
      <c r="L117" s="26"/>
      <c r="M117" s="14">
        <f>IF(ROW()-ROW(M$4)&lt;=1000,ROW()-ROW(M$4),"")</f>
        <v>113</v>
      </c>
      <c r="N117" s="38"/>
      <c r="O117" s="38"/>
      <c r="P117" s="41" t="str">
        <f>IF(M117&lt;=$B$4,IF(ISTEXT(G117),G117,""),IF(ISTEXT(J117),J117,""))</f>
        <v/>
      </c>
      <c r="Q117" s="16" t="s">
        <v>0</v>
      </c>
      <c r="R117" s="34" t="str">
        <f>IF(ROW()-ROW(R$4)&lt;=AH$3,ROW()-ROW(R$4),"")</f>
        <v/>
      </c>
      <c r="S117" s="34" t="str">
        <f>IF(ROW()-ROW(S$4)&lt;=AI$3,ROW()-ROW(S$4),"")</f>
        <v/>
      </c>
      <c r="T117" s="34" t="str">
        <f>IF(ROW()-ROW(T$4)&lt;=AJ$3,ROW()-ROW(T$4),"")</f>
        <v/>
      </c>
      <c r="U117" s="34" t="str">
        <f>IF(ROW()-ROW(U$4)&lt;=AK$3,ROW()-ROW(U$4),"")</f>
        <v/>
      </c>
      <c r="V117" s="34" t="str">
        <f>IF(ROW()-ROW(V$4)&lt;=AL$3,ROW()-ROW(V$4),"")</f>
        <v/>
      </c>
      <c r="W117" s="34" t="str">
        <f>IF(ROW()-ROW(W$4)&lt;=AM$3,ROW()-ROW(W$4),"")</f>
        <v/>
      </c>
      <c r="X117" s="34" t="str">
        <f>IF(ROW()-ROW(X$4)&lt;=AN$3,ROW()-ROW(X$4),"")</f>
        <v/>
      </c>
      <c r="Y117" s="34"/>
      <c r="Z117" s="35" t="str">
        <f>IF(ISNUMBER(R117),INDEX($BE$5:$BE$2999,MATCH(R117,AH$5:AH$2999,0),1),"")</f>
        <v/>
      </c>
      <c r="AA117" s="35" t="str">
        <f>IF(ISNUMBER(S117),INDEX($BE$5:$BE$2999,MATCH(S117,AI$5:AI$2999,0),1),"")</f>
        <v/>
      </c>
      <c r="AB117" s="35" t="str">
        <f>IF(ISNUMBER(T117),INDEX($BE$5:$BE$2999,MATCH(T117,AJ$5:AJ$2999,0),1),"")</f>
        <v/>
      </c>
      <c r="AC117" s="35" t="str">
        <f>IF(ISNUMBER(U117),INDEX($BE$5:$BE$2999,MATCH(U117,AK$5:AK$2999,0),1),"")</f>
        <v/>
      </c>
      <c r="AD117" s="35" t="str">
        <f>IF(ISNUMBER(V117),INDEX($BE$5:$BE$2999,MATCH(V117,AL$5:AL$2999,0),1),"")</f>
        <v/>
      </c>
      <c r="AE117" s="35" t="str">
        <f>IF(ISNUMBER(W117),INDEX($BE$5:$BE$2999,MATCH(W117,AM$5:AM$2999,0),1),"")</f>
        <v/>
      </c>
      <c r="AF117" s="35" t="str">
        <f>IF(ISNUMBER(X117),INDEX($BE$5:$BE$2999,MATCH(X117,AN$5:AN$2999,0),1),"")</f>
        <v/>
      </c>
      <c r="AG117" s="35"/>
      <c r="AH117" s="34" t="str">
        <f>IF($BE117="","",IF(ISNUMBER(MATCH($BE117,AP$5:AP$29999,0)),MAX(AH$4:AH116)+1,0))</f>
        <v/>
      </c>
      <c r="AI117" s="34" t="str">
        <f>IF($BE117="","",IF(ISNUMBER(MATCH($BE117,AQ$5:AQ$29999,0)),MAX(AI$4:AI116)+1,0))</f>
        <v/>
      </c>
      <c r="AJ117" s="34" t="str">
        <f>IF($BE117="","",IF(ISNUMBER(MATCH($BE117,AR$5:AR$29999,0)),MAX(AJ$4:AJ116)+1,0))</f>
        <v/>
      </c>
      <c r="AK117" s="34" t="str">
        <f>IF($BE117="","",IF(ISNUMBER(MATCH($BE117,AS$5:AS$29999,0)),MAX(AK$4:AK116)+1,0))</f>
        <v/>
      </c>
      <c r="AL117" s="34" t="str">
        <f>IF($BE117="","",IF(ISNUMBER(MATCH($BE117,AT$5:AT$29999,0)),MAX(AL$4:AL116)+1,0))</f>
        <v/>
      </c>
      <c r="AM117" s="34" t="str">
        <f>IF($BE117="","",IF(ISNUMBER(MATCH($BE117,AU$5:AU$29999,0)),MAX(AM$4:AM116)+1,0))</f>
        <v/>
      </c>
      <c r="AN117" s="34" t="str">
        <f>IF($BE117="","",IF(ISNUMBER(MATCH($BE117,AV$5:AV$29999,0)),MAX(AN$4:AN116)+1,0))</f>
        <v/>
      </c>
      <c r="AO117" s="16"/>
      <c r="AP117" s="33"/>
      <c r="AQ117" s="33"/>
      <c r="AR117" s="33"/>
      <c r="AS117" s="33"/>
      <c r="AT117" s="32"/>
      <c r="AU117" s="32"/>
      <c r="AV117" s="32" t="s">
        <v>0</v>
      </c>
      <c r="AW117" s="40"/>
      <c r="AX117" s="20" t="s">
        <v>0</v>
      </c>
      <c r="AY117" s="30"/>
      <c r="AZ117" s="30"/>
      <c r="BA117" s="39"/>
      <c r="BB117" s="37"/>
      <c r="BC117" s="36"/>
      <c r="BD117" s="36"/>
      <c r="BE117" s="20"/>
      <c r="BF117" s="36"/>
      <c r="BG117" s="19" t="str">
        <f>IF(ISNUMBER(MATCH($BE117,Z$5:Z$501,0)),INDEX(Z$5:Z$501,MATCH($BE117,Z$5:Z$501,0),1),"")</f>
        <v/>
      </c>
      <c r="BH117" s="19" t="str">
        <f>IF(ISNUMBER(MATCH($BE117,AA$5:AA$501,0)),INDEX(AA$5:AA$501,MATCH($BE117,AA$5:AA$501,0),1),"")</f>
        <v/>
      </c>
      <c r="BI117" s="19" t="str">
        <f>IF(ISNUMBER(MATCH($BE117,AB$5:AB$501,0)),INDEX(AB$5:AB$501,MATCH($BE117,AB$5:AB$501,0),1),"")</f>
        <v/>
      </c>
      <c r="BJ117" s="19" t="str">
        <f>IF(ISNUMBER(MATCH($BE117,AC$5:AC$501,0)),INDEX(AC$5:AC$501,MATCH($BE117,AC$5:AC$501,0),1),"")</f>
        <v/>
      </c>
      <c r="BK117" s="19" t="str">
        <f>IF(ISNUMBER(MATCH($BE117,AD$5:AD$501,0)),INDEX(AD$5:AD$501,MATCH($BE117,AD$5:AD$501,0),1),"")</f>
        <v/>
      </c>
      <c r="BL117" s="19" t="str">
        <f>IF(ISNUMBER(MATCH($BE117,AE$5:AE$501,0)),INDEX(AE$5:AE$501,MATCH($BE117,AE$5:AE$501,0),1),"")</f>
        <v/>
      </c>
      <c r="BM117" s="19" t="str">
        <f>IF(ISNUMBER(MATCH($BE117,AF$5:AF$501,0)),INDEX(AF$5:AF$501,MATCH($BE117,AF$5:AF$501,0),1),"")</f>
        <v/>
      </c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</row>
    <row r="118" spans="1:78" ht="12" customHeight="1" x14ac:dyDescent="0.25">
      <c r="A118" s="26"/>
      <c r="B118" s="28" t="str">
        <f>IF(ISNUMBER(MATCH(O118,$N$5:$N$1000,0)),MATCH(O118,$N$5:$N$1000,0),"")</f>
        <v/>
      </c>
      <c r="C118" s="15" t="str">
        <f>IF(ISNUMBER(B118),MAX(C$4:C117)+1,"")</f>
        <v/>
      </c>
      <c r="D118" s="15" t="str">
        <f>IF(IF(ISNUMBER(B118),"",MAX(D$4:D117)+1)&lt;=D$3,IF(ISNUMBER(B118),"",MAX(D$4:D117)+1),"")</f>
        <v/>
      </c>
      <c r="E118" s="42" t="str">
        <f>IF(M118&lt;=D$3,MATCH(M118,D$5:D$1000,0),"")</f>
        <v/>
      </c>
      <c r="F118" s="28" t="str">
        <f>IF(ISNUMBER(E118),INDEX($N$5:$N$1000,E118,1),"")</f>
        <v/>
      </c>
      <c r="G118" s="27" t="str">
        <f>IF(ISNUMBER(C118),N118,IF(ISTEXT(N118),INDEX($F$5:$F$1000,MATCH(M118,$E$5:$E$1000,0),1),""))</f>
        <v/>
      </c>
      <c r="H118" s="15" t="str">
        <f>IF(O118="","",IF(ISNUMBER(MATCH(O118,$G$5:$G$1000,0)),"",IF(D118=1,C$3,0)+MAX(H$4:H117)+1))</f>
        <v/>
      </c>
      <c r="I118" s="15" t="str">
        <f>IF(O118="","",IF(ISNUMBER(MATCH(O118,$G$5:$G$1000,0)),"",IF(D118=1,B$4,0)+MAX(I$4:I117)+1))</f>
        <v/>
      </c>
      <c r="J118" s="27" t="str">
        <f>IF(ISNUMBER(MATCH(M118,$I$5:$I$1000,0)),INDEX($O$5:$O$1000,MATCH(M118,$I$5:$I$1000,0),1),"")</f>
        <v/>
      </c>
      <c r="K118" s="27"/>
      <c r="L118" s="26"/>
      <c r="M118" s="14">
        <f>IF(ROW()-ROW(M$4)&lt;=1000,ROW()-ROW(M$4),"")</f>
        <v>114</v>
      </c>
      <c r="N118" s="38"/>
      <c r="O118" s="38"/>
      <c r="P118" s="41" t="str">
        <f>IF(M118&lt;=$B$4,IF(ISTEXT(G118),G118,""),IF(ISTEXT(J118),J118,""))</f>
        <v/>
      </c>
      <c r="Q118" s="16" t="s">
        <v>0</v>
      </c>
      <c r="R118" s="34" t="str">
        <f>IF(ROW()-ROW(R$4)&lt;=AH$3,ROW()-ROW(R$4),"")</f>
        <v/>
      </c>
      <c r="S118" s="34" t="str">
        <f>IF(ROW()-ROW(S$4)&lt;=AI$3,ROW()-ROW(S$4),"")</f>
        <v/>
      </c>
      <c r="T118" s="34" t="str">
        <f>IF(ROW()-ROW(T$4)&lt;=AJ$3,ROW()-ROW(T$4),"")</f>
        <v/>
      </c>
      <c r="U118" s="34" t="str">
        <f>IF(ROW()-ROW(U$4)&lt;=AK$3,ROW()-ROW(U$4),"")</f>
        <v/>
      </c>
      <c r="V118" s="34" t="str">
        <f>IF(ROW()-ROW(V$4)&lt;=AL$3,ROW()-ROW(V$4),"")</f>
        <v/>
      </c>
      <c r="W118" s="34" t="str">
        <f>IF(ROW()-ROW(W$4)&lt;=AM$3,ROW()-ROW(W$4),"")</f>
        <v/>
      </c>
      <c r="X118" s="34" t="str">
        <f>IF(ROW()-ROW(X$4)&lt;=AN$3,ROW()-ROW(X$4),"")</f>
        <v/>
      </c>
      <c r="Y118" s="34"/>
      <c r="Z118" s="35" t="str">
        <f>IF(ISNUMBER(R118),INDEX($BE$5:$BE$2999,MATCH(R118,AH$5:AH$2999,0),1),"")</f>
        <v/>
      </c>
      <c r="AA118" s="35" t="str">
        <f>IF(ISNUMBER(S118),INDEX($BE$5:$BE$2999,MATCH(S118,AI$5:AI$2999,0),1),"")</f>
        <v/>
      </c>
      <c r="AB118" s="35" t="str">
        <f>IF(ISNUMBER(T118),INDEX($BE$5:$BE$2999,MATCH(T118,AJ$5:AJ$2999,0),1),"")</f>
        <v/>
      </c>
      <c r="AC118" s="35" t="str">
        <f>IF(ISNUMBER(U118),INDEX($BE$5:$BE$2999,MATCH(U118,AK$5:AK$2999,0),1),"")</f>
        <v/>
      </c>
      <c r="AD118" s="35" t="str">
        <f>IF(ISNUMBER(V118),INDEX($BE$5:$BE$2999,MATCH(V118,AL$5:AL$2999,0),1),"")</f>
        <v/>
      </c>
      <c r="AE118" s="35" t="str">
        <f>IF(ISNUMBER(W118),INDEX($BE$5:$BE$2999,MATCH(W118,AM$5:AM$2999,0),1),"")</f>
        <v/>
      </c>
      <c r="AF118" s="35" t="str">
        <f>IF(ISNUMBER(X118),INDEX($BE$5:$BE$2999,MATCH(X118,AN$5:AN$2999,0),1),"")</f>
        <v/>
      </c>
      <c r="AG118" s="35"/>
      <c r="AH118" s="34" t="str">
        <f>IF($BE118="","",IF(ISNUMBER(MATCH($BE118,AP$5:AP$29999,0)),MAX(AH$4:AH117)+1,0))</f>
        <v/>
      </c>
      <c r="AI118" s="34" t="str">
        <f>IF($BE118="","",IF(ISNUMBER(MATCH($BE118,AQ$5:AQ$29999,0)),MAX(AI$4:AI117)+1,0))</f>
        <v/>
      </c>
      <c r="AJ118" s="34" t="str">
        <f>IF($BE118="","",IF(ISNUMBER(MATCH($BE118,AR$5:AR$29999,0)),MAX(AJ$4:AJ117)+1,0))</f>
        <v/>
      </c>
      <c r="AK118" s="34" t="str">
        <f>IF($BE118="","",IF(ISNUMBER(MATCH($BE118,AS$5:AS$29999,0)),MAX(AK$4:AK117)+1,0))</f>
        <v/>
      </c>
      <c r="AL118" s="34" t="str">
        <f>IF($BE118="","",IF(ISNUMBER(MATCH($BE118,AT$5:AT$29999,0)),MAX(AL$4:AL117)+1,0))</f>
        <v/>
      </c>
      <c r="AM118" s="34" t="str">
        <f>IF($BE118="","",IF(ISNUMBER(MATCH($BE118,AU$5:AU$29999,0)),MAX(AM$4:AM117)+1,0))</f>
        <v/>
      </c>
      <c r="AN118" s="34" t="str">
        <f>IF($BE118="","",IF(ISNUMBER(MATCH($BE118,AV$5:AV$29999,0)),MAX(AN$4:AN117)+1,0))</f>
        <v/>
      </c>
      <c r="AO118" s="16"/>
      <c r="AP118" s="33"/>
      <c r="AQ118" s="33"/>
      <c r="AR118" s="33"/>
      <c r="AS118" s="33"/>
      <c r="AT118" s="32"/>
      <c r="AU118" s="32"/>
      <c r="AV118" s="32" t="s">
        <v>0</v>
      </c>
      <c r="AW118" s="40"/>
      <c r="AX118" s="20" t="s">
        <v>0</v>
      </c>
      <c r="AY118" s="30"/>
      <c r="AZ118" s="30"/>
      <c r="BA118" s="39"/>
      <c r="BB118" s="37"/>
      <c r="BC118" s="36"/>
      <c r="BD118" s="36"/>
      <c r="BE118" s="20"/>
      <c r="BF118" s="36"/>
      <c r="BG118" s="19" t="str">
        <f>IF(ISNUMBER(MATCH($BE118,Z$5:Z$501,0)),INDEX(Z$5:Z$501,MATCH($BE118,Z$5:Z$501,0),1),"")</f>
        <v/>
      </c>
      <c r="BH118" s="19" t="str">
        <f>IF(ISNUMBER(MATCH($BE118,AA$5:AA$501,0)),INDEX(AA$5:AA$501,MATCH($BE118,AA$5:AA$501,0),1),"")</f>
        <v/>
      </c>
      <c r="BI118" s="19" t="str">
        <f>IF(ISNUMBER(MATCH($BE118,AB$5:AB$501,0)),INDEX(AB$5:AB$501,MATCH($BE118,AB$5:AB$501,0),1),"")</f>
        <v/>
      </c>
      <c r="BJ118" s="19" t="str">
        <f>IF(ISNUMBER(MATCH($BE118,AC$5:AC$501,0)),INDEX(AC$5:AC$501,MATCH($BE118,AC$5:AC$501,0),1),"")</f>
        <v/>
      </c>
      <c r="BK118" s="19" t="str">
        <f>IF(ISNUMBER(MATCH($BE118,AD$5:AD$501,0)),INDEX(AD$5:AD$501,MATCH($BE118,AD$5:AD$501,0),1),"")</f>
        <v/>
      </c>
      <c r="BL118" s="19" t="str">
        <f>IF(ISNUMBER(MATCH($BE118,AE$5:AE$501,0)),INDEX(AE$5:AE$501,MATCH($BE118,AE$5:AE$501,0),1),"")</f>
        <v/>
      </c>
      <c r="BM118" s="19" t="str">
        <f>IF(ISNUMBER(MATCH($BE118,AF$5:AF$501,0)),INDEX(AF$5:AF$501,MATCH($BE118,AF$5:AF$501,0),1),"")</f>
        <v/>
      </c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</row>
    <row r="119" spans="1:78" ht="12" customHeight="1" x14ac:dyDescent="0.25">
      <c r="A119" s="26"/>
      <c r="B119" s="28" t="str">
        <f>IF(ISNUMBER(MATCH(O119,$N$5:$N$1000,0)),MATCH(O119,$N$5:$N$1000,0),"")</f>
        <v/>
      </c>
      <c r="C119" s="15" t="str">
        <f>IF(ISNUMBER(B119),MAX(C$4:C118)+1,"")</f>
        <v/>
      </c>
      <c r="D119" s="15" t="str">
        <f>IF(IF(ISNUMBER(B119),"",MAX(D$4:D118)+1)&lt;=D$3,IF(ISNUMBER(B119),"",MAX(D$4:D118)+1),"")</f>
        <v/>
      </c>
      <c r="E119" s="42" t="str">
        <f>IF(M119&lt;=D$3,MATCH(M119,D$5:D$1000,0),"")</f>
        <v/>
      </c>
      <c r="F119" s="28" t="str">
        <f>IF(ISNUMBER(E119),INDEX($N$5:$N$1000,E119,1),"")</f>
        <v/>
      </c>
      <c r="G119" s="27" t="str">
        <f>IF(ISNUMBER(C119),N119,IF(ISTEXT(N119),INDEX($F$5:$F$1000,MATCH(M119,$E$5:$E$1000,0),1),""))</f>
        <v/>
      </c>
      <c r="H119" s="15" t="str">
        <f>IF(O119="","",IF(ISNUMBER(MATCH(O119,$G$5:$G$1000,0)),"",IF(D119=1,C$3,0)+MAX(H$4:H118)+1))</f>
        <v/>
      </c>
      <c r="I119" s="15" t="str">
        <f>IF(O119="","",IF(ISNUMBER(MATCH(O119,$G$5:$G$1000,0)),"",IF(D119=1,B$4,0)+MAX(I$4:I118)+1))</f>
        <v/>
      </c>
      <c r="J119" s="27" t="str">
        <f>IF(ISNUMBER(MATCH(M119,$I$5:$I$1000,0)),INDEX($O$5:$O$1000,MATCH(M119,$I$5:$I$1000,0),1),"")</f>
        <v/>
      </c>
      <c r="K119" s="27"/>
      <c r="L119" s="26"/>
      <c r="M119" s="14">
        <f>IF(ROW()-ROW(M$4)&lt;=1000,ROW()-ROW(M$4),"")</f>
        <v>115</v>
      </c>
      <c r="N119" s="38"/>
      <c r="O119" s="38"/>
      <c r="P119" s="41" t="str">
        <f>IF(M119&lt;=$B$4,IF(ISTEXT(G119),G119,""),IF(ISTEXT(J119),J119,""))</f>
        <v/>
      </c>
      <c r="Q119" s="16" t="s">
        <v>0</v>
      </c>
      <c r="R119" s="34" t="str">
        <f>IF(ROW()-ROW(R$4)&lt;=AH$3,ROW()-ROW(R$4),"")</f>
        <v/>
      </c>
      <c r="S119" s="34" t="str">
        <f>IF(ROW()-ROW(S$4)&lt;=AI$3,ROW()-ROW(S$4),"")</f>
        <v/>
      </c>
      <c r="T119" s="34" t="str">
        <f>IF(ROW()-ROW(T$4)&lt;=AJ$3,ROW()-ROW(T$4),"")</f>
        <v/>
      </c>
      <c r="U119" s="34" t="str">
        <f>IF(ROW()-ROW(U$4)&lt;=AK$3,ROW()-ROW(U$4),"")</f>
        <v/>
      </c>
      <c r="V119" s="34" t="str">
        <f>IF(ROW()-ROW(V$4)&lt;=AL$3,ROW()-ROW(V$4),"")</f>
        <v/>
      </c>
      <c r="W119" s="34" t="str">
        <f>IF(ROW()-ROW(W$4)&lt;=AM$3,ROW()-ROW(W$4),"")</f>
        <v/>
      </c>
      <c r="X119" s="34" t="str">
        <f>IF(ROW()-ROW(X$4)&lt;=AN$3,ROW()-ROW(X$4),"")</f>
        <v/>
      </c>
      <c r="Y119" s="34"/>
      <c r="Z119" s="35" t="str">
        <f>IF(ISNUMBER(R119),INDEX($BE$5:$BE$2999,MATCH(R119,AH$5:AH$2999,0),1),"")</f>
        <v/>
      </c>
      <c r="AA119" s="35" t="str">
        <f>IF(ISNUMBER(S119),INDEX($BE$5:$BE$2999,MATCH(S119,AI$5:AI$2999,0),1),"")</f>
        <v/>
      </c>
      <c r="AB119" s="35" t="str">
        <f>IF(ISNUMBER(T119),INDEX($BE$5:$BE$2999,MATCH(T119,AJ$5:AJ$2999,0),1),"")</f>
        <v/>
      </c>
      <c r="AC119" s="35" t="str">
        <f>IF(ISNUMBER(U119),INDEX($BE$5:$BE$2999,MATCH(U119,AK$5:AK$2999,0),1),"")</f>
        <v/>
      </c>
      <c r="AD119" s="35" t="str">
        <f>IF(ISNUMBER(V119),INDEX($BE$5:$BE$2999,MATCH(V119,AL$5:AL$2999,0),1),"")</f>
        <v/>
      </c>
      <c r="AE119" s="35" t="str">
        <f>IF(ISNUMBER(W119),INDEX($BE$5:$BE$2999,MATCH(W119,AM$5:AM$2999,0),1),"")</f>
        <v/>
      </c>
      <c r="AF119" s="35" t="str">
        <f>IF(ISNUMBER(X119),INDEX($BE$5:$BE$2999,MATCH(X119,AN$5:AN$2999,0),1),"")</f>
        <v/>
      </c>
      <c r="AG119" s="35"/>
      <c r="AH119" s="34" t="str">
        <f>IF($BE119="","",IF(ISNUMBER(MATCH($BE119,AP$5:AP$29999,0)),MAX(AH$4:AH118)+1,0))</f>
        <v/>
      </c>
      <c r="AI119" s="34" t="str">
        <f>IF($BE119="","",IF(ISNUMBER(MATCH($BE119,AQ$5:AQ$29999,0)),MAX(AI$4:AI118)+1,0))</f>
        <v/>
      </c>
      <c r="AJ119" s="34" t="str">
        <f>IF($BE119="","",IF(ISNUMBER(MATCH($BE119,AR$5:AR$29999,0)),MAX(AJ$4:AJ118)+1,0))</f>
        <v/>
      </c>
      <c r="AK119" s="34" t="str">
        <f>IF($BE119="","",IF(ISNUMBER(MATCH($BE119,AS$5:AS$29999,0)),MAX(AK$4:AK118)+1,0))</f>
        <v/>
      </c>
      <c r="AL119" s="34" t="str">
        <f>IF($BE119="","",IF(ISNUMBER(MATCH($BE119,AT$5:AT$29999,0)),MAX(AL$4:AL118)+1,0))</f>
        <v/>
      </c>
      <c r="AM119" s="34" t="str">
        <f>IF($BE119="","",IF(ISNUMBER(MATCH($BE119,AU$5:AU$29999,0)),MAX(AM$4:AM118)+1,0))</f>
        <v/>
      </c>
      <c r="AN119" s="34" t="str">
        <f>IF($BE119="","",IF(ISNUMBER(MATCH($BE119,AV$5:AV$29999,0)),MAX(AN$4:AN118)+1,0))</f>
        <v/>
      </c>
      <c r="AO119" s="16"/>
      <c r="AP119" s="33"/>
      <c r="AQ119" s="33"/>
      <c r="AR119" s="33"/>
      <c r="AS119" s="33"/>
      <c r="AT119" s="32"/>
      <c r="AU119" s="32"/>
      <c r="AV119" s="32" t="s">
        <v>0</v>
      </c>
      <c r="AW119" s="40"/>
      <c r="AX119" s="20" t="s">
        <v>0</v>
      </c>
      <c r="AY119" s="30"/>
      <c r="AZ119" s="30"/>
      <c r="BA119" s="39"/>
      <c r="BB119" s="37"/>
      <c r="BC119" s="36"/>
      <c r="BD119" s="36"/>
      <c r="BE119" s="20"/>
      <c r="BF119" s="36"/>
      <c r="BG119" s="19" t="str">
        <f>IF(ISNUMBER(MATCH($BE119,Z$5:Z$501,0)),INDEX(Z$5:Z$501,MATCH($BE119,Z$5:Z$501,0),1),"")</f>
        <v/>
      </c>
      <c r="BH119" s="19" t="str">
        <f>IF(ISNUMBER(MATCH($BE119,AA$5:AA$501,0)),INDEX(AA$5:AA$501,MATCH($BE119,AA$5:AA$501,0),1),"")</f>
        <v/>
      </c>
      <c r="BI119" s="19" t="str">
        <f>IF(ISNUMBER(MATCH($BE119,AB$5:AB$501,0)),INDEX(AB$5:AB$501,MATCH($BE119,AB$5:AB$501,0),1),"")</f>
        <v/>
      </c>
      <c r="BJ119" s="19" t="str">
        <f>IF(ISNUMBER(MATCH($BE119,AC$5:AC$501,0)),INDEX(AC$5:AC$501,MATCH($BE119,AC$5:AC$501,0),1),"")</f>
        <v/>
      </c>
      <c r="BK119" s="19" t="str">
        <f>IF(ISNUMBER(MATCH($BE119,AD$5:AD$501,0)),INDEX(AD$5:AD$501,MATCH($BE119,AD$5:AD$501,0),1),"")</f>
        <v/>
      </c>
      <c r="BL119" s="19" t="str">
        <f>IF(ISNUMBER(MATCH($BE119,AE$5:AE$501,0)),INDEX(AE$5:AE$501,MATCH($BE119,AE$5:AE$501,0),1),"")</f>
        <v/>
      </c>
      <c r="BM119" s="19" t="str">
        <f>IF(ISNUMBER(MATCH($BE119,AF$5:AF$501,0)),INDEX(AF$5:AF$501,MATCH($BE119,AF$5:AF$501,0),1),"")</f>
        <v/>
      </c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</row>
    <row r="120" spans="1:78" ht="12" customHeight="1" x14ac:dyDescent="0.25">
      <c r="A120" s="26"/>
      <c r="B120" s="28" t="str">
        <f>IF(ISNUMBER(MATCH(O120,$N$5:$N$1000,0)),MATCH(O120,$N$5:$N$1000,0),"")</f>
        <v/>
      </c>
      <c r="C120" s="15" t="str">
        <f>IF(ISNUMBER(B120),MAX(C$4:C119)+1,"")</f>
        <v/>
      </c>
      <c r="D120" s="15" t="str">
        <f>IF(IF(ISNUMBER(B120),"",MAX(D$4:D119)+1)&lt;=D$3,IF(ISNUMBER(B120),"",MAX(D$4:D119)+1),"")</f>
        <v/>
      </c>
      <c r="E120" s="42" t="str">
        <f>IF(M120&lt;=D$3,MATCH(M120,D$5:D$1000,0),"")</f>
        <v/>
      </c>
      <c r="F120" s="28" t="str">
        <f>IF(ISNUMBER(E120),INDEX($N$5:$N$1000,E120,1),"")</f>
        <v/>
      </c>
      <c r="G120" s="27" t="str">
        <f>IF(ISNUMBER(C120),N120,IF(ISTEXT(N120),INDEX($F$5:$F$1000,MATCH(M120,$E$5:$E$1000,0),1),""))</f>
        <v/>
      </c>
      <c r="H120" s="15" t="str">
        <f>IF(O120="","",IF(ISNUMBER(MATCH(O120,$G$5:$G$1000,0)),"",IF(D120=1,C$3,0)+MAX(H$4:H119)+1))</f>
        <v/>
      </c>
      <c r="I120" s="15" t="str">
        <f>IF(O120="","",IF(ISNUMBER(MATCH(O120,$G$5:$G$1000,0)),"",IF(D120=1,B$4,0)+MAX(I$4:I119)+1))</f>
        <v/>
      </c>
      <c r="J120" s="27" t="str">
        <f>IF(ISNUMBER(MATCH(M120,$I$5:$I$1000,0)),INDEX($O$5:$O$1000,MATCH(M120,$I$5:$I$1000,0),1),"")</f>
        <v/>
      </c>
      <c r="K120" s="27"/>
      <c r="L120" s="26"/>
      <c r="M120" s="14">
        <f>IF(ROW()-ROW(M$4)&lt;=1000,ROW()-ROW(M$4),"")</f>
        <v>116</v>
      </c>
      <c r="N120" s="38"/>
      <c r="O120" s="38"/>
      <c r="P120" s="41" t="str">
        <f>IF(M120&lt;=$B$4,IF(ISTEXT(G120),G120,""),IF(ISTEXT(J120),J120,""))</f>
        <v/>
      </c>
      <c r="Q120" s="16" t="s">
        <v>0</v>
      </c>
      <c r="R120" s="34" t="str">
        <f>IF(ROW()-ROW(R$4)&lt;=AH$3,ROW()-ROW(R$4),"")</f>
        <v/>
      </c>
      <c r="S120" s="34" t="str">
        <f>IF(ROW()-ROW(S$4)&lt;=AI$3,ROW()-ROW(S$4),"")</f>
        <v/>
      </c>
      <c r="T120" s="34" t="str">
        <f>IF(ROW()-ROW(T$4)&lt;=AJ$3,ROW()-ROW(T$4),"")</f>
        <v/>
      </c>
      <c r="U120" s="34" t="str">
        <f>IF(ROW()-ROW(U$4)&lt;=AK$3,ROW()-ROW(U$4),"")</f>
        <v/>
      </c>
      <c r="V120" s="34" t="str">
        <f>IF(ROW()-ROW(V$4)&lt;=AL$3,ROW()-ROW(V$4),"")</f>
        <v/>
      </c>
      <c r="W120" s="34" t="str">
        <f>IF(ROW()-ROW(W$4)&lt;=AM$3,ROW()-ROW(W$4),"")</f>
        <v/>
      </c>
      <c r="X120" s="34" t="str">
        <f>IF(ROW()-ROW(X$4)&lt;=AN$3,ROW()-ROW(X$4),"")</f>
        <v/>
      </c>
      <c r="Y120" s="34"/>
      <c r="Z120" s="35" t="str">
        <f>IF(ISNUMBER(R120),INDEX($BE$5:$BE$2999,MATCH(R120,AH$5:AH$2999,0),1),"")</f>
        <v/>
      </c>
      <c r="AA120" s="35" t="str">
        <f>IF(ISNUMBER(S120),INDEX($BE$5:$BE$2999,MATCH(S120,AI$5:AI$2999,0),1),"")</f>
        <v/>
      </c>
      <c r="AB120" s="35" t="str">
        <f>IF(ISNUMBER(T120),INDEX($BE$5:$BE$2999,MATCH(T120,AJ$5:AJ$2999,0),1),"")</f>
        <v/>
      </c>
      <c r="AC120" s="35" t="str">
        <f>IF(ISNUMBER(U120),INDEX($BE$5:$BE$2999,MATCH(U120,AK$5:AK$2999,0),1),"")</f>
        <v/>
      </c>
      <c r="AD120" s="35" t="str">
        <f>IF(ISNUMBER(V120),INDEX($BE$5:$BE$2999,MATCH(V120,AL$5:AL$2999,0),1),"")</f>
        <v/>
      </c>
      <c r="AE120" s="35" t="str">
        <f>IF(ISNUMBER(W120),INDEX($BE$5:$BE$2999,MATCH(W120,AM$5:AM$2999,0),1),"")</f>
        <v/>
      </c>
      <c r="AF120" s="35" t="str">
        <f>IF(ISNUMBER(X120),INDEX($BE$5:$BE$2999,MATCH(X120,AN$5:AN$2999,0),1),"")</f>
        <v/>
      </c>
      <c r="AG120" s="35"/>
      <c r="AH120" s="34" t="str">
        <f>IF($BE120="","",IF(ISNUMBER(MATCH($BE120,AP$5:AP$29999,0)),MAX(AH$4:AH119)+1,0))</f>
        <v/>
      </c>
      <c r="AI120" s="34" t="str">
        <f>IF($BE120="","",IF(ISNUMBER(MATCH($BE120,AQ$5:AQ$29999,0)),MAX(AI$4:AI119)+1,0))</f>
        <v/>
      </c>
      <c r="AJ120" s="34" t="str">
        <f>IF($BE120="","",IF(ISNUMBER(MATCH($BE120,AR$5:AR$29999,0)),MAX(AJ$4:AJ119)+1,0))</f>
        <v/>
      </c>
      <c r="AK120" s="34" t="str">
        <f>IF($BE120="","",IF(ISNUMBER(MATCH($BE120,AS$5:AS$29999,0)),MAX(AK$4:AK119)+1,0))</f>
        <v/>
      </c>
      <c r="AL120" s="34" t="str">
        <f>IF($BE120="","",IF(ISNUMBER(MATCH($BE120,AT$5:AT$29999,0)),MAX(AL$4:AL119)+1,0))</f>
        <v/>
      </c>
      <c r="AM120" s="34" t="str">
        <f>IF($BE120="","",IF(ISNUMBER(MATCH($BE120,AU$5:AU$29999,0)),MAX(AM$4:AM119)+1,0))</f>
        <v/>
      </c>
      <c r="AN120" s="34" t="str">
        <f>IF($BE120="","",IF(ISNUMBER(MATCH($BE120,AV$5:AV$29999,0)),MAX(AN$4:AN119)+1,0))</f>
        <v/>
      </c>
      <c r="AO120" s="16"/>
      <c r="AP120" s="33"/>
      <c r="AQ120" s="33"/>
      <c r="AR120" s="33"/>
      <c r="AS120" s="33"/>
      <c r="AT120" s="32"/>
      <c r="AU120" s="32"/>
      <c r="AV120" s="32" t="s">
        <v>0</v>
      </c>
      <c r="AW120" s="40"/>
      <c r="AX120" s="20" t="s">
        <v>0</v>
      </c>
      <c r="AY120" s="30"/>
      <c r="AZ120" s="30"/>
      <c r="BA120" s="39"/>
      <c r="BB120" s="37"/>
      <c r="BC120" s="36"/>
      <c r="BD120" s="36"/>
      <c r="BE120" s="20"/>
      <c r="BF120" s="36"/>
      <c r="BG120" s="19" t="str">
        <f>IF(ISNUMBER(MATCH($BE120,Z$5:Z$501,0)),INDEX(Z$5:Z$501,MATCH($BE120,Z$5:Z$501,0),1),"")</f>
        <v/>
      </c>
      <c r="BH120" s="19" t="str">
        <f>IF(ISNUMBER(MATCH($BE120,AA$5:AA$501,0)),INDEX(AA$5:AA$501,MATCH($BE120,AA$5:AA$501,0),1),"")</f>
        <v/>
      </c>
      <c r="BI120" s="19" t="str">
        <f>IF(ISNUMBER(MATCH($BE120,AB$5:AB$501,0)),INDEX(AB$5:AB$501,MATCH($BE120,AB$5:AB$501,0),1),"")</f>
        <v/>
      </c>
      <c r="BJ120" s="19" t="str">
        <f>IF(ISNUMBER(MATCH($BE120,AC$5:AC$501,0)),INDEX(AC$5:AC$501,MATCH($BE120,AC$5:AC$501,0),1),"")</f>
        <v/>
      </c>
      <c r="BK120" s="19" t="str">
        <f>IF(ISNUMBER(MATCH($BE120,AD$5:AD$501,0)),INDEX(AD$5:AD$501,MATCH($BE120,AD$5:AD$501,0),1),"")</f>
        <v/>
      </c>
      <c r="BL120" s="19" t="str">
        <f>IF(ISNUMBER(MATCH($BE120,AE$5:AE$501,0)),INDEX(AE$5:AE$501,MATCH($BE120,AE$5:AE$501,0),1),"")</f>
        <v/>
      </c>
      <c r="BM120" s="19" t="str">
        <f>IF(ISNUMBER(MATCH($BE120,AF$5:AF$501,0)),INDEX(AF$5:AF$501,MATCH($BE120,AF$5:AF$501,0),1),"")</f>
        <v/>
      </c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</row>
    <row r="121" spans="1:78" ht="12" customHeight="1" x14ac:dyDescent="0.25">
      <c r="A121" s="26"/>
      <c r="B121" s="28" t="str">
        <f>IF(ISNUMBER(MATCH(O121,$N$5:$N$1000,0)),MATCH(O121,$N$5:$N$1000,0),"")</f>
        <v/>
      </c>
      <c r="C121" s="15" t="str">
        <f>IF(ISNUMBER(B121),MAX(C$4:C120)+1,"")</f>
        <v/>
      </c>
      <c r="D121" s="15" t="str">
        <f>IF(IF(ISNUMBER(B121),"",MAX(D$4:D120)+1)&lt;=D$3,IF(ISNUMBER(B121),"",MAX(D$4:D120)+1),"")</f>
        <v/>
      </c>
      <c r="E121" s="42" t="str">
        <f>IF(M121&lt;=D$3,MATCH(M121,D$5:D$1000,0),"")</f>
        <v/>
      </c>
      <c r="F121" s="28" t="str">
        <f>IF(ISNUMBER(E121),INDEX($N$5:$N$1000,E121,1),"")</f>
        <v/>
      </c>
      <c r="G121" s="27" t="str">
        <f>IF(ISNUMBER(C121),N121,IF(ISTEXT(N121),INDEX($F$5:$F$1000,MATCH(M121,$E$5:$E$1000,0),1),""))</f>
        <v/>
      </c>
      <c r="H121" s="15" t="str">
        <f>IF(O121="","",IF(ISNUMBER(MATCH(O121,$G$5:$G$1000,0)),"",IF(D121=1,C$3,0)+MAX(H$4:H120)+1))</f>
        <v/>
      </c>
      <c r="I121" s="15" t="str">
        <f>IF(O121="","",IF(ISNUMBER(MATCH(O121,$G$5:$G$1000,0)),"",IF(D121=1,B$4,0)+MAX(I$4:I120)+1))</f>
        <v/>
      </c>
      <c r="J121" s="27" t="str">
        <f>IF(ISNUMBER(MATCH(M121,$I$5:$I$1000,0)),INDEX($O$5:$O$1000,MATCH(M121,$I$5:$I$1000,0),1),"")</f>
        <v/>
      </c>
      <c r="K121" s="27"/>
      <c r="L121" s="26"/>
      <c r="M121" s="14">
        <f>IF(ROW()-ROW(M$4)&lt;=1000,ROW()-ROW(M$4),"")</f>
        <v>117</v>
      </c>
      <c r="N121" s="38"/>
      <c r="O121" s="38"/>
      <c r="P121" s="41" t="str">
        <f>IF(M121&lt;=$B$4,IF(ISTEXT(G121),G121,""),IF(ISTEXT(J121),J121,""))</f>
        <v/>
      </c>
      <c r="Q121" s="16" t="s">
        <v>0</v>
      </c>
      <c r="R121" s="34" t="str">
        <f>IF(ROW()-ROW(R$4)&lt;=AH$3,ROW()-ROW(R$4),"")</f>
        <v/>
      </c>
      <c r="S121" s="34" t="str">
        <f>IF(ROW()-ROW(S$4)&lt;=AI$3,ROW()-ROW(S$4),"")</f>
        <v/>
      </c>
      <c r="T121" s="34" t="str">
        <f>IF(ROW()-ROW(T$4)&lt;=AJ$3,ROW()-ROW(T$4),"")</f>
        <v/>
      </c>
      <c r="U121" s="34" t="str">
        <f>IF(ROW()-ROW(U$4)&lt;=AK$3,ROW()-ROW(U$4),"")</f>
        <v/>
      </c>
      <c r="V121" s="34" t="str">
        <f>IF(ROW()-ROW(V$4)&lt;=AL$3,ROW()-ROW(V$4),"")</f>
        <v/>
      </c>
      <c r="W121" s="34" t="str">
        <f>IF(ROW()-ROW(W$4)&lt;=AM$3,ROW()-ROW(W$4),"")</f>
        <v/>
      </c>
      <c r="X121" s="34" t="str">
        <f>IF(ROW()-ROW(X$4)&lt;=AN$3,ROW()-ROW(X$4),"")</f>
        <v/>
      </c>
      <c r="Y121" s="34"/>
      <c r="Z121" s="35" t="str">
        <f>IF(ISNUMBER(R121),INDEX($BE$5:$BE$2999,MATCH(R121,AH$5:AH$2999,0),1),"")</f>
        <v/>
      </c>
      <c r="AA121" s="35" t="str">
        <f>IF(ISNUMBER(S121),INDEX($BE$5:$BE$2999,MATCH(S121,AI$5:AI$2999,0),1),"")</f>
        <v/>
      </c>
      <c r="AB121" s="35" t="str">
        <f>IF(ISNUMBER(T121),INDEX($BE$5:$BE$2999,MATCH(T121,AJ$5:AJ$2999,0),1),"")</f>
        <v/>
      </c>
      <c r="AC121" s="35" t="str">
        <f>IF(ISNUMBER(U121),INDEX($BE$5:$BE$2999,MATCH(U121,AK$5:AK$2999,0),1),"")</f>
        <v/>
      </c>
      <c r="AD121" s="35" t="str">
        <f>IF(ISNUMBER(V121),INDEX($BE$5:$BE$2999,MATCH(V121,AL$5:AL$2999,0),1),"")</f>
        <v/>
      </c>
      <c r="AE121" s="35" t="str">
        <f>IF(ISNUMBER(W121),INDEX($BE$5:$BE$2999,MATCH(W121,AM$5:AM$2999,0),1),"")</f>
        <v/>
      </c>
      <c r="AF121" s="35" t="str">
        <f>IF(ISNUMBER(X121),INDEX($BE$5:$BE$2999,MATCH(X121,AN$5:AN$2999,0),1),"")</f>
        <v/>
      </c>
      <c r="AG121" s="35"/>
      <c r="AH121" s="34" t="str">
        <f>IF($BE121="","",IF(ISNUMBER(MATCH($BE121,AP$5:AP$29999,0)),MAX(AH$4:AH120)+1,0))</f>
        <v/>
      </c>
      <c r="AI121" s="34" t="str">
        <f>IF($BE121="","",IF(ISNUMBER(MATCH($BE121,AQ$5:AQ$29999,0)),MAX(AI$4:AI120)+1,0))</f>
        <v/>
      </c>
      <c r="AJ121" s="34" t="str">
        <f>IF($BE121="","",IF(ISNUMBER(MATCH($BE121,AR$5:AR$29999,0)),MAX(AJ$4:AJ120)+1,0))</f>
        <v/>
      </c>
      <c r="AK121" s="34" t="str">
        <f>IF($BE121="","",IF(ISNUMBER(MATCH($BE121,AS$5:AS$29999,0)),MAX(AK$4:AK120)+1,0))</f>
        <v/>
      </c>
      <c r="AL121" s="34" t="str">
        <f>IF($BE121="","",IF(ISNUMBER(MATCH($BE121,AT$5:AT$29999,0)),MAX(AL$4:AL120)+1,0))</f>
        <v/>
      </c>
      <c r="AM121" s="34" t="str">
        <f>IF($BE121="","",IF(ISNUMBER(MATCH($BE121,AU$5:AU$29999,0)),MAX(AM$4:AM120)+1,0))</f>
        <v/>
      </c>
      <c r="AN121" s="34" t="str">
        <f>IF($BE121="","",IF(ISNUMBER(MATCH($BE121,AV$5:AV$29999,0)),MAX(AN$4:AN120)+1,0))</f>
        <v/>
      </c>
      <c r="AO121" s="16"/>
      <c r="AP121" s="33"/>
      <c r="AQ121" s="33"/>
      <c r="AR121" s="33"/>
      <c r="AS121" s="33"/>
      <c r="AT121" s="32"/>
      <c r="AU121" s="32"/>
      <c r="AV121" s="32" t="s">
        <v>0</v>
      </c>
      <c r="AW121" s="40"/>
      <c r="AX121" s="20" t="s">
        <v>0</v>
      </c>
      <c r="AY121" s="30"/>
      <c r="AZ121" s="30"/>
      <c r="BA121" s="39"/>
      <c r="BB121" s="37"/>
      <c r="BC121" s="36"/>
      <c r="BD121" s="36"/>
      <c r="BE121" s="20"/>
      <c r="BF121" s="36"/>
      <c r="BG121" s="19" t="str">
        <f>IF(ISNUMBER(MATCH($BE121,Z$5:Z$501,0)),INDEX(Z$5:Z$501,MATCH($BE121,Z$5:Z$501,0),1),"")</f>
        <v/>
      </c>
      <c r="BH121" s="19" t="str">
        <f>IF(ISNUMBER(MATCH($BE121,AA$5:AA$501,0)),INDEX(AA$5:AA$501,MATCH($BE121,AA$5:AA$501,0),1),"")</f>
        <v/>
      </c>
      <c r="BI121" s="19" t="str">
        <f>IF(ISNUMBER(MATCH($BE121,AB$5:AB$501,0)),INDEX(AB$5:AB$501,MATCH($BE121,AB$5:AB$501,0),1),"")</f>
        <v/>
      </c>
      <c r="BJ121" s="19" t="str">
        <f>IF(ISNUMBER(MATCH($BE121,AC$5:AC$501,0)),INDEX(AC$5:AC$501,MATCH($BE121,AC$5:AC$501,0),1),"")</f>
        <v/>
      </c>
      <c r="BK121" s="19" t="str">
        <f>IF(ISNUMBER(MATCH($BE121,AD$5:AD$501,0)),INDEX(AD$5:AD$501,MATCH($BE121,AD$5:AD$501,0),1),"")</f>
        <v/>
      </c>
      <c r="BL121" s="19" t="str">
        <f>IF(ISNUMBER(MATCH($BE121,AE$5:AE$501,0)),INDEX(AE$5:AE$501,MATCH($BE121,AE$5:AE$501,0),1),"")</f>
        <v/>
      </c>
      <c r="BM121" s="19" t="str">
        <f>IF(ISNUMBER(MATCH($BE121,AF$5:AF$501,0)),INDEX(AF$5:AF$501,MATCH($BE121,AF$5:AF$501,0),1),"")</f>
        <v/>
      </c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</row>
    <row r="122" spans="1:78" ht="12" customHeight="1" x14ac:dyDescent="0.25">
      <c r="A122" s="26"/>
      <c r="B122" s="28" t="str">
        <f>IF(ISNUMBER(MATCH(O122,$N$5:$N$1000,0)),MATCH(O122,$N$5:$N$1000,0),"")</f>
        <v/>
      </c>
      <c r="C122" s="15" t="str">
        <f>IF(ISNUMBER(B122),MAX(C$4:C121)+1,"")</f>
        <v/>
      </c>
      <c r="D122" s="15" t="str">
        <f>IF(IF(ISNUMBER(B122),"",MAX(D$4:D121)+1)&lt;=D$3,IF(ISNUMBER(B122),"",MAX(D$4:D121)+1),"")</f>
        <v/>
      </c>
      <c r="E122" s="42" t="str">
        <f>IF(M122&lt;=D$3,MATCH(M122,D$5:D$1000,0),"")</f>
        <v/>
      </c>
      <c r="F122" s="28" t="str">
        <f>IF(ISNUMBER(E122),INDEX($N$5:$N$1000,E122,1),"")</f>
        <v/>
      </c>
      <c r="G122" s="27" t="str">
        <f>IF(ISNUMBER(C122),N122,IF(ISTEXT(N122),INDEX($F$5:$F$1000,MATCH(M122,$E$5:$E$1000,0),1),""))</f>
        <v/>
      </c>
      <c r="H122" s="15" t="str">
        <f>IF(O122="","",IF(ISNUMBER(MATCH(O122,$G$5:$G$1000,0)),"",IF(D122=1,C$3,0)+MAX(H$4:H121)+1))</f>
        <v/>
      </c>
      <c r="I122" s="15" t="str">
        <f>IF(O122="","",IF(ISNUMBER(MATCH(O122,$G$5:$G$1000,0)),"",IF(D122=1,B$4,0)+MAX(I$4:I121)+1))</f>
        <v/>
      </c>
      <c r="J122" s="27" t="str">
        <f>IF(ISNUMBER(MATCH(M122,$I$5:$I$1000,0)),INDEX($O$5:$O$1000,MATCH(M122,$I$5:$I$1000,0),1),"")</f>
        <v/>
      </c>
      <c r="K122" s="27"/>
      <c r="L122" s="26"/>
      <c r="M122" s="14">
        <f>IF(ROW()-ROW(M$4)&lt;=1000,ROW()-ROW(M$4),"")</f>
        <v>118</v>
      </c>
      <c r="N122" s="38"/>
      <c r="O122" s="38"/>
      <c r="P122" s="41" t="str">
        <f>IF(M122&lt;=$B$4,IF(ISTEXT(G122),G122,""),IF(ISTEXT(J122),J122,""))</f>
        <v/>
      </c>
      <c r="Q122" s="16" t="s">
        <v>0</v>
      </c>
      <c r="R122" s="34" t="str">
        <f>IF(ROW()-ROW(R$4)&lt;=AH$3,ROW()-ROW(R$4),"")</f>
        <v/>
      </c>
      <c r="S122" s="34" t="str">
        <f>IF(ROW()-ROW(S$4)&lt;=AI$3,ROW()-ROW(S$4),"")</f>
        <v/>
      </c>
      <c r="T122" s="34" t="str">
        <f>IF(ROW()-ROW(T$4)&lt;=AJ$3,ROW()-ROW(T$4),"")</f>
        <v/>
      </c>
      <c r="U122" s="34" t="str">
        <f>IF(ROW()-ROW(U$4)&lt;=AK$3,ROW()-ROW(U$4),"")</f>
        <v/>
      </c>
      <c r="V122" s="34" t="str">
        <f>IF(ROW()-ROW(V$4)&lt;=AL$3,ROW()-ROW(V$4),"")</f>
        <v/>
      </c>
      <c r="W122" s="34" t="str">
        <f>IF(ROW()-ROW(W$4)&lt;=AM$3,ROW()-ROW(W$4),"")</f>
        <v/>
      </c>
      <c r="X122" s="34" t="str">
        <f>IF(ROW()-ROW(X$4)&lt;=AN$3,ROW()-ROW(X$4),"")</f>
        <v/>
      </c>
      <c r="Y122" s="34"/>
      <c r="Z122" s="35" t="str">
        <f>IF(ISNUMBER(R122),INDEX($BE$5:$BE$2999,MATCH(R122,AH$5:AH$2999,0),1),"")</f>
        <v/>
      </c>
      <c r="AA122" s="35" t="str">
        <f>IF(ISNUMBER(S122),INDEX($BE$5:$BE$2999,MATCH(S122,AI$5:AI$2999,0),1),"")</f>
        <v/>
      </c>
      <c r="AB122" s="35" t="str">
        <f>IF(ISNUMBER(T122),INDEX($BE$5:$BE$2999,MATCH(T122,AJ$5:AJ$2999,0),1),"")</f>
        <v/>
      </c>
      <c r="AC122" s="35" t="str">
        <f>IF(ISNUMBER(U122),INDEX($BE$5:$BE$2999,MATCH(U122,AK$5:AK$2999,0),1),"")</f>
        <v/>
      </c>
      <c r="AD122" s="35" t="str">
        <f>IF(ISNUMBER(V122),INDEX($BE$5:$BE$2999,MATCH(V122,AL$5:AL$2999,0),1),"")</f>
        <v/>
      </c>
      <c r="AE122" s="35" t="str">
        <f>IF(ISNUMBER(W122),INDEX($BE$5:$BE$2999,MATCH(W122,AM$5:AM$2999,0),1),"")</f>
        <v/>
      </c>
      <c r="AF122" s="35" t="str">
        <f>IF(ISNUMBER(X122),INDEX($BE$5:$BE$2999,MATCH(X122,AN$5:AN$2999,0),1),"")</f>
        <v/>
      </c>
      <c r="AG122" s="35"/>
      <c r="AH122" s="34" t="str">
        <f>IF($BE122="","",IF(ISNUMBER(MATCH($BE122,AP$5:AP$29999,0)),MAX(AH$4:AH121)+1,0))</f>
        <v/>
      </c>
      <c r="AI122" s="34" t="str">
        <f>IF($BE122="","",IF(ISNUMBER(MATCH($BE122,AQ$5:AQ$29999,0)),MAX(AI$4:AI121)+1,0))</f>
        <v/>
      </c>
      <c r="AJ122" s="34" t="str">
        <f>IF($BE122="","",IF(ISNUMBER(MATCH($BE122,AR$5:AR$29999,0)),MAX(AJ$4:AJ121)+1,0))</f>
        <v/>
      </c>
      <c r="AK122" s="34" t="str">
        <f>IF($BE122="","",IF(ISNUMBER(MATCH($BE122,AS$5:AS$29999,0)),MAX(AK$4:AK121)+1,0))</f>
        <v/>
      </c>
      <c r="AL122" s="34" t="str">
        <f>IF($BE122="","",IF(ISNUMBER(MATCH($BE122,AT$5:AT$29999,0)),MAX(AL$4:AL121)+1,0))</f>
        <v/>
      </c>
      <c r="AM122" s="34" t="str">
        <f>IF($BE122="","",IF(ISNUMBER(MATCH($BE122,AU$5:AU$29999,0)),MAX(AM$4:AM121)+1,0))</f>
        <v/>
      </c>
      <c r="AN122" s="34" t="str">
        <f>IF($BE122="","",IF(ISNUMBER(MATCH($BE122,AV$5:AV$29999,0)),MAX(AN$4:AN121)+1,0))</f>
        <v/>
      </c>
      <c r="AO122" s="16"/>
      <c r="AP122" s="33"/>
      <c r="AQ122" s="33"/>
      <c r="AR122" s="33"/>
      <c r="AS122" s="33"/>
      <c r="AT122" s="32"/>
      <c r="AU122" s="32"/>
      <c r="AV122" s="32" t="s">
        <v>0</v>
      </c>
      <c r="AW122" s="40"/>
      <c r="AX122" s="20" t="s">
        <v>0</v>
      </c>
      <c r="AY122" s="30"/>
      <c r="AZ122" s="30"/>
      <c r="BA122" s="39"/>
      <c r="BB122" s="37"/>
      <c r="BC122" s="36"/>
      <c r="BD122" s="36"/>
      <c r="BE122" s="20"/>
      <c r="BF122" s="36"/>
      <c r="BG122" s="19" t="str">
        <f>IF(ISNUMBER(MATCH($BE122,Z$5:Z$501,0)),INDEX(Z$5:Z$501,MATCH($BE122,Z$5:Z$501,0),1),"")</f>
        <v/>
      </c>
      <c r="BH122" s="19" t="str">
        <f>IF(ISNUMBER(MATCH($BE122,AA$5:AA$501,0)),INDEX(AA$5:AA$501,MATCH($BE122,AA$5:AA$501,0),1),"")</f>
        <v/>
      </c>
      <c r="BI122" s="19" t="str">
        <f>IF(ISNUMBER(MATCH($BE122,AB$5:AB$501,0)),INDEX(AB$5:AB$501,MATCH($BE122,AB$5:AB$501,0),1),"")</f>
        <v/>
      </c>
      <c r="BJ122" s="19" t="str">
        <f>IF(ISNUMBER(MATCH($BE122,AC$5:AC$501,0)),INDEX(AC$5:AC$501,MATCH($BE122,AC$5:AC$501,0),1),"")</f>
        <v/>
      </c>
      <c r="BK122" s="19" t="str">
        <f>IF(ISNUMBER(MATCH($BE122,AD$5:AD$501,0)),INDEX(AD$5:AD$501,MATCH($BE122,AD$5:AD$501,0),1),"")</f>
        <v/>
      </c>
      <c r="BL122" s="19" t="str">
        <f>IF(ISNUMBER(MATCH($BE122,AE$5:AE$501,0)),INDEX(AE$5:AE$501,MATCH($BE122,AE$5:AE$501,0),1),"")</f>
        <v/>
      </c>
      <c r="BM122" s="19" t="str">
        <f>IF(ISNUMBER(MATCH($BE122,AF$5:AF$501,0)),INDEX(AF$5:AF$501,MATCH($BE122,AF$5:AF$501,0),1),"")</f>
        <v/>
      </c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</row>
    <row r="123" spans="1:78" ht="12" customHeight="1" x14ac:dyDescent="0.25">
      <c r="A123" s="26"/>
      <c r="B123" s="28" t="str">
        <f>IF(ISNUMBER(MATCH(O123,$N$5:$N$1000,0)),MATCH(O123,$N$5:$N$1000,0),"")</f>
        <v/>
      </c>
      <c r="C123" s="15" t="str">
        <f>IF(ISNUMBER(B123),MAX(C$4:C122)+1,"")</f>
        <v/>
      </c>
      <c r="D123" s="15" t="str">
        <f>IF(IF(ISNUMBER(B123),"",MAX(D$4:D122)+1)&lt;=D$3,IF(ISNUMBER(B123),"",MAX(D$4:D122)+1),"")</f>
        <v/>
      </c>
      <c r="E123" s="42" t="str">
        <f>IF(M123&lt;=D$3,MATCH(M123,D$5:D$1000,0),"")</f>
        <v/>
      </c>
      <c r="F123" s="28" t="str">
        <f>IF(ISNUMBER(E123),INDEX($N$5:$N$1000,E123,1),"")</f>
        <v/>
      </c>
      <c r="G123" s="27" t="str">
        <f>IF(ISNUMBER(C123),N123,IF(ISTEXT(N123),INDEX($F$5:$F$1000,MATCH(M123,$E$5:$E$1000,0),1),""))</f>
        <v/>
      </c>
      <c r="H123" s="15" t="str">
        <f>IF(O123="","",IF(ISNUMBER(MATCH(O123,$G$5:$G$1000,0)),"",IF(D123=1,C$3,0)+MAX(H$4:H122)+1))</f>
        <v/>
      </c>
      <c r="I123" s="15" t="str">
        <f>IF(O123="","",IF(ISNUMBER(MATCH(O123,$G$5:$G$1000,0)),"",IF(D123=1,B$4,0)+MAX(I$4:I122)+1))</f>
        <v/>
      </c>
      <c r="J123" s="27" t="str">
        <f>IF(ISNUMBER(MATCH(M123,$I$5:$I$1000,0)),INDEX($O$5:$O$1000,MATCH(M123,$I$5:$I$1000,0),1),"")</f>
        <v/>
      </c>
      <c r="K123" s="27"/>
      <c r="L123" s="26"/>
      <c r="M123" s="14">
        <f>IF(ROW()-ROW(M$4)&lt;=1000,ROW()-ROW(M$4),"")</f>
        <v>119</v>
      </c>
      <c r="N123" s="38"/>
      <c r="O123" s="38"/>
      <c r="P123" s="41" t="str">
        <f>IF(M123&lt;=$B$4,IF(ISTEXT(G123),G123,""),IF(ISTEXT(J123),J123,""))</f>
        <v/>
      </c>
      <c r="Q123" s="16" t="s">
        <v>0</v>
      </c>
      <c r="R123" s="34" t="str">
        <f>IF(ROW()-ROW(R$4)&lt;=AH$3,ROW()-ROW(R$4),"")</f>
        <v/>
      </c>
      <c r="S123" s="34" t="str">
        <f>IF(ROW()-ROW(S$4)&lt;=AI$3,ROW()-ROW(S$4),"")</f>
        <v/>
      </c>
      <c r="T123" s="34" t="str">
        <f>IF(ROW()-ROW(T$4)&lt;=AJ$3,ROW()-ROW(T$4),"")</f>
        <v/>
      </c>
      <c r="U123" s="34" t="str">
        <f>IF(ROW()-ROW(U$4)&lt;=AK$3,ROW()-ROW(U$4),"")</f>
        <v/>
      </c>
      <c r="V123" s="34" t="str">
        <f>IF(ROW()-ROW(V$4)&lt;=AL$3,ROW()-ROW(V$4),"")</f>
        <v/>
      </c>
      <c r="W123" s="34" t="str">
        <f>IF(ROW()-ROW(W$4)&lt;=AM$3,ROW()-ROW(W$4),"")</f>
        <v/>
      </c>
      <c r="X123" s="34" t="str">
        <f>IF(ROW()-ROW(X$4)&lt;=AN$3,ROW()-ROW(X$4),"")</f>
        <v/>
      </c>
      <c r="Y123" s="34"/>
      <c r="Z123" s="35" t="str">
        <f>IF(ISNUMBER(R123),INDEX($BE$5:$BE$2999,MATCH(R123,AH$5:AH$2999,0),1),"")</f>
        <v/>
      </c>
      <c r="AA123" s="35" t="str">
        <f>IF(ISNUMBER(S123),INDEX($BE$5:$BE$2999,MATCH(S123,AI$5:AI$2999,0),1),"")</f>
        <v/>
      </c>
      <c r="AB123" s="35" t="str">
        <f>IF(ISNUMBER(T123),INDEX($BE$5:$BE$2999,MATCH(T123,AJ$5:AJ$2999,0),1),"")</f>
        <v/>
      </c>
      <c r="AC123" s="35" t="str">
        <f>IF(ISNUMBER(U123),INDEX($BE$5:$BE$2999,MATCH(U123,AK$5:AK$2999,0),1),"")</f>
        <v/>
      </c>
      <c r="AD123" s="35" t="str">
        <f>IF(ISNUMBER(V123),INDEX($BE$5:$BE$2999,MATCH(V123,AL$5:AL$2999,0),1),"")</f>
        <v/>
      </c>
      <c r="AE123" s="35" t="str">
        <f>IF(ISNUMBER(W123),INDEX($BE$5:$BE$2999,MATCH(W123,AM$5:AM$2999,0),1),"")</f>
        <v/>
      </c>
      <c r="AF123" s="35" t="str">
        <f>IF(ISNUMBER(X123),INDEX($BE$5:$BE$2999,MATCH(X123,AN$5:AN$2999,0),1),"")</f>
        <v/>
      </c>
      <c r="AG123" s="35"/>
      <c r="AH123" s="34" t="str">
        <f>IF($BE123="","",IF(ISNUMBER(MATCH($BE123,AP$5:AP$29999,0)),MAX(AH$4:AH122)+1,0))</f>
        <v/>
      </c>
      <c r="AI123" s="34" t="str">
        <f>IF($BE123="","",IF(ISNUMBER(MATCH($BE123,AQ$5:AQ$29999,0)),MAX(AI$4:AI122)+1,0))</f>
        <v/>
      </c>
      <c r="AJ123" s="34" t="str">
        <f>IF($BE123="","",IF(ISNUMBER(MATCH($BE123,AR$5:AR$29999,0)),MAX(AJ$4:AJ122)+1,0))</f>
        <v/>
      </c>
      <c r="AK123" s="34" t="str">
        <f>IF($BE123="","",IF(ISNUMBER(MATCH($BE123,AS$5:AS$29999,0)),MAX(AK$4:AK122)+1,0))</f>
        <v/>
      </c>
      <c r="AL123" s="34" t="str">
        <f>IF($BE123="","",IF(ISNUMBER(MATCH($BE123,AT$5:AT$29999,0)),MAX(AL$4:AL122)+1,0))</f>
        <v/>
      </c>
      <c r="AM123" s="34" t="str">
        <f>IF($BE123="","",IF(ISNUMBER(MATCH($BE123,AU$5:AU$29999,0)),MAX(AM$4:AM122)+1,0))</f>
        <v/>
      </c>
      <c r="AN123" s="34" t="str">
        <f>IF($BE123="","",IF(ISNUMBER(MATCH($BE123,AV$5:AV$29999,0)),MAX(AN$4:AN122)+1,0))</f>
        <v/>
      </c>
      <c r="AO123" s="16"/>
      <c r="AP123" s="33"/>
      <c r="AQ123" s="33"/>
      <c r="AR123" s="33"/>
      <c r="AS123" s="33"/>
      <c r="AT123" s="32"/>
      <c r="AU123" s="32"/>
      <c r="AV123" s="32" t="s">
        <v>0</v>
      </c>
      <c r="AW123" s="40"/>
      <c r="AX123" s="20" t="s">
        <v>0</v>
      </c>
      <c r="AY123" s="30"/>
      <c r="AZ123" s="30"/>
      <c r="BA123" s="39"/>
      <c r="BB123" s="37"/>
      <c r="BC123" s="36"/>
      <c r="BD123" s="36"/>
      <c r="BE123" s="20"/>
      <c r="BF123" s="36"/>
      <c r="BG123" s="19" t="str">
        <f>IF(ISNUMBER(MATCH($BE123,Z$5:Z$501,0)),INDEX(Z$5:Z$501,MATCH($BE123,Z$5:Z$501,0),1),"")</f>
        <v/>
      </c>
      <c r="BH123" s="19" t="str">
        <f>IF(ISNUMBER(MATCH($BE123,AA$5:AA$501,0)),INDEX(AA$5:AA$501,MATCH($BE123,AA$5:AA$501,0),1),"")</f>
        <v/>
      </c>
      <c r="BI123" s="19" t="str">
        <f>IF(ISNUMBER(MATCH($BE123,AB$5:AB$501,0)),INDEX(AB$5:AB$501,MATCH($BE123,AB$5:AB$501,0),1),"")</f>
        <v/>
      </c>
      <c r="BJ123" s="19" t="str">
        <f>IF(ISNUMBER(MATCH($BE123,AC$5:AC$501,0)),INDEX(AC$5:AC$501,MATCH($BE123,AC$5:AC$501,0),1),"")</f>
        <v/>
      </c>
      <c r="BK123" s="19" t="str">
        <f>IF(ISNUMBER(MATCH($BE123,AD$5:AD$501,0)),INDEX(AD$5:AD$501,MATCH($BE123,AD$5:AD$501,0),1),"")</f>
        <v/>
      </c>
      <c r="BL123" s="19" t="str">
        <f>IF(ISNUMBER(MATCH($BE123,AE$5:AE$501,0)),INDEX(AE$5:AE$501,MATCH($BE123,AE$5:AE$501,0),1),"")</f>
        <v/>
      </c>
      <c r="BM123" s="19" t="str">
        <f>IF(ISNUMBER(MATCH($BE123,AF$5:AF$501,0)),INDEX(AF$5:AF$501,MATCH($BE123,AF$5:AF$501,0),1),"")</f>
        <v/>
      </c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</row>
    <row r="124" spans="1:78" ht="12" customHeight="1" x14ac:dyDescent="0.25">
      <c r="A124" s="26"/>
      <c r="B124" s="28" t="str">
        <f>IF(ISNUMBER(MATCH(O124,$N$5:$N$1000,0)),MATCH(O124,$N$5:$N$1000,0),"")</f>
        <v/>
      </c>
      <c r="C124" s="15" t="str">
        <f>IF(ISNUMBER(B124),MAX(C$4:C123)+1,"")</f>
        <v/>
      </c>
      <c r="D124" s="15" t="str">
        <f>IF(IF(ISNUMBER(B124),"",MAX(D$4:D123)+1)&lt;=D$3,IF(ISNUMBER(B124),"",MAX(D$4:D123)+1),"")</f>
        <v/>
      </c>
      <c r="E124" s="42" t="str">
        <f>IF(M124&lt;=D$3,MATCH(M124,D$5:D$1000,0),"")</f>
        <v/>
      </c>
      <c r="F124" s="28" t="str">
        <f>IF(ISNUMBER(E124),INDEX($N$5:$N$1000,E124,1),"")</f>
        <v/>
      </c>
      <c r="G124" s="27" t="str">
        <f>IF(ISNUMBER(C124),N124,IF(ISTEXT(N124),INDEX($F$5:$F$1000,MATCH(M124,$E$5:$E$1000,0),1),""))</f>
        <v/>
      </c>
      <c r="H124" s="15" t="str">
        <f>IF(O124="","",IF(ISNUMBER(MATCH(O124,$G$5:$G$1000,0)),"",IF(D124=1,C$3,0)+MAX(H$4:H123)+1))</f>
        <v/>
      </c>
      <c r="I124" s="15" t="str">
        <f>IF(O124="","",IF(ISNUMBER(MATCH(O124,$G$5:$G$1000,0)),"",IF(D124=1,B$4,0)+MAX(I$4:I123)+1))</f>
        <v/>
      </c>
      <c r="J124" s="27" t="str">
        <f>IF(ISNUMBER(MATCH(M124,$I$5:$I$1000,0)),INDEX($O$5:$O$1000,MATCH(M124,$I$5:$I$1000,0),1),"")</f>
        <v/>
      </c>
      <c r="K124" s="27"/>
      <c r="L124" s="26"/>
      <c r="M124" s="14">
        <f>IF(ROW()-ROW(M$4)&lt;=1000,ROW()-ROW(M$4),"")</f>
        <v>120</v>
      </c>
      <c r="N124" s="38"/>
      <c r="O124" s="38"/>
      <c r="P124" s="41" t="str">
        <f>IF(M124&lt;=$B$4,IF(ISTEXT(G124),G124,""),IF(ISTEXT(J124),J124,""))</f>
        <v/>
      </c>
      <c r="Q124" s="16" t="s">
        <v>0</v>
      </c>
      <c r="R124" s="34" t="str">
        <f>IF(ROW()-ROW(R$4)&lt;=AH$3,ROW()-ROW(R$4),"")</f>
        <v/>
      </c>
      <c r="S124" s="34" t="str">
        <f>IF(ROW()-ROW(S$4)&lt;=AI$3,ROW()-ROW(S$4),"")</f>
        <v/>
      </c>
      <c r="T124" s="34" t="str">
        <f>IF(ROW()-ROW(T$4)&lt;=AJ$3,ROW()-ROW(T$4),"")</f>
        <v/>
      </c>
      <c r="U124" s="34" t="str">
        <f>IF(ROW()-ROW(U$4)&lt;=AK$3,ROW()-ROW(U$4),"")</f>
        <v/>
      </c>
      <c r="V124" s="34" t="str">
        <f>IF(ROW()-ROW(V$4)&lt;=AL$3,ROW()-ROW(V$4),"")</f>
        <v/>
      </c>
      <c r="W124" s="34" t="str">
        <f>IF(ROW()-ROW(W$4)&lt;=AM$3,ROW()-ROW(W$4),"")</f>
        <v/>
      </c>
      <c r="X124" s="34" t="str">
        <f>IF(ROW()-ROW(X$4)&lt;=AN$3,ROW()-ROW(X$4),"")</f>
        <v/>
      </c>
      <c r="Y124" s="34"/>
      <c r="Z124" s="35" t="str">
        <f>IF(ISNUMBER(R124),INDEX($BE$5:$BE$2999,MATCH(R124,AH$5:AH$2999,0),1),"")</f>
        <v/>
      </c>
      <c r="AA124" s="35" t="str">
        <f>IF(ISNUMBER(S124),INDEX($BE$5:$BE$2999,MATCH(S124,AI$5:AI$2999,0),1),"")</f>
        <v/>
      </c>
      <c r="AB124" s="35" t="str">
        <f>IF(ISNUMBER(T124),INDEX($BE$5:$BE$2999,MATCH(T124,AJ$5:AJ$2999,0),1),"")</f>
        <v/>
      </c>
      <c r="AC124" s="35" t="str">
        <f>IF(ISNUMBER(U124),INDEX($BE$5:$BE$2999,MATCH(U124,AK$5:AK$2999,0),1),"")</f>
        <v/>
      </c>
      <c r="AD124" s="35" t="str">
        <f>IF(ISNUMBER(V124),INDEX($BE$5:$BE$2999,MATCH(V124,AL$5:AL$2999,0),1),"")</f>
        <v/>
      </c>
      <c r="AE124" s="35" t="str">
        <f>IF(ISNUMBER(W124),INDEX($BE$5:$BE$2999,MATCH(W124,AM$5:AM$2999,0),1),"")</f>
        <v/>
      </c>
      <c r="AF124" s="35" t="str">
        <f>IF(ISNUMBER(X124),INDEX($BE$5:$BE$2999,MATCH(X124,AN$5:AN$2999,0),1),"")</f>
        <v/>
      </c>
      <c r="AG124" s="35"/>
      <c r="AH124" s="34" t="str">
        <f>IF($BE124="","",IF(ISNUMBER(MATCH($BE124,AP$5:AP$29999,0)),MAX(AH$4:AH123)+1,0))</f>
        <v/>
      </c>
      <c r="AI124" s="34" t="str">
        <f>IF($BE124="","",IF(ISNUMBER(MATCH($BE124,AQ$5:AQ$29999,0)),MAX(AI$4:AI123)+1,0))</f>
        <v/>
      </c>
      <c r="AJ124" s="34" t="str">
        <f>IF($BE124="","",IF(ISNUMBER(MATCH($BE124,AR$5:AR$29999,0)),MAX(AJ$4:AJ123)+1,0))</f>
        <v/>
      </c>
      <c r="AK124" s="34" t="str">
        <f>IF($BE124="","",IF(ISNUMBER(MATCH($BE124,AS$5:AS$29999,0)),MAX(AK$4:AK123)+1,0))</f>
        <v/>
      </c>
      <c r="AL124" s="34" t="str">
        <f>IF($BE124="","",IF(ISNUMBER(MATCH($BE124,AT$5:AT$29999,0)),MAX(AL$4:AL123)+1,0))</f>
        <v/>
      </c>
      <c r="AM124" s="34" t="str">
        <f>IF($BE124="","",IF(ISNUMBER(MATCH($BE124,AU$5:AU$29999,0)),MAX(AM$4:AM123)+1,0))</f>
        <v/>
      </c>
      <c r="AN124" s="34" t="str">
        <f>IF($BE124="","",IF(ISNUMBER(MATCH($BE124,AV$5:AV$29999,0)),MAX(AN$4:AN123)+1,0))</f>
        <v/>
      </c>
      <c r="AO124" s="16"/>
      <c r="AP124" s="33"/>
      <c r="AQ124" s="33"/>
      <c r="AR124" s="33"/>
      <c r="AS124" s="33"/>
      <c r="AT124" s="32"/>
      <c r="AU124" s="32"/>
      <c r="AV124" s="32" t="s">
        <v>0</v>
      </c>
      <c r="AW124" s="40"/>
      <c r="AX124" s="20" t="s">
        <v>0</v>
      </c>
      <c r="AY124" s="30"/>
      <c r="AZ124" s="30"/>
      <c r="BA124" s="39"/>
      <c r="BB124" s="37"/>
      <c r="BC124" s="36"/>
      <c r="BD124" s="36"/>
      <c r="BE124" s="20"/>
      <c r="BF124" s="36"/>
      <c r="BG124" s="19" t="str">
        <f>IF(ISNUMBER(MATCH($BE124,Z$5:Z$501,0)),INDEX(Z$5:Z$501,MATCH($BE124,Z$5:Z$501,0),1),"")</f>
        <v/>
      </c>
      <c r="BH124" s="19" t="str">
        <f>IF(ISNUMBER(MATCH($BE124,AA$5:AA$501,0)),INDEX(AA$5:AA$501,MATCH($BE124,AA$5:AA$501,0),1),"")</f>
        <v/>
      </c>
      <c r="BI124" s="19" t="str">
        <f>IF(ISNUMBER(MATCH($BE124,AB$5:AB$501,0)),INDEX(AB$5:AB$501,MATCH($BE124,AB$5:AB$501,0),1),"")</f>
        <v/>
      </c>
      <c r="BJ124" s="19" t="str">
        <f>IF(ISNUMBER(MATCH($BE124,AC$5:AC$501,0)),INDEX(AC$5:AC$501,MATCH($BE124,AC$5:AC$501,0),1),"")</f>
        <v/>
      </c>
      <c r="BK124" s="19" t="str">
        <f>IF(ISNUMBER(MATCH($BE124,AD$5:AD$501,0)),INDEX(AD$5:AD$501,MATCH($BE124,AD$5:AD$501,0),1),"")</f>
        <v/>
      </c>
      <c r="BL124" s="19" t="str">
        <f>IF(ISNUMBER(MATCH($BE124,AE$5:AE$501,0)),INDEX(AE$5:AE$501,MATCH($BE124,AE$5:AE$501,0),1),"")</f>
        <v/>
      </c>
      <c r="BM124" s="19" t="str">
        <f>IF(ISNUMBER(MATCH($BE124,AF$5:AF$501,0)),INDEX(AF$5:AF$501,MATCH($BE124,AF$5:AF$501,0),1),"")</f>
        <v/>
      </c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</row>
    <row r="125" spans="1:78" ht="12" customHeight="1" x14ac:dyDescent="0.25">
      <c r="A125" s="26"/>
      <c r="B125" s="28" t="str">
        <f>IF(ISNUMBER(MATCH(O125,$N$5:$N$1000,0)),MATCH(O125,$N$5:$N$1000,0),"")</f>
        <v/>
      </c>
      <c r="C125" s="15" t="str">
        <f>IF(ISNUMBER(B125),MAX(C$4:C124)+1,"")</f>
        <v/>
      </c>
      <c r="D125" s="15" t="str">
        <f>IF(IF(ISNUMBER(B125),"",MAX(D$4:D124)+1)&lt;=D$3,IF(ISNUMBER(B125),"",MAX(D$4:D124)+1),"")</f>
        <v/>
      </c>
      <c r="E125" s="42" t="str">
        <f>IF(M125&lt;=D$3,MATCH(M125,D$5:D$1000,0),"")</f>
        <v/>
      </c>
      <c r="F125" s="28" t="str">
        <f>IF(ISNUMBER(E125),INDEX($N$5:$N$1000,E125,1),"")</f>
        <v/>
      </c>
      <c r="G125" s="27" t="str">
        <f>IF(ISNUMBER(C125),N125,IF(ISTEXT(N125),INDEX($F$5:$F$1000,MATCH(M125,$E$5:$E$1000,0),1),""))</f>
        <v/>
      </c>
      <c r="H125" s="15" t="str">
        <f>IF(O125="","",IF(ISNUMBER(MATCH(O125,$G$5:$G$1000,0)),"",IF(D125=1,C$3,0)+MAX(H$4:H124)+1))</f>
        <v/>
      </c>
      <c r="I125" s="15" t="str">
        <f>IF(O125="","",IF(ISNUMBER(MATCH(O125,$G$5:$G$1000,0)),"",IF(D125=1,B$4,0)+MAX(I$4:I124)+1))</f>
        <v/>
      </c>
      <c r="J125" s="27" t="str">
        <f>IF(ISNUMBER(MATCH(M125,$I$5:$I$1000,0)),INDEX($O$5:$O$1000,MATCH(M125,$I$5:$I$1000,0),1),"")</f>
        <v/>
      </c>
      <c r="K125" s="27"/>
      <c r="L125" s="26"/>
      <c r="M125" s="14">
        <f>IF(ROW()-ROW(M$4)&lt;=1000,ROW()-ROW(M$4),"")</f>
        <v>121</v>
      </c>
      <c r="N125" s="38"/>
      <c r="O125" s="38"/>
      <c r="P125" s="41" t="str">
        <f>IF(M125&lt;=$B$4,IF(ISTEXT(G125),G125,""),IF(ISTEXT(J125),J125,""))</f>
        <v/>
      </c>
      <c r="Q125" s="16" t="s">
        <v>0</v>
      </c>
      <c r="R125" s="34" t="str">
        <f>IF(ROW()-ROW(R$4)&lt;=AH$3,ROW()-ROW(R$4),"")</f>
        <v/>
      </c>
      <c r="S125" s="34" t="str">
        <f>IF(ROW()-ROW(S$4)&lt;=AI$3,ROW()-ROW(S$4),"")</f>
        <v/>
      </c>
      <c r="T125" s="34" t="str">
        <f>IF(ROW()-ROW(T$4)&lt;=AJ$3,ROW()-ROW(T$4),"")</f>
        <v/>
      </c>
      <c r="U125" s="34" t="str">
        <f>IF(ROW()-ROW(U$4)&lt;=AK$3,ROW()-ROW(U$4),"")</f>
        <v/>
      </c>
      <c r="V125" s="34" t="str">
        <f>IF(ROW()-ROW(V$4)&lt;=AL$3,ROW()-ROW(V$4),"")</f>
        <v/>
      </c>
      <c r="W125" s="34" t="str">
        <f>IF(ROW()-ROW(W$4)&lt;=AM$3,ROW()-ROW(W$4),"")</f>
        <v/>
      </c>
      <c r="X125" s="34" t="str">
        <f>IF(ROW()-ROW(X$4)&lt;=AN$3,ROW()-ROW(X$4),"")</f>
        <v/>
      </c>
      <c r="Y125" s="34"/>
      <c r="Z125" s="35" t="str">
        <f>IF(ISNUMBER(R125),INDEX($BE$5:$BE$2999,MATCH(R125,AH$5:AH$2999,0),1),"")</f>
        <v/>
      </c>
      <c r="AA125" s="35" t="str">
        <f>IF(ISNUMBER(S125),INDEX($BE$5:$BE$2999,MATCH(S125,AI$5:AI$2999,0),1),"")</f>
        <v/>
      </c>
      <c r="AB125" s="35" t="str">
        <f>IF(ISNUMBER(T125),INDEX($BE$5:$BE$2999,MATCH(T125,AJ$5:AJ$2999,0),1),"")</f>
        <v/>
      </c>
      <c r="AC125" s="35" t="str">
        <f>IF(ISNUMBER(U125),INDEX($BE$5:$BE$2999,MATCH(U125,AK$5:AK$2999,0),1),"")</f>
        <v/>
      </c>
      <c r="AD125" s="35" t="str">
        <f>IF(ISNUMBER(V125),INDEX($BE$5:$BE$2999,MATCH(V125,AL$5:AL$2999,0),1),"")</f>
        <v/>
      </c>
      <c r="AE125" s="35" t="str">
        <f>IF(ISNUMBER(W125),INDEX($BE$5:$BE$2999,MATCH(W125,AM$5:AM$2999,0),1),"")</f>
        <v/>
      </c>
      <c r="AF125" s="35" t="str">
        <f>IF(ISNUMBER(X125),INDEX($BE$5:$BE$2999,MATCH(X125,AN$5:AN$2999,0),1),"")</f>
        <v/>
      </c>
      <c r="AG125" s="35"/>
      <c r="AH125" s="34" t="str">
        <f>IF($BE125="","",IF(ISNUMBER(MATCH($BE125,AP$5:AP$29999,0)),MAX(AH$4:AH124)+1,0))</f>
        <v/>
      </c>
      <c r="AI125" s="34" t="str">
        <f>IF($BE125="","",IF(ISNUMBER(MATCH($BE125,AQ$5:AQ$29999,0)),MAX(AI$4:AI124)+1,0))</f>
        <v/>
      </c>
      <c r="AJ125" s="34" t="str">
        <f>IF($BE125="","",IF(ISNUMBER(MATCH($BE125,AR$5:AR$29999,0)),MAX(AJ$4:AJ124)+1,0))</f>
        <v/>
      </c>
      <c r="AK125" s="34" t="str">
        <f>IF($BE125="","",IF(ISNUMBER(MATCH($BE125,AS$5:AS$29999,0)),MAX(AK$4:AK124)+1,0))</f>
        <v/>
      </c>
      <c r="AL125" s="34" t="str">
        <f>IF($BE125="","",IF(ISNUMBER(MATCH($BE125,AT$5:AT$29999,0)),MAX(AL$4:AL124)+1,0))</f>
        <v/>
      </c>
      <c r="AM125" s="34" t="str">
        <f>IF($BE125="","",IF(ISNUMBER(MATCH($BE125,AU$5:AU$29999,0)),MAX(AM$4:AM124)+1,0))</f>
        <v/>
      </c>
      <c r="AN125" s="34" t="str">
        <f>IF($BE125="","",IF(ISNUMBER(MATCH($BE125,AV$5:AV$29999,0)),MAX(AN$4:AN124)+1,0))</f>
        <v/>
      </c>
      <c r="AO125" s="16"/>
      <c r="AP125" s="33"/>
      <c r="AQ125" s="33"/>
      <c r="AR125" s="33"/>
      <c r="AS125" s="33"/>
      <c r="AT125" s="32"/>
      <c r="AU125" s="32"/>
      <c r="AV125" s="32" t="s">
        <v>0</v>
      </c>
      <c r="AW125" s="40"/>
      <c r="AX125" s="20" t="s">
        <v>0</v>
      </c>
      <c r="AY125" s="30"/>
      <c r="AZ125" s="30"/>
      <c r="BA125" s="39"/>
      <c r="BB125" s="37"/>
      <c r="BC125" s="36"/>
      <c r="BD125" s="36"/>
      <c r="BE125" s="20"/>
      <c r="BF125" s="36"/>
      <c r="BG125" s="19" t="str">
        <f>IF(ISNUMBER(MATCH($BE125,Z$5:Z$501,0)),INDEX(Z$5:Z$501,MATCH($BE125,Z$5:Z$501,0),1),"")</f>
        <v/>
      </c>
      <c r="BH125" s="19" t="str">
        <f>IF(ISNUMBER(MATCH($BE125,AA$5:AA$501,0)),INDEX(AA$5:AA$501,MATCH($BE125,AA$5:AA$501,0),1),"")</f>
        <v/>
      </c>
      <c r="BI125" s="19" t="str">
        <f>IF(ISNUMBER(MATCH($BE125,AB$5:AB$501,0)),INDEX(AB$5:AB$501,MATCH($BE125,AB$5:AB$501,0),1),"")</f>
        <v/>
      </c>
      <c r="BJ125" s="19" t="str">
        <f>IF(ISNUMBER(MATCH($BE125,AC$5:AC$501,0)),INDEX(AC$5:AC$501,MATCH($BE125,AC$5:AC$501,0),1),"")</f>
        <v/>
      </c>
      <c r="BK125" s="19" t="str">
        <f>IF(ISNUMBER(MATCH($BE125,AD$5:AD$501,0)),INDEX(AD$5:AD$501,MATCH($BE125,AD$5:AD$501,0),1),"")</f>
        <v/>
      </c>
      <c r="BL125" s="19" t="str">
        <f>IF(ISNUMBER(MATCH($BE125,AE$5:AE$501,0)),INDEX(AE$5:AE$501,MATCH($BE125,AE$5:AE$501,0),1),"")</f>
        <v/>
      </c>
      <c r="BM125" s="19" t="str">
        <f>IF(ISNUMBER(MATCH($BE125,AF$5:AF$501,0)),INDEX(AF$5:AF$501,MATCH($BE125,AF$5:AF$501,0),1),"")</f>
        <v/>
      </c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</row>
    <row r="126" spans="1:78" ht="12" customHeight="1" x14ac:dyDescent="0.25">
      <c r="A126" s="26"/>
      <c r="B126" s="28" t="str">
        <f>IF(ISNUMBER(MATCH(O126,$N$5:$N$1000,0)),MATCH(O126,$N$5:$N$1000,0),"")</f>
        <v/>
      </c>
      <c r="C126" s="15" t="str">
        <f>IF(ISNUMBER(B126),MAX(C$4:C125)+1,"")</f>
        <v/>
      </c>
      <c r="D126" s="15" t="str">
        <f>IF(IF(ISNUMBER(B126),"",MAX(D$4:D125)+1)&lt;=D$3,IF(ISNUMBER(B126),"",MAX(D$4:D125)+1),"")</f>
        <v/>
      </c>
      <c r="E126" s="42" t="str">
        <f>IF(M126&lt;=D$3,MATCH(M126,D$5:D$1000,0),"")</f>
        <v/>
      </c>
      <c r="F126" s="28" t="str">
        <f>IF(ISNUMBER(E126),INDEX($N$5:$N$1000,E126,1),"")</f>
        <v/>
      </c>
      <c r="G126" s="27" t="str">
        <f>IF(ISNUMBER(C126),N126,IF(ISTEXT(N126),INDEX($F$5:$F$1000,MATCH(M126,$E$5:$E$1000,0),1),""))</f>
        <v/>
      </c>
      <c r="H126" s="15" t="str">
        <f>IF(O126="","",IF(ISNUMBER(MATCH(O126,$G$5:$G$1000,0)),"",IF(D126=1,C$3,0)+MAX(H$4:H125)+1))</f>
        <v/>
      </c>
      <c r="I126" s="15" t="str">
        <f>IF(O126="","",IF(ISNUMBER(MATCH(O126,$G$5:$G$1000,0)),"",IF(D126=1,B$4,0)+MAX(I$4:I125)+1))</f>
        <v/>
      </c>
      <c r="J126" s="27" t="str">
        <f>IF(ISNUMBER(MATCH(M126,$I$5:$I$1000,0)),INDEX($O$5:$O$1000,MATCH(M126,$I$5:$I$1000,0),1),"")</f>
        <v/>
      </c>
      <c r="K126" s="27"/>
      <c r="L126" s="26"/>
      <c r="M126" s="14">
        <f>IF(ROW()-ROW(M$4)&lt;=1000,ROW()-ROW(M$4),"")</f>
        <v>122</v>
      </c>
      <c r="N126" s="38"/>
      <c r="O126" s="38"/>
      <c r="P126" s="41" t="str">
        <f>IF(M126&lt;=$B$4,IF(ISTEXT(G126),G126,""),IF(ISTEXT(J126),J126,""))</f>
        <v/>
      </c>
      <c r="Q126" s="16" t="s">
        <v>0</v>
      </c>
      <c r="R126" s="34" t="str">
        <f>IF(ROW()-ROW(R$4)&lt;=AH$3,ROW()-ROW(R$4),"")</f>
        <v/>
      </c>
      <c r="S126" s="34" t="str">
        <f>IF(ROW()-ROW(S$4)&lt;=AI$3,ROW()-ROW(S$4),"")</f>
        <v/>
      </c>
      <c r="T126" s="34" t="str">
        <f>IF(ROW()-ROW(T$4)&lt;=AJ$3,ROW()-ROW(T$4),"")</f>
        <v/>
      </c>
      <c r="U126" s="34" t="str">
        <f>IF(ROW()-ROW(U$4)&lt;=AK$3,ROW()-ROW(U$4),"")</f>
        <v/>
      </c>
      <c r="V126" s="34" t="str">
        <f>IF(ROW()-ROW(V$4)&lt;=AL$3,ROW()-ROW(V$4),"")</f>
        <v/>
      </c>
      <c r="W126" s="34" t="str">
        <f>IF(ROW()-ROW(W$4)&lt;=AM$3,ROW()-ROW(W$4),"")</f>
        <v/>
      </c>
      <c r="X126" s="34" t="str">
        <f>IF(ROW()-ROW(X$4)&lt;=AN$3,ROW()-ROW(X$4),"")</f>
        <v/>
      </c>
      <c r="Y126" s="34"/>
      <c r="Z126" s="35" t="str">
        <f>IF(ISNUMBER(R126),INDEX($BE$5:$BE$2999,MATCH(R126,AH$5:AH$2999,0),1),"")</f>
        <v/>
      </c>
      <c r="AA126" s="35" t="str">
        <f>IF(ISNUMBER(S126),INDEX($BE$5:$BE$2999,MATCH(S126,AI$5:AI$2999,0),1),"")</f>
        <v/>
      </c>
      <c r="AB126" s="35" t="str">
        <f>IF(ISNUMBER(T126),INDEX($BE$5:$BE$2999,MATCH(T126,AJ$5:AJ$2999,0),1),"")</f>
        <v/>
      </c>
      <c r="AC126" s="35" t="str">
        <f>IF(ISNUMBER(U126),INDEX($BE$5:$BE$2999,MATCH(U126,AK$5:AK$2999,0),1),"")</f>
        <v/>
      </c>
      <c r="AD126" s="35" t="str">
        <f>IF(ISNUMBER(V126),INDEX($BE$5:$BE$2999,MATCH(V126,AL$5:AL$2999,0),1),"")</f>
        <v/>
      </c>
      <c r="AE126" s="35" t="str">
        <f>IF(ISNUMBER(W126),INDEX($BE$5:$BE$2999,MATCH(W126,AM$5:AM$2999,0),1),"")</f>
        <v/>
      </c>
      <c r="AF126" s="35" t="str">
        <f>IF(ISNUMBER(X126),INDEX($BE$5:$BE$2999,MATCH(X126,AN$5:AN$2999,0),1),"")</f>
        <v/>
      </c>
      <c r="AG126" s="35"/>
      <c r="AH126" s="34" t="str">
        <f>IF($BE126="","",IF(ISNUMBER(MATCH($BE126,AP$5:AP$29999,0)),MAX(AH$4:AH125)+1,0))</f>
        <v/>
      </c>
      <c r="AI126" s="34" t="str">
        <f>IF($BE126="","",IF(ISNUMBER(MATCH($BE126,AQ$5:AQ$29999,0)),MAX(AI$4:AI125)+1,0))</f>
        <v/>
      </c>
      <c r="AJ126" s="34" t="str">
        <f>IF($BE126="","",IF(ISNUMBER(MATCH($BE126,AR$5:AR$29999,0)),MAX(AJ$4:AJ125)+1,0))</f>
        <v/>
      </c>
      <c r="AK126" s="34" t="str">
        <f>IF($BE126="","",IF(ISNUMBER(MATCH($BE126,AS$5:AS$29999,0)),MAX(AK$4:AK125)+1,0))</f>
        <v/>
      </c>
      <c r="AL126" s="34" t="str">
        <f>IF($BE126="","",IF(ISNUMBER(MATCH($BE126,AT$5:AT$29999,0)),MAX(AL$4:AL125)+1,0))</f>
        <v/>
      </c>
      <c r="AM126" s="34" t="str">
        <f>IF($BE126="","",IF(ISNUMBER(MATCH($BE126,AU$5:AU$29999,0)),MAX(AM$4:AM125)+1,0))</f>
        <v/>
      </c>
      <c r="AN126" s="34" t="str">
        <f>IF($BE126="","",IF(ISNUMBER(MATCH($BE126,AV$5:AV$29999,0)),MAX(AN$4:AN125)+1,0))</f>
        <v/>
      </c>
      <c r="AO126" s="16"/>
      <c r="AP126" s="33"/>
      <c r="AQ126" s="33"/>
      <c r="AR126" s="33"/>
      <c r="AS126" s="33"/>
      <c r="AT126" s="32"/>
      <c r="AU126" s="32"/>
      <c r="AV126" s="32" t="s">
        <v>0</v>
      </c>
      <c r="AW126" s="40"/>
      <c r="AX126" s="20" t="s">
        <v>0</v>
      </c>
      <c r="AY126" s="30"/>
      <c r="AZ126" s="30"/>
      <c r="BA126" s="39"/>
      <c r="BB126" s="37"/>
      <c r="BC126" s="36"/>
      <c r="BD126" s="36"/>
      <c r="BE126" s="20"/>
      <c r="BF126" s="36"/>
      <c r="BG126" s="19" t="str">
        <f>IF(ISNUMBER(MATCH($BE126,Z$5:Z$501,0)),INDEX(Z$5:Z$501,MATCH($BE126,Z$5:Z$501,0),1),"")</f>
        <v/>
      </c>
      <c r="BH126" s="19" t="str">
        <f>IF(ISNUMBER(MATCH($BE126,AA$5:AA$501,0)),INDEX(AA$5:AA$501,MATCH($BE126,AA$5:AA$501,0),1),"")</f>
        <v/>
      </c>
      <c r="BI126" s="19" t="str">
        <f>IF(ISNUMBER(MATCH($BE126,AB$5:AB$501,0)),INDEX(AB$5:AB$501,MATCH($BE126,AB$5:AB$501,0),1),"")</f>
        <v/>
      </c>
      <c r="BJ126" s="19" t="str">
        <f>IF(ISNUMBER(MATCH($BE126,AC$5:AC$501,0)),INDEX(AC$5:AC$501,MATCH($BE126,AC$5:AC$501,0),1),"")</f>
        <v/>
      </c>
      <c r="BK126" s="19" t="str">
        <f>IF(ISNUMBER(MATCH($BE126,AD$5:AD$501,0)),INDEX(AD$5:AD$501,MATCH($BE126,AD$5:AD$501,0),1),"")</f>
        <v/>
      </c>
      <c r="BL126" s="19" t="str">
        <f>IF(ISNUMBER(MATCH($BE126,AE$5:AE$501,0)),INDEX(AE$5:AE$501,MATCH($BE126,AE$5:AE$501,0),1),"")</f>
        <v/>
      </c>
      <c r="BM126" s="19" t="str">
        <f>IF(ISNUMBER(MATCH($BE126,AF$5:AF$501,0)),INDEX(AF$5:AF$501,MATCH($BE126,AF$5:AF$501,0),1),"")</f>
        <v/>
      </c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</row>
    <row r="127" spans="1:78" ht="12" customHeight="1" x14ac:dyDescent="0.25">
      <c r="A127" s="26"/>
      <c r="B127" s="28" t="str">
        <f>IF(ISNUMBER(MATCH(O127,$N$5:$N$1000,0)),MATCH(O127,$N$5:$N$1000,0),"")</f>
        <v/>
      </c>
      <c r="C127" s="15" t="str">
        <f>IF(ISNUMBER(B127),MAX(C$4:C126)+1,"")</f>
        <v/>
      </c>
      <c r="D127" s="15" t="str">
        <f>IF(IF(ISNUMBER(B127),"",MAX(D$4:D126)+1)&lt;=D$3,IF(ISNUMBER(B127),"",MAX(D$4:D126)+1),"")</f>
        <v/>
      </c>
      <c r="E127" s="42" t="str">
        <f>IF(M127&lt;=D$3,MATCH(M127,D$5:D$1000,0),"")</f>
        <v/>
      </c>
      <c r="F127" s="28" t="str">
        <f>IF(ISNUMBER(E127),INDEX($N$5:$N$1000,E127,1),"")</f>
        <v/>
      </c>
      <c r="G127" s="27" t="str">
        <f>IF(ISNUMBER(C127),N127,IF(ISTEXT(N127),INDEX($F$5:$F$1000,MATCH(M127,$E$5:$E$1000,0),1),""))</f>
        <v/>
      </c>
      <c r="H127" s="15" t="str">
        <f>IF(O127="","",IF(ISNUMBER(MATCH(O127,$G$5:$G$1000,0)),"",IF(D127=1,C$3,0)+MAX(H$4:H126)+1))</f>
        <v/>
      </c>
      <c r="I127" s="15" t="str">
        <f>IF(O127="","",IF(ISNUMBER(MATCH(O127,$G$5:$G$1000,0)),"",IF(D127=1,B$4,0)+MAX(I$4:I126)+1))</f>
        <v/>
      </c>
      <c r="J127" s="27" t="str">
        <f>IF(ISNUMBER(MATCH(M127,$I$5:$I$1000,0)),INDEX($O$5:$O$1000,MATCH(M127,$I$5:$I$1000,0),1),"")</f>
        <v/>
      </c>
      <c r="K127" s="27"/>
      <c r="L127" s="26"/>
      <c r="M127" s="14">
        <f>IF(ROW()-ROW(M$4)&lt;=1000,ROW()-ROW(M$4),"")</f>
        <v>123</v>
      </c>
      <c r="N127" s="38"/>
      <c r="O127" s="38"/>
      <c r="P127" s="41" t="str">
        <f>IF(M127&lt;=$B$4,IF(ISTEXT(G127),G127,""),IF(ISTEXT(J127),J127,""))</f>
        <v/>
      </c>
      <c r="Q127" s="16" t="s">
        <v>0</v>
      </c>
      <c r="R127" s="34" t="str">
        <f>IF(ROW()-ROW(R$4)&lt;=AH$3,ROW()-ROW(R$4),"")</f>
        <v/>
      </c>
      <c r="S127" s="34" t="str">
        <f>IF(ROW()-ROW(S$4)&lt;=AI$3,ROW()-ROW(S$4),"")</f>
        <v/>
      </c>
      <c r="T127" s="34" t="str">
        <f>IF(ROW()-ROW(T$4)&lt;=AJ$3,ROW()-ROW(T$4),"")</f>
        <v/>
      </c>
      <c r="U127" s="34" t="str">
        <f>IF(ROW()-ROW(U$4)&lt;=AK$3,ROW()-ROW(U$4),"")</f>
        <v/>
      </c>
      <c r="V127" s="34" t="str">
        <f>IF(ROW()-ROW(V$4)&lt;=AL$3,ROW()-ROW(V$4),"")</f>
        <v/>
      </c>
      <c r="W127" s="34" t="str">
        <f>IF(ROW()-ROW(W$4)&lt;=AM$3,ROW()-ROW(W$4),"")</f>
        <v/>
      </c>
      <c r="X127" s="34" t="str">
        <f>IF(ROW()-ROW(X$4)&lt;=AN$3,ROW()-ROW(X$4),"")</f>
        <v/>
      </c>
      <c r="Y127" s="34"/>
      <c r="Z127" s="35" t="str">
        <f>IF(ISNUMBER(R127),INDEX($BE$5:$BE$2999,MATCH(R127,AH$5:AH$2999,0),1),"")</f>
        <v/>
      </c>
      <c r="AA127" s="35" t="str">
        <f>IF(ISNUMBER(S127),INDEX($BE$5:$BE$2999,MATCH(S127,AI$5:AI$2999,0),1),"")</f>
        <v/>
      </c>
      <c r="AB127" s="35" t="str">
        <f>IF(ISNUMBER(T127),INDEX($BE$5:$BE$2999,MATCH(T127,AJ$5:AJ$2999,0),1),"")</f>
        <v/>
      </c>
      <c r="AC127" s="35" t="str">
        <f>IF(ISNUMBER(U127),INDEX($BE$5:$BE$2999,MATCH(U127,AK$5:AK$2999,0),1),"")</f>
        <v/>
      </c>
      <c r="AD127" s="35" t="str">
        <f>IF(ISNUMBER(V127),INDEX($BE$5:$BE$2999,MATCH(V127,AL$5:AL$2999,0),1),"")</f>
        <v/>
      </c>
      <c r="AE127" s="35" t="str">
        <f>IF(ISNUMBER(W127),INDEX($BE$5:$BE$2999,MATCH(W127,AM$5:AM$2999,0),1),"")</f>
        <v/>
      </c>
      <c r="AF127" s="35" t="str">
        <f>IF(ISNUMBER(X127),INDEX($BE$5:$BE$2999,MATCH(X127,AN$5:AN$2999,0),1),"")</f>
        <v/>
      </c>
      <c r="AG127" s="35"/>
      <c r="AH127" s="34" t="str">
        <f>IF($BE127="","",IF(ISNUMBER(MATCH($BE127,AP$5:AP$29999,0)),MAX(AH$4:AH126)+1,0))</f>
        <v/>
      </c>
      <c r="AI127" s="34" t="str">
        <f>IF($BE127="","",IF(ISNUMBER(MATCH($BE127,AQ$5:AQ$29999,0)),MAX(AI$4:AI126)+1,0))</f>
        <v/>
      </c>
      <c r="AJ127" s="34" t="str">
        <f>IF($BE127="","",IF(ISNUMBER(MATCH($BE127,AR$5:AR$29999,0)),MAX(AJ$4:AJ126)+1,0))</f>
        <v/>
      </c>
      <c r="AK127" s="34" t="str">
        <f>IF($BE127="","",IF(ISNUMBER(MATCH($BE127,AS$5:AS$29999,0)),MAX(AK$4:AK126)+1,0))</f>
        <v/>
      </c>
      <c r="AL127" s="34" t="str">
        <f>IF($BE127="","",IF(ISNUMBER(MATCH($BE127,AT$5:AT$29999,0)),MAX(AL$4:AL126)+1,0))</f>
        <v/>
      </c>
      <c r="AM127" s="34" t="str">
        <f>IF($BE127="","",IF(ISNUMBER(MATCH($BE127,AU$5:AU$29999,0)),MAX(AM$4:AM126)+1,0))</f>
        <v/>
      </c>
      <c r="AN127" s="34" t="str">
        <f>IF($BE127="","",IF(ISNUMBER(MATCH($BE127,AV$5:AV$29999,0)),MAX(AN$4:AN126)+1,0))</f>
        <v/>
      </c>
      <c r="AO127" s="16"/>
      <c r="AP127" s="33"/>
      <c r="AQ127" s="33"/>
      <c r="AR127" s="33"/>
      <c r="AS127" s="33"/>
      <c r="AT127" s="32"/>
      <c r="AU127" s="32"/>
      <c r="AV127" s="32" t="s">
        <v>0</v>
      </c>
      <c r="AW127" s="40"/>
      <c r="AX127" s="20" t="s">
        <v>0</v>
      </c>
      <c r="AY127" s="30"/>
      <c r="AZ127" s="30"/>
      <c r="BA127" s="39"/>
      <c r="BB127" s="37"/>
      <c r="BC127" s="36"/>
      <c r="BD127" s="36"/>
      <c r="BE127" s="20"/>
      <c r="BF127" s="36"/>
      <c r="BG127" s="19" t="str">
        <f>IF(ISNUMBER(MATCH($BE127,Z$5:Z$501,0)),INDEX(Z$5:Z$501,MATCH($BE127,Z$5:Z$501,0),1),"")</f>
        <v/>
      </c>
      <c r="BH127" s="19" t="str">
        <f>IF(ISNUMBER(MATCH($BE127,AA$5:AA$501,0)),INDEX(AA$5:AA$501,MATCH($BE127,AA$5:AA$501,0),1),"")</f>
        <v/>
      </c>
      <c r="BI127" s="19" t="str">
        <f>IF(ISNUMBER(MATCH($BE127,AB$5:AB$501,0)),INDEX(AB$5:AB$501,MATCH($BE127,AB$5:AB$501,0),1),"")</f>
        <v/>
      </c>
      <c r="BJ127" s="19" t="str">
        <f>IF(ISNUMBER(MATCH($BE127,AC$5:AC$501,0)),INDEX(AC$5:AC$501,MATCH($BE127,AC$5:AC$501,0),1),"")</f>
        <v/>
      </c>
      <c r="BK127" s="19" t="str">
        <f>IF(ISNUMBER(MATCH($BE127,AD$5:AD$501,0)),INDEX(AD$5:AD$501,MATCH($BE127,AD$5:AD$501,0),1),"")</f>
        <v/>
      </c>
      <c r="BL127" s="19" t="str">
        <f>IF(ISNUMBER(MATCH($BE127,AE$5:AE$501,0)),INDEX(AE$5:AE$501,MATCH($BE127,AE$5:AE$501,0),1),"")</f>
        <v/>
      </c>
      <c r="BM127" s="19" t="str">
        <f>IF(ISNUMBER(MATCH($BE127,AF$5:AF$501,0)),INDEX(AF$5:AF$501,MATCH($BE127,AF$5:AF$501,0),1),"")</f>
        <v/>
      </c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</row>
    <row r="128" spans="1:78" ht="12" customHeight="1" x14ac:dyDescent="0.25">
      <c r="A128" s="26"/>
      <c r="B128" s="28"/>
      <c r="C128" s="28"/>
      <c r="D128" s="15" t="str">
        <f>IF(IF(ISNUMBER(B128),"",MAX(D$4:D127)+1)&lt;=D$3,IF(ISNUMBER(B128),"",MAX(D$4:D127)+1),"")</f>
        <v/>
      </c>
      <c r="E128" s="28"/>
      <c r="F128" s="28"/>
      <c r="G128" s="27"/>
      <c r="H128" s="15"/>
      <c r="I128" s="15" t="str">
        <f>IF(O128="","",IF(ISNUMBER(MATCH(O128,$G$5:$G$1000,0)),"",IF(D128=1,B$4,0)+MAX(I$4:I127)+1))</f>
        <v/>
      </c>
      <c r="J128" s="27"/>
      <c r="K128" s="27"/>
      <c r="L128" s="26"/>
      <c r="M128" s="14">
        <f>IF(ROW()-ROW(M$4)&lt;=1000,ROW()-ROW(M$4),"")</f>
        <v>124</v>
      </c>
      <c r="N128" s="38"/>
      <c r="O128" s="38"/>
      <c r="P128" s="17"/>
      <c r="Q128" s="16" t="s">
        <v>0</v>
      </c>
      <c r="R128" s="34" t="str">
        <f>IF(ROW()-ROW(R$4)&lt;=AH$3,ROW()-ROW(R$4),"")</f>
        <v/>
      </c>
      <c r="S128" s="34" t="str">
        <f>IF(ROW()-ROW(S$4)&lt;=AI$3,ROW()-ROW(S$4),"")</f>
        <v/>
      </c>
      <c r="T128" s="34" t="str">
        <f>IF(ROW()-ROW(T$4)&lt;=AJ$3,ROW()-ROW(T$4),"")</f>
        <v/>
      </c>
      <c r="U128" s="34" t="str">
        <f>IF(ROW()-ROW(U$4)&lt;=AK$3,ROW()-ROW(U$4),"")</f>
        <v/>
      </c>
      <c r="V128" s="34" t="str">
        <f>IF(ROW()-ROW(V$4)&lt;=AL$3,ROW()-ROW(V$4),"")</f>
        <v/>
      </c>
      <c r="W128" s="34" t="str">
        <f>IF(ROW()-ROW(W$4)&lt;=AM$3,ROW()-ROW(W$4),"")</f>
        <v/>
      </c>
      <c r="X128" s="34" t="str">
        <f>IF(ROW()-ROW(X$4)&lt;=AN$3,ROW()-ROW(X$4),"")</f>
        <v/>
      </c>
      <c r="Y128" s="34"/>
      <c r="Z128" s="35" t="str">
        <f>IF(ISNUMBER(R128),INDEX($BE$5:$BE$2999,MATCH(R128,AH$5:AH$2999,0),1),"")</f>
        <v/>
      </c>
      <c r="AA128" s="35" t="str">
        <f>IF(ISNUMBER(S128),INDEX($BE$5:$BE$2999,MATCH(S128,AI$5:AI$2999,0),1),"")</f>
        <v/>
      </c>
      <c r="AB128" s="35" t="str">
        <f>IF(ISNUMBER(T128),INDEX($BE$5:$BE$2999,MATCH(T128,AJ$5:AJ$2999,0),1),"")</f>
        <v/>
      </c>
      <c r="AC128" s="35" t="str">
        <f>IF(ISNUMBER(U128),INDEX($BE$5:$BE$2999,MATCH(U128,AK$5:AK$2999,0),1),"")</f>
        <v/>
      </c>
      <c r="AD128" s="35" t="str">
        <f>IF(ISNUMBER(V128),INDEX($BE$5:$BE$2999,MATCH(V128,AL$5:AL$2999,0),1),"")</f>
        <v/>
      </c>
      <c r="AE128" s="35" t="str">
        <f>IF(ISNUMBER(W128),INDEX($BE$5:$BE$2999,MATCH(W128,AM$5:AM$2999,0),1),"")</f>
        <v/>
      </c>
      <c r="AF128" s="35" t="str">
        <f>IF(ISNUMBER(X128),INDEX($BE$5:$BE$2999,MATCH(X128,AN$5:AN$2999,0),1),"")</f>
        <v/>
      </c>
      <c r="AG128" s="35"/>
      <c r="AH128" s="34" t="str">
        <f>IF($BE128="","",IF(ISNUMBER(MATCH($BE128,AP$5:AP$29999,0)),MAX(AH$4:AH127)+1,0))</f>
        <v/>
      </c>
      <c r="AI128" s="34" t="str">
        <f>IF($BE128="","",IF(ISNUMBER(MATCH($BE128,AQ$5:AQ$29999,0)),MAX(AI$4:AI127)+1,0))</f>
        <v/>
      </c>
      <c r="AJ128" s="34" t="str">
        <f>IF($BE128="","",IF(ISNUMBER(MATCH($BE128,AR$5:AR$29999,0)),MAX(AJ$4:AJ127)+1,0))</f>
        <v/>
      </c>
      <c r="AK128" s="34" t="str">
        <f>IF($BE128="","",IF(ISNUMBER(MATCH($BE128,AS$5:AS$29999,0)),MAX(AK$4:AK127)+1,0))</f>
        <v/>
      </c>
      <c r="AL128" s="34" t="str">
        <f>IF($BE128="","",IF(ISNUMBER(MATCH($BE128,AT$5:AT$29999,0)),MAX(AL$4:AL127)+1,0))</f>
        <v/>
      </c>
      <c r="AM128" s="34" t="str">
        <f>IF($BE128="","",IF(ISNUMBER(MATCH($BE128,AU$5:AU$29999,0)),MAX(AM$4:AM127)+1,0))</f>
        <v/>
      </c>
      <c r="AN128" s="34" t="str">
        <f>IF($BE128="","",IF(ISNUMBER(MATCH($BE128,AV$5:AV$29999,0)),MAX(AN$4:AN127)+1,0))</f>
        <v/>
      </c>
      <c r="AO128" s="16"/>
      <c r="AP128" s="33"/>
      <c r="AQ128" s="33"/>
      <c r="AR128" s="33"/>
      <c r="AS128" s="33"/>
      <c r="AT128" s="32"/>
      <c r="AU128" s="32"/>
      <c r="AV128" s="32" t="s">
        <v>0</v>
      </c>
      <c r="AW128" s="20"/>
      <c r="AX128" s="20" t="s">
        <v>0</v>
      </c>
      <c r="AY128" s="30"/>
      <c r="AZ128" s="30"/>
      <c r="BA128" s="20"/>
      <c r="BB128" s="37"/>
      <c r="BC128" s="36"/>
      <c r="BD128" s="36"/>
      <c r="BE128" s="20"/>
      <c r="BF128" s="36"/>
      <c r="BG128" s="19" t="str">
        <f>IF(ISNUMBER(MATCH($BE128,Z$5:Z$501,0)),INDEX(Z$5:Z$501,MATCH($BE128,Z$5:Z$501,0),1),"")</f>
        <v/>
      </c>
      <c r="BH128" s="19" t="str">
        <f>IF(ISNUMBER(MATCH($BE128,AA$5:AA$501,0)),INDEX(AA$5:AA$501,MATCH($BE128,AA$5:AA$501,0),1),"")</f>
        <v/>
      </c>
      <c r="BI128" s="19" t="str">
        <f>IF(ISNUMBER(MATCH($BE128,AB$5:AB$501,0)),INDEX(AB$5:AB$501,MATCH($BE128,AB$5:AB$501,0),1),"")</f>
        <v/>
      </c>
      <c r="BJ128" s="19" t="str">
        <f>IF(ISNUMBER(MATCH($BE128,AC$5:AC$501,0)),INDEX(AC$5:AC$501,MATCH($BE128,AC$5:AC$501,0),1),"")</f>
        <v/>
      </c>
      <c r="BK128" s="19" t="str">
        <f>IF(ISNUMBER(MATCH($BE128,AD$5:AD$501,0)),INDEX(AD$5:AD$501,MATCH($BE128,AD$5:AD$501,0),1),"")</f>
        <v/>
      </c>
      <c r="BL128" s="19" t="str">
        <f>IF(ISNUMBER(MATCH($BE128,AE$5:AE$501,0)),INDEX(AE$5:AE$501,MATCH($BE128,AE$5:AE$501,0),1),"")</f>
        <v/>
      </c>
      <c r="BM128" s="19" t="str">
        <f>IF(ISNUMBER(MATCH($BE128,AF$5:AF$501,0)),INDEX(AF$5:AF$501,MATCH($BE128,AF$5:AF$501,0),1),"")</f>
        <v/>
      </c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</row>
    <row r="129" spans="1:78" ht="12" customHeight="1" x14ac:dyDescent="0.25">
      <c r="A129" s="26"/>
      <c r="B129" s="28"/>
      <c r="C129" s="28"/>
      <c r="D129" s="15" t="str">
        <f>IF(IF(ISNUMBER(B129),"",MAX(D$4:D128)+1)&lt;=D$3,IF(ISNUMBER(B129),"",MAX(D$4:D128)+1),"")</f>
        <v/>
      </c>
      <c r="E129" s="28"/>
      <c r="F129" s="28"/>
      <c r="G129" s="27"/>
      <c r="H129" s="15"/>
      <c r="I129" s="15" t="str">
        <f>IF(O129="","",IF(ISNUMBER(MATCH(O129,$G$5:$G$1000,0)),"",IF(D129=1,B$4,0)+MAX(I$4:I128)+1))</f>
        <v/>
      </c>
      <c r="J129" s="27"/>
      <c r="K129" s="27"/>
      <c r="L129" s="26"/>
      <c r="M129" s="14">
        <f>IF(ROW()-ROW(M$4)&lt;=1000,ROW()-ROW(M$4),"")</f>
        <v>125</v>
      </c>
      <c r="N129" s="38"/>
      <c r="O129" s="38"/>
      <c r="P129" s="17"/>
      <c r="Q129" s="16" t="s">
        <v>0</v>
      </c>
      <c r="R129" s="34" t="str">
        <f>IF(ROW()-ROW(R$4)&lt;=AH$3,ROW()-ROW(R$4),"")</f>
        <v/>
      </c>
      <c r="S129" s="34" t="str">
        <f>IF(ROW()-ROW(S$4)&lt;=AI$3,ROW()-ROW(S$4),"")</f>
        <v/>
      </c>
      <c r="T129" s="34" t="str">
        <f>IF(ROW()-ROW(T$4)&lt;=AJ$3,ROW()-ROW(T$4),"")</f>
        <v/>
      </c>
      <c r="U129" s="34" t="str">
        <f>IF(ROW()-ROW(U$4)&lt;=AK$3,ROW()-ROW(U$4),"")</f>
        <v/>
      </c>
      <c r="V129" s="34" t="str">
        <f>IF(ROW()-ROW(V$4)&lt;=AL$3,ROW()-ROW(V$4),"")</f>
        <v/>
      </c>
      <c r="W129" s="34" t="str">
        <f>IF(ROW()-ROW(W$4)&lt;=AM$3,ROW()-ROW(W$4),"")</f>
        <v/>
      </c>
      <c r="X129" s="34" t="str">
        <f>IF(ROW()-ROW(X$4)&lt;=AN$3,ROW()-ROW(X$4),"")</f>
        <v/>
      </c>
      <c r="Y129" s="34"/>
      <c r="Z129" s="35" t="str">
        <f>IF(ISNUMBER(R129),INDEX($BE$5:$BE$2999,MATCH(R129,AH$5:AH$2999,0),1),"")</f>
        <v/>
      </c>
      <c r="AA129" s="35" t="str">
        <f>IF(ISNUMBER(S129),INDEX($BE$5:$BE$2999,MATCH(S129,AI$5:AI$2999,0),1),"")</f>
        <v/>
      </c>
      <c r="AB129" s="35" t="str">
        <f>IF(ISNUMBER(T129),INDEX($BE$5:$BE$2999,MATCH(T129,AJ$5:AJ$2999,0),1),"")</f>
        <v/>
      </c>
      <c r="AC129" s="35" t="str">
        <f>IF(ISNUMBER(U129),INDEX($BE$5:$BE$2999,MATCH(U129,AK$5:AK$2999,0),1),"")</f>
        <v/>
      </c>
      <c r="AD129" s="35" t="str">
        <f>IF(ISNUMBER(V129),INDEX($BE$5:$BE$2999,MATCH(V129,AL$5:AL$2999,0),1),"")</f>
        <v/>
      </c>
      <c r="AE129" s="35" t="str">
        <f>IF(ISNUMBER(W129),INDEX($BE$5:$BE$2999,MATCH(W129,AM$5:AM$2999,0),1),"")</f>
        <v/>
      </c>
      <c r="AF129" s="35" t="str">
        <f>IF(ISNUMBER(X129),INDEX($BE$5:$BE$2999,MATCH(X129,AN$5:AN$2999,0),1),"")</f>
        <v/>
      </c>
      <c r="AG129" s="35"/>
      <c r="AH129" s="34" t="str">
        <f>IF($BE129="","",IF(ISNUMBER(MATCH($BE129,AP$5:AP$29999,0)),MAX(AH$4:AH128)+1,0))</f>
        <v/>
      </c>
      <c r="AI129" s="34" t="str">
        <f>IF($BE129="","",IF(ISNUMBER(MATCH($BE129,AQ$5:AQ$29999,0)),MAX(AI$4:AI128)+1,0))</f>
        <v/>
      </c>
      <c r="AJ129" s="34" t="str">
        <f>IF($BE129="","",IF(ISNUMBER(MATCH($BE129,AR$5:AR$29999,0)),MAX(AJ$4:AJ128)+1,0))</f>
        <v/>
      </c>
      <c r="AK129" s="34" t="str">
        <f>IF($BE129="","",IF(ISNUMBER(MATCH($BE129,AS$5:AS$29999,0)),MAX(AK$4:AK128)+1,0))</f>
        <v/>
      </c>
      <c r="AL129" s="34" t="str">
        <f>IF($BE129="","",IF(ISNUMBER(MATCH($BE129,AT$5:AT$29999,0)),MAX(AL$4:AL128)+1,0))</f>
        <v/>
      </c>
      <c r="AM129" s="34" t="str">
        <f>IF($BE129="","",IF(ISNUMBER(MATCH($BE129,AU$5:AU$29999,0)),MAX(AM$4:AM128)+1,0))</f>
        <v/>
      </c>
      <c r="AN129" s="34" t="str">
        <f>IF($BE129="","",IF(ISNUMBER(MATCH($BE129,AV$5:AV$29999,0)),MAX(AN$4:AN128)+1,0))</f>
        <v/>
      </c>
      <c r="AO129" s="16"/>
      <c r="AP129" s="33"/>
      <c r="AQ129" s="33"/>
      <c r="AR129" s="33"/>
      <c r="AS129" s="33"/>
      <c r="AT129" s="32"/>
      <c r="AU129" s="32"/>
      <c r="AV129" s="32" t="s">
        <v>0</v>
      </c>
      <c r="AW129" s="20"/>
      <c r="AX129" s="20" t="s">
        <v>0</v>
      </c>
      <c r="AY129" s="30"/>
      <c r="AZ129" s="30"/>
      <c r="BA129" s="20"/>
      <c r="BB129" s="37"/>
      <c r="BC129" s="36"/>
      <c r="BD129" s="36"/>
      <c r="BE129" s="20"/>
      <c r="BF129" s="36"/>
      <c r="BG129" s="19" t="str">
        <f>IF(ISNUMBER(MATCH($BE129,Z$5:Z$501,0)),INDEX(Z$5:Z$501,MATCH($BE129,Z$5:Z$501,0),1),"")</f>
        <v/>
      </c>
      <c r="BH129" s="19" t="str">
        <f>IF(ISNUMBER(MATCH($BE129,AA$5:AA$501,0)),INDEX(AA$5:AA$501,MATCH($BE129,AA$5:AA$501,0),1),"")</f>
        <v/>
      </c>
      <c r="BI129" s="19" t="str">
        <f>IF(ISNUMBER(MATCH($BE129,AB$5:AB$501,0)),INDEX(AB$5:AB$501,MATCH($BE129,AB$5:AB$501,0),1),"")</f>
        <v/>
      </c>
      <c r="BJ129" s="19" t="str">
        <f>IF(ISNUMBER(MATCH($BE129,AC$5:AC$501,0)),INDEX(AC$5:AC$501,MATCH($BE129,AC$5:AC$501,0),1),"")</f>
        <v/>
      </c>
      <c r="BK129" s="19" t="str">
        <f>IF(ISNUMBER(MATCH($BE129,AD$5:AD$501,0)),INDEX(AD$5:AD$501,MATCH($BE129,AD$5:AD$501,0),1),"")</f>
        <v/>
      </c>
      <c r="BL129" s="19" t="str">
        <f>IF(ISNUMBER(MATCH($BE129,AE$5:AE$501,0)),INDEX(AE$5:AE$501,MATCH($BE129,AE$5:AE$501,0),1),"")</f>
        <v/>
      </c>
      <c r="BM129" s="19" t="str">
        <f>IF(ISNUMBER(MATCH($BE129,AF$5:AF$501,0)),INDEX(AF$5:AF$501,MATCH($BE129,AF$5:AF$501,0),1),"")</f>
        <v/>
      </c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</row>
    <row r="130" spans="1:78" ht="12" customHeight="1" x14ac:dyDescent="0.25">
      <c r="A130" s="26"/>
      <c r="B130" s="28"/>
      <c r="C130" s="28"/>
      <c r="D130" s="15" t="str">
        <f>IF(IF(ISNUMBER(B130),"",MAX(D$4:D129)+1)&lt;=D$3,IF(ISNUMBER(B130),"",MAX(D$4:D129)+1),"")</f>
        <v/>
      </c>
      <c r="E130" s="28"/>
      <c r="F130" s="28"/>
      <c r="G130" s="27"/>
      <c r="H130" s="15"/>
      <c r="I130" s="15" t="str">
        <f>IF(O130="","",IF(ISNUMBER(MATCH(O130,$G$5:$G$1000,0)),"",IF(D130=1,B$4,0)+MAX(I$4:I129)+1))</f>
        <v/>
      </c>
      <c r="J130" s="27"/>
      <c r="K130" s="27"/>
      <c r="L130" s="26"/>
      <c r="M130" s="14">
        <f>IF(ROW()-ROW(M$4)&lt;=1000,ROW()-ROW(M$4),"")</f>
        <v>126</v>
      </c>
      <c r="N130" s="38"/>
      <c r="O130" s="38"/>
      <c r="P130" s="17"/>
      <c r="Q130" s="16" t="s">
        <v>0</v>
      </c>
      <c r="R130" s="34" t="str">
        <f>IF(ROW()-ROW(R$4)&lt;=AH$3,ROW()-ROW(R$4),"")</f>
        <v/>
      </c>
      <c r="S130" s="34" t="str">
        <f>IF(ROW()-ROW(S$4)&lt;=AI$3,ROW()-ROW(S$4),"")</f>
        <v/>
      </c>
      <c r="T130" s="34" t="str">
        <f>IF(ROW()-ROW(T$4)&lt;=AJ$3,ROW()-ROW(T$4),"")</f>
        <v/>
      </c>
      <c r="U130" s="34" t="str">
        <f>IF(ROW()-ROW(U$4)&lt;=AK$3,ROW()-ROW(U$4),"")</f>
        <v/>
      </c>
      <c r="V130" s="34" t="str">
        <f>IF(ROW()-ROW(V$4)&lt;=AL$3,ROW()-ROW(V$4),"")</f>
        <v/>
      </c>
      <c r="W130" s="34" t="str">
        <f>IF(ROW()-ROW(W$4)&lt;=AM$3,ROW()-ROW(W$4),"")</f>
        <v/>
      </c>
      <c r="X130" s="34" t="str">
        <f>IF(ROW()-ROW(X$4)&lt;=AN$3,ROW()-ROW(X$4),"")</f>
        <v/>
      </c>
      <c r="Y130" s="34"/>
      <c r="Z130" s="35" t="str">
        <f>IF(ISNUMBER(R130),INDEX($BE$5:$BE$2999,MATCH(R130,AH$5:AH$2999,0),1),"")</f>
        <v/>
      </c>
      <c r="AA130" s="35" t="str">
        <f>IF(ISNUMBER(S130),INDEX($BE$5:$BE$2999,MATCH(S130,AI$5:AI$2999,0),1),"")</f>
        <v/>
      </c>
      <c r="AB130" s="35" t="str">
        <f>IF(ISNUMBER(T130),INDEX($BE$5:$BE$2999,MATCH(T130,AJ$5:AJ$2999,0),1),"")</f>
        <v/>
      </c>
      <c r="AC130" s="35" t="str">
        <f>IF(ISNUMBER(U130),INDEX($BE$5:$BE$2999,MATCH(U130,AK$5:AK$2999,0),1),"")</f>
        <v/>
      </c>
      <c r="AD130" s="35" t="str">
        <f>IF(ISNUMBER(V130),INDEX($BE$5:$BE$2999,MATCH(V130,AL$5:AL$2999,0),1),"")</f>
        <v/>
      </c>
      <c r="AE130" s="35" t="str">
        <f>IF(ISNUMBER(W130),INDEX($BE$5:$BE$2999,MATCH(W130,AM$5:AM$2999,0),1),"")</f>
        <v/>
      </c>
      <c r="AF130" s="35" t="str">
        <f>IF(ISNUMBER(X130),INDEX($BE$5:$BE$2999,MATCH(X130,AN$5:AN$2999,0),1),"")</f>
        <v/>
      </c>
      <c r="AG130" s="35"/>
      <c r="AH130" s="34" t="str">
        <f>IF($BE130="","",IF(ISNUMBER(MATCH($BE130,AP$5:AP$29999,0)),MAX(AH$4:AH129)+1,0))</f>
        <v/>
      </c>
      <c r="AI130" s="34" t="str">
        <f>IF($BE130="","",IF(ISNUMBER(MATCH($BE130,AQ$5:AQ$29999,0)),MAX(AI$4:AI129)+1,0))</f>
        <v/>
      </c>
      <c r="AJ130" s="34" t="str">
        <f>IF($BE130="","",IF(ISNUMBER(MATCH($BE130,AR$5:AR$29999,0)),MAX(AJ$4:AJ129)+1,0))</f>
        <v/>
      </c>
      <c r="AK130" s="34" t="str">
        <f>IF($BE130="","",IF(ISNUMBER(MATCH($BE130,AS$5:AS$29999,0)),MAX(AK$4:AK129)+1,0))</f>
        <v/>
      </c>
      <c r="AL130" s="34" t="str">
        <f>IF($BE130="","",IF(ISNUMBER(MATCH($BE130,AT$5:AT$29999,0)),MAX(AL$4:AL129)+1,0))</f>
        <v/>
      </c>
      <c r="AM130" s="34" t="str">
        <f>IF($BE130="","",IF(ISNUMBER(MATCH($BE130,AU$5:AU$29999,0)),MAX(AM$4:AM129)+1,0))</f>
        <v/>
      </c>
      <c r="AN130" s="34" t="str">
        <f>IF($BE130="","",IF(ISNUMBER(MATCH($BE130,AV$5:AV$29999,0)),MAX(AN$4:AN129)+1,0))</f>
        <v/>
      </c>
      <c r="AO130" s="16"/>
      <c r="AP130" s="33"/>
      <c r="AQ130" s="33"/>
      <c r="AR130" s="33"/>
      <c r="AS130" s="33"/>
      <c r="AT130" s="32"/>
      <c r="AU130" s="32"/>
      <c r="AV130" s="32" t="s">
        <v>0</v>
      </c>
      <c r="AW130" s="20"/>
      <c r="AX130" s="20" t="s">
        <v>0</v>
      </c>
      <c r="AY130" s="30"/>
      <c r="AZ130" s="30"/>
      <c r="BA130" s="20"/>
      <c r="BB130" s="37"/>
      <c r="BC130" s="36"/>
      <c r="BD130" s="36"/>
      <c r="BE130" s="20"/>
      <c r="BF130" s="36"/>
      <c r="BG130" s="19" t="str">
        <f>IF(ISNUMBER(MATCH($BE130,Z$5:Z$501,0)),INDEX(Z$5:Z$501,MATCH($BE130,Z$5:Z$501,0),1),"")</f>
        <v/>
      </c>
      <c r="BH130" s="19" t="str">
        <f>IF(ISNUMBER(MATCH($BE130,AA$5:AA$501,0)),INDEX(AA$5:AA$501,MATCH($BE130,AA$5:AA$501,0),1),"")</f>
        <v/>
      </c>
      <c r="BI130" s="19" t="str">
        <f>IF(ISNUMBER(MATCH($BE130,AB$5:AB$501,0)),INDEX(AB$5:AB$501,MATCH($BE130,AB$5:AB$501,0),1),"")</f>
        <v/>
      </c>
      <c r="BJ130" s="19" t="str">
        <f>IF(ISNUMBER(MATCH($BE130,AC$5:AC$501,0)),INDEX(AC$5:AC$501,MATCH($BE130,AC$5:AC$501,0),1),"")</f>
        <v/>
      </c>
      <c r="BK130" s="19" t="str">
        <f>IF(ISNUMBER(MATCH($BE130,AD$5:AD$501,0)),INDEX(AD$5:AD$501,MATCH($BE130,AD$5:AD$501,0),1),"")</f>
        <v/>
      </c>
      <c r="BL130" s="19" t="str">
        <f>IF(ISNUMBER(MATCH($BE130,AE$5:AE$501,0)),INDEX(AE$5:AE$501,MATCH($BE130,AE$5:AE$501,0),1),"")</f>
        <v/>
      </c>
      <c r="BM130" s="19" t="str">
        <f>IF(ISNUMBER(MATCH($BE130,AF$5:AF$501,0)),INDEX(AF$5:AF$501,MATCH($BE130,AF$5:AF$501,0),1),"")</f>
        <v/>
      </c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</row>
    <row r="131" spans="1:78" ht="12" customHeight="1" x14ac:dyDescent="0.25">
      <c r="A131" s="26"/>
      <c r="B131" s="28"/>
      <c r="C131" s="28"/>
      <c r="D131" s="15" t="str">
        <f>IF(IF(ISNUMBER(B131),"",MAX(D$4:D130)+1)&lt;=D$3,IF(ISNUMBER(B131),"",MAX(D$4:D130)+1),"")</f>
        <v/>
      </c>
      <c r="E131" s="28"/>
      <c r="F131" s="28"/>
      <c r="G131" s="27"/>
      <c r="H131" s="15"/>
      <c r="I131" s="15" t="str">
        <f>IF(O131="","",IF(ISNUMBER(MATCH(O131,$G$5:$G$1000,0)),"",IF(D131=1,B$4,0)+MAX(I$4:I130)+1))</f>
        <v/>
      </c>
      <c r="J131" s="27"/>
      <c r="K131" s="27"/>
      <c r="L131" s="26"/>
      <c r="M131" s="14">
        <f>IF(ROW()-ROW(M$4)&lt;=1000,ROW()-ROW(M$4),"")</f>
        <v>127</v>
      </c>
      <c r="N131" s="38"/>
      <c r="O131" s="38"/>
      <c r="P131" s="17"/>
      <c r="Q131" s="16" t="s">
        <v>0</v>
      </c>
      <c r="R131" s="34" t="str">
        <f>IF(ROW()-ROW(R$4)&lt;=AH$3,ROW()-ROW(R$4),"")</f>
        <v/>
      </c>
      <c r="S131" s="34" t="str">
        <f>IF(ROW()-ROW(S$4)&lt;=AI$3,ROW()-ROW(S$4),"")</f>
        <v/>
      </c>
      <c r="T131" s="34" t="str">
        <f>IF(ROW()-ROW(T$4)&lt;=AJ$3,ROW()-ROW(T$4),"")</f>
        <v/>
      </c>
      <c r="U131" s="34" t="str">
        <f>IF(ROW()-ROW(U$4)&lt;=AK$3,ROW()-ROW(U$4),"")</f>
        <v/>
      </c>
      <c r="V131" s="34" t="str">
        <f>IF(ROW()-ROW(V$4)&lt;=AL$3,ROW()-ROW(V$4),"")</f>
        <v/>
      </c>
      <c r="W131" s="34" t="str">
        <f>IF(ROW()-ROW(W$4)&lt;=AM$3,ROW()-ROW(W$4),"")</f>
        <v/>
      </c>
      <c r="X131" s="34" t="str">
        <f>IF(ROW()-ROW(X$4)&lt;=AN$3,ROW()-ROW(X$4),"")</f>
        <v/>
      </c>
      <c r="Y131" s="34"/>
      <c r="Z131" s="35" t="str">
        <f>IF(ISNUMBER(R131),INDEX($BE$5:$BE$2999,MATCH(R131,AH$5:AH$2999,0),1),"")</f>
        <v/>
      </c>
      <c r="AA131" s="35" t="str">
        <f>IF(ISNUMBER(S131),INDEX($BE$5:$BE$2999,MATCH(S131,AI$5:AI$2999,0),1),"")</f>
        <v/>
      </c>
      <c r="AB131" s="35" t="str">
        <f>IF(ISNUMBER(T131),INDEX($BE$5:$BE$2999,MATCH(T131,AJ$5:AJ$2999,0),1),"")</f>
        <v/>
      </c>
      <c r="AC131" s="35" t="str">
        <f>IF(ISNUMBER(U131),INDEX($BE$5:$BE$2999,MATCH(U131,AK$5:AK$2999,0),1),"")</f>
        <v/>
      </c>
      <c r="AD131" s="35" t="str">
        <f>IF(ISNUMBER(V131),INDEX($BE$5:$BE$2999,MATCH(V131,AL$5:AL$2999,0),1),"")</f>
        <v/>
      </c>
      <c r="AE131" s="35" t="str">
        <f>IF(ISNUMBER(W131),INDEX($BE$5:$BE$2999,MATCH(W131,AM$5:AM$2999,0),1),"")</f>
        <v/>
      </c>
      <c r="AF131" s="35" t="str">
        <f>IF(ISNUMBER(X131),INDEX($BE$5:$BE$2999,MATCH(X131,AN$5:AN$2999,0),1),"")</f>
        <v/>
      </c>
      <c r="AG131" s="35"/>
      <c r="AH131" s="34" t="str">
        <f>IF($BE131="","",IF(ISNUMBER(MATCH($BE131,AP$5:AP$29999,0)),MAX(AH$4:AH130)+1,0))</f>
        <v/>
      </c>
      <c r="AI131" s="34" t="str">
        <f>IF($BE131="","",IF(ISNUMBER(MATCH($BE131,AQ$5:AQ$29999,0)),MAX(AI$4:AI130)+1,0))</f>
        <v/>
      </c>
      <c r="AJ131" s="34" t="str">
        <f>IF($BE131="","",IF(ISNUMBER(MATCH($BE131,AR$5:AR$29999,0)),MAX(AJ$4:AJ130)+1,0))</f>
        <v/>
      </c>
      <c r="AK131" s="34" t="str">
        <f>IF($BE131="","",IF(ISNUMBER(MATCH($BE131,AS$5:AS$29999,0)),MAX(AK$4:AK130)+1,0))</f>
        <v/>
      </c>
      <c r="AL131" s="34" t="str">
        <f>IF($BE131="","",IF(ISNUMBER(MATCH($BE131,AT$5:AT$29999,0)),MAX(AL$4:AL130)+1,0))</f>
        <v/>
      </c>
      <c r="AM131" s="34" t="str">
        <f>IF($BE131="","",IF(ISNUMBER(MATCH($BE131,AU$5:AU$29999,0)),MAX(AM$4:AM130)+1,0))</f>
        <v/>
      </c>
      <c r="AN131" s="34" t="str">
        <f>IF($BE131="","",IF(ISNUMBER(MATCH($BE131,AV$5:AV$29999,0)),MAX(AN$4:AN130)+1,0))</f>
        <v/>
      </c>
      <c r="AO131" s="16"/>
      <c r="AP131" s="33"/>
      <c r="AQ131" s="33"/>
      <c r="AR131" s="33"/>
      <c r="AS131" s="33"/>
      <c r="AT131" s="32"/>
      <c r="AU131" s="32"/>
      <c r="AV131" s="32" t="s">
        <v>0</v>
      </c>
      <c r="AW131" s="20"/>
      <c r="AX131" s="20" t="s">
        <v>0</v>
      </c>
      <c r="AY131" s="30"/>
      <c r="AZ131" s="30"/>
      <c r="BA131" s="20"/>
      <c r="BB131" s="37"/>
      <c r="BC131" s="36"/>
      <c r="BD131" s="36"/>
      <c r="BE131" s="20"/>
      <c r="BF131" s="36"/>
      <c r="BG131" s="19" t="str">
        <f>IF(ISNUMBER(MATCH($BE131,Z$5:Z$501,0)),INDEX(Z$5:Z$501,MATCH($BE131,Z$5:Z$501,0),1),"")</f>
        <v/>
      </c>
      <c r="BH131" s="19" t="str">
        <f>IF(ISNUMBER(MATCH($BE131,AA$5:AA$501,0)),INDEX(AA$5:AA$501,MATCH($BE131,AA$5:AA$501,0),1),"")</f>
        <v/>
      </c>
      <c r="BI131" s="19" t="str">
        <f>IF(ISNUMBER(MATCH($BE131,AB$5:AB$501,0)),INDEX(AB$5:AB$501,MATCH($BE131,AB$5:AB$501,0),1),"")</f>
        <v/>
      </c>
      <c r="BJ131" s="19" t="str">
        <f>IF(ISNUMBER(MATCH($BE131,AC$5:AC$501,0)),INDEX(AC$5:AC$501,MATCH($BE131,AC$5:AC$501,0),1),"")</f>
        <v/>
      </c>
      <c r="BK131" s="19" t="str">
        <f>IF(ISNUMBER(MATCH($BE131,AD$5:AD$501,0)),INDEX(AD$5:AD$501,MATCH($BE131,AD$5:AD$501,0),1),"")</f>
        <v/>
      </c>
      <c r="BL131" s="19" t="str">
        <f>IF(ISNUMBER(MATCH($BE131,AE$5:AE$501,0)),INDEX(AE$5:AE$501,MATCH($BE131,AE$5:AE$501,0),1),"")</f>
        <v/>
      </c>
      <c r="BM131" s="19" t="str">
        <f>IF(ISNUMBER(MATCH($BE131,AF$5:AF$501,0)),INDEX(AF$5:AF$501,MATCH($BE131,AF$5:AF$501,0),1),"")</f>
        <v/>
      </c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</row>
    <row r="132" spans="1:78" ht="12" customHeight="1" x14ac:dyDescent="0.25">
      <c r="A132" s="26"/>
      <c r="B132" s="28"/>
      <c r="C132" s="28"/>
      <c r="D132" s="15" t="str">
        <f>IF(IF(ISNUMBER(B132),"",MAX(D$4:D131)+1)&lt;=D$3,IF(ISNUMBER(B132),"",MAX(D$4:D131)+1),"")</f>
        <v/>
      </c>
      <c r="E132" s="28"/>
      <c r="F132" s="28"/>
      <c r="G132" s="27"/>
      <c r="H132" s="15"/>
      <c r="I132" s="15" t="str">
        <f>IF(O132="","",IF(ISNUMBER(MATCH(O132,$G$5:$G$1000,0)),"",IF(D132=1,B$4,0)+MAX(I$4:I131)+1))</f>
        <v/>
      </c>
      <c r="J132" s="27"/>
      <c r="K132" s="27"/>
      <c r="L132" s="26"/>
      <c r="M132" s="14">
        <f>IF(ROW()-ROW(M$4)&lt;=1000,ROW()-ROW(M$4),"")</f>
        <v>128</v>
      </c>
      <c r="N132" s="38"/>
      <c r="O132" s="38"/>
      <c r="P132" s="17"/>
      <c r="Q132" s="16" t="s">
        <v>0</v>
      </c>
      <c r="R132" s="34" t="str">
        <f>IF(ROW()-ROW(R$4)&lt;=AH$3,ROW()-ROW(R$4),"")</f>
        <v/>
      </c>
      <c r="S132" s="34" t="str">
        <f>IF(ROW()-ROW(S$4)&lt;=AI$3,ROW()-ROW(S$4),"")</f>
        <v/>
      </c>
      <c r="T132" s="34" t="str">
        <f>IF(ROW()-ROW(T$4)&lt;=AJ$3,ROW()-ROW(T$4),"")</f>
        <v/>
      </c>
      <c r="U132" s="34" t="str">
        <f>IF(ROW()-ROW(U$4)&lt;=AK$3,ROW()-ROW(U$4),"")</f>
        <v/>
      </c>
      <c r="V132" s="34" t="str">
        <f>IF(ROW()-ROW(V$4)&lt;=AL$3,ROW()-ROW(V$4),"")</f>
        <v/>
      </c>
      <c r="W132" s="34" t="str">
        <f>IF(ROW()-ROW(W$4)&lt;=AM$3,ROW()-ROW(W$4),"")</f>
        <v/>
      </c>
      <c r="X132" s="34" t="str">
        <f>IF(ROW()-ROW(X$4)&lt;=AN$3,ROW()-ROW(X$4),"")</f>
        <v/>
      </c>
      <c r="Y132" s="34"/>
      <c r="Z132" s="35" t="str">
        <f>IF(ISNUMBER(R132),INDEX($BE$5:$BE$2999,MATCH(R132,AH$5:AH$2999,0),1),"")</f>
        <v/>
      </c>
      <c r="AA132" s="35" t="str">
        <f>IF(ISNUMBER(S132),INDEX($BE$5:$BE$2999,MATCH(S132,AI$5:AI$2999,0),1),"")</f>
        <v/>
      </c>
      <c r="AB132" s="35" t="str">
        <f>IF(ISNUMBER(T132),INDEX($BE$5:$BE$2999,MATCH(T132,AJ$5:AJ$2999,0),1),"")</f>
        <v/>
      </c>
      <c r="AC132" s="35" t="str">
        <f>IF(ISNUMBER(U132),INDEX($BE$5:$BE$2999,MATCH(U132,AK$5:AK$2999,0),1),"")</f>
        <v/>
      </c>
      <c r="AD132" s="35" t="str">
        <f>IF(ISNUMBER(V132),INDEX($BE$5:$BE$2999,MATCH(V132,AL$5:AL$2999,0),1),"")</f>
        <v/>
      </c>
      <c r="AE132" s="35" t="str">
        <f>IF(ISNUMBER(W132),INDEX($BE$5:$BE$2999,MATCH(W132,AM$5:AM$2999,0),1),"")</f>
        <v/>
      </c>
      <c r="AF132" s="35" t="str">
        <f>IF(ISNUMBER(X132),INDEX($BE$5:$BE$2999,MATCH(X132,AN$5:AN$2999,0),1),"")</f>
        <v/>
      </c>
      <c r="AG132" s="35"/>
      <c r="AH132" s="34" t="str">
        <f>IF($BE132="","",IF(ISNUMBER(MATCH($BE132,AP$5:AP$29999,0)),MAX(AH$4:AH131)+1,0))</f>
        <v/>
      </c>
      <c r="AI132" s="34" t="str">
        <f>IF($BE132="","",IF(ISNUMBER(MATCH($BE132,AQ$5:AQ$29999,0)),MAX(AI$4:AI131)+1,0))</f>
        <v/>
      </c>
      <c r="AJ132" s="34" t="str">
        <f>IF($BE132="","",IF(ISNUMBER(MATCH($BE132,AR$5:AR$29999,0)),MAX(AJ$4:AJ131)+1,0))</f>
        <v/>
      </c>
      <c r="AK132" s="34" t="str">
        <f>IF($BE132="","",IF(ISNUMBER(MATCH($BE132,AS$5:AS$29999,0)),MAX(AK$4:AK131)+1,0))</f>
        <v/>
      </c>
      <c r="AL132" s="34" t="str">
        <f>IF($BE132="","",IF(ISNUMBER(MATCH($BE132,AT$5:AT$29999,0)),MAX(AL$4:AL131)+1,0))</f>
        <v/>
      </c>
      <c r="AM132" s="34" t="str">
        <f>IF($BE132="","",IF(ISNUMBER(MATCH($BE132,AU$5:AU$29999,0)),MAX(AM$4:AM131)+1,0))</f>
        <v/>
      </c>
      <c r="AN132" s="34" t="str">
        <f>IF($BE132="","",IF(ISNUMBER(MATCH($BE132,AV$5:AV$29999,0)),MAX(AN$4:AN131)+1,0))</f>
        <v/>
      </c>
      <c r="AO132" s="16"/>
      <c r="AP132" s="33"/>
      <c r="AQ132" s="33"/>
      <c r="AR132" s="33"/>
      <c r="AS132" s="33"/>
      <c r="AT132" s="32"/>
      <c r="AU132" s="32"/>
      <c r="AV132" s="32" t="s">
        <v>0</v>
      </c>
      <c r="AW132" s="20"/>
      <c r="AX132" s="20" t="s">
        <v>0</v>
      </c>
      <c r="AY132" s="30"/>
      <c r="AZ132" s="30"/>
      <c r="BA132" s="20"/>
      <c r="BB132" s="37"/>
      <c r="BC132" s="36"/>
      <c r="BD132" s="36"/>
      <c r="BE132" s="20"/>
      <c r="BF132" s="36"/>
      <c r="BG132" s="19" t="str">
        <f>IF(ISNUMBER(MATCH($BE132,Z$5:Z$501,0)),INDEX(Z$5:Z$501,MATCH($BE132,Z$5:Z$501,0),1),"")</f>
        <v/>
      </c>
      <c r="BH132" s="19" t="str">
        <f>IF(ISNUMBER(MATCH($BE132,AA$5:AA$501,0)),INDEX(AA$5:AA$501,MATCH($BE132,AA$5:AA$501,0),1),"")</f>
        <v/>
      </c>
      <c r="BI132" s="19" t="str">
        <f>IF(ISNUMBER(MATCH($BE132,AB$5:AB$501,0)),INDEX(AB$5:AB$501,MATCH($BE132,AB$5:AB$501,0),1),"")</f>
        <v/>
      </c>
      <c r="BJ132" s="19" t="str">
        <f>IF(ISNUMBER(MATCH($BE132,AC$5:AC$501,0)),INDEX(AC$5:AC$501,MATCH($BE132,AC$5:AC$501,0),1),"")</f>
        <v/>
      </c>
      <c r="BK132" s="19" t="str">
        <f>IF(ISNUMBER(MATCH($BE132,AD$5:AD$501,0)),INDEX(AD$5:AD$501,MATCH($BE132,AD$5:AD$501,0),1),"")</f>
        <v/>
      </c>
      <c r="BL132" s="19" t="str">
        <f>IF(ISNUMBER(MATCH($BE132,AE$5:AE$501,0)),INDEX(AE$5:AE$501,MATCH($BE132,AE$5:AE$501,0),1),"")</f>
        <v/>
      </c>
      <c r="BM132" s="19" t="str">
        <f>IF(ISNUMBER(MATCH($BE132,AF$5:AF$501,0)),INDEX(AF$5:AF$501,MATCH($BE132,AF$5:AF$501,0),1),"")</f>
        <v/>
      </c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</row>
    <row r="133" spans="1:78" ht="12" customHeight="1" x14ac:dyDescent="0.25">
      <c r="A133" s="26"/>
      <c r="B133" s="28"/>
      <c r="C133" s="28"/>
      <c r="D133" s="15" t="str">
        <f>IF(IF(ISNUMBER(B133),"",MAX(D$4:D132)+1)&lt;=D$3,IF(ISNUMBER(B133),"",MAX(D$4:D132)+1),"")</f>
        <v/>
      </c>
      <c r="E133" s="28"/>
      <c r="F133" s="28"/>
      <c r="G133" s="27"/>
      <c r="H133" s="15"/>
      <c r="I133" s="15" t="str">
        <f>IF(O133="","",IF(ISNUMBER(MATCH(O133,$G$5:$G$1000,0)),"",IF(D133=1,B$4,0)+MAX(I$4:I132)+1))</f>
        <v/>
      </c>
      <c r="J133" s="27"/>
      <c r="K133" s="27"/>
      <c r="L133" s="26"/>
      <c r="M133" s="14">
        <f>IF(ROW()-ROW(M$4)&lt;=1000,ROW()-ROW(M$4),"")</f>
        <v>129</v>
      </c>
      <c r="N133" s="38"/>
      <c r="O133" s="38"/>
      <c r="P133" s="17"/>
      <c r="Q133" s="16" t="s">
        <v>0</v>
      </c>
      <c r="R133" s="34" t="str">
        <f>IF(ROW()-ROW(R$4)&lt;=AH$3,ROW()-ROW(R$4),"")</f>
        <v/>
      </c>
      <c r="S133" s="34" t="str">
        <f>IF(ROW()-ROW(S$4)&lt;=AI$3,ROW()-ROW(S$4),"")</f>
        <v/>
      </c>
      <c r="T133" s="34" t="str">
        <f>IF(ROW()-ROW(T$4)&lt;=AJ$3,ROW()-ROW(T$4),"")</f>
        <v/>
      </c>
      <c r="U133" s="34" t="str">
        <f>IF(ROW()-ROW(U$4)&lt;=AK$3,ROW()-ROW(U$4),"")</f>
        <v/>
      </c>
      <c r="V133" s="34" t="str">
        <f>IF(ROW()-ROW(V$4)&lt;=AL$3,ROW()-ROW(V$4),"")</f>
        <v/>
      </c>
      <c r="W133" s="34" t="str">
        <f>IF(ROW()-ROW(W$4)&lt;=AM$3,ROW()-ROW(W$4),"")</f>
        <v/>
      </c>
      <c r="X133" s="34" t="str">
        <f>IF(ROW()-ROW(X$4)&lt;=AN$3,ROW()-ROW(X$4),"")</f>
        <v/>
      </c>
      <c r="Y133" s="34"/>
      <c r="Z133" s="35" t="str">
        <f>IF(ISNUMBER(R133),INDEX($BE$5:$BE$2999,MATCH(R133,AH$5:AH$2999,0),1),"")</f>
        <v/>
      </c>
      <c r="AA133" s="35" t="str">
        <f>IF(ISNUMBER(S133),INDEX($BE$5:$BE$2999,MATCH(S133,AI$5:AI$2999,0),1),"")</f>
        <v/>
      </c>
      <c r="AB133" s="35" t="str">
        <f>IF(ISNUMBER(T133),INDEX($BE$5:$BE$2999,MATCH(T133,AJ$5:AJ$2999,0),1),"")</f>
        <v/>
      </c>
      <c r="AC133" s="35" t="str">
        <f>IF(ISNUMBER(U133),INDEX($BE$5:$BE$2999,MATCH(U133,AK$5:AK$2999,0),1),"")</f>
        <v/>
      </c>
      <c r="AD133" s="35" t="str">
        <f>IF(ISNUMBER(V133),INDEX($BE$5:$BE$2999,MATCH(V133,AL$5:AL$2999,0),1),"")</f>
        <v/>
      </c>
      <c r="AE133" s="35" t="str">
        <f>IF(ISNUMBER(W133),INDEX($BE$5:$BE$2999,MATCH(W133,AM$5:AM$2999,0),1),"")</f>
        <v/>
      </c>
      <c r="AF133" s="35" t="str">
        <f>IF(ISNUMBER(X133),INDEX($BE$5:$BE$2999,MATCH(X133,AN$5:AN$2999,0),1),"")</f>
        <v/>
      </c>
      <c r="AG133" s="35"/>
      <c r="AH133" s="34" t="str">
        <f>IF($BE133="","",IF(ISNUMBER(MATCH($BE133,AP$5:AP$29999,0)),MAX(AH$4:AH132)+1,0))</f>
        <v/>
      </c>
      <c r="AI133" s="34" t="str">
        <f>IF($BE133="","",IF(ISNUMBER(MATCH($BE133,AQ$5:AQ$29999,0)),MAX(AI$4:AI132)+1,0))</f>
        <v/>
      </c>
      <c r="AJ133" s="34" t="str">
        <f>IF($BE133="","",IF(ISNUMBER(MATCH($BE133,AR$5:AR$29999,0)),MAX(AJ$4:AJ132)+1,0))</f>
        <v/>
      </c>
      <c r="AK133" s="34" t="str">
        <f>IF($BE133="","",IF(ISNUMBER(MATCH($BE133,AS$5:AS$29999,0)),MAX(AK$4:AK132)+1,0))</f>
        <v/>
      </c>
      <c r="AL133" s="34" t="str">
        <f>IF($BE133="","",IF(ISNUMBER(MATCH($BE133,AT$5:AT$29999,0)),MAX(AL$4:AL132)+1,0))</f>
        <v/>
      </c>
      <c r="AM133" s="34" t="str">
        <f>IF($BE133="","",IF(ISNUMBER(MATCH($BE133,AU$5:AU$29999,0)),MAX(AM$4:AM132)+1,0))</f>
        <v/>
      </c>
      <c r="AN133" s="34" t="str">
        <f>IF($BE133="","",IF(ISNUMBER(MATCH($BE133,AV$5:AV$29999,0)),MAX(AN$4:AN132)+1,0))</f>
        <v/>
      </c>
      <c r="AO133" s="16"/>
      <c r="AP133" s="33"/>
      <c r="AQ133" s="33"/>
      <c r="AR133" s="33"/>
      <c r="AS133" s="33"/>
      <c r="AT133" s="32"/>
      <c r="AU133" s="32"/>
      <c r="AV133" s="32" t="s">
        <v>0</v>
      </c>
      <c r="AW133" s="20"/>
      <c r="AX133" s="20" t="s">
        <v>0</v>
      </c>
      <c r="AY133" s="30"/>
      <c r="AZ133" s="30"/>
      <c r="BA133" s="20"/>
      <c r="BB133" s="37"/>
      <c r="BC133" s="36"/>
      <c r="BD133" s="36"/>
      <c r="BE133" s="20"/>
      <c r="BF133" s="36"/>
      <c r="BG133" s="19" t="str">
        <f>IF(ISNUMBER(MATCH($BE133,Z$5:Z$501,0)),INDEX(Z$5:Z$501,MATCH($BE133,Z$5:Z$501,0),1),"")</f>
        <v/>
      </c>
      <c r="BH133" s="19" t="str">
        <f>IF(ISNUMBER(MATCH($BE133,AA$5:AA$501,0)),INDEX(AA$5:AA$501,MATCH($BE133,AA$5:AA$501,0),1),"")</f>
        <v/>
      </c>
      <c r="BI133" s="19" t="str">
        <f>IF(ISNUMBER(MATCH($BE133,AB$5:AB$501,0)),INDEX(AB$5:AB$501,MATCH($BE133,AB$5:AB$501,0),1),"")</f>
        <v/>
      </c>
      <c r="BJ133" s="19" t="str">
        <f>IF(ISNUMBER(MATCH($BE133,AC$5:AC$501,0)),INDEX(AC$5:AC$501,MATCH($BE133,AC$5:AC$501,0),1),"")</f>
        <v/>
      </c>
      <c r="BK133" s="19" t="str">
        <f>IF(ISNUMBER(MATCH($BE133,AD$5:AD$501,0)),INDEX(AD$5:AD$501,MATCH($BE133,AD$5:AD$501,0),1),"")</f>
        <v/>
      </c>
      <c r="BL133" s="19" t="str">
        <f>IF(ISNUMBER(MATCH($BE133,AE$5:AE$501,0)),INDEX(AE$5:AE$501,MATCH($BE133,AE$5:AE$501,0),1),"")</f>
        <v/>
      </c>
      <c r="BM133" s="19" t="str">
        <f>IF(ISNUMBER(MATCH($BE133,AF$5:AF$501,0)),INDEX(AF$5:AF$501,MATCH($BE133,AF$5:AF$501,0),1),"")</f>
        <v/>
      </c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</row>
    <row r="134" spans="1:78" ht="12" customHeight="1" x14ac:dyDescent="0.25">
      <c r="A134" s="26"/>
      <c r="B134" s="28"/>
      <c r="C134" s="28"/>
      <c r="D134" s="15" t="str">
        <f>IF(IF(ISNUMBER(B134),"",MAX(D$4:D133)+1)&lt;=D$3,IF(ISNUMBER(B134),"",MAX(D$4:D133)+1),"")</f>
        <v/>
      </c>
      <c r="E134" s="28"/>
      <c r="F134" s="28"/>
      <c r="G134" s="27"/>
      <c r="H134" s="15"/>
      <c r="I134" s="15" t="str">
        <f>IF(O134="","",IF(ISNUMBER(MATCH(O134,$G$5:$G$1000,0)),"",IF(D134=1,B$4,0)+MAX(I$4:I133)+1))</f>
        <v/>
      </c>
      <c r="J134" s="27"/>
      <c r="K134" s="27"/>
      <c r="L134" s="26"/>
      <c r="M134" s="14">
        <f>IF(ROW()-ROW(M$4)&lt;=1000,ROW()-ROW(M$4),"")</f>
        <v>130</v>
      </c>
      <c r="N134" s="38"/>
      <c r="O134" s="38"/>
      <c r="P134" s="17"/>
      <c r="Q134" s="16" t="s">
        <v>0</v>
      </c>
      <c r="R134" s="34" t="str">
        <f>IF(ROW()-ROW(R$4)&lt;=AH$3,ROW()-ROW(R$4),"")</f>
        <v/>
      </c>
      <c r="S134" s="34" t="str">
        <f>IF(ROW()-ROW(S$4)&lt;=AI$3,ROW()-ROW(S$4),"")</f>
        <v/>
      </c>
      <c r="T134" s="34" t="str">
        <f>IF(ROW()-ROW(T$4)&lt;=AJ$3,ROW()-ROW(T$4),"")</f>
        <v/>
      </c>
      <c r="U134" s="34" t="str">
        <f>IF(ROW()-ROW(U$4)&lt;=AK$3,ROW()-ROW(U$4),"")</f>
        <v/>
      </c>
      <c r="V134" s="34" t="str">
        <f>IF(ROW()-ROW(V$4)&lt;=AL$3,ROW()-ROW(V$4),"")</f>
        <v/>
      </c>
      <c r="W134" s="34" t="str">
        <f>IF(ROW()-ROW(W$4)&lt;=AM$3,ROW()-ROW(W$4),"")</f>
        <v/>
      </c>
      <c r="X134" s="34" t="str">
        <f>IF(ROW()-ROW(X$4)&lt;=AN$3,ROW()-ROW(X$4),"")</f>
        <v/>
      </c>
      <c r="Y134" s="34"/>
      <c r="Z134" s="35" t="str">
        <f>IF(ISNUMBER(R134),INDEX($BE$5:$BE$2999,MATCH(R134,AH$5:AH$2999,0),1),"")</f>
        <v/>
      </c>
      <c r="AA134" s="35" t="str">
        <f>IF(ISNUMBER(S134),INDEX($BE$5:$BE$2999,MATCH(S134,AI$5:AI$2999,0),1),"")</f>
        <v/>
      </c>
      <c r="AB134" s="35" t="str">
        <f>IF(ISNUMBER(T134),INDEX($BE$5:$BE$2999,MATCH(T134,AJ$5:AJ$2999,0),1),"")</f>
        <v/>
      </c>
      <c r="AC134" s="35" t="str">
        <f>IF(ISNUMBER(U134),INDEX($BE$5:$BE$2999,MATCH(U134,AK$5:AK$2999,0),1),"")</f>
        <v/>
      </c>
      <c r="AD134" s="35" t="str">
        <f>IF(ISNUMBER(V134),INDEX($BE$5:$BE$2999,MATCH(V134,AL$5:AL$2999,0),1),"")</f>
        <v/>
      </c>
      <c r="AE134" s="35" t="str">
        <f>IF(ISNUMBER(W134),INDEX($BE$5:$BE$2999,MATCH(W134,AM$5:AM$2999,0),1),"")</f>
        <v/>
      </c>
      <c r="AF134" s="35" t="str">
        <f>IF(ISNUMBER(X134),INDEX($BE$5:$BE$2999,MATCH(X134,AN$5:AN$2999,0),1),"")</f>
        <v/>
      </c>
      <c r="AG134" s="35"/>
      <c r="AH134" s="34" t="str">
        <f>IF($BE134="","",IF(ISNUMBER(MATCH($BE134,AP$5:AP$29999,0)),MAX(AH$4:AH133)+1,0))</f>
        <v/>
      </c>
      <c r="AI134" s="34" t="str">
        <f>IF($BE134="","",IF(ISNUMBER(MATCH($BE134,AQ$5:AQ$29999,0)),MAX(AI$4:AI133)+1,0))</f>
        <v/>
      </c>
      <c r="AJ134" s="34" t="str">
        <f>IF($BE134="","",IF(ISNUMBER(MATCH($BE134,AR$5:AR$29999,0)),MAX(AJ$4:AJ133)+1,0))</f>
        <v/>
      </c>
      <c r="AK134" s="34" t="str">
        <f>IF($BE134="","",IF(ISNUMBER(MATCH($BE134,AS$5:AS$29999,0)),MAX(AK$4:AK133)+1,0))</f>
        <v/>
      </c>
      <c r="AL134" s="34" t="str">
        <f>IF($BE134="","",IF(ISNUMBER(MATCH($BE134,AT$5:AT$29999,0)),MAX(AL$4:AL133)+1,0))</f>
        <v/>
      </c>
      <c r="AM134" s="34" t="str">
        <f>IF($BE134="","",IF(ISNUMBER(MATCH($BE134,AU$5:AU$29999,0)),MAX(AM$4:AM133)+1,0))</f>
        <v/>
      </c>
      <c r="AN134" s="34" t="str">
        <f>IF($BE134="","",IF(ISNUMBER(MATCH($BE134,AV$5:AV$29999,0)),MAX(AN$4:AN133)+1,0))</f>
        <v/>
      </c>
      <c r="AO134" s="16"/>
      <c r="AP134" s="33"/>
      <c r="AQ134" s="33"/>
      <c r="AR134" s="33"/>
      <c r="AS134" s="33"/>
      <c r="AT134" s="32"/>
      <c r="AU134" s="32"/>
      <c r="AV134" s="32" t="s">
        <v>0</v>
      </c>
      <c r="AW134" s="20"/>
      <c r="AX134" s="20" t="s">
        <v>0</v>
      </c>
      <c r="AY134" s="30"/>
      <c r="AZ134" s="30"/>
      <c r="BA134" s="20"/>
      <c r="BB134" s="37"/>
      <c r="BC134" s="36"/>
      <c r="BD134" s="36"/>
      <c r="BE134" s="20"/>
      <c r="BF134" s="36"/>
      <c r="BG134" s="19" t="str">
        <f>IF(ISNUMBER(MATCH($BE134,Z$5:Z$501,0)),INDEX(Z$5:Z$501,MATCH($BE134,Z$5:Z$501,0),1),"")</f>
        <v/>
      </c>
      <c r="BH134" s="19" t="str">
        <f>IF(ISNUMBER(MATCH($BE134,AA$5:AA$501,0)),INDEX(AA$5:AA$501,MATCH($BE134,AA$5:AA$501,0),1),"")</f>
        <v/>
      </c>
      <c r="BI134" s="19" t="str">
        <f>IF(ISNUMBER(MATCH($BE134,AB$5:AB$501,0)),INDEX(AB$5:AB$501,MATCH($BE134,AB$5:AB$501,0),1),"")</f>
        <v/>
      </c>
      <c r="BJ134" s="19" t="str">
        <f>IF(ISNUMBER(MATCH($BE134,AC$5:AC$501,0)),INDEX(AC$5:AC$501,MATCH($BE134,AC$5:AC$501,0),1),"")</f>
        <v/>
      </c>
      <c r="BK134" s="19" t="str">
        <f>IF(ISNUMBER(MATCH($BE134,AD$5:AD$501,0)),INDEX(AD$5:AD$501,MATCH($BE134,AD$5:AD$501,0),1),"")</f>
        <v/>
      </c>
      <c r="BL134" s="19" t="str">
        <f>IF(ISNUMBER(MATCH($BE134,AE$5:AE$501,0)),INDEX(AE$5:AE$501,MATCH($BE134,AE$5:AE$501,0),1),"")</f>
        <v/>
      </c>
      <c r="BM134" s="19" t="str">
        <f>IF(ISNUMBER(MATCH($BE134,AF$5:AF$501,0)),INDEX(AF$5:AF$501,MATCH($BE134,AF$5:AF$501,0),1),"")</f>
        <v/>
      </c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</row>
    <row r="135" spans="1:78" ht="12" customHeight="1" x14ac:dyDescent="0.25">
      <c r="A135" s="26"/>
      <c r="B135" s="28"/>
      <c r="C135" s="28"/>
      <c r="D135" s="15" t="str">
        <f>IF(IF(ISNUMBER(B135),"",MAX(D$4:D134)+1)&lt;=D$3,IF(ISNUMBER(B135),"",MAX(D$4:D134)+1),"")</f>
        <v/>
      </c>
      <c r="E135" s="28"/>
      <c r="F135" s="28"/>
      <c r="G135" s="27"/>
      <c r="H135" s="15"/>
      <c r="I135" s="15" t="str">
        <f>IF(O135="","",IF(ISNUMBER(MATCH(O135,$G$5:$G$1000,0)),"",IF(D135=1,B$4,0)+MAX(I$4:I134)+1))</f>
        <v/>
      </c>
      <c r="J135" s="27"/>
      <c r="K135" s="27"/>
      <c r="L135" s="26"/>
      <c r="M135" s="14">
        <f>IF(ROW()-ROW(M$4)&lt;=1000,ROW()-ROW(M$4),"")</f>
        <v>131</v>
      </c>
      <c r="N135" s="29"/>
      <c r="O135" s="29"/>
      <c r="P135" s="17"/>
      <c r="Q135" s="16" t="s">
        <v>0</v>
      </c>
      <c r="R135" s="34" t="str">
        <f>IF(ROW()-ROW(R$4)&lt;=AH$3,ROW()-ROW(R$4),"")</f>
        <v/>
      </c>
      <c r="S135" s="34" t="str">
        <f>IF(ROW()-ROW(S$4)&lt;=AI$3,ROW()-ROW(S$4),"")</f>
        <v/>
      </c>
      <c r="T135" s="34" t="str">
        <f>IF(ROW()-ROW(T$4)&lt;=AJ$3,ROW()-ROW(T$4),"")</f>
        <v/>
      </c>
      <c r="U135" s="34" t="str">
        <f>IF(ROW()-ROW(U$4)&lt;=AK$3,ROW()-ROW(U$4),"")</f>
        <v/>
      </c>
      <c r="V135" s="34" t="str">
        <f>IF(ROW()-ROW(V$4)&lt;=AL$3,ROW()-ROW(V$4),"")</f>
        <v/>
      </c>
      <c r="W135" s="34" t="str">
        <f>IF(ROW()-ROW(W$4)&lt;=AM$3,ROW()-ROW(W$4),"")</f>
        <v/>
      </c>
      <c r="X135" s="34" t="str">
        <f>IF(ROW()-ROW(X$4)&lt;=AN$3,ROW()-ROW(X$4),"")</f>
        <v/>
      </c>
      <c r="Y135" s="34"/>
      <c r="Z135" s="35" t="str">
        <f>IF(ISNUMBER(R135),INDEX($BE$5:$BE$2999,MATCH(R135,AH$5:AH$2999,0),1),"")</f>
        <v/>
      </c>
      <c r="AA135" s="35" t="str">
        <f>IF(ISNUMBER(S135),INDEX($BE$5:$BE$2999,MATCH(S135,AI$5:AI$2999,0),1),"")</f>
        <v/>
      </c>
      <c r="AB135" s="35" t="str">
        <f>IF(ISNUMBER(T135),INDEX($BE$5:$BE$2999,MATCH(T135,AJ$5:AJ$2999,0),1),"")</f>
        <v/>
      </c>
      <c r="AC135" s="35" t="str">
        <f>IF(ISNUMBER(U135),INDEX($BE$5:$BE$2999,MATCH(U135,AK$5:AK$2999,0),1),"")</f>
        <v/>
      </c>
      <c r="AD135" s="35" t="str">
        <f>IF(ISNUMBER(V135),INDEX($BE$5:$BE$2999,MATCH(V135,AL$5:AL$2999,0),1),"")</f>
        <v/>
      </c>
      <c r="AE135" s="35" t="str">
        <f>IF(ISNUMBER(W135),INDEX($BE$5:$BE$2999,MATCH(W135,AM$5:AM$2999,0),1),"")</f>
        <v/>
      </c>
      <c r="AF135" s="35" t="str">
        <f>IF(ISNUMBER(X135),INDEX($BE$5:$BE$2999,MATCH(X135,AN$5:AN$2999,0),1),"")</f>
        <v/>
      </c>
      <c r="AG135" s="35"/>
      <c r="AH135" s="34" t="str">
        <f>IF($BE135="","",IF(ISNUMBER(MATCH($BE135,AP$5:AP$29999,0)),MAX(AH$4:AH134)+1,0))</f>
        <v/>
      </c>
      <c r="AI135" s="34" t="str">
        <f>IF($BE135="","",IF(ISNUMBER(MATCH($BE135,AQ$5:AQ$29999,0)),MAX(AI$4:AI134)+1,0))</f>
        <v/>
      </c>
      <c r="AJ135" s="34" t="str">
        <f>IF($BE135="","",IF(ISNUMBER(MATCH($BE135,AR$5:AR$29999,0)),MAX(AJ$4:AJ134)+1,0))</f>
        <v/>
      </c>
      <c r="AK135" s="34" t="str">
        <f>IF($BE135="","",IF(ISNUMBER(MATCH($BE135,AS$5:AS$29999,0)),MAX(AK$4:AK134)+1,0))</f>
        <v/>
      </c>
      <c r="AL135" s="34" t="str">
        <f>IF($BE135="","",IF(ISNUMBER(MATCH($BE135,AT$5:AT$29999,0)),MAX(AL$4:AL134)+1,0))</f>
        <v/>
      </c>
      <c r="AM135" s="34" t="str">
        <f>IF($BE135="","",IF(ISNUMBER(MATCH($BE135,AU$5:AU$29999,0)),MAX(AM$4:AM134)+1,0))</f>
        <v/>
      </c>
      <c r="AN135" s="34" t="str">
        <f>IF($BE135="","",IF(ISNUMBER(MATCH($BE135,AV$5:AV$29999,0)),MAX(AN$4:AN134)+1,0))</f>
        <v/>
      </c>
      <c r="AO135" s="16"/>
      <c r="AP135" s="33"/>
      <c r="AQ135" s="33"/>
      <c r="AR135" s="33"/>
      <c r="AS135" s="33"/>
      <c r="AT135" s="32"/>
      <c r="AU135" s="32"/>
      <c r="AV135" s="32" t="s">
        <v>0</v>
      </c>
      <c r="AW135" s="20"/>
      <c r="AX135" s="20" t="s">
        <v>0</v>
      </c>
      <c r="AY135" s="30"/>
      <c r="AZ135" s="30"/>
      <c r="BA135" s="20"/>
      <c r="BB135" s="37"/>
      <c r="BC135" s="36"/>
      <c r="BD135" s="36"/>
      <c r="BE135" s="20"/>
      <c r="BF135" s="36"/>
      <c r="BG135" s="19"/>
      <c r="BH135" s="19"/>
      <c r="BI135" s="19"/>
      <c r="BJ135" s="19"/>
      <c r="BK135" s="19"/>
      <c r="BL135" s="19"/>
      <c r="BM135" s="19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</row>
    <row r="136" spans="1:78" ht="12" customHeight="1" x14ac:dyDescent="0.25">
      <c r="A136" s="26"/>
      <c r="B136" s="28"/>
      <c r="C136" s="28"/>
      <c r="D136" s="15" t="str">
        <f>IF(IF(ISNUMBER(B136),"",MAX(D$4:D135)+1)&lt;=D$3,IF(ISNUMBER(B136),"",MAX(D$4:D135)+1),"")</f>
        <v/>
      </c>
      <c r="E136" s="28"/>
      <c r="F136" s="28"/>
      <c r="G136" s="27"/>
      <c r="H136" s="15"/>
      <c r="I136" s="15" t="str">
        <f>IF(O136="","",IF(ISNUMBER(MATCH(O136,$G$5:$G$1000,0)),"",IF(D136=1,B$4,0)+MAX(I$4:I135)+1))</f>
        <v/>
      </c>
      <c r="J136" s="27"/>
      <c r="K136" s="27"/>
      <c r="L136" s="26"/>
      <c r="M136" s="14">
        <f>IF(ROW()-ROW(M$4)&lt;=1000,ROW()-ROW(M$4),"")</f>
        <v>132</v>
      </c>
      <c r="N136" s="29"/>
      <c r="O136" s="29"/>
      <c r="P136" s="17"/>
      <c r="Q136" s="16" t="s">
        <v>0</v>
      </c>
      <c r="R136" s="34" t="str">
        <f>IF(ROW()-ROW(R$4)&lt;=AH$3,ROW()-ROW(R$4),"")</f>
        <v/>
      </c>
      <c r="S136" s="34" t="str">
        <f>IF(ROW()-ROW(S$4)&lt;=AI$3,ROW()-ROW(S$4),"")</f>
        <v/>
      </c>
      <c r="T136" s="34" t="str">
        <f>IF(ROW()-ROW(T$4)&lt;=AJ$3,ROW()-ROW(T$4),"")</f>
        <v/>
      </c>
      <c r="U136" s="34" t="str">
        <f>IF(ROW()-ROW(U$4)&lt;=AK$3,ROW()-ROW(U$4),"")</f>
        <v/>
      </c>
      <c r="V136" s="34" t="str">
        <f>IF(ROW()-ROW(V$4)&lt;=AL$3,ROW()-ROW(V$4),"")</f>
        <v/>
      </c>
      <c r="W136" s="34" t="str">
        <f>IF(ROW()-ROW(W$4)&lt;=AM$3,ROW()-ROW(W$4),"")</f>
        <v/>
      </c>
      <c r="X136" s="34" t="str">
        <f>IF(ROW()-ROW(X$4)&lt;=AN$3,ROW()-ROW(X$4),"")</f>
        <v/>
      </c>
      <c r="Y136" s="34"/>
      <c r="Z136" s="35" t="str">
        <f>IF(ISNUMBER(R136),INDEX($BE$5:$BE$2999,MATCH(R136,AH$5:AH$2999,0),1),"")</f>
        <v/>
      </c>
      <c r="AA136" s="35" t="str">
        <f>IF(ISNUMBER(S136),INDEX($BE$5:$BE$2999,MATCH(S136,AI$5:AI$2999,0),1),"")</f>
        <v/>
      </c>
      <c r="AB136" s="35" t="str">
        <f>IF(ISNUMBER(T136),INDEX($BE$5:$BE$2999,MATCH(T136,AJ$5:AJ$2999,0),1),"")</f>
        <v/>
      </c>
      <c r="AC136" s="35" t="str">
        <f>IF(ISNUMBER(U136),INDEX($BE$5:$BE$2999,MATCH(U136,AK$5:AK$2999,0),1),"")</f>
        <v/>
      </c>
      <c r="AD136" s="35" t="str">
        <f>IF(ISNUMBER(V136),INDEX($BE$5:$BE$2999,MATCH(V136,AL$5:AL$2999,0),1),"")</f>
        <v/>
      </c>
      <c r="AE136" s="35" t="str">
        <f>IF(ISNUMBER(W136),INDEX($BE$5:$BE$2999,MATCH(W136,AM$5:AM$2999,0),1),"")</f>
        <v/>
      </c>
      <c r="AF136" s="35" t="str">
        <f>IF(ISNUMBER(X136),INDEX($BE$5:$BE$2999,MATCH(X136,AN$5:AN$2999,0),1),"")</f>
        <v/>
      </c>
      <c r="AG136" s="35"/>
      <c r="AH136" s="34" t="str">
        <f>IF($BE136="","",IF(ISNUMBER(MATCH($BE136,AP$5:AP$29999,0)),MAX(AH$4:AH135)+1,0))</f>
        <v/>
      </c>
      <c r="AI136" s="34" t="str">
        <f>IF($BE136="","",IF(ISNUMBER(MATCH($BE136,AQ$5:AQ$29999,0)),MAX(AI$4:AI135)+1,0))</f>
        <v/>
      </c>
      <c r="AJ136" s="34" t="str">
        <f>IF($BE136="","",IF(ISNUMBER(MATCH($BE136,AR$5:AR$29999,0)),MAX(AJ$4:AJ135)+1,0))</f>
        <v/>
      </c>
      <c r="AK136" s="34" t="str">
        <f>IF($BE136="","",IF(ISNUMBER(MATCH($BE136,AS$5:AS$29999,0)),MAX(AK$4:AK135)+1,0))</f>
        <v/>
      </c>
      <c r="AL136" s="34" t="str">
        <f>IF($BE136="","",IF(ISNUMBER(MATCH($BE136,AT$5:AT$29999,0)),MAX(AL$4:AL135)+1,0))</f>
        <v/>
      </c>
      <c r="AM136" s="34" t="str">
        <f>IF($BE136="","",IF(ISNUMBER(MATCH($BE136,AU$5:AU$29999,0)),MAX(AM$4:AM135)+1,0))</f>
        <v/>
      </c>
      <c r="AN136" s="34" t="str">
        <f>IF($BE136="","",IF(ISNUMBER(MATCH($BE136,AV$5:AV$29999,0)),MAX(AN$4:AN135)+1,0))</f>
        <v/>
      </c>
      <c r="AO136" s="16"/>
      <c r="AP136" s="33"/>
      <c r="AQ136" s="33"/>
      <c r="AR136" s="33"/>
      <c r="AS136" s="33"/>
      <c r="AT136" s="32"/>
      <c r="AU136" s="32"/>
      <c r="AV136" s="32" t="s">
        <v>0</v>
      </c>
      <c r="AW136" s="20"/>
      <c r="AX136" s="20" t="s">
        <v>0</v>
      </c>
      <c r="AY136" s="30"/>
      <c r="AZ136" s="30"/>
      <c r="BA136" s="20"/>
      <c r="BB136" s="37"/>
      <c r="BC136" s="36"/>
      <c r="BD136" s="36"/>
      <c r="BE136" s="20"/>
      <c r="BF136" s="36"/>
      <c r="BG136" s="19"/>
      <c r="BH136" s="19"/>
      <c r="BI136" s="19"/>
      <c r="BJ136" s="19"/>
      <c r="BK136" s="19"/>
      <c r="BL136" s="19"/>
      <c r="BM136" s="19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</row>
    <row r="137" spans="1:78" ht="12" customHeight="1" x14ac:dyDescent="0.25">
      <c r="A137" s="26"/>
      <c r="B137" s="28"/>
      <c r="C137" s="28"/>
      <c r="D137" s="15" t="str">
        <f>IF(IF(ISNUMBER(B137),"",MAX(D$4:D136)+1)&lt;=D$3,IF(ISNUMBER(B137),"",MAX(D$4:D136)+1),"")</f>
        <v/>
      </c>
      <c r="E137" s="28"/>
      <c r="F137" s="28"/>
      <c r="G137" s="27"/>
      <c r="H137" s="15"/>
      <c r="I137" s="15" t="str">
        <f>IF(O137="","",IF(ISNUMBER(MATCH(O137,$G$5:$G$1000,0)),"",IF(D137=1,B$4,0)+MAX(I$4:I136)+1))</f>
        <v/>
      </c>
      <c r="J137" s="27"/>
      <c r="K137" s="27"/>
      <c r="L137" s="26"/>
      <c r="M137" s="14">
        <f>IF(ROW()-ROW(M$4)&lt;=1000,ROW()-ROW(M$4),"")</f>
        <v>133</v>
      </c>
      <c r="N137" s="29"/>
      <c r="O137" s="29"/>
      <c r="P137" s="17"/>
      <c r="Q137" s="16" t="s">
        <v>0</v>
      </c>
      <c r="R137" s="34" t="str">
        <f>IF(ROW()-ROW(R$4)&lt;=AH$3,ROW()-ROW(R$4),"")</f>
        <v/>
      </c>
      <c r="S137" s="34" t="str">
        <f>IF(ROW()-ROW(S$4)&lt;=AI$3,ROW()-ROW(S$4),"")</f>
        <v/>
      </c>
      <c r="T137" s="34" t="str">
        <f>IF(ROW()-ROW(T$4)&lt;=AJ$3,ROW()-ROW(T$4),"")</f>
        <v/>
      </c>
      <c r="U137" s="34" t="str">
        <f>IF(ROW()-ROW(U$4)&lt;=AK$3,ROW()-ROW(U$4),"")</f>
        <v/>
      </c>
      <c r="V137" s="34" t="str">
        <f>IF(ROW()-ROW(V$4)&lt;=AL$3,ROW()-ROW(V$4),"")</f>
        <v/>
      </c>
      <c r="W137" s="34" t="str">
        <f>IF(ROW()-ROW(W$4)&lt;=AM$3,ROW()-ROW(W$4),"")</f>
        <v/>
      </c>
      <c r="X137" s="34" t="str">
        <f>IF(ROW()-ROW(X$4)&lt;=AN$3,ROW()-ROW(X$4),"")</f>
        <v/>
      </c>
      <c r="Y137" s="34"/>
      <c r="Z137" s="35" t="str">
        <f>IF(ISNUMBER(R137),INDEX($BE$5:$BE$2999,MATCH(R137,AH$5:AH$2999,0),1),"")</f>
        <v/>
      </c>
      <c r="AA137" s="35" t="str">
        <f>IF(ISNUMBER(S137),INDEX($BE$5:$BE$2999,MATCH(S137,AI$5:AI$2999,0),1),"")</f>
        <v/>
      </c>
      <c r="AB137" s="35" t="str">
        <f>IF(ISNUMBER(T137),INDEX($BE$5:$BE$2999,MATCH(T137,AJ$5:AJ$2999,0),1),"")</f>
        <v/>
      </c>
      <c r="AC137" s="35" t="str">
        <f>IF(ISNUMBER(U137),INDEX($BE$5:$BE$2999,MATCH(U137,AK$5:AK$2999,0),1),"")</f>
        <v/>
      </c>
      <c r="AD137" s="35" t="str">
        <f>IF(ISNUMBER(V137),INDEX($BE$5:$BE$2999,MATCH(V137,AL$5:AL$2999,0),1),"")</f>
        <v/>
      </c>
      <c r="AE137" s="35" t="str">
        <f>IF(ISNUMBER(W137),INDEX($BE$5:$BE$2999,MATCH(W137,AM$5:AM$2999,0),1),"")</f>
        <v/>
      </c>
      <c r="AF137" s="35" t="str">
        <f>IF(ISNUMBER(X137),INDEX($BE$5:$BE$2999,MATCH(X137,AN$5:AN$2999,0),1),"")</f>
        <v/>
      </c>
      <c r="AG137" s="35"/>
      <c r="AH137" s="34" t="str">
        <f>IF($BE137="","",IF(ISNUMBER(MATCH($BE137,AP$5:AP$29999,0)),MAX(AH$4:AH136)+1,0))</f>
        <v/>
      </c>
      <c r="AI137" s="34" t="str">
        <f>IF($BE137="","",IF(ISNUMBER(MATCH($BE137,AQ$5:AQ$29999,0)),MAX(AI$4:AI136)+1,0))</f>
        <v/>
      </c>
      <c r="AJ137" s="34" t="str">
        <f>IF($BE137="","",IF(ISNUMBER(MATCH($BE137,AR$5:AR$29999,0)),MAX(AJ$4:AJ136)+1,0))</f>
        <v/>
      </c>
      <c r="AK137" s="34" t="str">
        <f>IF($BE137="","",IF(ISNUMBER(MATCH($BE137,AS$5:AS$29999,0)),MAX(AK$4:AK136)+1,0))</f>
        <v/>
      </c>
      <c r="AL137" s="34" t="str">
        <f>IF($BE137="","",IF(ISNUMBER(MATCH($BE137,AT$5:AT$29999,0)),MAX(AL$4:AL136)+1,0))</f>
        <v/>
      </c>
      <c r="AM137" s="34" t="str">
        <f>IF($BE137="","",IF(ISNUMBER(MATCH($BE137,AU$5:AU$29999,0)),MAX(AM$4:AM136)+1,0))</f>
        <v/>
      </c>
      <c r="AN137" s="34" t="str">
        <f>IF($BE137="","",IF(ISNUMBER(MATCH($BE137,AV$5:AV$29999,0)),MAX(AN$4:AN136)+1,0))</f>
        <v/>
      </c>
      <c r="AO137" s="16"/>
      <c r="AP137" s="33"/>
      <c r="AQ137" s="33"/>
      <c r="AR137" s="33"/>
      <c r="AS137" s="33"/>
      <c r="AT137" s="32"/>
      <c r="AU137" s="32"/>
      <c r="AV137" s="32" t="s">
        <v>0</v>
      </c>
      <c r="AW137" s="20"/>
      <c r="AX137" s="20" t="s">
        <v>0</v>
      </c>
      <c r="AY137" s="30"/>
      <c r="AZ137" s="30"/>
      <c r="BA137" s="20"/>
      <c r="BB137" s="37"/>
      <c r="BC137" s="36"/>
      <c r="BD137" s="36"/>
      <c r="BE137" s="20"/>
      <c r="BF137" s="36"/>
      <c r="BG137" s="19"/>
      <c r="BH137" s="19"/>
      <c r="BI137" s="19"/>
      <c r="BJ137" s="19"/>
      <c r="BK137" s="19"/>
      <c r="BL137" s="19"/>
      <c r="BM137" s="19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</row>
    <row r="138" spans="1:78" ht="12" customHeight="1" x14ac:dyDescent="0.25">
      <c r="A138" s="26"/>
      <c r="B138" s="28"/>
      <c r="C138" s="28"/>
      <c r="D138" s="15" t="str">
        <f>IF(IF(ISNUMBER(B138),"",MAX(D$4:D137)+1)&lt;=D$3,IF(ISNUMBER(B138),"",MAX(D$4:D137)+1),"")</f>
        <v/>
      </c>
      <c r="E138" s="28"/>
      <c r="F138" s="28"/>
      <c r="G138" s="27"/>
      <c r="H138" s="15"/>
      <c r="I138" s="15" t="str">
        <f>IF(O138="","",IF(ISNUMBER(MATCH(O138,$G$5:$G$1000,0)),"",IF(D138=1,B$4,0)+MAX(I$4:I137)+1))</f>
        <v/>
      </c>
      <c r="J138" s="27"/>
      <c r="K138" s="27"/>
      <c r="L138" s="26"/>
      <c r="M138" s="14">
        <f>IF(ROW()-ROW(M$4)&lt;=1000,ROW()-ROW(M$4),"")</f>
        <v>134</v>
      </c>
      <c r="N138" s="29"/>
      <c r="O138" s="29"/>
      <c r="P138" s="17"/>
      <c r="Q138" s="16" t="s">
        <v>0</v>
      </c>
      <c r="R138" s="34" t="str">
        <f>IF(ROW()-ROW(R$4)&lt;=AH$3,ROW()-ROW(R$4),"")</f>
        <v/>
      </c>
      <c r="S138" s="34" t="str">
        <f>IF(ROW()-ROW(S$4)&lt;=AI$3,ROW()-ROW(S$4),"")</f>
        <v/>
      </c>
      <c r="T138" s="34" t="str">
        <f>IF(ROW()-ROW(T$4)&lt;=AJ$3,ROW()-ROW(T$4),"")</f>
        <v/>
      </c>
      <c r="U138" s="34" t="str">
        <f>IF(ROW()-ROW(U$4)&lt;=AK$3,ROW()-ROW(U$4),"")</f>
        <v/>
      </c>
      <c r="V138" s="34" t="str">
        <f>IF(ROW()-ROW(V$4)&lt;=AL$3,ROW()-ROW(V$4),"")</f>
        <v/>
      </c>
      <c r="W138" s="34" t="str">
        <f>IF(ROW()-ROW(W$4)&lt;=AM$3,ROW()-ROW(W$4),"")</f>
        <v/>
      </c>
      <c r="X138" s="34" t="str">
        <f>IF(ROW()-ROW(X$4)&lt;=AN$3,ROW()-ROW(X$4),"")</f>
        <v/>
      </c>
      <c r="Y138" s="34"/>
      <c r="Z138" s="35" t="str">
        <f>IF(ISNUMBER(R138),INDEX($BE$5:$BE$2999,MATCH(R138,AH$5:AH$2999,0),1),"")</f>
        <v/>
      </c>
      <c r="AA138" s="35" t="str">
        <f>IF(ISNUMBER(S138),INDEX($BE$5:$BE$2999,MATCH(S138,AI$5:AI$2999,0),1),"")</f>
        <v/>
      </c>
      <c r="AB138" s="35" t="str">
        <f>IF(ISNUMBER(T138),INDEX($BE$5:$BE$2999,MATCH(T138,AJ$5:AJ$2999,0),1),"")</f>
        <v/>
      </c>
      <c r="AC138" s="35" t="str">
        <f>IF(ISNUMBER(U138),INDEX($BE$5:$BE$2999,MATCH(U138,AK$5:AK$2999,0),1),"")</f>
        <v/>
      </c>
      <c r="AD138" s="35" t="str">
        <f>IF(ISNUMBER(V138),INDEX($BE$5:$BE$2999,MATCH(V138,AL$5:AL$2999,0),1),"")</f>
        <v/>
      </c>
      <c r="AE138" s="35" t="str">
        <f>IF(ISNUMBER(W138),INDEX($BE$5:$BE$2999,MATCH(W138,AM$5:AM$2999,0),1),"")</f>
        <v/>
      </c>
      <c r="AF138" s="35" t="str">
        <f>IF(ISNUMBER(X138),INDEX($BE$5:$BE$2999,MATCH(X138,AN$5:AN$2999,0),1),"")</f>
        <v/>
      </c>
      <c r="AG138" s="35"/>
      <c r="AH138" s="34" t="str">
        <f>IF($BE138="","",IF(ISNUMBER(MATCH($BE138,AP$5:AP$29999,0)),MAX(AH$4:AH137)+1,0))</f>
        <v/>
      </c>
      <c r="AI138" s="34" t="str">
        <f>IF($BE138="","",IF(ISNUMBER(MATCH($BE138,AQ$5:AQ$29999,0)),MAX(AI$4:AI137)+1,0))</f>
        <v/>
      </c>
      <c r="AJ138" s="34" t="str">
        <f>IF($BE138="","",IF(ISNUMBER(MATCH($BE138,AR$5:AR$29999,0)),MAX(AJ$4:AJ137)+1,0))</f>
        <v/>
      </c>
      <c r="AK138" s="34" t="str">
        <f>IF($BE138="","",IF(ISNUMBER(MATCH($BE138,AS$5:AS$29999,0)),MAX(AK$4:AK137)+1,0))</f>
        <v/>
      </c>
      <c r="AL138" s="34" t="str">
        <f>IF($BE138="","",IF(ISNUMBER(MATCH($BE138,AT$5:AT$29999,0)),MAX(AL$4:AL137)+1,0))</f>
        <v/>
      </c>
      <c r="AM138" s="34" t="str">
        <f>IF($BE138="","",IF(ISNUMBER(MATCH($BE138,AU$5:AU$29999,0)),MAX(AM$4:AM137)+1,0))</f>
        <v/>
      </c>
      <c r="AN138" s="34" t="str">
        <f>IF($BE138="","",IF(ISNUMBER(MATCH($BE138,AV$5:AV$29999,0)),MAX(AN$4:AN137)+1,0))</f>
        <v/>
      </c>
      <c r="AO138" s="16"/>
      <c r="AP138" s="33"/>
      <c r="AQ138" s="33"/>
      <c r="AR138" s="33"/>
      <c r="AS138" s="33"/>
      <c r="AT138" s="32"/>
      <c r="AU138" s="32"/>
      <c r="AV138" s="32" t="s">
        <v>0</v>
      </c>
      <c r="AW138" s="20"/>
      <c r="AX138" s="20" t="s">
        <v>0</v>
      </c>
      <c r="AY138" s="30"/>
      <c r="AZ138" s="30"/>
      <c r="BA138" s="20"/>
      <c r="BB138" s="37"/>
      <c r="BC138" s="36"/>
      <c r="BD138" s="36"/>
      <c r="BE138" s="20"/>
      <c r="BF138" s="36"/>
      <c r="BG138" s="19"/>
      <c r="BH138" s="19"/>
      <c r="BI138" s="19"/>
      <c r="BJ138" s="19"/>
      <c r="BK138" s="19"/>
      <c r="BL138" s="19"/>
      <c r="BM138" s="19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</row>
    <row r="139" spans="1:78" ht="12" customHeight="1" x14ac:dyDescent="0.25">
      <c r="A139" s="26"/>
      <c r="B139" s="28"/>
      <c r="C139" s="28"/>
      <c r="D139" s="15" t="str">
        <f>IF(IF(ISNUMBER(B139),"",MAX(D$4:D138)+1)&lt;=D$3,IF(ISNUMBER(B139),"",MAX(D$4:D138)+1),"")</f>
        <v/>
      </c>
      <c r="E139" s="28"/>
      <c r="F139" s="28"/>
      <c r="G139" s="27"/>
      <c r="H139" s="15"/>
      <c r="I139" s="15" t="str">
        <f>IF(O139="","",IF(ISNUMBER(MATCH(O139,$G$5:$G$1000,0)),"",IF(D139=1,B$4,0)+MAX(I$4:I138)+1))</f>
        <v/>
      </c>
      <c r="J139" s="27"/>
      <c r="K139" s="27"/>
      <c r="L139" s="26"/>
      <c r="M139" s="14">
        <f>IF(ROW()-ROW(M$4)&lt;=1000,ROW()-ROW(M$4),"")</f>
        <v>135</v>
      </c>
      <c r="N139" s="29"/>
      <c r="O139" s="29"/>
      <c r="P139" s="17"/>
      <c r="Q139" s="16" t="s">
        <v>0</v>
      </c>
      <c r="R139" s="34" t="str">
        <f>IF(ROW()-ROW(R$4)&lt;=AH$3,ROW()-ROW(R$4),"")</f>
        <v/>
      </c>
      <c r="S139" s="34" t="str">
        <f>IF(ROW()-ROW(S$4)&lt;=AI$3,ROW()-ROW(S$4),"")</f>
        <v/>
      </c>
      <c r="T139" s="34" t="str">
        <f>IF(ROW()-ROW(T$4)&lt;=AJ$3,ROW()-ROW(T$4),"")</f>
        <v/>
      </c>
      <c r="U139" s="34" t="str">
        <f>IF(ROW()-ROW(U$4)&lt;=AK$3,ROW()-ROW(U$4),"")</f>
        <v/>
      </c>
      <c r="V139" s="34" t="str">
        <f>IF(ROW()-ROW(V$4)&lt;=AL$3,ROW()-ROW(V$4),"")</f>
        <v/>
      </c>
      <c r="W139" s="34" t="str">
        <f>IF(ROW()-ROW(W$4)&lt;=AM$3,ROW()-ROW(W$4),"")</f>
        <v/>
      </c>
      <c r="X139" s="34" t="str">
        <f>IF(ROW()-ROW(X$4)&lt;=AN$3,ROW()-ROW(X$4),"")</f>
        <v/>
      </c>
      <c r="Y139" s="34"/>
      <c r="Z139" s="35" t="str">
        <f>IF(ISNUMBER(R139),INDEX($BE$5:$BE$2999,MATCH(R139,AH$5:AH$2999,0),1),"")</f>
        <v/>
      </c>
      <c r="AA139" s="35" t="str">
        <f>IF(ISNUMBER(S139),INDEX($BE$5:$BE$2999,MATCH(S139,AI$5:AI$2999,0),1),"")</f>
        <v/>
      </c>
      <c r="AB139" s="35" t="str">
        <f>IF(ISNUMBER(T139),INDEX($BE$5:$BE$2999,MATCH(T139,AJ$5:AJ$2999,0),1),"")</f>
        <v/>
      </c>
      <c r="AC139" s="35" t="str">
        <f>IF(ISNUMBER(U139),INDEX($BE$5:$BE$2999,MATCH(U139,AK$5:AK$2999,0),1),"")</f>
        <v/>
      </c>
      <c r="AD139" s="35" t="str">
        <f>IF(ISNUMBER(V139),INDEX($BE$5:$BE$2999,MATCH(V139,AL$5:AL$2999,0),1),"")</f>
        <v/>
      </c>
      <c r="AE139" s="35" t="str">
        <f>IF(ISNUMBER(W139),INDEX($BE$5:$BE$2999,MATCH(W139,AM$5:AM$2999,0),1),"")</f>
        <v/>
      </c>
      <c r="AF139" s="35" t="str">
        <f>IF(ISNUMBER(X139),INDEX($BE$5:$BE$2999,MATCH(X139,AN$5:AN$2999,0),1),"")</f>
        <v/>
      </c>
      <c r="AG139" s="35"/>
      <c r="AH139" s="34" t="str">
        <f>IF($BE139="","",IF(ISNUMBER(MATCH($BE139,AP$5:AP$29999,0)),MAX(AH$4:AH138)+1,0))</f>
        <v/>
      </c>
      <c r="AI139" s="34" t="str">
        <f>IF($BE139="","",IF(ISNUMBER(MATCH($BE139,AQ$5:AQ$29999,0)),MAX(AI$4:AI138)+1,0))</f>
        <v/>
      </c>
      <c r="AJ139" s="34" t="str">
        <f>IF($BE139="","",IF(ISNUMBER(MATCH($BE139,AR$5:AR$29999,0)),MAX(AJ$4:AJ138)+1,0))</f>
        <v/>
      </c>
      <c r="AK139" s="34" t="str">
        <f>IF($BE139="","",IF(ISNUMBER(MATCH($BE139,AS$5:AS$29999,0)),MAX(AK$4:AK138)+1,0))</f>
        <v/>
      </c>
      <c r="AL139" s="34" t="str">
        <f>IF($BE139="","",IF(ISNUMBER(MATCH($BE139,AT$5:AT$29999,0)),MAX(AL$4:AL138)+1,0))</f>
        <v/>
      </c>
      <c r="AM139" s="34" t="str">
        <f>IF($BE139="","",IF(ISNUMBER(MATCH($BE139,AU$5:AU$29999,0)),MAX(AM$4:AM138)+1,0))</f>
        <v/>
      </c>
      <c r="AN139" s="34" t="str">
        <f>IF($BE139="","",IF(ISNUMBER(MATCH($BE139,AV$5:AV$29999,0)),MAX(AN$4:AN138)+1,0))</f>
        <v/>
      </c>
      <c r="AO139" s="16"/>
      <c r="AP139" s="33"/>
      <c r="AQ139" s="33"/>
      <c r="AR139" s="33"/>
      <c r="AS139" s="33"/>
      <c r="AT139" s="32"/>
      <c r="AU139" s="32"/>
      <c r="AV139" s="32" t="s">
        <v>0</v>
      </c>
      <c r="AW139" s="20"/>
      <c r="AX139" s="20" t="s">
        <v>0</v>
      </c>
      <c r="AY139" s="30"/>
      <c r="AZ139" s="30"/>
      <c r="BA139" s="20"/>
      <c r="BB139" s="37"/>
      <c r="BC139" s="36"/>
      <c r="BD139" s="36"/>
      <c r="BE139" s="20"/>
      <c r="BF139" s="36"/>
      <c r="BG139" s="19"/>
      <c r="BH139" s="19"/>
      <c r="BI139" s="19"/>
      <c r="BJ139" s="19"/>
      <c r="BK139" s="19"/>
      <c r="BL139" s="19"/>
      <c r="BM139" s="19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</row>
    <row r="140" spans="1:78" ht="12" customHeight="1" x14ac:dyDescent="0.25">
      <c r="A140" s="26"/>
      <c r="B140" s="28"/>
      <c r="C140" s="28"/>
      <c r="D140" s="15" t="str">
        <f>IF(IF(ISNUMBER(B140),"",MAX(D$4:D139)+1)&lt;=D$3,IF(ISNUMBER(B140),"",MAX(D$4:D139)+1),"")</f>
        <v/>
      </c>
      <c r="E140" s="28"/>
      <c r="F140" s="28"/>
      <c r="G140" s="27"/>
      <c r="H140" s="15"/>
      <c r="I140" s="15" t="str">
        <f>IF(O140="","",IF(ISNUMBER(MATCH(O140,$G$5:$G$1000,0)),"",IF(D140=1,B$4,0)+MAX(I$4:I139)+1))</f>
        <v/>
      </c>
      <c r="J140" s="27"/>
      <c r="K140" s="27"/>
      <c r="L140" s="26"/>
      <c r="M140" s="14">
        <f>IF(ROW()-ROW(M$4)&lt;=1000,ROW()-ROW(M$4),"")</f>
        <v>136</v>
      </c>
      <c r="N140" s="29"/>
      <c r="O140" s="29"/>
      <c r="P140" s="17"/>
      <c r="Q140" s="16" t="s">
        <v>0</v>
      </c>
      <c r="R140" s="34" t="str">
        <f>IF(ROW()-ROW(R$4)&lt;=AH$3,ROW()-ROW(R$4),"")</f>
        <v/>
      </c>
      <c r="S140" s="34" t="str">
        <f>IF(ROW()-ROW(S$4)&lt;=AI$3,ROW()-ROW(S$4),"")</f>
        <v/>
      </c>
      <c r="T140" s="34" t="str">
        <f>IF(ROW()-ROW(T$4)&lt;=AJ$3,ROW()-ROW(T$4),"")</f>
        <v/>
      </c>
      <c r="U140" s="34" t="str">
        <f>IF(ROW()-ROW(U$4)&lt;=AK$3,ROW()-ROW(U$4),"")</f>
        <v/>
      </c>
      <c r="V140" s="34" t="str">
        <f>IF(ROW()-ROW(V$4)&lt;=AL$3,ROW()-ROW(V$4),"")</f>
        <v/>
      </c>
      <c r="W140" s="34" t="str">
        <f>IF(ROW()-ROW(W$4)&lt;=AM$3,ROW()-ROW(W$4),"")</f>
        <v/>
      </c>
      <c r="X140" s="34" t="str">
        <f>IF(ROW()-ROW(X$4)&lt;=AN$3,ROW()-ROW(X$4),"")</f>
        <v/>
      </c>
      <c r="Y140" s="34"/>
      <c r="Z140" s="35" t="str">
        <f>IF(ISNUMBER(R140),INDEX($BE$5:$BE$2999,MATCH(R140,AH$5:AH$2999,0),1),"")</f>
        <v/>
      </c>
      <c r="AA140" s="35" t="str">
        <f>IF(ISNUMBER(S140),INDEX($BE$5:$BE$2999,MATCH(S140,AI$5:AI$2999,0),1),"")</f>
        <v/>
      </c>
      <c r="AB140" s="35" t="str">
        <f>IF(ISNUMBER(T140),INDEX($BE$5:$BE$2999,MATCH(T140,AJ$5:AJ$2999,0),1),"")</f>
        <v/>
      </c>
      <c r="AC140" s="35" t="str">
        <f>IF(ISNUMBER(U140),INDEX($BE$5:$BE$2999,MATCH(U140,AK$5:AK$2999,0),1),"")</f>
        <v/>
      </c>
      <c r="AD140" s="35" t="str">
        <f>IF(ISNUMBER(V140),INDEX($BE$5:$BE$2999,MATCH(V140,AL$5:AL$2999,0),1),"")</f>
        <v/>
      </c>
      <c r="AE140" s="35" t="str">
        <f>IF(ISNUMBER(W140),INDEX($BE$5:$BE$2999,MATCH(W140,AM$5:AM$2999,0),1),"")</f>
        <v/>
      </c>
      <c r="AF140" s="35" t="str">
        <f>IF(ISNUMBER(X140),INDEX($BE$5:$BE$2999,MATCH(X140,AN$5:AN$2999,0),1),"")</f>
        <v/>
      </c>
      <c r="AG140" s="35"/>
      <c r="AH140" s="34" t="str">
        <f>IF($BE140="","",IF(ISNUMBER(MATCH($BE140,AP$5:AP$29999,0)),MAX(AH$4:AH139)+1,0))</f>
        <v/>
      </c>
      <c r="AI140" s="34" t="str">
        <f>IF($BE140="","",IF(ISNUMBER(MATCH($BE140,AQ$5:AQ$29999,0)),MAX(AI$4:AI139)+1,0))</f>
        <v/>
      </c>
      <c r="AJ140" s="34" t="str">
        <f>IF($BE140="","",IF(ISNUMBER(MATCH($BE140,AR$5:AR$29999,0)),MAX(AJ$4:AJ139)+1,0))</f>
        <v/>
      </c>
      <c r="AK140" s="34" t="str">
        <f>IF($BE140="","",IF(ISNUMBER(MATCH($BE140,AS$5:AS$29999,0)),MAX(AK$4:AK139)+1,0))</f>
        <v/>
      </c>
      <c r="AL140" s="34" t="str">
        <f>IF($BE140="","",IF(ISNUMBER(MATCH($BE140,AT$5:AT$29999,0)),MAX(AL$4:AL139)+1,0))</f>
        <v/>
      </c>
      <c r="AM140" s="34" t="str">
        <f>IF($BE140="","",IF(ISNUMBER(MATCH($BE140,AU$5:AU$29999,0)),MAX(AM$4:AM139)+1,0))</f>
        <v/>
      </c>
      <c r="AN140" s="34" t="str">
        <f>IF($BE140="","",IF(ISNUMBER(MATCH($BE140,AV$5:AV$29999,0)),MAX(AN$4:AN139)+1,0))</f>
        <v/>
      </c>
      <c r="AO140" s="16"/>
      <c r="AP140" s="33"/>
      <c r="AQ140" s="33"/>
      <c r="AR140" s="33"/>
      <c r="AS140" s="33"/>
      <c r="AT140" s="32"/>
      <c r="AU140" s="32"/>
      <c r="AV140" s="32" t="s">
        <v>0</v>
      </c>
      <c r="AW140" s="20"/>
      <c r="AX140" s="20" t="s">
        <v>0</v>
      </c>
      <c r="AY140" s="30"/>
      <c r="AZ140" s="30"/>
      <c r="BA140" s="20"/>
      <c r="BB140" s="37"/>
      <c r="BC140" s="36"/>
      <c r="BD140" s="36"/>
      <c r="BE140" s="20"/>
      <c r="BF140" s="36"/>
      <c r="BG140" s="19"/>
      <c r="BH140" s="19"/>
      <c r="BI140" s="19"/>
      <c r="BJ140" s="19"/>
      <c r="BK140" s="19"/>
      <c r="BL140" s="19"/>
      <c r="BM140" s="19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</row>
    <row r="141" spans="1:78" ht="12" customHeight="1" x14ac:dyDescent="0.25">
      <c r="A141" s="26"/>
      <c r="B141" s="28"/>
      <c r="C141" s="28"/>
      <c r="D141" s="15" t="str">
        <f>IF(IF(ISNUMBER(B141),"",MAX(D$4:D140)+1)&lt;=D$3,IF(ISNUMBER(B141),"",MAX(D$4:D140)+1),"")</f>
        <v/>
      </c>
      <c r="E141" s="28"/>
      <c r="F141" s="28"/>
      <c r="G141" s="27"/>
      <c r="H141" s="15"/>
      <c r="I141" s="15" t="str">
        <f>IF(O141="","",IF(ISNUMBER(MATCH(O141,$G$5:$G$1000,0)),"",IF(D141=1,B$4,0)+MAX(I$4:I140)+1))</f>
        <v/>
      </c>
      <c r="J141" s="27"/>
      <c r="K141" s="27"/>
      <c r="L141" s="26"/>
      <c r="M141" s="14">
        <f>IF(ROW()-ROW(M$4)&lt;=1000,ROW()-ROW(M$4),"")</f>
        <v>137</v>
      </c>
      <c r="N141" s="29"/>
      <c r="O141" s="29"/>
      <c r="P141" s="17"/>
      <c r="Q141" s="16" t="s">
        <v>0</v>
      </c>
      <c r="R141" s="34" t="str">
        <f>IF(ROW()-ROW(R$4)&lt;=AH$3,ROW()-ROW(R$4),"")</f>
        <v/>
      </c>
      <c r="S141" s="34" t="str">
        <f>IF(ROW()-ROW(S$4)&lt;=AI$3,ROW()-ROW(S$4),"")</f>
        <v/>
      </c>
      <c r="T141" s="34" t="str">
        <f>IF(ROW()-ROW(T$4)&lt;=AJ$3,ROW()-ROW(T$4),"")</f>
        <v/>
      </c>
      <c r="U141" s="34" t="str">
        <f>IF(ROW()-ROW(U$4)&lt;=AK$3,ROW()-ROW(U$4),"")</f>
        <v/>
      </c>
      <c r="V141" s="34" t="str">
        <f>IF(ROW()-ROW(V$4)&lt;=AL$3,ROW()-ROW(V$4),"")</f>
        <v/>
      </c>
      <c r="W141" s="34" t="str">
        <f>IF(ROW()-ROW(W$4)&lt;=AM$3,ROW()-ROW(W$4),"")</f>
        <v/>
      </c>
      <c r="X141" s="34" t="str">
        <f>IF(ROW()-ROW(X$4)&lt;=AN$3,ROW()-ROW(X$4),"")</f>
        <v/>
      </c>
      <c r="Y141" s="34"/>
      <c r="Z141" s="35" t="str">
        <f>IF(ISNUMBER(R141),INDEX($BE$5:$BE$2999,MATCH(R141,AH$5:AH$2999,0),1),"")</f>
        <v/>
      </c>
      <c r="AA141" s="35" t="str">
        <f>IF(ISNUMBER(S141),INDEX($BE$5:$BE$2999,MATCH(S141,AI$5:AI$2999,0),1),"")</f>
        <v/>
      </c>
      <c r="AB141" s="35" t="str">
        <f>IF(ISNUMBER(T141),INDEX($BE$5:$BE$2999,MATCH(T141,AJ$5:AJ$2999,0),1),"")</f>
        <v/>
      </c>
      <c r="AC141" s="35" t="str">
        <f>IF(ISNUMBER(U141),INDEX($BE$5:$BE$2999,MATCH(U141,AK$5:AK$2999,0),1),"")</f>
        <v/>
      </c>
      <c r="AD141" s="35" t="str">
        <f>IF(ISNUMBER(V141),INDEX($BE$5:$BE$2999,MATCH(V141,AL$5:AL$2999,0),1),"")</f>
        <v/>
      </c>
      <c r="AE141" s="35" t="str">
        <f>IF(ISNUMBER(W141),INDEX($BE$5:$BE$2999,MATCH(W141,AM$5:AM$2999,0),1),"")</f>
        <v/>
      </c>
      <c r="AF141" s="35" t="str">
        <f>IF(ISNUMBER(X141),INDEX($BE$5:$BE$2999,MATCH(X141,AN$5:AN$2999,0),1),"")</f>
        <v/>
      </c>
      <c r="AG141" s="35"/>
      <c r="AH141" s="34" t="str">
        <f>IF($BE141="","",IF(ISNUMBER(MATCH($BE141,AP$5:AP$29999,0)),MAX(AH$4:AH140)+1,0))</f>
        <v/>
      </c>
      <c r="AI141" s="34" t="str">
        <f>IF($BE141="","",IF(ISNUMBER(MATCH($BE141,AQ$5:AQ$29999,0)),MAX(AI$4:AI140)+1,0))</f>
        <v/>
      </c>
      <c r="AJ141" s="34" t="str">
        <f>IF($BE141="","",IF(ISNUMBER(MATCH($BE141,AR$5:AR$29999,0)),MAX(AJ$4:AJ140)+1,0))</f>
        <v/>
      </c>
      <c r="AK141" s="34" t="str">
        <f>IF($BE141="","",IF(ISNUMBER(MATCH($BE141,AS$5:AS$29999,0)),MAX(AK$4:AK140)+1,0))</f>
        <v/>
      </c>
      <c r="AL141" s="34" t="str">
        <f>IF($BE141="","",IF(ISNUMBER(MATCH($BE141,AT$5:AT$29999,0)),MAX(AL$4:AL140)+1,0))</f>
        <v/>
      </c>
      <c r="AM141" s="34" t="str">
        <f>IF($BE141="","",IF(ISNUMBER(MATCH($BE141,AU$5:AU$29999,0)),MAX(AM$4:AM140)+1,0))</f>
        <v/>
      </c>
      <c r="AN141" s="34" t="str">
        <f>IF($BE141="","",IF(ISNUMBER(MATCH($BE141,AV$5:AV$29999,0)),MAX(AN$4:AN140)+1,0))</f>
        <v/>
      </c>
      <c r="AO141" s="16"/>
      <c r="AP141" s="33"/>
      <c r="AQ141" s="33"/>
      <c r="AR141" s="33"/>
      <c r="AS141" s="33"/>
      <c r="AT141" s="32"/>
      <c r="AU141" s="32"/>
      <c r="AV141" s="32" t="s">
        <v>0</v>
      </c>
      <c r="AW141" s="20"/>
      <c r="AX141" s="20" t="s">
        <v>0</v>
      </c>
      <c r="AY141" s="30"/>
      <c r="AZ141" s="30"/>
      <c r="BA141" s="20"/>
      <c r="BB141" s="20"/>
      <c r="BC141" s="17"/>
      <c r="BD141" s="17"/>
      <c r="BE141" s="20"/>
      <c r="BF141" s="17"/>
      <c r="BG141" s="19"/>
      <c r="BH141" s="19"/>
      <c r="BI141" s="19"/>
      <c r="BJ141" s="19"/>
      <c r="BK141" s="19"/>
      <c r="BL141" s="19"/>
      <c r="BM141" s="19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</row>
    <row r="142" spans="1:78" ht="12" customHeight="1" x14ac:dyDescent="0.25">
      <c r="A142" s="26"/>
      <c r="B142" s="28"/>
      <c r="C142" s="28"/>
      <c r="D142" s="15" t="str">
        <f>IF(IF(ISNUMBER(B142),"",MAX(D$4:D141)+1)&lt;=D$3,IF(ISNUMBER(B142),"",MAX(D$4:D141)+1),"")</f>
        <v/>
      </c>
      <c r="E142" s="28"/>
      <c r="F142" s="28"/>
      <c r="G142" s="27"/>
      <c r="H142" s="15"/>
      <c r="I142" s="15" t="str">
        <f>IF(O142="","",IF(ISNUMBER(MATCH(O142,$G$5:$G$1000,0)),"",IF(D142=1,B$4,0)+MAX(I$4:I141)+1))</f>
        <v/>
      </c>
      <c r="J142" s="27"/>
      <c r="K142" s="27"/>
      <c r="L142" s="26"/>
      <c r="M142" s="14">
        <f>IF(ROW()-ROW(M$4)&lt;=1000,ROW()-ROW(M$4),"")</f>
        <v>138</v>
      </c>
      <c r="N142" s="29"/>
      <c r="O142" s="29"/>
      <c r="P142" s="17"/>
      <c r="Q142" s="16" t="s">
        <v>0</v>
      </c>
      <c r="R142" s="34" t="str">
        <f>IF(ROW()-ROW(R$4)&lt;=AH$3,ROW()-ROW(R$4),"")</f>
        <v/>
      </c>
      <c r="S142" s="34" t="str">
        <f>IF(ROW()-ROW(S$4)&lt;=AI$3,ROW()-ROW(S$4),"")</f>
        <v/>
      </c>
      <c r="T142" s="34" t="str">
        <f>IF(ROW()-ROW(T$4)&lt;=AJ$3,ROW()-ROW(T$4),"")</f>
        <v/>
      </c>
      <c r="U142" s="34" t="str">
        <f>IF(ROW()-ROW(U$4)&lt;=AK$3,ROW()-ROW(U$4),"")</f>
        <v/>
      </c>
      <c r="V142" s="34" t="str">
        <f>IF(ROW()-ROW(V$4)&lt;=AL$3,ROW()-ROW(V$4),"")</f>
        <v/>
      </c>
      <c r="W142" s="34" t="str">
        <f>IF(ROW()-ROW(W$4)&lt;=AM$3,ROW()-ROW(W$4),"")</f>
        <v/>
      </c>
      <c r="X142" s="34" t="str">
        <f>IF(ROW()-ROW(X$4)&lt;=AN$3,ROW()-ROW(X$4),"")</f>
        <v/>
      </c>
      <c r="Y142" s="34"/>
      <c r="Z142" s="35" t="str">
        <f>IF(ISNUMBER(R142),INDEX($BE$5:$BE$2999,MATCH(R142,AH$5:AH$2999,0),1),"")</f>
        <v/>
      </c>
      <c r="AA142" s="35" t="str">
        <f>IF(ISNUMBER(S142),INDEX($BE$5:$BE$2999,MATCH(S142,AI$5:AI$2999,0),1),"")</f>
        <v/>
      </c>
      <c r="AB142" s="35" t="str">
        <f>IF(ISNUMBER(T142),INDEX($BE$5:$BE$2999,MATCH(T142,AJ$5:AJ$2999,0),1),"")</f>
        <v/>
      </c>
      <c r="AC142" s="35" t="str">
        <f>IF(ISNUMBER(U142),INDEX($BE$5:$BE$2999,MATCH(U142,AK$5:AK$2999,0),1),"")</f>
        <v/>
      </c>
      <c r="AD142" s="35" t="str">
        <f>IF(ISNUMBER(V142),INDEX($BE$5:$BE$2999,MATCH(V142,AL$5:AL$2999,0),1),"")</f>
        <v/>
      </c>
      <c r="AE142" s="35" t="str">
        <f>IF(ISNUMBER(W142),INDEX($BE$5:$BE$2999,MATCH(W142,AM$5:AM$2999,0),1),"")</f>
        <v/>
      </c>
      <c r="AF142" s="35" t="str">
        <f>IF(ISNUMBER(X142),INDEX($BE$5:$BE$2999,MATCH(X142,AN$5:AN$2999,0),1),"")</f>
        <v/>
      </c>
      <c r="AG142" s="35"/>
      <c r="AH142" s="34" t="str">
        <f>IF($BE142="","",IF(ISNUMBER(MATCH($BE142,AP$5:AP$29999,0)),MAX(AH$4:AH141)+1,0))</f>
        <v/>
      </c>
      <c r="AI142" s="34" t="str">
        <f>IF($BE142="","",IF(ISNUMBER(MATCH($BE142,AQ$5:AQ$29999,0)),MAX(AI$4:AI141)+1,0))</f>
        <v/>
      </c>
      <c r="AJ142" s="34" t="str">
        <f>IF($BE142="","",IF(ISNUMBER(MATCH($BE142,AR$5:AR$29999,0)),MAX(AJ$4:AJ141)+1,0))</f>
        <v/>
      </c>
      <c r="AK142" s="34" t="str">
        <f>IF($BE142="","",IF(ISNUMBER(MATCH($BE142,AS$5:AS$29999,0)),MAX(AK$4:AK141)+1,0))</f>
        <v/>
      </c>
      <c r="AL142" s="34" t="str">
        <f>IF($BE142="","",IF(ISNUMBER(MATCH($BE142,AT$5:AT$29999,0)),MAX(AL$4:AL141)+1,0))</f>
        <v/>
      </c>
      <c r="AM142" s="34" t="str">
        <f>IF($BE142="","",IF(ISNUMBER(MATCH($BE142,AU$5:AU$29999,0)),MAX(AM$4:AM141)+1,0))</f>
        <v/>
      </c>
      <c r="AN142" s="34" t="str">
        <f>IF($BE142="","",IF(ISNUMBER(MATCH($BE142,AV$5:AV$29999,0)),MAX(AN$4:AN141)+1,0))</f>
        <v/>
      </c>
      <c r="AO142" s="16"/>
      <c r="AP142" s="33"/>
      <c r="AQ142" s="33"/>
      <c r="AR142" s="33"/>
      <c r="AS142" s="33"/>
      <c r="AT142" s="32"/>
      <c r="AU142" s="32"/>
      <c r="AV142" s="32" t="s">
        <v>0</v>
      </c>
      <c r="AW142" s="20"/>
      <c r="AX142" s="20" t="s">
        <v>0</v>
      </c>
      <c r="AY142" s="30"/>
      <c r="AZ142" s="30"/>
      <c r="BA142" s="20"/>
      <c r="BB142" s="20"/>
      <c r="BC142" s="17"/>
      <c r="BD142" s="17"/>
      <c r="BE142" s="20"/>
      <c r="BF142" s="17"/>
      <c r="BG142" s="19"/>
      <c r="BH142" s="19"/>
      <c r="BI142" s="19"/>
      <c r="BJ142" s="19"/>
      <c r="BK142" s="19"/>
      <c r="BL142" s="19"/>
      <c r="BM142" s="19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</row>
    <row r="143" spans="1:78" ht="12" customHeight="1" x14ac:dyDescent="0.25">
      <c r="A143" s="26"/>
      <c r="B143" s="28"/>
      <c r="C143" s="28"/>
      <c r="D143" s="15" t="str">
        <f>IF(IF(ISNUMBER(B143),"",MAX(D$4:D142)+1)&lt;=D$3,IF(ISNUMBER(B143),"",MAX(D$4:D142)+1),"")</f>
        <v/>
      </c>
      <c r="E143" s="28"/>
      <c r="F143" s="28"/>
      <c r="G143" s="27"/>
      <c r="H143" s="15"/>
      <c r="I143" s="15" t="str">
        <f>IF(O143="","",IF(ISNUMBER(MATCH(O143,$G$5:$G$1000,0)),"",IF(D143=1,B$4,0)+MAX(I$4:I142)+1))</f>
        <v/>
      </c>
      <c r="J143" s="27"/>
      <c r="K143" s="27"/>
      <c r="L143" s="26"/>
      <c r="M143" s="14">
        <f>IF(ROW()-ROW(M$4)&lt;=1000,ROW()-ROW(M$4),"")</f>
        <v>139</v>
      </c>
      <c r="N143" s="29"/>
      <c r="O143" s="29"/>
      <c r="P143" s="17"/>
      <c r="Q143" s="16" t="s">
        <v>0</v>
      </c>
      <c r="R143" s="34" t="str">
        <f>IF(ROW()-ROW(R$4)&lt;=AH$3,ROW()-ROW(R$4),"")</f>
        <v/>
      </c>
      <c r="S143" s="34" t="str">
        <f>IF(ROW()-ROW(S$4)&lt;=AI$3,ROW()-ROW(S$4),"")</f>
        <v/>
      </c>
      <c r="T143" s="34" t="str">
        <f>IF(ROW()-ROW(T$4)&lt;=AJ$3,ROW()-ROW(T$4),"")</f>
        <v/>
      </c>
      <c r="U143" s="34" t="str">
        <f>IF(ROW()-ROW(U$4)&lt;=AK$3,ROW()-ROW(U$4),"")</f>
        <v/>
      </c>
      <c r="V143" s="34" t="str">
        <f>IF(ROW()-ROW(V$4)&lt;=AL$3,ROW()-ROW(V$4),"")</f>
        <v/>
      </c>
      <c r="W143" s="34" t="str">
        <f>IF(ROW()-ROW(W$4)&lt;=AM$3,ROW()-ROW(W$4),"")</f>
        <v/>
      </c>
      <c r="X143" s="34" t="str">
        <f>IF(ROW()-ROW(X$4)&lt;=AN$3,ROW()-ROW(X$4),"")</f>
        <v/>
      </c>
      <c r="Y143" s="34"/>
      <c r="Z143" s="35" t="str">
        <f>IF(ISNUMBER(R143),INDEX($BE$5:$BE$2999,MATCH(R143,AH$5:AH$2999,0),1),"")</f>
        <v/>
      </c>
      <c r="AA143" s="35" t="str">
        <f>IF(ISNUMBER(S143),INDEX($BE$5:$BE$2999,MATCH(S143,AI$5:AI$2999,0),1),"")</f>
        <v/>
      </c>
      <c r="AB143" s="35" t="str">
        <f>IF(ISNUMBER(T143),INDEX($BE$5:$BE$2999,MATCH(T143,AJ$5:AJ$2999,0),1),"")</f>
        <v/>
      </c>
      <c r="AC143" s="35" t="str">
        <f>IF(ISNUMBER(U143),INDEX($BE$5:$BE$2999,MATCH(U143,AK$5:AK$2999,0),1),"")</f>
        <v/>
      </c>
      <c r="AD143" s="35" t="str">
        <f>IF(ISNUMBER(V143),INDEX($BE$5:$BE$2999,MATCH(V143,AL$5:AL$2999,0),1),"")</f>
        <v/>
      </c>
      <c r="AE143" s="35" t="str">
        <f>IF(ISNUMBER(W143),INDEX($BE$5:$BE$2999,MATCH(W143,AM$5:AM$2999,0),1),"")</f>
        <v/>
      </c>
      <c r="AF143" s="35" t="str">
        <f>IF(ISNUMBER(X143),INDEX($BE$5:$BE$2999,MATCH(X143,AN$5:AN$2999,0),1),"")</f>
        <v/>
      </c>
      <c r="AG143" s="35"/>
      <c r="AH143" s="34" t="str">
        <f>IF($BE143="","",IF(ISNUMBER(MATCH($BE143,AP$5:AP$29999,0)),MAX(AH$4:AH142)+1,0))</f>
        <v/>
      </c>
      <c r="AI143" s="34" t="str">
        <f>IF($BE143="","",IF(ISNUMBER(MATCH($BE143,AQ$5:AQ$29999,0)),MAX(AI$4:AI142)+1,0))</f>
        <v/>
      </c>
      <c r="AJ143" s="34" t="str">
        <f>IF($BE143="","",IF(ISNUMBER(MATCH($BE143,AR$5:AR$29999,0)),MAX(AJ$4:AJ142)+1,0))</f>
        <v/>
      </c>
      <c r="AK143" s="34" t="str">
        <f>IF($BE143="","",IF(ISNUMBER(MATCH($BE143,AS$5:AS$29999,0)),MAX(AK$4:AK142)+1,0))</f>
        <v/>
      </c>
      <c r="AL143" s="34" t="str">
        <f>IF($BE143="","",IF(ISNUMBER(MATCH($BE143,AT$5:AT$29999,0)),MAX(AL$4:AL142)+1,0))</f>
        <v/>
      </c>
      <c r="AM143" s="34" t="str">
        <f>IF($BE143="","",IF(ISNUMBER(MATCH($BE143,AU$5:AU$29999,0)),MAX(AM$4:AM142)+1,0))</f>
        <v/>
      </c>
      <c r="AN143" s="34" t="str">
        <f>IF($BE143="","",IF(ISNUMBER(MATCH($BE143,AV$5:AV$29999,0)),MAX(AN$4:AN142)+1,0))</f>
        <v/>
      </c>
      <c r="AO143" s="16"/>
      <c r="AP143" s="33"/>
      <c r="AQ143" s="33"/>
      <c r="AR143" s="33"/>
      <c r="AS143" s="33"/>
      <c r="AT143" s="32"/>
      <c r="AU143" s="32"/>
      <c r="AV143" s="32" t="s">
        <v>0</v>
      </c>
      <c r="AW143" s="20"/>
      <c r="AX143" s="20" t="s">
        <v>0</v>
      </c>
      <c r="AY143" s="30"/>
      <c r="AZ143" s="30"/>
      <c r="BA143" s="20"/>
      <c r="BB143" s="20"/>
      <c r="BC143" s="17"/>
      <c r="BD143" s="17"/>
      <c r="BE143" s="20"/>
      <c r="BF143" s="17"/>
      <c r="BG143" s="19"/>
      <c r="BH143" s="19"/>
      <c r="BI143" s="19"/>
      <c r="BJ143" s="19"/>
      <c r="BK143" s="19"/>
      <c r="BL143" s="19"/>
      <c r="BM143" s="19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</row>
    <row r="144" spans="1:78" ht="12" customHeight="1" x14ac:dyDescent="0.25">
      <c r="A144" s="26"/>
      <c r="B144" s="28"/>
      <c r="C144" s="28"/>
      <c r="D144" s="15" t="str">
        <f>IF(IF(ISNUMBER(B144),"",MAX(D$4:D143)+1)&lt;=D$3,IF(ISNUMBER(B144),"",MAX(D$4:D143)+1),"")</f>
        <v/>
      </c>
      <c r="E144" s="28"/>
      <c r="F144" s="28"/>
      <c r="G144" s="27"/>
      <c r="H144" s="15"/>
      <c r="I144" s="15" t="str">
        <f>IF(O144="","",IF(ISNUMBER(MATCH(O144,$G$5:$G$1000,0)),"",IF(D144=1,B$4,0)+MAX(I$4:I143)+1))</f>
        <v/>
      </c>
      <c r="J144" s="27"/>
      <c r="K144" s="27"/>
      <c r="L144" s="26"/>
      <c r="M144" s="14">
        <f>IF(ROW()-ROW(M$4)&lt;=1000,ROW()-ROW(M$4),"")</f>
        <v>140</v>
      </c>
      <c r="N144" s="29"/>
      <c r="O144" s="29"/>
      <c r="P144" s="17"/>
      <c r="Q144" s="16" t="s">
        <v>0</v>
      </c>
      <c r="R144" s="34" t="str">
        <f>IF(ROW()-ROW(R$4)&lt;=AH$3,ROW()-ROW(R$4),"")</f>
        <v/>
      </c>
      <c r="S144" s="34" t="str">
        <f>IF(ROW()-ROW(S$4)&lt;=AI$3,ROW()-ROW(S$4),"")</f>
        <v/>
      </c>
      <c r="T144" s="34" t="str">
        <f>IF(ROW()-ROW(T$4)&lt;=AJ$3,ROW()-ROW(T$4),"")</f>
        <v/>
      </c>
      <c r="U144" s="34" t="str">
        <f>IF(ROW()-ROW(U$4)&lt;=AK$3,ROW()-ROW(U$4),"")</f>
        <v/>
      </c>
      <c r="V144" s="34" t="str">
        <f>IF(ROW()-ROW(V$4)&lt;=AL$3,ROW()-ROW(V$4),"")</f>
        <v/>
      </c>
      <c r="W144" s="34" t="str">
        <f>IF(ROW()-ROW(W$4)&lt;=AM$3,ROW()-ROW(W$4),"")</f>
        <v/>
      </c>
      <c r="X144" s="34" t="str">
        <f>IF(ROW()-ROW(X$4)&lt;=AN$3,ROW()-ROW(X$4),"")</f>
        <v/>
      </c>
      <c r="Y144" s="34"/>
      <c r="Z144" s="35" t="str">
        <f>IF(ISNUMBER(R144),INDEX($BE$5:$BE$2999,MATCH(R144,AH$5:AH$2999,0),1),"")</f>
        <v/>
      </c>
      <c r="AA144" s="35" t="str">
        <f>IF(ISNUMBER(S144),INDEX($BE$5:$BE$2999,MATCH(S144,AI$5:AI$2999,0),1),"")</f>
        <v/>
      </c>
      <c r="AB144" s="35" t="str">
        <f>IF(ISNUMBER(T144),INDEX($BE$5:$BE$2999,MATCH(T144,AJ$5:AJ$2999,0),1),"")</f>
        <v/>
      </c>
      <c r="AC144" s="35" t="str">
        <f>IF(ISNUMBER(U144),INDEX($BE$5:$BE$2999,MATCH(U144,AK$5:AK$2999,0),1),"")</f>
        <v/>
      </c>
      <c r="AD144" s="35" t="str">
        <f>IF(ISNUMBER(V144),INDEX($BE$5:$BE$2999,MATCH(V144,AL$5:AL$2999,0),1),"")</f>
        <v/>
      </c>
      <c r="AE144" s="35" t="str">
        <f>IF(ISNUMBER(W144),INDEX($BE$5:$BE$2999,MATCH(W144,AM$5:AM$2999,0),1),"")</f>
        <v/>
      </c>
      <c r="AF144" s="35" t="str">
        <f>IF(ISNUMBER(X144),INDEX($BE$5:$BE$2999,MATCH(X144,AN$5:AN$2999,0),1),"")</f>
        <v/>
      </c>
      <c r="AG144" s="35"/>
      <c r="AH144" s="34" t="str">
        <f>IF($BE144="","",IF(ISNUMBER(MATCH($BE144,AP$5:AP$29999,0)),MAX(AH$4:AH143)+1,0))</f>
        <v/>
      </c>
      <c r="AI144" s="34" t="str">
        <f>IF($BE144="","",IF(ISNUMBER(MATCH($BE144,AQ$5:AQ$29999,0)),MAX(AI$4:AI143)+1,0))</f>
        <v/>
      </c>
      <c r="AJ144" s="34" t="str">
        <f>IF($BE144="","",IF(ISNUMBER(MATCH($BE144,AR$5:AR$29999,0)),MAX(AJ$4:AJ143)+1,0))</f>
        <v/>
      </c>
      <c r="AK144" s="34" t="str">
        <f>IF($BE144="","",IF(ISNUMBER(MATCH($BE144,AS$5:AS$29999,0)),MAX(AK$4:AK143)+1,0))</f>
        <v/>
      </c>
      <c r="AL144" s="34" t="str">
        <f>IF($BE144="","",IF(ISNUMBER(MATCH($BE144,AT$5:AT$29999,0)),MAX(AL$4:AL143)+1,0))</f>
        <v/>
      </c>
      <c r="AM144" s="34" t="str">
        <f>IF($BE144="","",IF(ISNUMBER(MATCH($BE144,AU$5:AU$29999,0)),MAX(AM$4:AM143)+1,0))</f>
        <v/>
      </c>
      <c r="AN144" s="34" t="str">
        <f>IF($BE144="","",IF(ISNUMBER(MATCH($BE144,AV$5:AV$29999,0)),MAX(AN$4:AN143)+1,0))</f>
        <v/>
      </c>
      <c r="AO144" s="16"/>
      <c r="AP144" s="33"/>
      <c r="AQ144" s="33"/>
      <c r="AR144" s="33"/>
      <c r="AS144" s="33"/>
      <c r="AT144" s="32"/>
      <c r="AU144" s="32"/>
      <c r="AV144" s="32" t="s">
        <v>0</v>
      </c>
      <c r="AW144" s="20"/>
      <c r="AX144" s="20" t="s">
        <v>0</v>
      </c>
      <c r="AY144" s="30"/>
      <c r="AZ144" s="30"/>
      <c r="BA144" s="20"/>
      <c r="BB144" s="20"/>
      <c r="BC144" s="17"/>
      <c r="BD144" s="17"/>
      <c r="BE144" s="20"/>
      <c r="BF144" s="17"/>
      <c r="BG144" s="19"/>
      <c r="BH144" s="19"/>
      <c r="BI144" s="19"/>
      <c r="BJ144" s="19"/>
      <c r="BK144" s="19"/>
      <c r="BL144" s="19"/>
      <c r="BM144" s="19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</row>
    <row r="145" spans="1:78" ht="12" customHeight="1" x14ac:dyDescent="0.25">
      <c r="A145" s="26"/>
      <c r="B145" s="28"/>
      <c r="C145" s="28"/>
      <c r="D145" s="15" t="str">
        <f>IF(IF(ISNUMBER(B145),"",MAX(D$4:D144)+1)&lt;=D$3,IF(ISNUMBER(B145),"",MAX(D$4:D144)+1),"")</f>
        <v/>
      </c>
      <c r="E145" s="28"/>
      <c r="F145" s="28"/>
      <c r="G145" s="27"/>
      <c r="H145" s="15"/>
      <c r="I145" s="15" t="str">
        <f>IF(O145="","",IF(ISNUMBER(MATCH(O145,$G$5:$G$1000,0)),"",IF(D145=1,B$4,0)+MAX(I$4:I144)+1))</f>
        <v/>
      </c>
      <c r="J145" s="27"/>
      <c r="K145" s="27"/>
      <c r="L145" s="26"/>
      <c r="M145" s="14">
        <f>IF(ROW()-ROW(M$4)&lt;=1000,ROW()-ROW(M$4),"")</f>
        <v>141</v>
      </c>
      <c r="N145" s="29"/>
      <c r="O145" s="29"/>
      <c r="P145" s="17"/>
      <c r="Q145" s="16" t="s">
        <v>0</v>
      </c>
      <c r="R145" s="34" t="str">
        <f>IF(ROW()-ROW(R$4)&lt;=AH$3,ROW()-ROW(R$4),"")</f>
        <v/>
      </c>
      <c r="S145" s="34" t="str">
        <f>IF(ROW()-ROW(S$4)&lt;=AI$3,ROW()-ROW(S$4),"")</f>
        <v/>
      </c>
      <c r="T145" s="34" t="str">
        <f>IF(ROW()-ROW(T$4)&lt;=AJ$3,ROW()-ROW(T$4),"")</f>
        <v/>
      </c>
      <c r="U145" s="34" t="str">
        <f>IF(ROW()-ROW(U$4)&lt;=AK$3,ROW()-ROW(U$4),"")</f>
        <v/>
      </c>
      <c r="V145" s="34" t="str">
        <f>IF(ROW()-ROW(V$4)&lt;=AL$3,ROW()-ROW(V$4),"")</f>
        <v/>
      </c>
      <c r="W145" s="34" t="str">
        <f>IF(ROW()-ROW(W$4)&lt;=AM$3,ROW()-ROW(W$4),"")</f>
        <v/>
      </c>
      <c r="X145" s="34" t="str">
        <f>IF(ROW()-ROW(X$4)&lt;=AN$3,ROW()-ROW(X$4),"")</f>
        <v/>
      </c>
      <c r="Y145" s="34"/>
      <c r="Z145" s="35" t="str">
        <f>IF(ISNUMBER(R145),INDEX($BE$5:$BE$2999,MATCH(R145,AH$5:AH$2999,0),1),"")</f>
        <v/>
      </c>
      <c r="AA145" s="35" t="str">
        <f>IF(ISNUMBER(S145),INDEX($BE$5:$BE$2999,MATCH(S145,AI$5:AI$2999,0),1),"")</f>
        <v/>
      </c>
      <c r="AB145" s="35" t="str">
        <f>IF(ISNUMBER(T145),INDEX($BE$5:$BE$2999,MATCH(T145,AJ$5:AJ$2999,0),1),"")</f>
        <v/>
      </c>
      <c r="AC145" s="35" t="str">
        <f>IF(ISNUMBER(U145),INDEX($BE$5:$BE$2999,MATCH(U145,AK$5:AK$2999,0),1),"")</f>
        <v/>
      </c>
      <c r="AD145" s="35" t="str">
        <f>IF(ISNUMBER(V145),INDEX($BE$5:$BE$2999,MATCH(V145,AL$5:AL$2999,0),1),"")</f>
        <v/>
      </c>
      <c r="AE145" s="35" t="str">
        <f>IF(ISNUMBER(W145),INDEX($BE$5:$BE$2999,MATCH(W145,AM$5:AM$2999,0),1),"")</f>
        <v/>
      </c>
      <c r="AF145" s="35" t="str">
        <f>IF(ISNUMBER(X145),INDEX($BE$5:$BE$2999,MATCH(X145,AN$5:AN$2999,0),1),"")</f>
        <v/>
      </c>
      <c r="AG145" s="35"/>
      <c r="AH145" s="34" t="str">
        <f>IF($BE145="","",IF(ISNUMBER(MATCH($BE145,AP$5:AP$29999,0)),MAX(AH$4:AH144)+1,0))</f>
        <v/>
      </c>
      <c r="AI145" s="34" t="str">
        <f>IF($BE145="","",IF(ISNUMBER(MATCH($BE145,AQ$5:AQ$29999,0)),MAX(AI$4:AI144)+1,0))</f>
        <v/>
      </c>
      <c r="AJ145" s="34" t="str">
        <f>IF($BE145="","",IF(ISNUMBER(MATCH($BE145,AR$5:AR$29999,0)),MAX(AJ$4:AJ144)+1,0))</f>
        <v/>
      </c>
      <c r="AK145" s="34" t="str">
        <f>IF($BE145="","",IF(ISNUMBER(MATCH($BE145,AS$5:AS$29999,0)),MAX(AK$4:AK144)+1,0))</f>
        <v/>
      </c>
      <c r="AL145" s="34" t="str">
        <f>IF($BE145="","",IF(ISNUMBER(MATCH($BE145,AT$5:AT$29999,0)),MAX(AL$4:AL144)+1,0))</f>
        <v/>
      </c>
      <c r="AM145" s="34" t="str">
        <f>IF($BE145="","",IF(ISNUMBER(MATCH($BE145,AU$5:AU$29999,0)),MAX(AM$4:AM144)+1,0))</f>
        <v/>
      </c>
      <c r="AN145" s="34" t="str">
        <f>IF($BE145="","",IF(ISNUMBER(MATCH($BE145,AV$5:AV$29999,0)),MAX(AN$4:AN144)+1,0))</f>
        <v/>
      </c>
      <c r="AO145" s="16"/>
      <c r="AP145" s="33"/>
      <c r="AQ145" s="33"/>
      <c r="AR145" s="33"/>
      <c r="AS145" s="33"/>
      <c r="AT145" s="32"/>
      <c r="AU145" s="32"/>
      <c r="AV145" s="32" t="s">
        <v>0</v>
      </c>
      <c r="AW145" s="20"/>
      <c r="AX145" s="20" t="s">
        <v>0</v>
      </c>
      <c r="AY145" s="30"/>
      <c r="AZ145" s="30"/>
      <c r="BA145" s="20"/>
      <c r="BB145" s="20"/>
      <c r="BC145" s="17"/>
      <c r="BD145" s="17"/>
      <c r="BE145" s="20"/>
      <c r="BF145" s="17"/>
      <c r="BG145" s="19"/>
      <c r="BH145" s="19"/>
      <c r="BI145" s="19"/>
      <c r="BJ145" s="19"/>
      <c r="BK145" s="19"/>
      <c r="BL145" s="19"/>
      <c r="BM145" s="19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</row>
    <row r="146" spans="1:78" ht="12" customHeight="1" x14ac:dyDescent="0.25">
      <c r="A146" s="26"/>
      <c r="B146" s="28"/>
      <c r="C146" s="28"/>
      <c r="D146" s="15" t="str">
        <f>IF(IF(ISNUMBER(B146),"",MAX(D$4:D145)+1)&lt;=D$3,IF(ISNUMBER(B146),"",MAX(D$4:D145)+1),"")</f>
        <v/>
      </c>
      <c r="E146" s="28"/>
      <c r="F146" s="28"/>
      <c r="G146" s="27"/>
      <c r="H146" s="15"/>
      <c r="I146" s="15" t="str">
        <f>IF(O146="","",IF(ISNUMBER(MATCH(O146,$G$5:$G$1000,0)),"",IF(D146=1,B$4,0)+MAX(I$4:I145)+1))</f>
        <v/>
      </c>
      <c r="J146" s="27"/>
      <c r="K146" s="27"/>
      <c r="L146" s="26"/>
      <c r="M146" s="14">
        <f>IF(ROW()-ROW(M$4)&lt;=1000,ROW()-ROW(M$4),"")</f>
        <v>142</v>
      </c>
      <c r="N146" s="29"/>
      <c r="O146" s="29"/>
      <c r="P146" s="17"/>
      <c r="Q146" s="16" t="s">
        <v>0</v>
      </c>
      <c r="R146" s="34" t="str">
        <f>IF(ROW()-ROW(R$4)&lt;=AH$3,ROW()-ROW(R$4),"")</f>
        <v/>
      </c>
      <c r="S146" s="34" t="str">
        <f>IF(ROW()-ROW(S$4)&lt;=AI$3,ROW()-ROW(S$4),"")</f>
        <v/>
      </c>
      <c r="T146" s="34" t="str">
        <f>IF(ROW()-ROW(T$4)&lt;=AJ$3,ROW()-ROW(T$4),"")</f>
        <v/>
      </c>
      <c r="U146" s="34" t="str">
        <f>IF(ROW()-ROW(U$4)&lt;=AK$3,ROW()-ROW(U$4),"")</f>
        <v/>
      </c>
      <c r="V146" s="34" t="str">
        <f>IF(ROW()-ROW(V$4)&lt;=AL$3,ROW()-ROW(V$4),"")</f>
        <v/>
      </c>
      <c r="W146" s="34" t="str">
        <f>IF(ROW()-ROW(W$4)&lt;=AM$3,ROW()-ROW(W$4),"")</f>
        <v/>
      </c>
      <c r="X146" s="34" t="str">
        <f>IF(ROW()-ROW(X$4)&lt;=AN$3,ROW()-ROW(X$4),"")</f>
        <v/>
      </c>
      <c r="Y146" s="34"/>
      <c r="Z146" s="35" t="str">
        <f>IF(ISNUMBER(R146),INDEX($BE$5:$BE$2999,MATCH(R146,AH$5:AH$2999,0),1),"")</f>
        <v/>
      </c>
      <c r="AA146" s="35" t="str">
        <f>IF(ISNUMBER(S146),INDEX($BE$5:$BE$2999,MATCH(S146,AI$5:AI$2999,0),1),"")</f>
        <v/>
      </c>
      <c r="AB146" s="35" t="str">
        <f>IF(ISNUMBER(T146),INDEX($BE$5:$BE$2999,MATCH(T146,AJ$5:AJ$2999,0),1),"")</f>
        <v/>
      </c>
      <c r="AC146" s="35" t="str">
        <f>IF(ISNUMBER(U146),INDEX($BE$5:$BE$2999,MATCH(U146,AK$5:AK$2999,0),1),"")</f>
        <v/>
      </c>
      <c r="AD146" s="35" t="str">
        <f>IF(ISNUMBER(V146),INDEX($BE$5:$BE$2999,MATCH(V146,AL$5:AL$2999,0),1),"")</f>
        <v/>
      </c>
      <c r="AE146" s="35" t="str">
        <f>IF(ISNUMBER(W146),INDEX($BE$5:$BE$2999,MATCH(W146,AM$5:AM$2999,0),1),"")</f>
        <v/>
      </c>
      <c r="AF146" s="35" t="str">
        <f>IF(ISNUMBER(X146),INDEX($BE$5:$BE$2999,MATCH(X146,AN$5:AN$2999,0),1),"")</f>
        <v/>
      </c>
      <c r="AG146" s="35"/>
      <c r="AH146" s="34" t="str">
        <f>IF($BE146="","",IF(ISNUMBER(MATCH($BE146,AP$5:AP$29999,0)),MAX(AH$4:AH145)+1,0))</f>
        <v/>
      </c>
      <c r="AI146" s="34" t="str">
        <f>IF($BE146="","",IF(ISNUMBER(MATCH($BE146,AQ$5:AQ$29999,0)),MAX(AI$4:AI145)+1,0))</f>
        <v/>
      </c>
      <c r="AJ146" s="34" t="str">
        <f>IF($BE146="","",IF(ISNUMBER(MATCH($BE146,AR$5:AR$29999,0)),MAX(AJ$4:AJ145)+1,0))</f>
        <v/>
      </c>
      <c r="AK146" s="34" t="str">
        <f>IF($BE146="","",IF(ISNUMBER(MATCH($BE146,AS$5:AS$29999,0)),MAX(AK$4:AK145)+1,0))</f>
        <v/>
      </c>
      <c r="AL146" s="34" t="str">
        <f>IF($BE146="","",IF(ISNUMBER(MATCH($BE146,AT$5:AT$29999,0)),MAX(AL$4:AL145)+1,0))</f>
        <v/>
      </c>
      <c r="AM146" s="34" t="str">
        <f>IF($BE146="","",IF(ISNUMBER(MATCH($BE146,AU$5:AU$29999,0)),MAX(AM$4:AM145)+1,0))</f>
        <v/>
      </c>
      <c r="AN146" s="34" t="str">
        <f>IF($BE146="","",IF(ISNUMBER(MATCH($BE146,AV$5:AV$29999,0)),MAX(AN$4:AN145)+1,0))</f>
        <v/>
      </c>
      <c r="AO146" s="16"/>
      <c r="AP146" s="33"/>
      <c r="AQ146" s="33"/>
      <c r="AR146" s="33"/>
      <c r="AS146" s="33"/>
      <c r="AT146" s="32"/>
      <c r="AU146" s="32"/>
      <c r="AV146" s="32" t="s">
        <v>0</v>
      </c>
      <c r="AW146" s="20"/>
      <c r="AX146" s="20" t="s">
        <v>0</v>
      </c>
      <c r="AY146" s="30"/>
      <c r="AZ146" s="30"/>
      <c r="BA146" s="20"/>
      <c r="BB146" s="20"/>
      <c r="BC146" s="17"/>
      <c r="BD146" s="17"/>
      <c r="BE146" s="20"/>
      <c r="BF146" s="17"/>
      <c r="BG146" s="19"/>
      <c r="BH146" s="19"/>
      <c r="BI146" s="19"/>
      <c r="BJ146" s="19"/>
      <c r="BK146" s="19"/>
      <c r="BL146" s="19"/>
      <c r="BM146" s="19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</row>
    <row r="147" spans="1:78" ht="12" customHeight="1" x14ac:dyDescent="0.25">
      <c r="A147" s="26"/>
      <c r="B147" s="28"/>
      <c r="C147" s="28"/>
      <c r="D147" s="15" t="str">
        <f>IF(IF(ISNUMBER(B147),"",MAX(D$4:D146)+1)&lt;=D$3,IF(ISNUMBER(B147),"",MAX(D$4:D146)+1),"")</f>
        <v/>
      </c>
      <c r="E147" s="28"/>
      <c r="F147" s="28"/>
      <c r="G147" s="27"/>
      <c r="H147" s="15"/>
      <c r="I147" s="15" t="str">
        <f>IF(O147="","",IF(ISNUMBER(MATCH(O147,$G$5:$G$1000,0)),"",IF(D147=1,B$4,0)+MAX(I$4:I146)+1))</f>
        <v/>
      </c>
      <c r="J147" s="27"/>
      <c r="K147" s="27"/>
      <c r="L147" s="26"/>
      <c r="M147" s="14">
        <f>IF(ROW()-ROW(M$4)&lt;=1000,ROW()-ROW(M$4),"")</f>
        <v>143</v>
      </c>
      <c r="N147" s="29"/>
      <c r="O147" s="29"/>
      <c r="P147" s="17"/>
      <c r="Q147" s="16" t="s">
        <v>0</v>
      </c>
      <c r="R147" s="34" t="str">
        <f>IF(ROW()-ROW(R$4)&lt;=AH$3,ROW()-ROW(R$4),"")</f>
        <v/>
      </c>
      <c r="S147" s="34" t="str">
        <f>IF(ROW()-ROW(S$4)&lt;=AI$3,ROW()-ROW(S$4),"")</f>
        <v/>
      </c>
      <c r="T147" s="34" t="str">
        <f>IF(ROW()-ROW(T$4)&lt;=AJ$3,ROW()-ROW(T$4),"")</f>
        <v/>
      </c>
      <c r="U147" s="34" t="str">
        <f>IF(ROW()-ROW(U$4)&lt;=AK$3,ROW()-ROW(U$4),"")</f>
        <v/>
      </c>
      <c r="V147" s="34" t="str">
        <f>IF(ROW()-ROW(V$4)&lt;=AL$3,ROW()-ROW(V$4),"")</f>
        <v/>
      </c>
      <c r="W147" s="34" t="str">
        <f>IF(ROW()-ROW(W$4)&lt;=AM$3,ROW()-ROW(W$4),"")</f>
        <v/>
      </c>
      <c r="X147" s="34" t="str">
        <f>IF(ROW()-ROW(X$4)&lt;=AN$3,ROW()-ROW(X$4),"")</f>
        <v/>
      </c>
      <c r="Y147" s="34"/>
      <c r="Z147" s="35" t="str">
        <f>IF(ISNUMBER(R147),INDEX($BE$5:$BE$2999,MATCH(R147,AH$5:AH$2999,0),1),"")</f>
        <v/>
      </c>
      <c r="AA147" s="35" t="str">
        <f>IF(ISNUMBER(S147),INDEX($BE$5:$BE$2999,MATCH(S147,AI$5:AI$2999,0),1),"")</f>
        <v/>
      </c>
      <c r="AB147" s="35" t="str">
        <f>IF(ISNUMBER(T147),INDEX($BE$5:$BE$2999,MATCH(T147,AJ$5:AJ$2999,0),1),"")</f>
        <v/>
      </c>
      <c r="AC147" s="35" t="str">
        <f>IF(ISNUMBER(U147),INDEX($BE$5:$BE$2999,MATCH(U147,AK$5:AK$2999,0),1),"")</f>
        <v/>
      </c>
      <c r="AD147" s="35" t="str">
        <f>IF(ISNUMBER(V147),INDEX($BE$5:$BE$2999,MATCH(V147,AL$5:AL$2999,0),1),"")</f>
        <v/>
      </c>
      <c r="AE147" s="35" t="str">
        <f>IF(ISNUMBER(W147),INDEX($BE$5:$BE$2999,MATCH(W147,AM$5:AM$2999,0),1),"")</f>
        <v/>
      </c>
      <c r="AF147" s="35" t="str">
        <f>IF(ISNUMBER(X147),INDEX($BE$5:$BE$2999,MATCH(X147,AN$5:AN$2999,0),1),"")</f>
        <v/>
      </c>
      <c r="AG147" s="35"/>
      <c r="AH147" s="34" t="str">
        <f>IF($BE147="","",IF(ISNUMBER(MATCH($BE147,AP$5:AP$29999,0)),MAX(AH$4:AH146)+1,0))</f>
        <v/>
      </c>
      <c r="AI147" s="34" t="str">
        <f>IF($BE147="","",IF(ISNUMBER(MATCH($BE147,AQ$5:AQ$29999,0)),MAX(AI$4:AI146)+1,0))</f>
        <v/>
      </c>
      <c r="AJ147" s="34" t="str">
        <f>IF($BE147="","",IF(ISNUMBER(MATCH($BE147,AR$5:AR$29999,0)),MAX(AJ$4:AJ146)+1,0))</f>
        <v/>
      </c>
      <c r="AK147" s="34" t="str">
        <f>IF($BE147="","",IF(ISNUMBER(MATCH($BE147,AS$5:AS$29999,0)),MAX(AK$4:AK146)+1,0))</f>
        <v/>
      </c>
      <c r="AL147" s="34" t="str">
        <f>IF($BE147="","",IF(ISNUMBER(MATCH($BE147,AT$5:AT$29999,0)),MAX(AL$4:AL146)+1,0))</f>
        <v/>
      </c>
      <c r="AM147" s="34" t="str">
        <f>IF($BE147="","",IF(ISNUMBER(MATCH($BE147,AU$5:AU$29999,0)),MAX(AM$4:AM146)+1,0))</f>
        <v/>
      </c>
      <c r="AN147" s="34" t="str">
        <f>IF($BE147="","",IF(ISNUMBER(MATCH($BE147,AV$5:AV$29999,0)),MAX(AN$4:AN146)+1,0))</f>
        <v/>
      </c>
      <c r="AO147" s="16"/>
      <c r="AP147" s="33"/>
      <c r="AQ147" s="33"/>
      <c r="AR147" s="33"/>
      <c r="AS147" s="33"/>
      <c r="AT147" s="32"/>
      <c r="AU147" s="32"/>
      <c r="AV147" s="32" t="s">
        <v>0</v>
      </c>
      <c r="AW147" s="20"/>
      <c r="AX147" s="20" t="s">
        <v>0</v>
      </c>
      <c r="AY147" s="30"/>
      <c r="AZ147" s="30"/>
      <c r="BA147" s="20"/>
      <c r="BB147" s="20"/>
      <c r="BC147" s="17"/>
      <c r="BD147" s="17"/>
      <c r="BE147" s="20"/>
      <c r="BF147" s="17"/>
      <c r="BG147" s="19"/>
      <c r="BH147" s="19"/>
      <c r="BI147" s="19"/>
      <c r="BJ147" s="19"/>
      <c r="BK147" s="19"/>
      <c r="BL147" s="19"/>
      <c r="BM147" s="19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</row>
    <row r="148" spans="1:78" ht="12" customHeight="1" x14ac:dyDescent="0.25">
      <c r="A148" s="26"/>
      <c r="B148" s="28"/>
      <c r="C148" s="28"/>
      <c r="D148" s="15" t="str">
        <f>IF(IF(ISNUMBER(B148),"",MAX(D$4:D147)+1)&lt;=D$3,IF(ISNUMBER(B148),"",MAX(D$4:D147)+1),"")</f>
        <v/>
      </c>
      <c r="E148" s="28"/>
      <c r="F148" s="28"/>
      <c r="G148" s="27"/>
      <c r="H148" s="15"/>
      <c r="I148" s="15" t="str">
        <f>IF(O148="","",IF(ISNUMBER(MATCH(O148,$G$5:$G$1000,0)),"",IF(D148=1,B$4,0)+MAX(I$4:I147)+1))</f>
        <v/>
      </c>
      <c r="J148" s="27"/>
      <c r="K148" s="27"/>
      <c r="L148" s="26"/>
      <c r="M148" s="14">
        <f>IF(ROW()-ROW(M$4)&lt;=1000,ROW()-ROW(M$4),"")</f>
        <v>144</v>
      </c>
      <c r="N148" s="29"/>
      <c r="O148" s="29"/>
      <c r="P148" s="17"/>
      <c r="Q148" s="16" t="s">
        <v>0</v>
      </c>
      <c r="R148" s="34" t="str">
        <f>IF(ROW()-ROW(R$4)&lt;=AH$3,ROW()-ROW(R$4),"")</f>
        <v/>
      </c>
      <c r="S148" s="34" t="str">
        <f>IF(ROW()-ROW(S$4)&lt;=AI$3,ROW()-ROW(S$4),"")</f>
        <v/>
      </c>
      <c r="T148" s="34" t="str">
        <f>IF(ROW()-ROW(T$4)&lt;=AJ$3,ROW()-ROW(T$4),"")</f>
        <v/>
      </c>
      <c r="U148" s="34" t="str">
        <f>IF(ROW()-ROW(U$4)&lt;=AK$3,ROW()-ROW(U$4),"")</f>
        <v/>
      </c>
      <c r="V148" s="34" t="str">
        <f>IF(ROW()-ROW(V$4)&lt;=AL$3,ROW()-ROW(V$4),"")</f>
        <v/>
      </c>
      <c r="W148" s="34" t="str">
        <f>IF(ROW()-ROW(W$4)&lt;=AM$3,ROW()-ROW(W$4),"")</f>
        <v/>
      </c>
      <c r="X148" s="34" t="str">
        <f>IF(ROW()-ROW(X$4)&lt;=AN$3,ROW()-ROW(X$4),"")</f>
        <v/>
      </c>
      <c r="Y148" s="34"/>
      <c r="Z148" s="35" t="str">
        <f>IF(ISNUMBER(R148),INDEX($BE$5:$BE$2999,MATCH(R148,AH$5:AH$2999,0),1),"")</f>
        <v/>
      </c>
      <c r="AA148" s="35" t="str">
        <f>IF(ISNUMBER(S148),INDEX($BE$5:$BE$2999,MATCH(S148,AI$5:AI$2999,0),1),"")</f>
        <v/>
      </c>
      <c r="AB148" s="35" t="str">
        <f>IF(ISNUMBER(T148),INDEX($BE$5:$BE$2999,MATCH(T148,AJ$5:AJ$2999,0),1),"")</f>
        <v/>
      </c>
      <c r="AC148" s="35" t="str">
        <f>IF(ISNUMBER(U148),INDEX($BE$5:$BE$2999,MATCH(U148,AK$5:AK$2999,0),1),"")</f>
        <v/>
      </c>
      <c r="AD148" s="35" t="str">
        <f>IF(ISNUMBER(V148),INDEX($BE$5:$BE$2999,MATCH(V148,AL$5:AL$2999,0),1),"")</f>
        <v/>
      </c>
      <c r="AE148" s="35" t="str">
        <f>IF(ISNUMBER(W148),INDEX($BE$5:$BE$2999,MATCH(W148,AM$5:AM$2999,0),1),"")</f>
        <v/>
      </c>
      <c r="AF148" s="35" t="str">
        <f>IF(ISNUMBER(X148),INDEX($BE$5:$BE$2999,MATCH(X148,AN$5:AN$2999,0),1),"")</f>
        <v/>
      </c>
      <c r="AG148" s="35"/>
      <c r="AH148" s="34" t="str">
        <f>IF($BE148="","",IF(ISNUMBER(MATCH($BE148,AP$5:AP$29999,0)),MAX(AH$4:AH147)+1,0))</f>
        <v/>
      </c>
      <c r="AI148" s="34" t="str">
        <f>IF($BE148="","",IF(ISNUMBER(MATCH($BE148,AQ$5:AQ$29999,0)),MAX(AI$4:AI147)+1,0))</f>
        <v/>
      </c>
      <c r="AJ148" s="34" t="str">
        <f>IF($BE148="","",IF(ISNUMBER(MATCH($BE148,AR$5:AR$29999,0)),MAX(AJ$4:AJ147)+1,0))</f>
        <v/>
      </c>
      <c r="AK148" s="34" t="str">
        <f>IF($BE148="","",IF(ISNUMBER(MATCH($BE148,AS$5:AS$29999,0)),MAX(AK$4:AK147)+1,0))</f>
        <v/>
      </c>
      <c r="AL148" s="34" t="str">
        <f>IF($BE148="","",IF(ISNUMBER(MATCH($BE148,AT$5:AT$29999,0)),MAX(AL$4:AL147)+1,0))</f>
        <v/>
      </c>
      <c r="AM148" s="34" t="str">
        <f>IF($BE148="","",IF(ISNUMBER(MATCH($BE148,AU$5:AU$29999,0)),MAX(AM$4:AM147)+1,0))</f>
        <v/>
      </c>
      <c r="AN148" s="34" t="str">
        <f>IF($BE148="","",IF(ISNUMBER(MATCH($BE148,AV$5:AV$29999,0)),MAX(AN$4:AN147)+1,0))</f>
        <v/>
      </c>
      <c r="AO148" s="16"/>
      <c r="AP148" s="33"/>
      <c r="AQ148" s="33"/>
      <c r="AR148" s="33"/>
      <c r="AS148" s="33"/>
      <c r="AT148" s="32"/>
      <c r="AU148" s="32"/>
      <c r="AV148" s="32" t="s">
        <v>0</v>
      </c>
      <c r="AW148" s="20"/>
      <c r="AX148" s="20" t="s">
        <v>0</v>
      </c>
      <c r="AY148" s="30"/>
      <c r="AZ148" s="30"/>
      <c r="BA148" s="20"/>
      <c r="BB148" s="20"/>
      <c r="BC148" s="17"/>
      <c r="BD148" s="17"/>
      <c r="BE148" s="20"/>
      <c r="BF148" s="17"/>
      <c r="BG148" s="19"/>
      <c r="BH148" s="19"/>
      <c r="BI148" s="19"/>
      <c r="BJ148" s="19"/>
      <c r="BK148" s="19"/>
      <c r="BL148" s="19"/>
      <c r="BM148" s="19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</row>
    <row r="149" spans="1:78" ht="12" customHeight="1" x14ac:dyDescent="0.25">
      <c r="A149" s="26"/>
      <c r="B149" s="28"/>
      <c r="C149" s="28"/>
      <c r="D149" s="15" t="str">
        <f>IF(IF(ISNUMBER(B149),"",MAX(D$4:D148)+1)&lt;=D$3,IF(ISNUMBER(B149),"",MAX(D$4:D148)+1),"")</f>
        <v/>
      </c>
      <c r="E149" s="28"/>
      <c r="F149" s="28"/>
      <c r="G149" s="27"/>
      <c r="H149" s="15"/>
      <c r="I149" s="15" t="str">
        <f>IF(O149="","",IF(ISNUMBER(MATCH(O149,$G$5:$G$1000,0)),"",IF(D149=1,B$4,0)+MAX(I$4:I148)+1))</f>
        <v/>
      </c>
      <c r="J149" s="27"/>
      <c r="K149" s="27"/>
      <c r="L149" s="26"/>
      <c r="M149" s="14">
        <f>IF(ROW()-ROW(M$4)&lt;=1000,ROW()-ROW(M$4),"")</f>
        <v>145</v>
      </c>
      <c r="N149" s="29"/>
      <c r="O149" s="29"/>
      <c r="P149" s="17"/>
      <c r="Q149" s="16" t="s">
        <v>0</v>
      </c>
      <c r="R149" s="34" t="str">
        <f>IF(ROW()-ROW(R$4)&lt;=AH$3,ROW()-ROW(R$4),"")</f>
        <v/>
      </c>
      <c r="S149" s="34" t="str">
        <f>IF(ROW()-ROW(S$4)&lt;=AI$3,ROW()-ROW(S$4),"")</f>
        <v/>
      </c>
      <c r="T149" s="34" t="str">
        <f>IF(ROW()-ROW(T$4)&lt;=AJ$3,ROW()-ROW(T$4),"")</f>
        <v/>
      </c>
      <c r="U149" s="34" t="str">
        <f>IF(ROW()-ROW(U$4)&lt;=AK$3,ROW()-ROW(U$4),"")</f>
        <v/>
      </c>
      <c r="V149" s="34" t="str">
        <f>IF(ROW()-ROW(V$4)&lt;=AL$3,ROW()-ROW(V$4),"")</f>
        <v/>
      </c>
      <c r="W149" s="34" t="str">
        <f>IF(ROW()-ROW(W$4)&lt;=AM$3,ROW()-ROW(W$4),"")</f>
        <v/>
      </c>
      <c r="X149" s="34" t="str">
        <f>IF(ROW()-ROW(X$4)&lt;=AN$3,ROW()-ROW(X$4),"")</f>
        <v/>
      </c>
      <c r="Y149" s="34"/>
      <c r="Z149" s="35" t="str">
        <f>IF(ISNUMBER(R149),INDEX($BE$5:$BE$2999,MATCH(R149,AH$5:AH$2999,0),1),"")</f>
        <v/>
      </c>
      <c r="AA149" s="35" t="str">
        <f>IF(ISNUMBER(S149),INDEX($BE$5:$BE$2999,MATCH(S149,AI$5:AI$2999,0),1),"")</f>
        <v/>
      </c>
      <c r="AB149" s="35" t="str">
        <f>IF(ISNUMBER(T149),INDEX($BE$5:$BE$2999,MATCH(T149,AJ$5:AJ$2999,0),1),"")</f>
        <v/>
      </c>
      <c r="AC149" s="35" t="str">
        <f>IF(ISNUMBER(U149),INDEX($BE$5:$BE$2999,MATCH(U149,AK$5:AK$2999,0),1),"")</f>
        <v/>
      </c>
      <c r="AD149" s="35" t="str">
        <f>IF(ISNUMBER(V149),INDEX($BE$5:$BE$2999,MATCH(V149,AL$5:AL$2999,0),1),"")</f>
        <v/>
      </c>
      <c r="AE149" s="35" t="str">
        <f>IF(ISNUMBER(W149),INDEX($BE$5:$BE$2999,MATCH(W149,AM$5:AM$2999,0),1),"")</f>
        <v/>
      </c>
      <c r="AF149" s="35" t="str">
        <f>IF(ISNUMBER(X149),INDEX($BE$5:$BE$2999,MATCH(X149,AN$5:AN$2999,0),1),"")</f>
        <v/>
      </c>
      <c r="AG149" s="35"/>
      <c r="AH149" s="34" t="str">
        <f>IF($BE149="","",IF(ISNUMBER(MATCH($BE149,AP$5:AP$29999,0)),MAX(AH$4:AH148)+1,0))</f>
        <v/>
      </c>
      <c r="AI149" s="34" t="str">
        <f>IF($BE149="","",IF(ISNUMBER(MATCH($BE149,AQ$5:AQ$29999,0)),MAX(AI$4:AI148)+1,0))</f>
        <v/>
      </c>
      <c r="AJ149" s="34" t="str">
        <f>IF($BE149="","",IF(ISNUMBER(MATCH($BE149,AR$5:AR$29999,0)),MAX(AJ$4:AJ148)+1,0))</f>
        <v/>
      </c>
      <c r="AK149" s="34" t="str">
        <f>IF($BE149="","",IF(ISNUMBER(MATCH($BE149,AS$5:AS$29999,0)),MAX(AK$4:AK148)+1,0))</f>
        <v/>
      </c>
      <c r="AL149" s="34" t="str">
        <f>IF($BE149="","",IF(ISNUMBER(MATCH($BE149,AT$5:AT$29999,0)),MAX(AL$4:AL148)+1,0))</f>
        <v/>
      </c>
      <c r="AM149" s="34" t="str">
        <f>IF($BE149="","",IF(ISNUMBER(MATCH($BE149,AU$5:AU$29999,0)),MAX(AM$4:AM148)+1,0))</f>
        <v/>
      </c>
      <c r="AN149" s="34" t="str">
        <f>IF($BE149="","",IF(ISNUMBER(MATCH($BE149,AV$5:AV$29999,0)),MAX(AN$4:AN148)+1,0))</f>
        <v/>
      </c>
      <c r="AO149" s="16"/>
      <c r="AP149" s="33"/>
      <c r="AQ149" s="33"/>
      <c r="AR149" s="33"/>
      <c r="AS149" s="33"/>
      <c r="AT149" s="32"/>
      <c r="AU149" s="32"/>
      <c r="AV149" s="32" t="s">
        <v>0</v>
      </c>
      <c r="AW149" s="20"/>
      <c r="AX149" s="20" t="s">
        <v>0</v>
      </c>
      <c r="AY149" s="30"/>
      <c r="AZ149" s="30"/>
      <c r="BA149" s="20"/>
      <c r="BB149" s="20"/>
      <c r="BC149" s="17"/>
      <c r="BD149" s="17"/>
      <c r="BE149" s="20"/>
      <c r="BF149" s="17"/>
      <c r="BG149" s="19"/>
      <c r="BH149" s="19"/>
      <c r="BI149" s="19"/>
      <c r="BJ149" s="19"/>
      <c r="BK149" s="19"/>
      <c r="BL149" s="19"/>
      <c r="BM149" s="19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</row>
    <row r="150" spans="1:78" ht="12" customHeight="1" x14ac:dyDescent="0.25">
      <c r="A150" s="26"/>
      <c r="B150" s="28"/>
      <c r="C150" s="28"/>
      <c r="D150" s="15" t="str">
        <f>IF(IF(ISNUMBER(B150),"",MAX(D$4:D149)+1)&lt;=D$3,IF(ISNUMBER(B150),"",MAX(D$4:D149)+1),"")</f>
        <v/>
      </c>
      <c r="E150" s="28"/>
      <c r="F150" s="28"/>
      <c r="G150" s="27"/>
      <c r="H150" s="15"/>
      <c r="I150" s="15" t="str">
        <f>IF(O150="","",IF(ISNUMBER(MATCH(O150,$G$5:$G$1000,0)),"",IF(D150=1,B$4,0)+MAX(I$4:I149)+1))</f>
        <v/>
      </c>
      <c r="J150" s="27"/>
      <c r="K150" s="27"/>
      <c r="L150" s="26"/>
      <c r="M150" s="14">
        <f>IF(ROW()-ROW(M$4)&lt;=1000,ROW()-ROW(M$4),"")</f>
        <v>146</v>
      </c>
      <c r="N150" s="29"/>
      <c r="O150" s="29"/>
      <c r="P150" s="17"/>
      <c r="Q150" s="16" t="s">
        <v>0</v>
      </c>
      <c r="R150" s="34" t="str">
        <f>IF(ROW()-ROW(R$4)&lt;=AH$3,ROW()-ROW(R$4),"")</f>
        <v/>
      </c>
      <c r="S150" s="34" t="str">
        <f>IF(ROW()-ROW(S$4)&lt;=AI$3,ROW()-ROW(S$4),"")</f>
        <v/>
      </c>
      <c r="T150" s="34" t="str">
        <f>IF(ROW()-ROW(T$4)&lt;=AJ$3,ROW()-ROW(T$4),"")</f>
        <v/>
      </c>
      <c r="U150" s="34" t="str">
        <f>IF(ROW()-ROW(U$4)&lt;=AK$3,ROW()-ROW(U$4),"")</f>
        <v/>
      </c>
      <c r="V150" s="34" t="str">
        <f>IF(ROW()-ROW(V$4)&lt;=AL$3,ROW()-ROW(V$4),"")</f>
        <v/>
      </c>
      <c r="W150" s="34" t="str">
        <f>IF(ROW()-ROW(W$4)&lt;=AM$3,ROW()-ROW(W$4),"")</f>
        <v/>
      </c>
      <c r="X150" s="34" t="str">
        <f>IF(ROW()-ROW(X$4)&lt;=AN$3,ROW()-ROW(X$4),"")</f>
        <v/>
      </c>
      <c r="Y150" s="34"/>
      <c r="Z150" s="35" t="str">
        <f>IF(ISNUMBER(R150),INDEX($BE$5:$BE$2999,MATCH(R150,AH$5:AH$2999,0),1),"")</f>
        <v/>
      </c>
      <c r="AA150" s="35" t="str">
        <f>IF(ISNUMBER(S150),INDEX($BE$5:$BE$2999,MATCH(S150,AI$5:AI$2999,0),1),"")</f>
        <v/>
      </c>
      <c r="AB150" s="35" t="str">
        <f>IF(ISNUMBER(T150),INDEX($BE$5:$BE$2999,MATCH(T150,AJ$5:AJ$2999,0),1),"")</f>
        <v/>
      </c>
      <c r="AC150" s="35" t="str">
        <f>IF(ISNUMBER(U150),INDEX($BE$5:$BE$2999,MATCH(U150,AK$5:AK$2999,0),1),"")</f>
        <v/>
      </c>
      <c r="AD150" s="35" t="str">
        <f>IF(ISNUMBER(V150),INDEX($BE$5:$BE$2999,MATCH(V150,AL$5:AL$2999,0),1),"")</f>
        <v/>
      </c>
      <c r="AE150" s="35" t="str">
        <f>IF(ISNUMBER(W150),INDEX($BE$5:$BE$2999,MATCH(W150,AM$5:AM$2999,0),1),"")</f>
        <v/>
      </c>
      <c r="AF150" s="35" t="str">
        <f>IF(ISNUMBER(X150),INDEX($BE$5:$BE$2999,MATCH(X150,AN$5:AN$2999,0),1),"")</f>
        <v/>
      </c>
      <c r="AG150" s="35"/>
      <c r="AH150" s="34" t="str">
        <f>IF($BE150="","",IF(ISNUMBER(MATCH($BE150,AP$5:AP$29999,0)),MAX(AH$4:AH149)+1,0))</f>
        <v/>
      </c>
      <c r="AI150" s="34" t="str">
        <f>IF($BE150="","",IF(ISNUMBER(MATCH($BE150,AQ$5:AQ$29999,0)),MAX(AI$4:AI149)+1,0))</f>
        <v/>
      </c>
      <c r="AJ150" s="34" t="str">
        <f>IF($BE150="","",IF(ISNUMBER(MATCH($BE150,AR$5:AR$29999,0)),MAX(AJ$4:AJ149)+1,0))</f>
        <v/>
      </c>
      <c r="AK150" s="34" t="str">
        <f>IF($BE150="","",IF(ISNUMBER(MATCH($BE150,AS$5:AS$29999,0)),MAX(AK$4:AK149)+1,0))</f>
        <v/>
      </c>
      <c r="AL150" s="34" t="str">
        <f>IF($BE150="","",IF(ISNUMBER(MATCH($BE150,AT$5:AT$29999,0)),MAX(AL$4:AL149)+1,0))</f>
        <v/>
      </c>
      <c r="AM150" s="34" t="str">
        <f>IF($BE150="","",IF(ISNUMBER(MATCH($BE150,AU$5:AU$29999,0)),MAX(AM$4:AM149)+1,0))</f>
        <v/>
      </c>
      <c r="AN150" s="34" t="str">
        <f>IF($BE150="","",IF(ISNUMBER(MATCH($BE150,AV$5:AV$29999,0)),MAX(AN$4:AN149)+1,0))</f>
        <v/>
      </c>
      <c r="AO150" s="16"/>
      <c r="AP150" s="33"/>
      <c r="AQ150" s="33"/>
      <c r="AR150" s="33"/>
      <c r="AS150" s="33"/>
      <c r="AT150" s="32"/>
      <c r="AU150" s="32"/>
      <c r="AV150" s="32" t="s">
        <v>0</v>
      </c>
      <c r="AW150" s="20"/>
      <c r="AX150" s="20" t="s">
        <v>0</v>
      </c>
      <c r="AY150" s="30"/>
      <c r="AZ150" s="30"/>
      <c r="BA150" s="20"/>
      <c r="BB150" s="20"/>
      <c r="BC150" s="17"/>
      <c r="BD150" s="17"/>
      <c r="BE150" s="20"/>
      <c r="BF150" s="17"/>
      <c r="BG150" s="19"/>
      <c r="BH150" s="19"/>
      <c r="BI150" s="19"/>
      <c r="BJ150" s="19"/>
      <c r="BK150" s="19"/>
      <c r="BL150" s="19"/>
      <c r="BM150" s="19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</row>
    <row r="151" spans="1:78" ht="12" customHeight="1" x14ac:dyDescent="0.25">
      <c r="A151" s="26"/>
      <c r="B151" s="28"/>
      <c r="C151" s="28"/>
      <c r="D151" s="15" t="str">
        <f>IF(IF(ISNUMBER(B151),"",MAX(D$4:D150)+1)&lt;=D$3,IF(ISNUMBER(B151),"",MAX(D$4:D150)+1),"")</f>
        <v/>
      </c>
      <c r="E151" s="28"/>
      <c r="F151" s="28"/>
      <c r="G151" s="27"/>
      <c r="H151" s="15"/>
      <c r="I151" s="15" t="str">
        <f>IF(O151="","",IF(ISNUMBER(MATCH(O151,$G$5:$G$1000,0)),"",IF(D151=1,B$4,0)+MAX(I$4:I150)+1))</f>
        <v/>
      </c>
      <c r="J151" s="27"/>
      <c r="K151" s="27"/>
      <c r="L151" s="26"/>
      <c r="M151" s="14">
        <f>IF(ROW()-ROW(M$4)&lt;=1000,ROW()-ROW(M$4),"")</f>
        <v>147</v>
      </c>
      <c r="N151" s="29"/>
      <c r="O151" s="29"/>
      <c r="P151" s="17"/>
      <c r="Q151" s="16" t="s">
        <v>0</v>
      </c>
      <c r="R151" s="34" t="str">
        <f>IF(ROW()-ROW(R$4)&lt;=AH$3,ROW()-ROW(R$4),"")</f>
        <v/>
      </c>
      <c r="S151" s="34" t="str">
        <f>IF(ROW()-ROW(S$4)&lt;=AI$3,ROW()-ROW(S$4),"")</f>
        <v/>
      </c>
      <c r="T151" s="34" t="str">
        <f>IF(ROW()-ROW(T$4)&lt;=AJ$3,ROW()-ROW(T$4),"")</f>
        <v/>
      </c>
      <c r="U151" s="34" t="str">
        <f>IF(ROW()-ROW(U$4)&lt;=AK$3,ROW()-ROW(U$4),"")</f>
        <v/>
      </c>
      <c r="V151" s="34" t="str">
        <f>IF(ROW()-ROW(V$4)&lt;=AL$3,ROW()-ROW(V$4),"")</f>
        <v/>
      </c>
      <c r="W151" s="34" t="str">
        <f>IF(ROW()-ROW(W$4)&lt;=AM$3,ROW()-ROW(W$4),"")</f>
        <v/>
      </c>
      <c r="X151" s="34" t="str">
        <f>IF(ROW()-ROW(X$4)&lt;=AN$3,ROW()-ROW(X$4),"")</f>
        <v/>
      </c>
      <c r="Y151" s="34"/>
      <c r="Z151" s="35" t="str">
        <f>IF(ISNUMBER(R151),INDEX($BE$5:$BE$2999,MATCH(R151,AH$5:AH$2999,0),1),"")</f>
        <v/>
      </c>
      <c r="AA151" s="35" t="str">
        <f>IF(ISNUMBER(S151),INDEX($BE$5:$BE$2999,MATCH(S151,AI$5:AI$2999,0),1),"")</f>
        <v/>
      </c>
      <c r="AB151" s="35" t="str">
        <f>IF(ISNUMBER(T151),INDEX($BE$5:$BE$2999,MATCH(T151,AJ$5:AJ$2999,0),1),"")</f>
        <v/>
      </c>
      <c r="AC151" s="35" t="str">
        <f>IF(ISNUMBER(U151),INDEX($BE$5:$BE$2999,MATCH(U151,AK$5:AK$2999,0),1),"")</f>
        <v/>
      </c>
      <c r="AD151" s="35" t="str">
        <f>IF(ISNUMBER(V151),INDEX($BE$5:$BE$2999,MATCH(V151,AL$5:AL$2999,0),1),"")</f>
        <v/>
      </c>
      <c r="AE151" s="35" t="str">
        <f>IF(ISNUMBER(W151),INDEX($BE$5:$BE$2999,MATCH(W151,AM$5:AM$2999,0),1),"")</f>
        <v/>
      </c>
      <c r="AF151" s="35" t="str">
        <f>IF(ISNUMBER(X151),INDEX($BE$5:$BE$2999,MATCH(X151,AN$5:AN$2999,0),1),"")</f>
        <v/>
      </c>
      <c r="AG151" s="35"/>
      <c r="AH151" s="34" t="str">
        <f>IF($BE151="","",IF(ISNUMBER(MATCH($BE151,AP$5:AP$29999,0)),MAX(AH$4:AH150)+1,0))</f>
        <v/>
      </c>
      <c r="AI151" s="34" t="str">
        <f>IF($BE151="","",IF(ISNUMBER(MATCH($BE151,AQ$5:AQ$29999,0)),MAX(AI$4:AI150)+1,0))</f>
        <v/>
      </c>
      <c r="AJ151" s="34" t="str">
        <f>IF($BE151="","",IF(ISNUMBER(MATCH($BE151,AR$5:AR$29999,0)),MAX(AJ$4:AJ150)+1,0))</f>
        <v/>
      </c>
      <c r="AK151" s="34" t="str">
        <f>IF($BE151="","",IF(ISNUMBER(MATCH($BE151,AS$5:AS$29999,0)),MAX(AK$4:AK150)+1,0))</f>
        <v/>
      </c>
      <c r="AL151" s="34" t="str">
        <f>IF($BE151="","",IF(ISNUMBER(MATCH($BE151,AT$5:AT$29999,0)),MAX(AL$4:AL150)+1,0))</f>
        <v/>
      </c>
      <c r="AM151" s="34" t="str">
        <f>IF($BE151="","",IF(ISNUMBER(MATCH($BE151,AU$5:AU$29999,0)),MAX(AM$4:AM150)+1,0))</f>
        <v/>
      </c>
      <c r="AN151" s="34" t="str">
        <f>IF($BE151="","",IF(ISNUMBER(MATCH($BE151,AV$5:AV$29999,0)),MAX(AN$4:AN150)+1,0))</f>
        <v/>
      </c>
      <c r="AO151" s="16"/>
      <c r="AP151" s="33"/>
      <c r="AQ151" s="33"/>
      <c r="AR151" s="33"/>
      <c r="AS151" s="33"/>
      <c r="AT151" s="32"/>
      <c r="AU151" s="32"/>
      <c r="AV151" s="32" t="s">
        <v>0</v>
      </c>
      <c r="AW151" s="20"/>
      <c r="AX151" s="20" t="s">
        <v>0</v>
      </c>
      <c r="AY151" s="30"/>
      <c r="AZ151" s="30"/>
      <c r="BA151" s="20"/>
      <c r="BB151" s="20"/>
      <c r="BC151" s="17"/>
      <c r="BD151" s="17"/>
      <c r="BE151" s="20"/>
      <c r="BF151" s="17"/>
      <c r="BG151" s="19"/>
      <c r="BH151" s="19"/>
      <c r="BI151" s="19"/>
      <c r="BJ151" s="19"/>
      <c r="BK151" s="19"/>
      <c r="BL151" s="19"/>
      <c r="BM151" s="19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</row>
    <row r="152" spans="1:78" ht="12" customHeight="1" x14ac:dyDescent="0.25">
      <c r="A152" s="26"/>
      <c r="B152" s="28"/>
      <c r="C152" s="28"/>
      <c r="D152" s="15" t="str">
        <f>IF(IF(ISNUMBER(B152),"",MAX(D$4:D151)+1)&lt;=D$3,IF(ISNUMBER(B152),"",MAX(D$4:D151)+1),"")</f>
        <v/>
      </c>
      <c r="E152" s="28"/>
      <c r="F152" s="28"/>
      <c r="G152" s="27"/>
      <c r="H152" s="15"/>
      <c r="I152" s="15" t="str">
        <f>IF(O152="","",IF(ISNUMBER(MATCH(O152,$G$5:$G$1000,0)),"",IF(D152=1,B$4,0)+MAX(I$4:I151)+1))</f>
        <v/>
      </c>
      <c r="J152" s="27"/>
      <c r="K152" s="27"/>
      <c r="L152" s="26"/>
      <c r="M152" s="14">
        <f>IF(ROW()-ROW(M$4)&lt;=1000,ROW()-ROW(M$4),"")</f>
        <v>148</v>
      </c>
      <c r="N152" s="29"/>
      <c r="O152" s="29"/>
      <c r="P152" s="17"/>
      <c r="Q152" s="16" t="s">
        <v>0</v>
      </c>
      <c r="R152" s="34" t="str">
        <f>IF(ROW()-ROW(R$4)&lt;=AH$3,ROW()-ROW(R$4),"")</f>
        <v/>
      </c>
      <c r="S152" s="34" t="str">
        <f>IF(ROW()-ROW(S$4)&lt;=AI$3,ROW()-ROW(S$4),"")</f>
        <v/>
      </c>
      <c r="T152" s="34" t="str">
        <f>IF(ROW()-ROW(T$4)&lt;=AJ$3,ROW()-ROW(T$4),"")</f>
        <v/>
      </c>
      <c r="U152" s="34" t="str">
        <f>IF(ROW()-ROW(U$4)&lt;=AK$3,ROW()-ROW(U$4),"")</f>
        <v/>
      </c>
      <c r="V152" s="34" t="str">
        <f>IF(ROW()-ROW(V$4)&lt;=AL$3,ROW()-ROW(V$4),"")</f>
        <v/>
      </c>
      <c r="W152" s="34" t="str">
        <f>IF(ROW()-ROW(W$4)&lt;=AM$3,ROW()-ROW(W$4),"")</f>
        <v/>
      </c>
      <c r="X152" s="34" t="str">
        <f>IF(ROW()-ROW(X$4)&lt;=AN$3,ROW()-ROW(X$4),"")</f>
        <v/>
      </c>
      <c r="Y152" s="34"/>
      <c r="Z152" s="35" t="str">
        <f>IF(ISNUMBER(R152),INDEX($BE$5:$BE$2999,MATCH(R152,AH$5:AH$2999,0),1),"")</f>
        <v/>
      </c>
      <c r="AA152" s="35" t="str">
        <f>IF(ISNUMBER(S152),INDEX($BE$5:$BE$2999,MATCH(S152,AI$5:AI$2999,0),1),"")</f>
        <v/>
      </c>
      <c r="AB152" s="35" t="str">
        <f>IF(ISNUMBER(T152),INDEX($BE$5:$BE$2999,MATCH(T152,AJ$5:AJ$2999,0),1),"")</f>
        <v/>
      </c>
      <c r="AC152" s="35" t="str">
        <f>IF(ISNUMBER(U152),INDEX($BE$5:$BE$2999,MATCH(U152,AK$5:AK$2999,0),1),"")</f>
        <v/>
      </c>
      <c r="AD152" s="35" t="str">
        <f>IF(ISNUMBER(V152),INDEX($BE$5:$BE$2999,MATCH(V152,AL$5:AL$2999,0),1),"")</f>
        <v/>
      </c>
      <c r="AE152" s="35" t="str">
        <f>IF(ISNUMBER(W152),INDEX($BE$5:$BE$2999,MATCH(W152,AM$5:AM$2999,0),1),"")</f>
        <v/>
      </c>
      <c r="AF152" s="35" t="str">
        <f>IF(ISNUMBER(X152),INDEX($BE$5:$BE$2999,MATCH(X152,AN$5:AN$2999,0),1),"")</f>
        <v/>
      </c>
      <c r="AG152" s="35"/>
      <c r="AH152" s="34" t="str">
        <f>IF($BE152="","",IF(ISNUMBER(MATCH($BE152,AP$5:AP$29999,0)),MAX(AH$4:AH151)+1,0))</f>
        <v/>
      </c>
      <c r="AI152" s="34" t="str">
        <f>IF($BE152="","",IF(ISNUMBER(MATCH($BE152,AQ$5:AQ$29999,0)),MAX(AI$4:AI151)+1,0))</f>
        <v/>
      </c>
      <c r="AJ152" s="34" t="str">
        <f>IF($BE152="","",IF(ISNUMBER(MATCH($BE152,AR$5:AR$29999,0)),MAX(AJ$4:AJ151)+1,0))</f>
        <v/>
      </c>
      <c r="AK152" s="34" t="str">
        <f>IF($BE152="","",IF(ISNUMBER(MATCH($BE152,AS$5:AS$29999,0)),MAX(AK$4:AK151)+1,0))</f>
        <v/>
      </c>
      <c r="AL152" s="34" t="str">
        <f>IF($BE152="","",IF(ISNUMBER(MATCH($BE152,AT$5:AT$29999,0)),MAX(AL$4:AL151)+1,0))</f>
        <v/>
      </c>
      <c r="AM152" s="34" t="str">
        <f>IF($BE152="","",IF(ISNUMBER(MATCH($BE152,AU$5:AU$29999,0)),MAX(AM$4:AM151)+1,0))</f>
        <v/>
      </c>
      <c r="AN152" s="34" t="str">
        <f>IF($BE152="","",IF(ISNUMBER(MATCH($BE152,AV$5:AV$29999,0)),MAX(AN$4:AN151)+1,0))</f>
        <v/>
      </c>
      <c r="AO152" s="16"/>
      <c r="AP152" s="33"/>
      <c r="AQ152" s="33"/>
      <c r="AR152" s="33"/>
      <c r="AS152" s="33"/>
      <c r="AT152" s="32"/>
      <c r="AU152" s="32"/>
      <c r="AV152" s="32" t="s">
        <v>0</v>
      </c>
      <c r="AW152" s="20"/>
      <c r="AX152" s="20" t="s">
        <v>0</v>
      </c>
      <c r="AY152" s="30"/>
      <c r="AZ152" s="30"/>
      <c r="BA152" s="20"/>
      <c r="BB152" s="20"/>
      <c r="BC152" s="17"/>
      <c r="BD152" s="17"/>
      <c r="BE152" s="20"/>
      <c r="BF152" s="17"/>
      <c r="BG152" s="19"/>
      <c r="BH152" s="19"/>
      <c r="BI152" s="19"/>
      <c r="BJ152" s="19"/>
      <c r="BK152" s="19"/>
      <c r="BL152" s="19"/>
      <c r="BM152" s="19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</row>
    <row r="153" spans="1:78" ht="12" customHeight="1" x14ac:dyDescent="0.25">
      <c r="A153" s="26"/>
      <c r="B153" s="28"/>
      <c r="C153" s="28"/>
      <c r="D153" s="15" t="str">
        <f>IF(IF(ISNUMBER(B153),"",MAX(D$4:D152)+1)&lt;=D$3,IF(ISNUMBER(B153),"",MAX(D$4:D152)+1),"")</f>
        <v/>
      </c>
      <c r="E153" s="28"/>
      <c r="F153" s="28"/>
      <c r="G153" s="27"/>
      <c r="H153" s="15"/>
      <c r="I153" s="15" t="str">
        <f>IF(O153="","",IF(ISNUMBER(MATCH(O153,$G$5:$G$1000,0)),"",IF(D153=1,B$4,0)+MAX(I$4:I152)+1))</f>
        <v/>
      </c>
      <c r="J153" s="27"/>
      <c r="K153" s="27"/>
      <c r="L153" s="26"/>
      <c r="M153" s="14">
        <f>IF(ROW()-ROW(M$4)&lt;=1000,ROW()-ROW(M$4),"")</f>
        <v>149</v>
      </c>
      <c r="N153" s="29"/>
      <c r="O153" s="29"/>
      <c r="P153" s="17"/>
      <c r="Q153" s="16" t="s">
        <v>0</v>
      </c>
      <c r="R153" s="34" t="str">
        <f>IF(ROW()-ROW(R$4)&lt;=AH$3,ROW()-ROW(R$4),"")</f>
        <v/>
      </c>
      <c r="S153" s="34" t="str">
        <f>IF(ROW()-ROW(S$4)&lt;=AI$3,ROW()-ROW(S$4),"")</f>
        <v/>
      </c>
      <c r="T153" s="34" t="str">
        <f>IF(ROW()-ROW(T$4)&lt;=AJ$3,ROW()-ROW(T$4),"")</f>
        <v/>
      </c>
      <c r="U153" s="34" t="str">
        <f>IF(ROW()-ROW(U$4)&lt;=AK$3,ROW()-ROW(U$4),"")</f>
        <v/>
      </c>
      <c r="V153" s="34" t="str">
        <f>IF(ROW()-ROW(V$4)&lt;=AL$3,ROW()-ROW(V$4),"")</f>
        <v/>
      </c>
      <c r="W153" s="34" t="str">
        <f>IF(ROW()-ROW(W$4)&lt;=AM$3,ROW()-ROW(W$4),"")</f>
        <v/>
      </c>
      <c r="X153" s="34" t="str">
        <f>IF(ROW()-ROW(X$4)&lt;=AN$3,ROW()-ROW(X$4),"")</f>
        <v/>
      </c>
      <c r="Y153" s="34"/>
      <c r="Z153" s="35" t="str">
        <f>IF(ISNUMBER(R153),INDEX($BE$5:$BE$2999,MATCH(R153,AH$5:AH$2999,0),1),"")</f>
        <v/>
      </c>
      <c r="AA153" s="35" t="str">
        <f>IF(ISNUMBER(S153),INDEX($BE$5:$BE$2999,MATCH(S153,AI$5:AI$2999,0),1),"")</f>
        <v/>
      </c>
      <c r="AB153" s="35" t="str">
        <f>IF(ISNUMBER(T153),INDEX($BE$5:$BE$2999,MATCH(T153,AJ$5:AJ$2999,0),1),"")</f>
        <v/>
      </c>
      <c r="AC153" s="35" t="str">
        <f>IF(ISNUMBER(U153),INDEX($BE$5:$BE$2999,MATCH(U153,AK$5:AK$2999,0),1),"")</f>
        <v/>
      </c>
      <c r="AD153" s="35" t="str">
        <f>IF(ISNUMBER(V153),INDEX($BE$5:$BE$2999,MATCH(V153,AL$5:AL$2999,0),1),"")</f>
        <v/>
      </c>
      <c r="AE153" s="35" t="str">
        <f>IF(ISNUMBER(W153),INDEX($BE$5:$BE$2999,MATCH(W153,AM$5:AM$2999,0),1),"")</f>
        <v/>
      </c>
      <c r="AF153" s="35" t="str">
        <f>IF(ISNUMBER(X153),INDEX($BE$5:$BE$2999,MATCH(X153,AN$5:AN$2999,0),1),"")</f>
        <v/>
      </c>
      <c r="AG153" s="35"/>
      <c r="AH153" s="34" t="str">
        <f>IF($BE153="","",IF(ISNUMBER(MATCH($BE153,AP$5:AP$29999,0)),MAX(AH$4:AH152)+1,0))</f>
        <v/>
      </c>
      <c r="AI153" s="34" t="str">
        <f>IF($BE153="","",IF(ISNUMBER(MATCH($BE153,AQ$5:AQ$29999,0)),MAX(AI$4:AI152)+1,0))</f>
        <v/>
      </c>
      <c r="AJ153" s="34" t="str">
        <f>IF($BE153="","",IF(ISNUMBER(MATCH($BE153,AR$5:AR$29999,0)),MAX(AJ$4:AJ152)+1,0))</f>
        <v/>
      </c>
      <c r="AK153" s="34" t="str">
        <f>IF($BE153="","",IF(ISNUMBER(MATCH($BE153,AS$5:AS$29999,0)),MAX(AK$4:AK152)+1,0))</f>
        <v/>
      </c>
      <c r="AL153" s="34" t="str">
        <f>IF($BE153="","",IF(ISNUMBER(MATCH($BE153,AT$5:AT$29999,0)),MAX(AL$4:AL152)+1,0))</f>
        <v/>
      </c>
      <c r="AM153" s="34" t="str">
        <f>IF($BE153="","",IF(ISNUMBER(MATCH($BE153,AU$5:AU$29999,0)),MAX(AM$4:AM152)+1,0))</f>
        <v/>
      </c>
      <c r="AN153" s="34" t="str">
        <f>IF($BE153="","",IF(ISNUMBER(MATCH($BE153,AV$5:AV$29999,0)),MAX(AN$4:AN152)+1,0))</f>
        <v/>
      </c>
      <c r="AO153" s="16"/>
      <c r="AP153" s="33"/>
      <c r="AQ153" s="33"/>
      <c r="AR153" s="33"/>
      <c r="AS153" s="33"/>
      <c r="AT153" s="32"/>
      <c r="AU153" s="32"/>
      <c r="AV153" s="32" t="s">
        <v>0</v>
      </c>
      <c r="AW153" s="20"/>
      <c r="AX153" s="20" t="s">
        <v>0</v>
      </c>
      <c r="AY153" s="30"/>
      <c r="AZ153" s="30"/>
      <c r="BA153" s="20"/>
      <c r="BB153" s="20"/>
      <c r="BC153" s="17"/>
      <c r="BD153" s="17"/>
      <c r="BE153" s="20"/>
      <c r="BF153" s="17"/>
      <c r="BG153" s="19"/>
      <c r="BH153" s="19"/>
      <c r="BI153" s="19"/>
      <c r="BJ153" s="19"/>
      <c r="BK153" s="19"/>
      <c r="BL153" s="19"/>
      <c r="BM153" s="19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</row>
    <row r="154" spans="1:78" ht="12" customHeight="1" x14ac:dyDescent="0.25">
      <c r="A154" s="26"/>
      <c r="B154" s="28"/>
      <c r="C154" s="28"/>
      <c r="D154" s="15" t="str">
        <f>IF(IF(ISNUMBER(B154),"",MAX(D$4:D153)+1)&lt;=D$3,IF(ISNUMBER(B154),"",MAX(D$4:D153)+1),"")</f>
        <v/>
      </c>
      <c r="E154" s="28"/>
      <c r="F154" s="28"/>
      <c r="G154" s="27"/>
      <c r="H154" s="15"/>
      <c r="I154" s="15" t="str">
        <f>IF(O154="","",IF(ISNUMBER(MATCH(O154,$G$5:$G$1000,0)),"",IF(D154=1,B$4,0)+MAX(I$4:I153)+1))</f>
        <v/>
      </c>
      <c r="J154" s="27"/>
      <c r="K154" s="27"/>
      <c r="L154" s="26"/>
      <c r="M154" s="14">
        <f>IF(ROW()-ROW(M$4)&lt;=1000,ROW()-ROW(M$4),"")</f>
        <v>150</v>
      </c>
      <c r="N154" s="29"/>
      <c r="O154" s="29"/>
      <c r="P154" s="17"/>
      <c r="Q154" s="16" t="s">
        <v>0</v>
      </c>
      <c r="R154" s="34" t="str">
        <f>IF(ROW()-ROW(R$4)&lt;=AH$3,ROW()-ROW(R$4),"")</f>
        <v/>
      </c>
      <c r="S154" s="34" t="str">
        <f>IF(ROW()-ROW(S$4)&lt;=AI$3,ROW()-ROW(S$4),"")</f>
        <v/>
      </c>
      <c r="T154" s="34" t="str">
        <f>IF(ROW()-ROW(T$4)&lt;=AJ$3,ROW()-ROW(T$4),"")</f>
        <v/>
      </c>
      <c r="U154" s="34" t="str">
        <f>IF(ROW()-ROW(U$4)&lt;=AK$3,ROW()-ROW(U$4),"")</f>
        <v/>
      </c>
      <c r="V154" s="34" t="str">
        <f>IF(ROW()-ROW(V$4)&lt;=AL$3,ROW()-ROW(V$4),"")</f>
        <v/>
      </c>
      <c r="W154" s="34" t="str">
        <f>IF(ROW()-ROW(W$4)&lt;=AM$3,ROW()-ROW(W$4),"")</f>
        <v/>
      </c>
      <c r="X154" s="34" t="str">
        <f>IF(ROW()-ROW(X$4)&lt;=AN$3,ROW()-ROW(X$4),"")</f>
        <v/>
      </c>
      <c r="Y154" s="34"/>
      <c r="Z154" s="35" t="str">
        <f>IF(ISNUMBER(R154),INDEX($BE$5:$BE$2999,MATCH(R154,AH$5:AH$2999,0),1),"")</f>
        <v/>
      </c>
      <c r="AA154" s="35" t="str">
        <f>IF(ISNUMBER(S154),INDEX($BE$5:$BE$2999,MATCH(S154,AI$5:AI$2999,0),1),"")</f>
        <v/>
      </c>
      <c r="AB154" s="35" t="str">
        <f>IF(ISNUMBER(T154),INDEX($BE$5:$BE$2999,MATCH(T154,AJ$5:AJ$2999,0),1),"")</f>
        <v/>
      </c>
      <c r="AC154" s="35" t="str">
        <f>IF(ISNUMBER(U154),INDEX($BE$5:$BE$2999,MATCH(U154,AK$5:AK$2999,0),1),"")</f>
        <v/>
      </c>
      <c r="AD154" s="35" t="str">
        <f>IF(ISNUMBER(V154),INDEX($BE$5:$BE$2999,MATCH(V154,AL$5:AL$2999,0),1),"")</f>
        <v/>
      </c>
      <c r="AE154" s="35" t="str">
        <f>IF(ISNUMBER(W154),INDEX($BE$5:$BE$2999,MATCH(W154,AM$5:AM$2999,0),1),"")</f>
        <v/>
      </c>
      <c r="AF154" s="35" t="str">
        <f>IF(ISNUMBER(X154),INDEX($BE$5:$BE$2999,MATCH(X154,AN$5:AN$2999,0),1),"")</f>
        <v/>
      </c>
      <c r="AG154" s="35"/>
      <c r="AH154" s="34" t="str">
        <f>IF($BE154="","",IF(ISNUMBER(MATCH($BE154,AP$5:AP$29999,0)),MAX(AH$4:AH153)+1,0))</f>
        <v/>
      </c>
      <c r="AI154" s="34" t="str">
        <f>IF($BE154="","",IF(ISNUMBER(MATCH($BE154,AQ$5:AQ$29999,0)),MAX(AI$4:AI153)+1,0))</f>
        <v/>
      </c>
      <c r="AJ154" s="34" t="str">
        <f>IF($BE154="","",IF(ISNUMBER(MATCH($BE154,AR$5:AR$29999,0)),MAX(AJ$4:AJ153)+1,0))</f>
        <v/>
      </c>
      <c r="AK154" s="34" t="str">
        <f>IF($BE154="","",IF(ISNUMBER(MATCH($BE154,AS$5:AS$29999,0)),MAX(AK$4:AK153)+1,0))</f>
        <v/>
      </c>
      <c r="AL154" s="34" t="str">
        <f>IF($BE154="","",IF(ISNUMBER(MATCH($BE154,AT$5:AT$29999,0)),MAX(AL$4:AL153)+1,0))</f>
        <v/>
      </c>
      <c r="AM154" s="34" t="str">
        <f>IF($BE154="","",IF(ISNUMBER(MATCH($BE154,AU$5:AU$29999,0)),MAX(AM$4:AM153)+1,0))</f>
        <v/>
      </c>
      <c r="AN154" s="34" t="str">
        <f>IF($BE154="","",IF(ISNUMBER(MATCH($BE154,AV$5:AV$29999,0)),MAX(AN$4:AN153)+1,0))</f>
        <v/>
      </c>
      <c r="AO154" s="16"/>
      <c r="AP154" s="33"/>
      <c r="AQ154" s="33"/>
      <c r="AR154" s="33"/>
      <c r="AS154" s="33"/>
      <c r="AT154" s="32"/>
      <c r="AU154" s="32"/>
      <c r="AV154" s="32" t="s">
        <v>0</v>
      </c>
      <c r="AW154" s="20"/>
      <c r="AX154" s="20" t="s">
        <v>0</v>
      </c>
      <c r="AY154" s="30"/>
      <c r="AZ154" s="30"/>
      <c r="BA154" s="20"/>
      <c r="BB154" s="20"/>
      <c r="BC154" s="17"/>
      <c r="BD154" s="17"/>
      <c r="BE154" s="20"/>
      <c r="BF154" s="17"/>
      <c r="BG154" s="19"/>
      <c r="BH154" s="19"/>
      <c r="BI154" s="19"/>
      <c r="BJ154" s="19"/>
      <c r="BK154" s="19"/>
      <c r="BL154" s="19"/>
      <c r="BM154" s="19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</row>
    <row r="155" spans="1:78" ht="12" customHeight="1" x14ac:dyDescent="0.25">
      <c r="A155" s="26"/>
      <c r="B155" s="28"/>
      <c r="C155" s="28"/>
      <c r="D155" s="15" t="str">
        <f>IF(IF(ISNUMBER(B155),"",MAX(D$4:D154)+1)&lt;=D$3,IF(ISNUMBER(B155),"",MAX(D$4:D154)+1),"")</f>
        <v/>
      </c>
      <c r="E155" s="28"/>
      <c r="F155" s="28"/>
      <c r="G155" s="27"/>
      <c r="H155" s="15"/>
      <c r="I155" s="15" t="str">
        <f>IF(O155="","",IF(ISNUMBER(MATCH(O155,$G$5:$G$1000,0)),"",IF(D155=1,B$4,0)+MAX(I$4:I154)+1))</f>
        <v/>
      </c>
      <c r="J155" s="27"/>
      <c r="K155" s="27"/>
      <c r="L155" s="26"/>
      <c r="M155" s="14">
        <f>IF(ROW()-ROW(M$4)&lt;=1000,ROW()-ROW(M$4),"")</f>
        <v>151</v>
      </c>
      <c r="N155" s="29"/>
      <c r="O155" s="29"/>
      <c r="P155" s="17"/>
      <c r="Q155" s="16" t="s">
        <v>0</v>
      </c>
      <c r="R155" s="34" t="str">
        <f>IF(ROW()-ROW(R$4)&lt;=AH$3,ROW()-ROW(R$4),"")</f>
        <v/>
      </c>
      <c r="S155" s="34" t="str">
        <f>IF(ROW()-ROW(S$4)&lt;=AI$3,ROW()-ROW(S$4),"")</f>
        <v/>
      </c>
      <c r="T155" s="34" t="str">
        <f>IF(ROW()-ROW(T$4)&lt;=AJ$3,ROW()-ROW(T$4),"")</f>
        <v/>
      </c>
      <c r="U155" s="34" t="str">
        <f>IF(ROW()-ROW(U$4)&lt;=AK$3,ROW()-ROW(U$4),"")</f>
        <v/>
      </c>
      <c r="V155" s="34" t="str">
        <f>IF(ROW()-ROW(V$4)&lt;=AL$3,ROW()-ROW(V$4),"")</f>
        <v/>
      </c>
      <c r="W155" s="34" t="str">
        <f>IF(ROW()-ROW(W$4)&lt;=AM$3,ROW()-ROW(W$4),"")</f>
        <v/>
      </c>
      <c r="X155" s="34" t="str">
        <f>IF(ROW()-ROW(X$4)&lt;=AN$3,ROW()-ROW(X$4),"")</f>
        <v/>
      </c>
      <c r="Y155" s="34"/>
      <c r="Z155" s="35" t="str">
        <f>IF(ISNUMBER(R155),INDEX($BE$5:$BE$2999,MATCH(R155,AH$5:AH$2999,0),1),"")</f>
        <v/>
      </c>
      <c r="AA155" s="35" t="str">
        <f>IF(ISNUMBER(S155),INDEX($BE$5:$BE$2999,MATCH(S155,AI$5:AI$2999,0),1),"")</f>
        <v/>
      </c>
      <c r="AB155" s="35" t="str">
        <f>IF(ISNUMBER(T155),INDEX($BE$5:$BE$2999,MATCH(T155,AJ$5:AJ$2999,0),1),"")</f>
        <v/>
      </c>
      <c r="AC155" s="35" t="str">
        <f>IF(ISNUMBER(U155),INDEX($BE$5:$BE$2999,MATCH(U155,AK$5:AK$2999,0),1),"")</f>
        <v/>
      </c>
      <c r="AD155" s="35" t="str">
        <f>IF(ISNUMBER(V155),INDEX($BE$5:$BE$2999,MATCH(V155,AL$5:AL$2999,0),1),"")</f>
        <v/>
      </c>
      <c r="AE155" s="35" t="str">
        <f>IF(ISNUMBER(W155),INDEX($BE$5:$BE$2999,MATCH(W155,AM$5:AM$2999,0),1),"")</f>
        <v/>
      </c>
      <c r="AF155" s="35" t="str">
        <f>IF(ISNUMBER(X155),INDEX($BE$5:$BE$2999,MATCH(X155,AN$5:AN$2999,0),1),"")</f>
        <v/>
      </c>
      <c r="AG155" s="35"/>
      <c r="AH155" s="34" t="str">
        <f>IF($BE155="","",IF(ISNUMBER(MATCH($BE155,AP$5:AP$29999,0)),MAX(AH$4:AH154)+1,0))</f>
        <v/>
      </c>
      <c r="AI155" s="34" t="str">
        <f>IF($BE155="","",IF(ISNUMBER(MATCH($BE155,AQ$5:AQ$29999,0)),MAX(AI$4:AI154)+1,0))</f>
        <v/>
      </c>
      <c r="AJ155" s="34" t="str">
        <f>IF($BE155="","",IF(ISNUMBER(MATCH($BE155,AR$5:AR$29999,0)),MAX(AJ$4:AJ154)+1,0))</f>
        <v/>
      </c>
      <c r="AK155" s="34" t="str">
        <f>IF($BE155="","",IF(ISNUMBER(MATCH($BE155,AS$5:AS$29999,0)),MAX(AK$4:AK154)+1,0))</f>
        <v/>
      </c>
      <c r="AL155" s="34" t="str">
        <f>IF($BE155="","",IF(ISNUMBER(MATCH($BE155,AT$5:AT$29999,0)),MAX(AL$4:AL154)+1,0))</f>
        <v/>
      </c>
      <c r="AM155" s="34" t="str">
        <f>IF($BE155="","",IF(ISNUMBER(MATCH($BE155,AU$5:AU$29999,0)),MAX(AM$4:AM154)+1,0))</f>
        <v/>
      </c>
      <c r="AN155" s="34" t="str">
        <f>IF($BE155="","",IF(ISNUMBER(MATCH($BE155,AV$5:AV$29999,0)),MAX(AN$4:AN154)+1,0))</f>
        <v/>
      </c>
      <c r="AO155" s="16"/>
      <c r="AP155" s="33"/>
      <c r="AQ155" s="33"/>
      <c r="AR155" s="33"/>
      <c r="AS155" s="33"/>
      <c r="AT155" s="32"/>
      <c r="AU155" s="32"/>
      <c r="AV155" s="32" t="s">
        <v>0</v>
      </c>
      <c r="AW155" s="20"/>
      <c r="AX155" s="20" t="s">
        <v>0</v>
      </c>
      <c r="AY155" s="30"/>
      <c r="AZ155" s="30"/>
      <c r="BA155" s="20"/>
      <c r="BB155" s="20"/>
      <c r="BC155" s="17"/>
      <c r="BD155" s="17"/>
      <c r="BE155" s="20"/>
      <c r="BF155" s="17"/>
      <c r="BG155" s="19"/>
      <c r="BH155" s="19"/>
      <c r="BI155" s="19"/>
      <c r="BJ155" s="19"/>
      <c r="BK155" s="19"/>
      <c r="BL155" s="19"/>
      <c r="BM155" s="19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</row>
    <row r="156" spans="1:78" ht="12" customHeight="1" x14ac:dyDescent="0.25">
      <c r="A156" s="26"/>
      <c r="B156" s="28"/>
      <c r="C156" s="28"/>
      <c r="D156" s="15" t="str">
        <f>IF(IF(ISNUMBER(B156),"",MAX(D$4:D155)+1)&lt;=D$3,IF(ISNUMBER(B156),"",MAX(D$4:D155)+1),"")</f>
        <v/>
      </c>
      <c r="E156" s="28"/>
      <c r="F156" s="28"/>
      <c r="G156" s="27"/>
      <c r="H156" s="15"/>
      <c r="I156" s="15" t="str">
        <f>IF(O156="","",IF(ISNUMBER(MATCH(O156,$G$5:$G$1000,0)),"",IF(D156=1,B$4,0)+MAX(I$4:I155)+1))</f>
        <v/>
      </c>
      <c r="J156" s="27"/>
      <c r="K156" s="27"/>
      <c r="L156" s="26"/>
      <c r="M156" s="14">
        <f>IF(ROW()-ROW(M$4)&lt;=1000,ROW()-ROW(M$4),"")</f>
        <v>152</v>
      </c>
      <c r="N156" s="29"/>
      <c r="O156" s="29"/>
      <c r="P156" s="17"/>
      <c r="Q156" s="16" t="s">
        <v>0</v>
      </c>
      <c r="R156" s="34" t="str">
        <f>IF(ROW()-ROW(R$4)&lt;=AH$3,ROW()-ROW(R$4),"")</f>
        <v/>
      </c>
      <c r="S156" s="34" t="str">
        <f>IF(ROW()-ROW(S$4)&lt;=AI$3,ROW()-ROW(S$4),"")</f>
        <v/>
      </c>
      <c r="T156" s="34" t="str">
        <f>IF(ROW()-ROW(T$4)&lt;=AJ$3,ROW()-ROW(T$4),"")</f>
        <v/>
      </c>
      <c r="U156" s="34" t="str">
        <f>IF(ROW()-ROW(U$4)&lt;=AK$3,ROW()-ROW(U$4),"")</f>
        <v/>
      </c>
      <c r="V156" s="34" t="str">
        <f>IF(ROW()-ROW(V$4)&lt;=AL$3,ROW()-ROW(V$4),"")</f>
        <v/>
      </c>
      <c r="W156" s="34" t="str">
        <f>IF(ROW()-ROW(W$4)&lt;=AM$3,ROW()-ROW(W$4),"")</f>
        <v/>
      </c>
      <c r="X156" s="34" t="str">
        <f>IF(ROW()-ROW(X$4)&lt;=AN$3,ROW()-ROW(X$4),"")</f>
        <v/>
      </c>
      <c r="Y156" s="34"/>
      <c r="Z156" s="35" t="str">
        <f>IF(ISNUMBER(R156),INDEX($BE$5:$BE$2999,MATCH(R156,AH$5:AH$2999,0),1),"")</f>
        <v/>
      </c>
      <c r="AA156" s="35" t="str">
        <f>IF(ISNUMBER(S156),INDEX($BE$5:$BE$2999,MATCH(S156,AI$5:AI$2999,0),1),"")</f>
        <v/>
      </c>
      <c r="AB156" s="35" t="str">
        <f>IF(ISNUMBER(T156),INDEX($BE$5:$BE$2999,MATCH(T156,AJ$5:AJ$2999,0),1),"")</f>
        <v/>
      </c>
      <c r="AC156" s="35" t="str">
        <f>IF(ISNUMBER(U156),INDEX($BE$5:$BE$2999,MATCH(U156,AK$5:AK$2999,0),1),"")</f>
        <v/>
      </c>
      <c r="AD156" s="35" t="str">
        <f>IF(ISNUMBER(V156),INDEX($BE$5:$BE$2999,MATCH(V156,AL$5:AL$2999,0),1),"")</f>
        <v/>
      </c>
      <c r="AE156" s="35" t="str">
        <f>IF(ISNUMBER(W156),INDEX($BE$5:$BE$2999,MATCH(W156,AM$5:AM$2999,0),1),"")</f>
        <v/>
      </c>
      <c r="AF156" s="35" t="str">
        <f>IF(ISNUMBER(X156),INDEX($BE$5:$BE$2999,MATCH(X156,AN$5:AN$2999,0),1),"")</f>
        <v/>
      </c>
      <c r="AG156" s="35"/>
      <c r="AH156" s="34" t="str">
        <f>IF($BE156="","",IF(ISNUMBER(MATCH($BE156,AP$5:AP$29999,0)),MAX(AH$4:AH155)+1,0))</f>
        <v/>
      </c>
      <c r="AI156" s="34" t="str">
        <f>IF($BE156="","",IF(ISNUMBER(MATCH($BE156,AQ$5:AQ$29999,0)),MAX(AI$4:AI155)+1,0))</f>
        <v/>
      </c>
      <c r="AJ156" s="34" t="str">
        <f>IF($BE156="","",IF(ISNUMBER(MATCH($BE156,AR$5:AR$29999,0)),MAX(AJ$4:AJ155)+1,0))</f>
        <v/>
      </c>
      <c r="AK156" s="34" t="str">
        <f>IF($BE156="","",IF(ISNUMBER(MATCH($BE156,AS$5:AS$29999,0)),MAX(AK$4:AK155)+1,0))</f>
        <v/>
      </c>
      <c r="AL156" s="34" t="str">
        <f>IF($BE156="","",IF(ISNUMBER(MATCH($BE156,AT$5:AT$29999,0)),MAX(AL$4:AL155)+1,0))</f>
        <v/>
      </c>
      <c r="AM156" s="34" t="str">
        <f>IF($BE156="","",IF(ISNUMBER(MATCH($BE156,AU$5:AU$29999,0)),MAX(AM$4:AM155)+1,0))</f>
        <v/>
      </c>
      <c r="AN156" s="34" t="str">
        <f>IF($BE156="","",IF(ISNUMBER(MATCH($BE156,AV$5:AV$29999,0)),MAX(AN$4:AN155)+1,0))</f>
        <v/>
      </c>
      <c r="AO156" s="16"/>
      <c r="AP156" s="33"/>
      <c r="AQ156" s="33"/>
      <c r="AR156" s="33"/>
      <c r="AS156" s="33"/>
      <c r="AT156" s="32"/>
      <c r="AU156" s="32"/>
      <c r="AV156" s="32" t="s">
        <v>0</v>
      </c>
      <c r="AW156" s="20"/>
      <c r="AX156" s="20" t="s">
        <v>0</v>
      </c>
      <c r="AY156" s="30"/>
      <c r="AZ156" s="30"/>
      <c r="BA156" s="20"/>
      <c r="BB156" s="20"/>
      <c r="BC156" s="17"/>
      <c r="BD156" s="17"/>
      <c r="BE156" s="20"/>
      <c r="BF156" s="17"/>
      <c r="BG156" s="19"/>
      <c r="BH156" s="19"/>
      <c r="BI156" s="19"/>
      <c r="BJ156" s="19"/>
      <c r="BK156" s="19"/>
      <c r="BL156" s="19"/>
      <c r="BM156" s="19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</row>
    <row r="157" spans="1:78" ht="12" customHeight="1" x14ac:dyDescent="0.25">
      <c r="A157" s="26"/>
      <c r="B157" s="28"/>
      <c r="C157" s="28"/>
      <c r="D157" s="15" t="str">
        <f>IF(IF(ISNUMBER(B157),"",MAX(D$4:D156)+1)&lt;=D$3,IF(ISNUMBER(B157),"",MAX(D$4:D156)+1),"")</f>
        <v/>
      </c>
      <c r="E157" s="28"/>
      <c r="F157" s="28"/>
      <c r="G157" s="27"/>
      <c r="H157" s="15"/>
      <c r="I157" s="15" t="str">
        <f>IF(O157="","",IF(ISNUMBER(MATCH(O157,$G$5:$G$1000,0)),"",IF(D157=1,B$4,0)+MAX(I$4:I156)+1))</f>
        <v/>
      </c>
      <c r="J157" s="27"/>
      <c r="K157" s="27"/>
      <c r="L157" s="26"/>
      <c r="M157" s="14">
        <f>IF(ROW()-ROW(M$4)&lt;=1000,ROW()-ROW(M$4),"")</f>
        <v>153</v>
      </c>
      <c r="N157" s="29"/>
      <c r="O157" s="29"/>
      <c r="P157" s="17"/>
      <c r="Q157" s="16" t="s">
        <v>0</v>
      </c>
      <c r="R157" s="34" t="str">
        <f>IF(ROW()-ROW(R$4)&lt;=AH$3,ROW()-ROW(R$4),"")</f>
        <v/>
      </c>
      <c r="S157" s="34" t="str">
        <f>IF(ROW()-ROW(S$4)&lt;=AI$3,ROW()-ROW(S$4),"")</f>
        <v/>
      </c>
      <c r="T157" s="34" t="str">
        <f>IF(ROW()-ROW(T$4)&lt;=AJ$3,ROW()-ROW(T$4),"")</f>
        <v/>
      </c>
      <c r="U157" s="34" t="str">
        <f>IF(ROW()-ROW(U$4)&lt;=AK$3,ROW()-ROW(U$4),"")</f>
        <v/>
      </c>
      <c r="V157" s="34" t="str">
        <f>IF(ROW()-ROW(V$4)&lt;=AL$3,ROW()-ROW(V$4),"")</f>
        <v/>
      </c>
      <c r="W157" s="34" t="str">
        <f>IF(ROW()-ROW(W$4)&lt;=AM$3,ROW()-ROW(W$4),"")</f>
        <v/>
      </c>
      <c r="X157" s="34" t="str">
        <f>IF(ROW()-ROW(X$4)&lt;=AN$3,ROW()-ROW(X$4),"")</f>
        <v/>
      </c>
      <c r="Y157" s="34"/>
      <c r="Z157" s="35" t="str">
        <f>IF(ISNUMBER(R157),INDEX($BE$5:$BE$2999,MATCH(R157,AH$5:AH$2999,0),1),"")</f>
        <v/>
      </c>
      <c r="AA157" s="35" t="str">
        <f>IF(ISNUMBER(S157),INDEX($BE$5:$BE$2999,MATCH(S157,AI$5:AI$2999,0),1),"")</f>
        <v/>
      </c>
      <c r="AB157" s="35" t="str">
        <f>IF(ISNUMBER(T157),INDEX($BE$5:$BE$2999,MATCH(T157,AJ$5:AJ$2999,0),1),"")</f>
        <v/>
      </c>
      <c r="AC157" s="35" t="str">
        <f>IF(ISNUMBER(U157),INDEX($BE$5:$BE$2999,MATCH(U157,AK$5:AK$2999,0),1),"")</f>
        <v/>
      </c>
      <c r="AD157" s="35" t="str">
        <f>IF(ISNUMBER(V157),INDEX($BE$5:$BE$2999,MATCH(V157,AL$5:AL$2999,0),1),"")</f>
        <v/>
      </c>
      <c r="AE157" s="35" t="str">
        <f>IF(ISNUMBER(W157),INDEX($BE$5:$BE$2999,MATCH(W157,AM$5:AM$2999,0),1),"")</f>
        <v/>
      </c>
      <c r="AF157" s="35" t="str">
        <f>IF(ISNUMBER(X157),INDEX($BE$5:$BE$2999,MATCH(X157,AN$5:AN$2999,0),1),"")</f>
        <v/>
      </c>
      <c r="AG157" s="35"/>
      <c r="AH157" s="34" t="str">
        <f>IF($BE157="","",IF(ISNUMBER(MATCH($BE157,AP$5:AP$29999,0)),MAX(AH$4:AH156)+1,0))</f>
        <v/>
      </c>
      <c r="AI157" s="34" t="str">
        <f>IF($BE157="","",IF(ISNUMBER(MATCH($BE157,AQ$5:AQ$29999,0)),MAX(AI$4:AI156)+1,0))</f>
        <v/>
      </c>
      <c r="AJ157" s="34" t="str">
        <f>IF($BE157="","",IF(ISNUMBER(MATCH($BE157,AR$5:AR$29999,0)),MAX(AJ$4:AJ156)+1,0))</f>
        <v/>
      </c>
      <c r="AK157" s="34" t="str">
        <f>IF($BE157="","",IF(ISNUMBER(MATCH($BE157,AS$5:AS$29999,0)),MAX(AK$4:AK156)+1,0))</f>
        <v/>
      </c>
      <c r="AL157" s="34" t="str">
        <f>IF($BE157="","",IF(ISNUMBER(MATCH($BE157,AT$5:AT$29999,0)),MAX(AL$4:AL156)+1,0))</f>
        <v/>
      </c>
      <c r="AM157" s="34" t="str">
        <f>IF($BE157="","",IF(ISNUMBER(MATCH($BE157,AU$5:AU$29999,0)),MAX(AM$4:AM156)+1,0))</f>
        <v/>
      </c>
      <c r="AN157" s="34" t="str">
        <f>IF($BE157="","",IF(ISNUMBER(MATCH($BE157,AV$5:AV$29999,0)),MAX(AN$4:AN156)+1,0))</f>
        <v/>
      </c>
      <c r="AO157" s="16"/>
      <c r="AP157" s="33"/>
      <c r="AQ157" s="33"/>
      <c r="AR157" s="33"/>
      <c r="AS157" s="33"/>
      <c r="AT157" s="32"/>
      <c r="AU157" s="32"/>
      <c r="AV157" s="32" t="s">
        <v>0</v>
      </c>
      <c r="AW157" s="20"/>
      <c r="AX157" s="20" t="s">
        <v>0</v>
      </c>
      <c r="AY157" s="30"/>
      <c r="AZ157" s="30"/>
      <c r="BA157" s="20"/>
      <c r="BB157" s="20"/>
      <c r="BC157" s="17"/>
      <c r="BD157" s="17"/>
      <c r="BE157" s="20"/>
      <c r="BF157" s="17"/>
      <c r="BG157" s="19"/>
      <c r="BH157" s="19"/>
      <c r="BI157" s="19"/>
      <c r="BJ157" s="19"/>
      <c r="BK157" s="19"/>
      <c r="BL157" s="19"/>
      <c r="BM157" s="19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</row>
    <row r="158" spans="1:78" ht="12" customHeight="1" x14ac:dyDescent="0.25">
      <c r="A158" s="26"/>
      <c r="B158" s="28"/>
      <c r="C158" s="28"/>
      <c r="D158" s="15" t="str">
        <f>IF(IF(ISNUMBER(B158),"",MAX(D$4:D157)+1)&lt;=D$3,IF(ISNUMBER(B158),"",MAX(D$4:D157)+1),"")</f>
        <v/>
      </c>
      <c r="E158" s="28"/>
      <c r="F158" s="28"/>
      <c r="G158" s="27"/>
      <c r="H158" s="15"/>
      <c r="I158" s="15" t="str">
        <f>IF(O158="","",IF(ISNUMBER(MATCH(O158,$G$5:$G$1000,0)),"",IF(D158=1,B$4,0)+MAX(I$4:I157)+1))</f>
        <v/>
      </c>
      <c r="J158" s="27"/>
      <c r="K158" s="27"/>
      <c r="L158" s="26"/>
      <c r="M158" s="14">
        <f>IF(ROW()-ROW(M$4)&lt;=1000,ROW()-ROW(M$4),"")</f>
        <v>154</v>
      </c>
      <c r="N158" s="29"/>
      <c r="O158" s="29"/>
      <c r="P158" s="17"/>
      <c r="Q158" s="16" t="s">
        <v>0</v>
      </c>
      <c r="R158" s="34" t="str">
        <f>IF(ROW()-ROW(R$4)&lt;=AH$3,ROW()-ROW(R$4),"")</f>
        <v/>
      </c>
      <c r="S158" s="34" t="str">
        <f>IF(ROW()-ROW(S$4)&lt;=AI$3,ROW()-ROW(S$4),"")</f>
        <v/>
      </c>
      <c r="T158" s="34" t="str">
        <f>IF(ROW()-ROW(T$4)&lt;=AJ$3,ROW()-ROW(T$4),"")</f>
        <v/>
      </c>
      <c r="U158" s="34" t="str">
        <f>IF(ROW()-ROW(U$4)&lt;=AK$3,ROW()-ROW(U$4),"")</f>
        <v/>
      </c>
      <c r="V158" s="34" t="str">
        <f>IF(ROW()-ROW(V$4)&lt;=AL$3,ROW()-ROW(V$4),"")</f>
        <v/>
      </c>
      <c r="W158" s="34" t="str">
        <f>IF(ROW()-ROW(W$4)&lt;=AM$3,ROW()-ROW(W$4),"")</f>
        <v/>
      </c>
      <c r="X158" s="34" t="str">
        <f>IF(ROW()-ROW(X$4)&lt;=AN$3,ROW()-ROW(X$4),"")</f>
        <v/>
      </c>
      <c r="Y158" s="34"/>
      <c r="Z158" s="35" t="str">
        <f>IF(ISNUMBER(R158),INDEX($BE$5:$BE$2999,MATCH(R158,AH$5:AH$2999,0),1),"")</f>
        <v/>
      </c>
      <c r="AA158" s="35" t="str">
        <f>IF(ISNUMBER(S158),INDEX($BE$5:$BE$2999,MATCH(S158,AI$5:AI$2999,0),1),"")</f>
        <v/>
      </c>
      <c r="AB158" s="35" t="str">
        <f>IF(ISNUMBER(T158),INDEX($BE$5:$BE$2999,MATCH(T158,AJ$5:AJ$2999,0),1),"")</f>
        <v/>
      </c>
      <c r="AC158" s="35" t="str">
        <f>IF(ISNUMBER(U158),INDEX($BE$5:$BE$2999,MATCH(U158,AK$5:AK$2999,0),1),"")</f>
        <v/>
      </c>
      <c r="AD158" s="35" t="str">
        <f>IF(ISNUMBER(V158),INDEX($BE$5:$BE$2999,MATCH(V158,AL$5:AL$2999,0),1),"")</f>
        <v/>
      </c>
      <c r="AE158" s="35" t="str">
        <f>IF(ISNUMBER(W158),INDEX($BE$5:$BE$2999,MATCH(W158,AM$5:AM$2999,0),1),"")</f>
        <v/>
      </c>
      <c r="AF158" s="35" t="str">
        <f>IF(ISNUMBER(X158),INDEX($BE$5:$BE$2999,MATCH(X158,AN$5:AN$2999,0),1),"")</f>
        <v/>
      </c>
      <c r="AG158" s="35"/>
      <c r="AH158" s="34" t="str">
        <f>IF($BE158="","",IF(ISNUMBER(MATCH($BE158,AP$5:AP$29999,0)),MAX(AH$4:AH157)+1,0))</f>
        <v/>
      </c>
      <c r="AI158" s="34" t="str">
        <f>IF($BE158="","",IF(ISNUMBER(MATCH($BE158,AQ$5:AQ$29999,0)),MAX(AI$4:AI157)+1,0))</f>
        <v/>
      </c>
      <c r="AJ158" s="34" t="str">
        <f>IF($BE158="","",IF(ISNUMBER(MATCH($BE158,AR$5:AR$29999,0)),MAX(AJ$4:AJ157)+1,0))</f>
        <v/>
      </c>
      <c r="AK158" s="34" t="str">
        <f>IF($BE158="","",IF(ISNUMBER(MATCH($BE158,AS$5:AS$29999,0)),MAX(AK$4:AK157)+1,0))</f>
        <v/>
      </c>
      <c r="AL158" s="34" t="str">
        <f>IF($BE158="","",IF(ISNUMBER(MATCH($BE158,AT$5:AT$29999,0)),MAX(AL$4:AL157)+1,0))</f>
        <v/>
      </c>
      <c r="AM158" s="34" t="str">
        <f>IF($BE158="","",IF(ISNUMBER(MATCH($BE158,AU$5:AU$29999,0)),MAX(AM$4:AM157)+1,0))</f>
        <v/>
      </c>
      <c r="AN158" s="34" t="str">
        <f>IF($BE158="","",IF(ISNUMBER(MATCH($BE158,AV$5:AV$29999,0)),MAX(AN$4:AN157)+1,0))</f>
        <v/>
      </c>
      <c r="AO158" s="16"/>
      <c r="AP158" s="33"/>
      <c r="AQ158" s="33"/>
      <c r="AR158" s="33"/>
      <c r="AS158" s="33"/>
      <c r="AT158" s="32"/>
      <c r="AU158" s="32"/>
      <c r="AV158" s="32" t="s">
        <v>0</v>
      </c>
      <c r="AW158" s="20"/>
      <c r="AX158" s="20" t="s">
        <v>0</v>
      </c>
      <c r="AY158" s="30"/>
      <c r="AZ158" s="30"/>
      <c r="BA158" s="20"/>
      <c r="BB158" s="20"/>
      <c r="BC158" s="17"/>
      <c r="BD158" s="17"/>
      <c r="BE158" s="20"/>
      <c r="BF158" s="17"/>
      <c r="BG158" s="19"/>
      <c r="BH158" s="19"/>
      <c r="BI158" s="19"/>
      <c r="BJ158" s="19"/>
      <c r="BK158" s="19"/>
      <c r="BL158" s="19"/>
      <c r="BM158" s="19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</row>
    <row r="159" spans="1:78" ht="12" customHeight="1" x14ac:dyDescent="0.25">
      <c r="A159" s="26"/>
      <c r="B159" s="28"/>
      <c r="C159" s="28"/>
      <c r="D159" s="15" t="str">
        <f>IF(IF(ISNUMBER(B159),"",MAX(D$4:D158)+1)&lt;=D$3,IF(ISNUMBER(B159),"",MAX(D$4:D158)+1),"")</f>
        <v/>
      </c>
      <c r="E159" s="28"/>
      <c r="F159" s="28"/>
      <c r="G159" s="27"/>
      <c r="H159" s="15"/>
      <c r="I159" s="15" t="str">
        <f>IF(O159="","",IF(ISNUMBER(MATCH(O159,$G$5:$G$1000,0)),"",IF(D159=1,B$4,0)+MAX(I$4:I158)+1))</f>
        <v/>
      </c>
      <c r="J159" s="27"/>
      <c r="K159" s="27"/>
      <c r="L159" s="26"/>
      <c r="M159" s="14">
        <f>IF(ROW()-ROW(M$4)&lt;=1000,ROW()-ROW(M$4),"")</f>
        <v>155</v>
      </c>
      <c r="N159" s="29"/>
      <c r="O159" s="29"/>
      <c r="P159" s="17"/>
      <c r="Q159" s="16" t="s">
        <v>0</v>
      </c>
      <c r="R159" s="34" t="str">
        <f>IF(ROW()-ROW(R$4)&lt;=AH$3,ROW()-ROW(R$4),"")</f>
        <v/>
      </c>
      <c r="S159" s="34" t="str">
        <f>IF(ROW()-ROW(S$4)&lt;=AI$3,ROW()-ROW(S$4),"")</f>
        <v/>
      </c>
      <c r="T159" s="34" t="str">
        <f>IF(ROW()-ROW(T$4)&lt;=AJ$3,ROW()-ROW(T$4),"")</f>
        <v/>
      </c>
      <c r="U159" s="34" t="str">
        <f>IF(ROW()-ROW(U$4)&lt;=AK$3,ROW()-ROW(U$4),"")</f>
        <v/>
      </c>
      <c r="V159" s="34" t="str">
        <f>IF(ROW()-ROW(V$4)&lt;=AL$3,ROW()-ROW(V$4),"")</f>
        <v/>
      </c>
      <c r="W159" s="34" t="str">
        <f>IF(ROW()-ROW(W$4)&lt;=AM$3,ROW()-ROW(W$4),"")</f>
        <v/>
      </c>
      <c r="X159" s="34" t="str">
        <f>IF(ROW()-ROW(X$4)&lt;=AN$3,ROW()-ROW(X$4),"")</f>
        <v/>
      </c>
      <c r="Y159" s="34"/>
      <c r="Z159" s="35" t="str">
        <f>IF(ISNUMBER(R159),INDEX($BE$5:$BE$2999,MATCH(R159,AH$5:AH$2999,0),1),"")</f>
        <v/>
      </c>
      <c r="AA159" s="35" t="str">
        <f>IF(ISNUMBER(S159),INDEX($BE$5:$BE$2999,MATCH(S159,AI$5:AI$2999,0),1),"")</f>
        <v/>
      </c>
      <c r="AB159" s="35" t="str">
        <f>IF(ISNUMBER(T159),INDEX($BE$5:$BE$2999,MATCH(T159,AJ$5:AJ$2999,0),1),"")</f>
        <v/>
      </c>
      <c r="AC159" s="35" t="str">
        <f>IF(ISNUMBER(U159),INDEX($BE$5:$BE$2999,MATCH(U159,AK$5:AK$2999,0),1),"")</f>
        <v/>
      </c>
      <c r="AD159" s="35" t="str">
        <f>IF(ISNUMBER(V159),INDEX($BE$5:$BE$2999,MATCH(V159,AL$5:AL$2999,0),1),"")</f>
        <v/>
      </c>
      <c r="AE159" s="35" t="str">
        <f>IF(ISNUMBER(W159),INDEX($BE$5:$BE$2999,MATCH(W159,AM$5:AM$2999,0),1),"")</f>
        <v/>
      </c>
      <c r="AF159" s="35" t="str">
        <f>IF(ISNUMBER(X159),INDEX($BE$5:$BE$2999,MATCH(X159,AN$5:AN$2999,0),1),"")</f>
        <v/>
      </c>
      <c r="AG159" s="35"/>
      <c r="AH159" s="34" t="str">
        <f>IF($BE159="","",IF(ISNUMBER(MATCH($BE159,AP$5:AP$29999,0)),MAX(AH$4:AH158)+1,0))</f>
        <v/>
      </c>
      <c r="AI159" s="34" t="str">
        <f>IF($BE159="","",IF(ISNUMBER(MATCH($BE159,AQ$5:AQ$29999,0)),MAX(AI$4:AI158)+1,0))</f>
        <v/>
      </c>
      <c r="AJ159" s="34" t="str">
        <f>IF($BE159="","",IF(ISNUMBER(MATCH($BE159,AR$5:AR$29999,0)),MAX(AJ$4:AJ158)+1,0))</f>
        <v/>
      </c>
      <c r="AK159" s="34" t="str">
        <f>IF($BE159="","",IF(ISNUMBER(MATCH($BE159,AS$5:AS$29999,0)),MAX(AK$4:AK158)+1,0))</f>
        <v/>
      </c>
      <c r="AL159" s="34" t="str">
        <f>IF($BE159="","",IF(ISNUMBER(MATCH($BE159,AT$5:AT$29999,0)),MAX(AL$4:AL158)+1,0))</f>
        <v/>
      </c>
      <c r="AM159" s="34" t="str">
        <f>IF($BE159="","",IF(ISNUMBER(MATCH($BE159,AU$5:AU$29999,0)),MAX(AM$4:AM158)+1,0))</f>
        <v/>
      </c>
      <c r="AN159" s="34" t="str">
        <f>IF($BE159="","",IF(ISNUMBER(MATCH($BE159,AV$5:AV$29999,0)),MAX(AN$4:AN158)+1,0))</f>
        <v/>
      </c>
      <c r="AO159" s="16"/>
      <c r="AP159" s="33"/>
      <c r="AQ159" s="33"/>
      <c r="AR159" s="33"/>
      <c r="AS159" s="33"/>
      <c r="AT159" s="32"/>
      <c r="AU159" s="32"/>
      <c r="AV159" s="32" t="s">
        <v>0</v>
      </c>
      <c r="AW159" s="20"/>
      <c r="AX159" s="20" t="s">
        <v>0</v>
      </c>
      <c r="AY159" s="30"/>
      <c r="AZ159" s="30"/>
      <c r="BA159" s="20"/>
      <c r="BB159" s="20"/>
      <c r="BC159" s="17"/>
      <c r="BD159" s="17"/>
      <c r="BE159" s="20"/>
      <c r="BF159" s="17"/>
      <c r="BG159" s="19"/>
      <c r="BH159" s="19"/>
      <c r="BI159" s="19"/>
      <c r="BJ159" s="19"/>
      <c r="BK159" s="19"/>
      <c r="BL159" s="19"/>
      <c r="BM159" s="19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</row>
    <row r="160" spans="1:78" ht="12" customHeight="1" x14ac:dyDescent="0.25">
      <c r="A160" s="26"/>
      <c r="B160" s="28"/>
      <c r="C160" s="28"/>
      <c r="D160" s="15" t="str">
        <f>IF(IF(ISNUMBER(B160),"",MAX(D$4:D159)+1)&lt;=D$3,IF(ISNUMBER(B160),"",MAX(D$4:D159)+1),"")</f>
        <v/>
      </c>
      <c r="E160" s="28"/>
      <c r="F160" s="28"/>
      <c r="G160" s="27"/>
      <c r="H160" s="15"/>
      <c r="I160" s="15" t="str">
        <f>IF(O160="","",IF(ISNUMBER(MATCH(O160,$G$5:$G$1000,0)),"",IF(D160=1,B$4,0)+MAX(I$4:I159)+1))</f>
        <v/>
      </c>
      <c r="J160" s="27"/>
      <c r="K160" s="27"/>
      <c r="L160" s="26"/>
      <c r="M160" s="14">
        <f>IF(ROW()-ROW(M$4)&lt;=1000,ROW()-ROW(M$4),"")</f>
        <v>156</v>
      </c>
      <c r="N160" s="29"/>
      <c r="O160" s="29"/>
      <c r="P160" s="17"/>
      <c r="Q160" s="16" t="s">
        <v>0</v>
      </c>
      <c r="R160" s="34" t="str">
        <f>IF(ROW()-ROW(R$4)&lt;=AH$3,ROW()-ROW(R$4),"")</f>
        <v/>
      </c>
      <c r="S160" s="34" t="str">
        <f>IF(ROW()-ROW(S$4)&lt;=AI$3,ROW()-ROW(S$4),"")</f>
        <v/>
      </c>
      <c r="T160" s="34" t="str">
        <f>IF(ROW()-ROW(T$4)&lt;=AJ$3,ROW()-ROW(T$4),"")</f>
        <v/>
      </c>
      <c r="U160" s="34" t="str">
        <f>IF(ROW()-ROW(U$4)&lt;=AK$3,ROW()-ROW(U$4),"")</f>
        <v/>
      </c>
      <c r="V160" s="34" t="str">
        <f>IF(ROW()-ROW(V$4)&lt;=AL$3,ROW()-ROW(V$4),"")</f>
        <v/>
      </c>
      <c r="W160" s="34" t="str">
        <f>IF(ROW()-ROW(W$4)&lt;=AM$3,ROW()-ROW(W$4),"")</f>
        <v/>
      </c>
      <c r="X160" s="34" t="str">
        <f>IF(ROW()-ROW(X$4)&lt;=AN$3,ROW()-ROW(X$4),"")</f>
        <v/>
      </c>
      <c r="Y160" s="34"/>
      <c r="Z160" s="35" t="str">
        <f>IF(ISNUMBER(R160),INDEX($BE$5:$BE$2999,MATCH(R160,AH$5:AH$2999,0),1),"")</f>
        <v/>
      </c>
      <c r="AA160" s="35" t="str">
        <f>IF(ISNUMBER(S160),INDEX($BE$5:$BE$2999,MATCH(S160,AI$5:AI$2999,0),1),"")</f>
        <v/>
      </c>
      <c r="AB160" s="35" t="str">
        <f>IF(ISNUMBER(T160),INDEX($BE$5:$BE$2999,MATCH(T160,AJ$5:AJ$2999,0),1),"")</f>
        <v/>
      </c>
      <c r="AC160" s="35" t="str">
        <f>IF(ISNUMBER(U160),INDEX($BE$5:$BE$2999,MATCH(U160,AK$5:AK$2999,0),1),"")</f>
        <v/>
      </c>
      <c r="AD160" s="35" t="str">
        <f>IF(ISNUMBER(V160),INDEX($BE$5:$BE$2999,MATCH(V160,AL$5:AL$2999,0),1),"")</f>
        <v/>
      </c>
      <c r="AE160" s="35" t="str">
        <f>IF(ISNUMBER(W160),INDEX($BE$5:$BE$2999,MATCH(W160,AM$5:AM$2999,0),1),"")</f>
        <v/>
      </c>
      <c r="AF160" s="35" t="str">
        <f>IF(ISNUMBER(X160),INDEX($BE$5:$BE$2999,MATCH(X160,AN$5:AN$2999,0),1),"")</f>
        <v/>
      </c>
      <c r="AG160" s="35"/>
      <c r="AH160" s="34" t="str">
        <f>IF($BE160="","",IF(ISNUMBER(MATCH($BE160,AP$5:AP$29999,0)),MAX(AH$4:AH159)+1,0))</f>
        <v/>
      </c>
      <c r="AI160" s="34" t="str">
        <f>IF($BE160="","",IF(ISNUMBER(MATCH($BE160,AQ$5:AQ$29999,0)),MAX(AI$4:AI159)+1,0))</f>
        <v/>
      </c>
      <c r="AJ160" s="34" t="str">
        <f>IF($BE160="","",IF(ISNUMBER(MATCH($BE160,AR$5:AR$29999,0)),MAX(AJ$4:AJ159)+1,0))</f>
        <v/>
      </c>
      <c r="AK160" s="34" t="str">
        <f>IF($BE160="","",IF(ISNUMBER(MATCH($BE160,AS$5:AS$29999,0)),MAX(AK$4:AK159)+1,0))</f>
        <v/>
      </c>
      <c r="AL160" s="34" t="str">
        <f>IF($BE160="","",IF(ISNUMBER(MATCH($BE160,AT$5:AT$29999,0)),MAX(AL$4:AL159)+1,0))</f>
        <v/>
      </c>
      <c r="AM160" s="34" t="str">
        <f>IF($BE160="","",IF(ISNUMBER(MATCH($BE160,AU$5:AU$29999,0)),MAX(AM$4:AM159)+1,0))</f>
        <v/>
      </c>
      <c r="AN160" s="34" t="str">
        <f>IF($BE160="","",IF(ISNUMBER(MATCH($BE160,AV$5:AV$29999,0)),MAX(AN$4:AN159)+1,0))</f>
        <v/>
      </c>
      <c r="AO160" s="16"/>
      <c r="AP160" s="33"/>
      <c r="AQ160" s="33"/>
      <c r="AR160" s="33"/>
      <c r="AS160" s="33"/>
      <c r="AT160" s="32"/>
      <c r="AU160" s="32"/>
      <c r="AV160" s="32" t="s">
        <v>0</v>
      </c>
      <c r="AW160" s="20"/>
      <c r="AX160" s="20" t="s">
        <v>0</v>
      </c>
      <c r="AY160" s="30"/>
      <c r="AZ160" s="30"/>
      <c r="BA160" s="20"/>
      <c r="BB160" s="20"/>
      <c r="BC160" s="17"/>
      <c r="BD160" s="17"/>
      <c r="BE160" s="20"/>
      <c r="BF160" s="17"/>
      <c r="BG160" s="19"/>
      <c r="BH160" s="19"/>
      <c r="BI160" s="19"/>
      <c r="BJ160" s="19"/>
      <c r="BK160" s="19"/>
      <c r="BL160" s="19"/>
      <c r="BM160" s="19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</row>
    <row r="161" spans="1:78" ht="12" customHeight="1" x14ac:dyDescent="0.25">
      <c r="A161" s="26"/>
      <c r="B161" s="28"/>
      <c r="C161" s="28"/>
      <c r="D161" s="15" t="str">
        <f>IF(IF(ISNUMBER(B161),"",MAX(D$4:D160)+1)&lt;=D$3,IF(ISNUMBER(B161),"",MAX(D$4:D160)+1),"")</f>
        <v/>
      </c>
      <c r="E161" s="28"/>
      <c r="F161" s="28"/>
      <c r="G161" s="27"/>
      <c r="H161" s="15"/>
      <c r="I161" s="15" t="str">
        <f>IF(O161="","",IF(ISNUMBER(MATCH(O161,$G$5:$G$1000,0)),"",IF(D161=1,B$4,0)+MAX(I$4:I160)+1))</f>
        <v/>
      </c>
      <c r="J161" s="27"/>
      <c r="K161" s="27"/>
      <c r="L161" s="26"/>
      <c r="M161" s="14">
        <f>IF(ROW()-ROW(M$4)&lt;=1000,ROW()-ROW(M$4),"")</f>
        <v>157</v>
      </c>
      <c r="N161" s="29"/>
      <c r="O161" s="29"/>
      <c r="P161" s="17"/>
      <c r="Q161" s="16" t="s">
        <v>0</v>
      </c>
      <c r="R161" s="34" t="str">
        <f>IF(ROW()-ROW(R$4)&lt;=AH$3,ROW()-ROW(R$4),"")</f>
        <v/>
      </c>
      <c r="S161" s="34" t="str">
        <f>IF(ROW()-ROW(S$4)&lt;=AI$3,ROW()-ROW(S$4),"")</f>
        <v/>
      </c>
      <c r="T161" s="34" t="str">
        <f>IF(ROW()-ROW(T$4)&lt;=AJ$3,ROW()-ROW(T$4),"")</f>
        <v/>
      </c>
      <c r="U161" s="34" t="str">
        <f>IF(ROW()-ROW(U$4)&lt;=AK$3,ROW()-ROW(U$4),"")</f>
        <v/>
      </c>
      <c r="V161" s="34" t="str">
        <f>IF(ROW()-ROW(V$4)&lt;=AL$3,ROW()-ROW(V$4),"")</f>
        <v/>
      </c>
      <c r="W161" s="34" t="str">
        <f>IF(ROW()-ROW(W$4)&lt;=AM$3,ROW()-ROW(W$4),"")</f>
        <v/>
      </c>
      <c r="X161" s="34" t="str">
        <f>IF(ROW()-ROW(X$4)&lt;=AN$3,ROW()-ROW(X$4),"")</f>
        <v/>
      </c>
      <c r="Y161" s="34"/>
      <c r="Z161" s="35" t="str">
        <f>IF(ISNUMBER(R161),INDEX($BE$5:$BE$2999,MATCH(R161,AH$5:AH$2999,0),1),"")</f>
        <v/>
      </c>
      <c r="AA161" s="35" t="str">
        <f>IF(ISNUMBER(S161),INDEX($BE$5:$BE$2999,MATCH(S161,AI$5:AI$2999,0),1),"")</f>
        <v/>
      </c>
      <c r="AB161" s="35" t="str">
        <f>IF(ISNUMBER(T161),INDEX($BE$5:$BE$2999,MATCH(T161,AJ$5:AJ$2999,0),1),"")</f>
        <v/>
      </c>
      <c r="AC161" s="35" t="str">
        <f>IF(ISNUMBER(U161),INDEX($BE$5:$BE$2999,MATCH(U161,AK$5:AK$2999,0),1),"")</f>
        <v/>
      </c>
      <c r="AD161" s="35" t="str">
        <f>IF(ISNUMBER(V161),INDEX($BE$5:$BE$2999,MATCH(V161,AL$5:AL$2999,0),1),"")</f>
        <v/>
      </c>
      <c r="AE161" s="35" t="str">
        <f>IF(ISNUMBER(W161),INDEX($BE$5:$BE$2999,MATCH(W161,AM$5:AM$2999,0),1),"")</f>
        <v/>
      </c>
      <c r="AF161" s="35" t="str">
        <f>IF(ISNUMBER(X161),INDEX($BE$5:$BE$2999,MATCH(X161,AN$5:AN$2999,0),1),"")</f>
        <v/>
      </c>
      <c r="AG161" s="35"/>
      <c r="AH161" s="34" t="str">
        <f>IF($BE161="","",IF(ISNUMBER(MATCH($BE161,AP$5:AP$29999,0)),MAX(AH$4:AH160)+1,0))</f>
        <v/>
      </c>
      <c r="AI161" s="34" t="str">
        <f>IF($BE161="","",IF(ISNUMBER(MATCH($BE161,AQ$5:AQ$29999,0)),MAX(AI$4:AI160)+1,0))</f>
        <v/>
      </c>
      <c r="AJ161" s="34" t="str">
        <f>IF($BE161="","",IF(ISNUMBER(MATCH($BE161,AR$5:AR$29999,0)),MAX(AJ$4:AJ160)+1,0))</f>
        <v/>
      </c>
      <c r="AK161" s="34" t="str">
        <f>IF($BE161="","",IF(ISNUMBER(MATCH($BE161,AS$5:AS$29999,0)),MAX(AK$4:AK160)+1,0))</f>
        <v/>
      </c>
      <c r="AL161" s="34" t="str">
        <f>IF($BE161="","",IF(ISNUMBER(MATCH($BE161,AT$5:AT$29999,0)),MAX(AL$4:AL160)+1,0))</f>
        <v/>
      </c>
      <c r="AM161" s="34" t="str">
        <f>IF($BE161="","",IF(ISNUMBER(MATCH($BE161,AU$5:AU$29999,0)),MAX(AM$4:AM160)+1,0))</f>
        <v/>
      </c>
      <c r="AN161" s="34" t="str">
        <f>IF($BE161="","",IF(ISNUMBER(MATCH($BE161,AV$5:AV$29999,0)),MAX(AN$4:AN160)+1,0))</f>
        <v/>
      </c>
      <c r="AO161" s="16"/>
      <c r="AP161" s="33"/>
      <c r="AQ161" s="33"/>
      <c r="AR161" s="33"/>
      <c r="AS161" s="33"/>
      <c r="AT161" s="32"/>
      <c r="AU161" s="32"/>
      <c r="AV161" s="32" t="s">
        <v>0</v>
      </c>
      <c r="AW161" s="20"/>
      <c r="AX161" s="20" t="s">
        <v>0</v>
      </c>
      <c r="AY161" s="30"/>
      <c r="AZ161" s="30"/>
      <c r="BA161" s="20"/>
      <c r="BB161" s="20"/>
      <c r="BC161" s="17"/>
      <c r="BD161" s="17"/>
      <c r="BE161" s="20"/>
      <c r="BF161" s="17"/>
      <c r="BG161" s="19"/>
      <c r="BH161" s="19"/>
      <c r="BI161" s="19"/>
      <c r="BJ161" s="19"/>
      <c r="BK161" s="19"/>
      <c r="BL161" s="19"/>
      <c r="BM161" s="19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</row>
    <row r="162" spans="1:78" ht="12" customHeight="1" x14ac:dyDescent="0.25">
      <c r="A162" s="26"/>
      <c r="B162" s="28"/>
      <c r="C162" s="28"/>
      <c r="D162" s="15" t="str">
        <f>IF(IF(ISNUMBER(B162),"",MAX(D$4:D161)+1)&lt;=D$3,IF(ISNUMBER(B162),"",MAX(D$4:D161)+1),"")</f>
        <v/>
      </c>
      <c r="E162" s="28"/>
      <c r="F162" s="28"/>
      <c r="G162" s="27"/>
      <c r="H162" s="15"/>
      <c r="I162" s="15" t="str">
        <f>IF(O162="","",IF(ISNUMBER(MATCH(O162,$G$5:$G$1000,0)),"",IF(D162=1,B$4,0)+MAX(I$4:I161)+1))</f>
        <v/>
      </c>
      <c r="J162" s="27"/>
      <c r="K162" s="27"/>
      <c r="L162" s="26"/>
      <c r="M162" s="14">
        <f>IF(ROW()-ROW(M$4)&lt;=1000,ROW()-ROW(M$4),"")</f>
        <v>158</v>
      </c>
      <c r="N162" s="29"/>
      <c r="O162" s="29"/>
      <c r="P162" s="17"/>
      <c r="Q162" s="16" t="s">
        <v>0</v>
      </c>
      <c r="R162" s="34" t="str">
        <f>IF(ROW()-ROW(R$4)&lt;=AH$3,ROW()-ROW(R$4),"")</f>
        <v/>
      </c>
      <c r="S162" s="34" t="str">
        <f>IF(ROW()-ROW(S$4)&lt;=AI$3,ROW()-ROW(S$4),"")</f>
        <v/>
      </c>
      <c r="T162" s="34" t="str">
        <f>IF(ROW()-ROW(T$4)&lt;=AJ$3,ROW()-ROW(T$4),"")</f>
        <v/>
      </c>
      <c r="U162" s="34" t="str">
        <f>IF(ROW()-ROW(U$4)&lt;=AK$3,ROW()-ROW(U$4),"")</f>
        <v/>
      </c>
      <c r="V162" s="34" t="str">
        <f>IF(ROW()-ROW(V$4)&lt;=AL$3,ROW()-ROW(V$4),"")</f>
        <v/>
      </c>
      <c r="W162" s="34" t="str">
        <f>IF(ROW()-ROW(W$4)&lt;=AM$3,ROW()-ROW(W$4),"")</f>
        <v/>
      </c>
      <c r="X162" s="34" t="str">
        <f>IF(ROW()-ROW(X$4)&lt;=AN$3,ROW()-ROW(X$4),"")</f>
        <v/>
      </c>
      <c r="Y162" s="34"/>
      <c r="Z162" s="35" t="str">
        <f>IF(ISNUMBER(R162),INDEX($BE$5:$BE$2999,MATCH(R162,AH$5:AH$2999,0),1),"")</f>
        <v/>
      </c>
      <c r="AA162" s="35" t="str">
        <f>IF(ISNUMBER(S162),INDEX($BE$5:$BE$2999,MATCH(S162,AI$5:AI$2999,0),1),"")</f>
        <v/>
      </c>
      <c r="AB162" s="35" t="str">
        <f>IF(ISNUMBER(T162),INDEX($BE$5:$BE$2999,MATCH(T162,AJ$5:AJ$2999,0),1),"")</f>
        <v/>
      </c>
      <c r="AC162" s="35" t="str">
        <f>IF(ISNUMBER(U162),INDEX($BE$5:$BE$2999,MATCH(U162,AK$5:AK$2999,0),1),"")</f>
        <v/>
      </c>
      <c r="AD162" s="35" t="str">
        <f>IF(ISNUMBER(V162),INDEX($BE$5:$BE$2999,MATCH(V162,AL$5:AL$2999,0),1),"")</f>
        <v/>
      </c>
      <c r="AE162" s="35" t="str">
        <f>IF(ISNUMBER(W162),INDEX($BE$5:$BE$2999,MATCH(W162,AM$5:AM$2999,0),1),"")</f>
        <v/>
      </c>
      <c r="AF162" s="35" t="str">
        <f>IF(ISNUMBER(X162),INDEX($BE$5:$BE$2999,MATCH(X162,AN$5:AN$2999,0),1),"")</f>
        <v/>
      </c>
      <c r="AG162" s="35"/>
      <c r="AH162" s="34" t="str">
        <f>IF($BE162="","",IF(ISNUMBER(MATCH($BE162,AP$5:AP$29999,0)),MAX(AH$4:AH161)+1,0))</f>
        <v/>
      </c>
      <c r="AI162" s="34" t="str">
        <f>IF($BE162="","",IF(ISNUMBER(MATCH($BE162,AQ$5:AQ$29999,0)),MAX(AI$4:AI161)+1,0))</f>
        <v/>
      </c>
      <c r="AJ162" s="34" t="str">
        <f>IF($BE162="","",IF(ISNUMBER(MATCH($BE162,AR$5:AR$29999,0)),MAX(AJ$4:AJ161)+1,0))</f>
        <v/>
      </c>
      <c r="AK162" s="34" t="str">
        <f>IF($BE162="","",IF(ISNUMBER(MATCH($BE162,AS$5:AS$29999,0)),MAX(AK$4:AK161)+1,0))</f>
        <v/>
      </c>
      <c r="AL162" s="34" t="str">
        <f>IF($BE162="","",IF(ISNUMBER(MATCH($BE162,AT$5:AT$29999,0)),MAX(AL$4:AL161)+1,0))</f>
        <v/>
      </c>
      <c r="AM162" s="34" t="str">
        <f>IF($BE162="","",IF(ISNUMBER(MATCH($BE162,AU$5:AU$29999,0)),MAX(AM$4:AM161)+1,0))</f>
        <v/>
      </c>
      <c r="AN162" s="34" t="str">
        <f>IF($BE162="","",IF(ISNUMBER(MATCH($BE162,AV$5:AV$29999,0)),MAX(AN$4:AN161)+1,0))</f>
        <v/>
      </c>
      <c r="AO162" s="16"/>
      <c r="AP162" s="33"/>
      <c r="AQ162" s="33"/>
      <c r="AR162" s="33"/>
      <c r="AS162" s="33"/>
      <c r="AT162" s="32"/>
      <c r="AU162" s="32"/>
      <c r="AV162" s="32" t="s">
        <v>0</v>
      </c>
      <c r="AW162" s="20"/>
      <c r="AX162" s="20" t="s">
        <v>0</v>
      </c>
      <c r="AY162" s="30"/>
      <c r="AZ162" s="30"/>
      <c r="BA162" s="20"/>
      <c r="BB162" s="20"/>
      <c r="BC162" s="17"/>
      <c r="BD162" s="17"/>
      <c r="BE162" s="20"/>
      <c r="BF162" s="17"/>
      <c r="BG162" s="19"/>
      <c r="BH162" s="19"/>
      <c r="BI162" s="19"/>
      <c r="BJ162" s="19"/>
      <c r="BK162" s="19"/>
      <c r="BL162" s="19"/>
      <c r="BM162" s="19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</row>
    <row r="163" spans="1:78" ht="12" customHeight="1" x14ac:dyDescent="0.25">
      <c r="A163" s="26"/>
      <c r="B163" s="28"/>
      <c r="C163" s="28"/>
      <c r="D163" s="15" t="str">
        <f>IF(IF(ISNUMBER(B163),"",MAX(D$4:D162)+1)&lt;=D$3,IF(ISNUMBER(B163),"",MAX(D$4:D162)+1),"")</f>
        <v/>
      </c>
      <c r="E163" s="28"/>
      <c r="F163" s="28"/>
      <c r="G163" s="27"/>
      <c r="H163" s="15"/>
      <c r="I163" s="15" t="str">
        <f>IF(O163="","",IF(ISNUMBER(MATCH(O163,$G$5:$G$1000,0)),"",IF(D163=1,B$4,0)+MAX(I$4:I162)+1))</f>
        <v/>
      </c>
      <c r="J163" s="27"/>
      <c r="K163" s="27"/>
      <c r="L163" s="26"/>
      <c r="M163" s="14">
        <f>IF(ROW()-ROW(M$4)&lt;=1000,ROW()-ROW(M$4),"")</f>
        <v>159</v>
      </c>
      <c r="N163" s="29"/>
      <c r="O163" s="29"/>
      <c r="P163" s="17"/>
      <c r="Q163" s="16" t="s">
        <v>0</v>
      </c>
      <c r="R163" s="34" t="str">
        <f>IF(ROW()-ROW(R$4)&lt;=AH$3,ROW()-ROW(R$4),"")</f>
        <v/>
      </c>
      <c r="S163" s="34" t="str">
        <f>IF(ROW()-ROW(S$4)&lt;=AI$3,ROW()-ROW(S$4),"")</f>
        <v/>
      </c>
      <c r="T163" s="34" t="str">
        <f>IF(ROW()-ROW(T$4)&lt;=AJ$3,ROW()-ROW(T$4),"")</f>
        <v/>
      </c>
      <c r="U163" s="34" t="str">
        <f>IF(ROW()-ROW(U$4)&lt;=AK$3,ROW()-ROW(U$4),"")</f>
        <v/>
      </c>
      <c r="V163" s="34" t="str">
        <f>IF(ROW()-ROW(V$4)&lt;=AL$3,ROW()-ROW(V$4),"")</f>
        <v/>
      </c>
      <c r="W163" s="34" t="str">
        <f>IF(ROW()-ROW(W$4)&lt;=AM$3,ROW()-ROW(W$4),"")</f>
        <v/>
      </c>
      <c r="X163" s="34" t="str">
        <f>IF(ROW()-ROW(X$4)&lt;=AN$3,ROW()-ROW(X$4),"")</f>
        <v/>
      </c>
      <c r="Y163" s="34"/>
      <c r="Z163" s="35" t="str">
        <f>IF(ISNUMBER(R163),INDEX($BE$5:$BE$2999,MATCH(R163,AH$5:AH$2999,0),1),"")</f>
        <v/>
      </c>
      <c r="AA163" s="35" t="str">
        <f>IF(ISNUMBER(S163),INDEX($BE$5:$BE$2999,MATCH(S163,AI$5:AI$2999,0),1),"")</f>
        <v/>
      </c>
      <c r="AB163" s="35" t="str">
        <f>IF(ISNUMBER(T163),INDEX($BE$5:$BE$2999,MATCH(T163,AJ$5:AJ$2999,0),1),"")</f>
        <v/>
      </c>
      <c r="AC163" s="35" t="str">
        <f>IF(ISNUMBER(U163),INDEX($BE$5:$BE$2999,MATCH(U163,AK$5:AK$2999,0),1),"")</f>
        <v/>
      </c>
      <c r="AD163" s="35" t="str">
        <f>IF(ISNUMBER(V163),INDEX($BE$5:$BE$2999,MATCH(V163,AL$5:AL$2999,0),1),"")</f>
        <v/>
      </c>
      <c r="AE163" s="35" t="str">
        <f>IF(ISNUMBER(W163),INDEX($BE$5:$BE$2999,MATCH(W163,AM$5:AM$2999,0),1),"")</f>
        <v/>
      </c>
      <c r="AF163" s="35" t="str">
        <f>IF(ISNUMBER(X163),INDEX($BE$5:$BE$2999,MATCH(X163,AN$5:AN$2999,0),1),"")</f>
        <v/>
      </c>
      <c r="AG163" s="35"/>
      <c r="AH163" s="34" t="str">
        <f>IF($BE163="","",IF(ISNUMBER(MATCH($BE163,AP$5:AP$29999,0)),MAX(AH$4:AH162)+1,0))</f>
        <v/>
      </c>
      <c r="AI163" s="34" t="str">
        <f>IF($BE163="","",IF(ISNUMBER(MATCH($BE163,AQ$5:AQ$29999,0)),MAX(AI$4:AI162)+1,0))</f>
        <v/>
      </c>
      <c r="AJ163" s="34" t="str">
        <f>IF($BE163="","",IF(ISNUMBER(MATCH($BE163,AR$5:AR$29999,0)),MAX(AJ$4:AJ162)+1,0))</f>
        <v/>
      </c>
      <c r="AK163" s="34" t="str">
        <f>IF($BE163="","",IF(ISNUMBER(MATCH($BE163,AS$5:AS$29999,0)),MAX(AK$4:AK162)+1,0))</f>
        <v/>
      </c>
      <c r="AL163" s="34" t="str">
        <f>IF($BE163="","",IF(ISNUMBER(MATCH($BE163,AT$5:AT$29999,0)),MAX(AL$4:AL162)+1,0))</f>
        <v/>
      </c>
      <c r="AM163" s="34" t="str">
        <f>IF($BE163="","",IF(ISNUMBER(MATCH($BE163,AU$5:AU$29999,0)),MAX(AM$4:AM162)+1,0))</f>
        <v/>
      </c>
      <c r="AN163" s="34" t="str">
        <f>IF($BE163="","",IF(ISNUMBER(MATCH($BE163,AV$5:AV$29999,0)),MAX(AN$4:AN162)+1,0))</f>
        <v/>
      </c>
      <c r="AO163" s="16"/>
      <c r="AP163" s="33"/>
      <c r="AQ163" s="33"/>
      <c r="AR163" s="33"/>
      <c r="AS163" s="33"/>
      <c r="AT163" s="32"/>
      <c r="AU163" s="32"/>
      <c r="AV163" s="32" t="s">
        <v>0</v>
      </c>
      <c r="AW163" s="20"/>
      <c r="AX163" s="20" t="s">
        <v>0</v>
      </c>
      <c r="AY163" s="30"/>
      <c r="AZ163" s="30"/>
      <c r="BA163" s="20"/>
      <c r="BB163" s="20"/>
      <c r="BC163" s="17"/>
      <c r="BD163" s="17"/>
      <c r="BE163" s="20"/>
      <c r="BF163" s="17"/>
      <c r="BG163" s="19"/>
      <c r="BH163" s="19"/>
      <c r="BI163" s="19"/>
      <c r="BJ163" s="19"/>
      <c r="BK163" s="19"/>
      <c r="BL163" s="19"/>
      <c r="BM163" s="19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</row>
    <row r="164" spans="1:78" ht="12" customHeight="1" x14ac:dyDescent="0.25">
      <c r="A164" s="26"/>
      <c r="B164" s="28"/>
      <c r="C164" s="28"/>
      <c r="D164" s="15" t="str">
        <f>IF(IF(ISNUMBER(B164),"",MAX(D$4:D163)+1)&lt;=D$3,IF(ISNUMBER(B164),"",MAX(D$4:D163)+1),"")</f>
        <v/>
      </c>
      <c r="E164" s="28"/>
      <c r="F164" s="28"/>
      <c r="G164" s="27"/>
      <c r="H164" s="15"/>
      <c r="I164" s="15" t="str">
        <f>IF(O164="","",IF(ISNUMBER(MATCH(O164,$G$5:$G$1000,0)),"",IF(D164=1,B$4,0)+MAX(I$4:I163)+1))</f>
        <v/>
      </c>
      <c r="J164" s="27"/>
      <c r="K164" s="27"/>
      <c r="L164" s="26"/>
      <c r="M164" s="14">
        <f>IF(ROW()-ROW(M$4)&lt;=1000,ROW()-ROW(M$4),"")</f>
        <v>160</v>
      </c>
      <c r="N164" s="29"/>
      <c r="O164" s="29"/>
      <c r="P164" s="17"/>
      <c r="Q164" s="16" t="s">
        <v>0</v>
      </c>
      <c r="R164" s="34" t="str">
        <f>IF(ROW()-ROW(R$4)&lt;=AH$3,ROW()-ROW(R$4),"")</f>
        <v/>
      </c>
      <c r="S164" s="34" t="str">
        <f>IF(ROW()-ROW(S$4)&lt;=AI$3,ROW()-ROW(S$4),"")</f>
        <v/>
      </c>
      <c r="T164" s="34" t="str">
        <f>IF(ROW()-ROW(T$4)&lt;=AJ$3,ROW()-ROW(T$4),"")</f>
        <v/>
      </c>
      <c r="U164" s="34" t="str">
        <f>IF(ROW()-ROW(U$4)&lt;=AK$3,ROW()-ROW(U$4),"")</f>
        <v/>
      </c>
      <c r="V164" s="34" t="str">
        <f>IF(ROW()-ROW(V$4)&lt;=AL$3,ROW()-ROW(V$4),"")</f>
        <v/>
      </c>
      <c r="W164" s="34" t="str">
        <f>IF(ROW()-ROW(W$4)&lt;=AM$3,ROW()-ROW(W$4),"")</f>
        <v/>
      </c>
      <c r="X164" s="34" t="str">
        <f>IF(ROW()-ROW(X$4)&lt;=AN$3,ROW()-ROW(X$4),"")</f>
        <v/>
      </c>
      <c r="Y164" s="34"/>
      <c r="Z164" s="35" t="str">
        <f>IF(ISNUMBER(R164),INDEX($BE$5:$BE$2999,MATCH(R164,AH$5:AH$2999,0),1),"")</f>
        <v/>
      </c>
      <c r="AA164" s="35" t="str">
        <f>IF(ISNUMBER(S164),INDEX($BE$5:$BE$2999,MATCH(S164,AI$5:AI$2999,0),1),"")</f>
        <v/>
      </c>
      <c r="AB164" s="35" t="str">
        <f>IF(ISNUMBER(T164),INDEX($BE$5:$BE$2999,MATCH(T164,AJ$5:AJ$2999,0),1),"")</f>
        <v/>
      </c>
      <c r="AC164" s="35" t="str">
        <f>IF(ISNUMBER(U164),INDEX($BE$5:$BE$2999,MATCH(U164,AK$5:AK$2999,0),1),"")</f>
        <v/>
      </c>
      <c r="AD164" s="35" t="str">
        <f>IF(ISNUMBER(V164),INDEX($BE$5:$BE$2999,MATCH(V164,AL$5:AL$2999,0),1),"")</f>
        <v/>
      </c>
      <c r="AE164" s="35" t="str">
        <f>IF(ISNUMBER(W164),INDEX($BE$5:$BE$2999,MATCH(W164,AM$5:AM$2999,0),1),"")</f>
        <v/>
      </c>
      <c r="AF164" s="35" t="str">
        <f>IF(ISNUMBER(X164),INDEX($BE$5:$BE$2999,MATCH(X164,AN$5:AN$2999,0),1),"")</f>
        <v/>
      </c>
      <c r="AG164" s="35"/>
      <c r="AH164" s="34" t="str">
        <f>IF($BE164="","",IF(ISNUMBER(MATCH($BE164,AP$5:AP$29999,0)),MAX(AH$4:AH163)+1,0))</f>
        <v/>
      </c>
      <c r="AI164" s="34" t="str">
        <f>IF($BE164="","",IF(ISNUMBER(MATCH($BE164,AQ$5:AQ$29999,0)),MAX(AI$4:AI163)+1,0))</f>
        <v/>
      </c>
      <c r="AJ164" s="34" t="str">
        <f>IF($BE164="","",IF(ISNUMBER(MATCH($BE164,AR$5:AR$29999,0)),MAX(AJ$4:AJ163)+1,0))</f>
        <v/>
      </c>
      <c r="AK164" s="34" t="str">
        <f>IF($BE164="","",IF(ISNUMBER(MATCH($BE164,AS$5:AS$29999,0)),MAX(AK$4:AK163)+1,0))</f>
        <v/>
      </c>
      <c r="AL164" s="34" t="str">
        <f>IF($BE164="","",IF(ISNUMBER(MATCH($BE164,AT$5:AT$29999,0)),MAX(AL$4:AL163)+1,0))</f>
        <v/>
      </c>
      <c r="AM164" s="34" t="str">
        <f>IF($BE164="","",IF(ISNUMBER(MATCH($BE164,AU$5:AU$29999,0)),MAX(AM$4:AM163)+1,0))</f>
        <v/>
      </c>
      <c r="AN164" s="34" t="str">
        <f>IF($BE164="","",IF(ISNUMBER(MATCH($BE164,AV$5:AV$29999,0)),MAX(AN$4:AN163)+1,0))</f>
        <v/>
      </c>
      <c r="AO164" s="16"/>
      <c r="AP164" s="33"/>
      <c r="AQ164" s="33"/>
      <c r="AR164" s="33"/>
      <c r="AS164" s="33"/>
      <c r="AT164" s="32"/>
      <c r="AU164" s="32"/>
      <c r="AV164" s="32" t="s">
        <v>0</v>
      </c>
      <c r="AW164" s="20"/>
      <c r="AX164" s="20" t="s">
        <v>0</v>
      </c>
      <c r="AY164" s="30"/>
      <c r="AZ164" s="30"/>
      <c r="BA164" s="20"/>
      <c r="BB164" s="20"/>
      <c r="BC164" s="17"/>
      <c r="BD164" s="17"/>
      <c r="BE164" s="20"/>
      <c r="BF164" s="17"/>
      <c r="BG164" s="19"/>
      <c r="BH164" s="19"/>
      <c r="BI164" s="19"/>
      <c r="BJ164" s="19"/>
      <c r="BK164" s="19"/>
      <c r="BL164" s="19"/>
      <c r="BM164" s="19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</row>
    <row r="165" spans="1:78" ht="12" customHeight="1" x14ac:dyDescent="0.25">
      <c r="A165" s="26"/>
      <c r="B165" s="28"/>
      <c r="C165" s="28"/>
      <c r="D165" s="15" t="str">
        <f>IF(IF(ISNUMBER(B165),"",MAX(D$4:D164)+1)&lt;=D$3,IF(ISNUMBER(B165),"",MAX(D$4:D164)+1),"")</f>
        <v/>
      </c>
      <c r="E165" s="28"/>
      <c r="F165" s="28"/>
      <c r="G165" s="27"/>
      <c r="H165" s="15"/>
      <c r="I165" s="15" t="str">
        <f>IF(O165="","",IF(ISNUMBER(MATCH(O165,$G$5:$G$1000,0)),"",IF(D165=1,B$4,0)+MAX(I$4:I164)+1))</f>
        <v/>
      </c>
      <c r="J165" s="27"/>
      <c r="K165" s="27"/>
      <c r="L165" s="26"/>
      <c r="M165" s="14">
        <f>IF(ROW()-ROW(M$4)&lt;=1000,ROW()-ROW(M$4),"")</f>
        <v>161</v>
      </c>
      <c r="N165" s="29"/>
      <c r="O165" s="29"/>
      <c r="P165" s="17"/>
      <c r="Q165" s="16" t="s">
        <v>0</v>
      </c>
      <c r="R165" s="34" t="str">
        <f>IF(ROW()-ROW(R$4)&lt;=AH$3,ROW()-ROW(R$4),"")</f>
        <v/>
      </c>
      <c r="S165" s="34" t="str">
        <f>IF(ROW()-ROW(S$4)&lt;=AI$3,ROW()-ROW(S$4),"")</f>
        <v/>
      </c>
      <c r="T165" s="34" t="str">
        <f>IF(ROW()-ROW(T$4)&lt;=AJ$3,ROW()-ROW(T$4),"")</f>
        <v/>
      </c>
      <c r="U165" s="34" t="str">
        <f>IF(ROW()-ROW(U$4)&lt;=AK$3,ROW()-ROW(U$4),"")</f>
        <v/>
      </c>
      <c r="V165" s="34" t="str">
        <f>IF(ROW()-ROW(V$4)&lt;=AL$3,ROW()-ROW(V$4),"")</f>
        <v/>
      </c>
      <c r="W165" s="34" t="str">
        <f>IF(ROW()-ROW(W$4)&lt;=AM$3,ROW()-ROW(W$4),"")</f>
        <v/>
      </c>
      <c r="X165" s="34" t="str">
        <f>IF(ROW()-ROW(X$4)&lt;=AN$3,ROW()-ROW(X$4),"")</f>
        <v/>
      </c>
      <c r="Y165" s="34"/>
      <c r="Z165" s="35" t="str">
        <f>IF(ISNUMBER(R165),INDEX($BE$5:$BE$2999,MATCH(R165,AH$5:AH$2999,0),1),"")</f>
        <v/>
      </c>
      <c r="AA165" s="35" t="str">
        <f>IF(ISNUMBER(S165),INDEX($BE$5:$BE$2999,MATCH(S165,AI$5:AI$2999,0),1),"")</f>
        <v/>
      </c>
      <c r="AB165" s="35" t="str">
        <f>IF(ISNUMBER(T165),INDEX($BE$5:$BE$2999,MATCH(T165,AJ$5:AJ$2999,0),1),"")</f>
        <v/>
      </c>
      <c r="AC165" s="35" t="str">
        <f>IF(ISNUMBER(U165),INDEX($BE$5:$BE$2999,MATCH(U165,AK$5:AK$2999,0),1),"")</f>
        <v/>
      </c>
      <c r="AD165" s="35" t="str">
        <f>IF(ISNUMBER(V165),INDEX($BE$5:$BE$2999,MATCH(V165,AL$5:AL$2999,0),1),"")</f>
        <v/>
      </c>
      <c r="AE165" s="35" t="str">
        <f>IF(ISNUMBER(W165),INDEX($BE$5:$BE$2999,MATCH(W165,AM$5:AM$2999,0),1),"")</f>
        <v/>
      </c>
      <c r="AF165" s="35" t="str">
        <f>IF(ISNUMBER(X165),INDEX($BE$5:$BE$2999,MATCH(X165,AN$5:AN$2999,0),1),"")</f>
        <v/>
      </c>
      <c r="AG165" s="35"/>
      <c r="AH165" s="34" t="str">
        <f>IF($BE165="","",IF(ISNUMBER(MATCH($BE165,AP$5:AP$29999,0)),MAX(AH$4:AH164)+1,0))</f>
        <v/>
      </c>
      <c r="AI165" s="34" t="str">
        <f>IF($BE165="","",IF(ISNUMBER(MATCH($BE165,AQ$5:AQ$29999,0)),MAX(AI$4:AI164)+1,0))</f>
        <v/>
      </c>
      <c r="AJ165" s="34" t="str">
        <f>IF($BE165="","",IF(ISNUMBER(MATCH($BE165,AR$5:AR$29999,0)),MAX(AJ$4:AJ164)+1,0))</f>
        <v/>
      </c>
      <c r="AK165" s="34" t="str">
        <f>IF($BE165="","",IF(ISNUMBER(MATCH($BE165,AS$5:AS$29999,0)),MAX(AK$4:AK164)+1,0))</f>
        <v/>
      </c>
      <c r="AL165" s="34" t="str">
        <f>IF($BE165="","",IF(ISNUMBER(MATCH($BE165,AT$5:AT$29999,0)),MAX(AL$4:AL164)+1,0))</f>
        <v/>
      </c>
      <c r="AM165" s="34" t="str">
        <f>IF($BE165="","",IF(ISNUMBER(MATCH($BE165,AU$5:AU$29999,0)),MAX(AM$4:AM164)+1,0))</f>
        <v/>
      </c>
      <c r="AN165" s="34" t="str">
        <f>IF($BE165="","",IF(ISNUMBER(MATCH($BE165,AV$5:AV$29999,0)),MAX(AN$4:AN164)+1,0))</f>
        <v/>
      </c>
      <c r="AO165" s="16"/>
      <c r="AP165" s="33"/>
      <c r="AQ165" s="33"/>
      <c r="AR165" s="33"/>
      <c r="AS165" s="33"/>
      <c r="AT165" s="32"/>
      <c r="AU165" s="32"/>
      <c r="AV165" s="32" t="s">
        <v>0</v>
      </c>
      <c r="AW165" s="20"/>
      <c r="AX165" s="20" t="s">
        <v>0</v>
      </c>
      <c r="AY165" s="30"/>
      <c r="AZ165" s="30"/>
      <c r="BA165" s="20"/>
      <c r="BB165" s="20"/>
      <c r="BC165" s="17"/>
      <c r="BD165" s="17"/>
      <c r="BE165" s="20"/>
      <c r="BF165" s="17"/>
      <c r="BG165" s="19"/>
      <c r="BH165" s="19"/>
      <c r="BI165" s="19"/>
      <c r="BJ165" s="19"/>
      <c r="BK165" s="19"/>
      <c r="BL165" s="19"/>
      <c r="BM165" s="19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</row>
    <row r="166" spans="1:78" ht="12" customHeight="1" x14ac:dyDescent="0.25">
      <c r="A166" s="26"/>
      <c r="B166" s="28"/>
      <c r="C166" s="28"/>
      <c r="D166" s="15" t="str">
        <f>IF(IF(ISNUMBER(B166),"",MAX(D$4:D165)+1)&lt;=D$3,IF(ISNUMBER(B166),"",MAX(D$4:D165)+1),"")</f>
        <v/>
      </c>
      <c r="E166" s="28"/>
      <c r="F166" s="28"/>
      <c r="G166" s="27"/>
      <c r="H166" s="15"/>
      <c r="I166" s="15" t="str">
        <f>IF(O166="","",IF(ISNUMBER(MATCH(O166,$G$5:$G$1000,0)),"",IF(D166=1,B$4,0)+MAX(I$4:I165)+1))</f>
        <v/>
      </c>
      <c r="J166" s="27"/>
      <c r="K166" s="27"/>
      <c r="L166" s="26"/>
      <c r="M166" s="14">
        <f>IF(ROW()-ROW(M$4)&lt;=1000,ROW()-ROW(M$4),"")</f>
        <v>162</v>
      </c>
      <c r="N166" s="29"/>
      <c r="O166" s="29"/>
      <c r="P166" s="17"/>
      <c r="Q166" s="16" t="s">
        <v>0</v>
      </c>
      <c r="R166" s="34" t="str">
        <f>IF(ROW()-ROW(R$4)&lt;=AH$3,ROW()-ROW(R$4),"")</f>
        <v/>
      </c>
      <c r="S166" s="34" t="str">
        <f>IF(ROW()-ROW(S$4)&lt;=AI$3,ROW()-ROW(S$4),"")</f>
        <v/>
      </c>
      <c r="T166" s="34" t="str">
        <f>IF(ROW()-ROW(T$4)&lt;=AJ$3,ROW()-ROW(T$4),"")</f>
        <v/>
      </c>
      <c r="U166" s="34" t="str">
        <f>IF(ROW()-ROW(U$4)&lt;=AK$3,ROW()-ROW(U$4),"")</f>
        <v/>
      </c>
      <c r="V166" s="34" t="str">
        <f>IF(ROW()-ROW(V$4)&lt;=AL$3,ROW()-ROW(V$4),"")</f>
        <v/>
      </c>
      <c r="W166" s="34" t="str">
        <f>IF(ROW()-ROW(W$4)&lt;=AM$3,ROW()-ROW(W$4),"")</f>
        <v/>
      </c>
      <c r="X166" s="34" t="str">
        <f>IF(ROW()-ROW(X$4)&lt;=AN$3,ROW()-ROW(X$4),"")</f>
        <v/>
      </c>
      <c r="Y166" s="34"/>
      <c r="Z166" s="35" t="str">
        <f>IF(ISNUMBER(R166),INDEX($BE$5:$BE$2999,MATCH(R166,AH$5:AH$2999,0),1),"")</f>
        <v/>
      </c>
      <c r="AA166" s="35" t="str">
        <f>IF(ISNUMBER(S166),INDEX($BE$5:$BE$2999,MATCH(S166,AI$5:AI$2999,0),1),"")</f>
        <v/>
      </c>
      <c r="AB166" s="35" t="str">
        <f>IF(ISNUMBER(T166),INDEX($BE$5:$BE$2999,MATCH(T166,AJ$5:AJ$2999,0),1),"")</f>
        <v/>
      </c>
      <c r="AC166" s="35" t="str">
        <f>IF(ISNUMBER(U166),INDEX($BE$5:$BE$2999,MATCH(U166,AK$5:AK$2999,0),1),"")</f>
        <v/>
      </c>
      <c r="AD166" s="35" t="str">
        <f>IF(ISNUMBER(V166),INDEX($BE$5:$BE$2999,MATCH(V166,AL$5:AL$2999,0),1),"")</f>
        <v/>
      </c>
      <c r="AE166" s="35" t="str">
        <f>IF(ISNUMBER(W166),INDEX($BE$5:$BE$2999,MATCH(W166,AM$5:AM$2999,0),1),"")</f>
        <v/>
      </c>
      <c r="AF166" s="35" t="str">
        <f>IF(ISNUMBER(X166),INDEX($BE$5:$BE$2999,MATCH(X166,AN$5:AN$2999,0),1),"")</f>
        <v/>
      </c>
      <c r="AG166" s="35"/>
      <c r="AH166" s="34" t="str">
        <f>IF($BE166="","",IF(ISNUMBER(MATCH($BE166,AP$5:AP$29999,0)),MAX(AH$4:AH165)+1,0))</f>
        <v/>
      </c>
      <c r="AI166" s="34" t="str">
        <f>IF($BE166="","",IF(ISNUMBER(MATCH($BE166,AQ$5:AQ$29999,0)),MAX(AI$4:AI165)+1,0))</f>
        <v/>
      </c>
      <c r="AJ166" s="34" t="str">
        <f>IF($BE166="","",IF(ISNUMBER(MATCH($BE166,AR$5:AR$29999,0)),MAX(AJ$4:AJ165)+1,0))</f>
        <v/>
      </c>
      <c r="AK166" s="34" t="str">
        <f>IF($BE166="","",IF(ISNUMBER(MATCH($BE166,AS$5:AS$29999,0)),MAX(AK$4:AK165)+1,0))</f>
        <v/>
      </c>
      <c r="AL166" s="34" t="str">
        <f>IF($BE166="","",IF(ISNUMBER(MATCH($BE166,AT$5:AT$29999,0)),MAX(AL$4:AL165)+1,0))</f>
        <v/>
      </c>
      <c r="AM166" s="34" t="str">
        <f>IF($BE166="","",IF(ISNUMBER(MATCH($BE166,AU$5:AU$29999,0)),MAX(AM$4:AM165)+1,0))</f>
        <v/>
      </c>
      <c r="AN166" s="34" t="str">
        <f>IF($BE166="","",IF(ISNUMBER(MATCH($BE166,AV$5:AV$29999,0)),MAX(AN$4:AN165)+1,0))</f>
        <v/>
      </c>
      <c r="AO166" s="16"/>
      <c r="AP166" s="33"/>
      <c r="AQ166" s="33"/>
      <c r="AR166" s="33"/>
      <c r="AS166" s="33"/>
      <c r="AT166" s="32"/>
      <c r="AU166" s="32"/>
      <c r="AV166" s="32" t="s">
        <v>0</v>
      </c>
      <c r="AW166" s="20"/>
      <c r="AX166" s="20" t="s">
        <v>0</v>
      </c>
      <c r="AY166" s="30"/>
      <c r="AZ166" s="30"/>
      <c r="BA166" s="20"/>
      <c r="BB166" s="20"/>
      <c r="BC166" s="17"/>
      <c r="BD166" s="17"/>
      <c r="BE166" s="20"/>
      <c r="BF166" s="17"/>
      <c r="BG166" s="19"/>
      <c r="BH166" s="19"/>
      <c r="BI166" s="19"/>
      <c r="BJ166" s="19"/>
      <c r="BK166" s="19"/>
      <c r="BL166" s="19"/>
      <c r="BM166" s="19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</row>
    <row r="167" spans="1:78" ht="12" customHeight="1" x14ac:dyDescent="0.25">
      <c r="A167" s="26"/>
      <c r="B167" s="28"/>
      <c r="C167" s="28"/>
      <c r="D167" s="15" t="str">
        <f>IF(IF(ISNUMBER(B167),"",MAX(D$4:D166)+1)&lt;=D$3,IF(ISNUMBER(B167),"",MAX(D$4:D166)+1),"")</f>
        <v/>
      </c>
      <c r="E167" s="28"/>
      <c r="F167" s="28"/>
      <c r="G167" s="27"/>
      <c r="H167" s="15"/>
      <c r="I167" s="15" t="str">
        <f>IF(O167="","",IF(ISNUMBER(MATCH(O167,$G$5:$G$1000,0)),"",IF(D167=1,B$4,0)+MAX(I$4:I166)+1))</f>
        <v/>
      </c>
      <c r="J167" s="27"/>
      <c r="K167" s="27"/>
      <c r="L167" s="26"/>
      <c r="M167" s="14">
        <f>IF(ROW()-ROW(M$4)&lt;=1000,ROW()-ROW(M$4),"")</f>
        <v>163</v>
      </c>
      <c r="N167" s="29"/>
      <c r="O167" s="29"/>
      <c r="P167" s="17"/>
      <c r="Q167" s="16" t="s">
        <v>0</v>
      </c>
      <c r="R167" s="34" t="str">
        <f>IF(ROW()-ROW(R$4)&lt;=AH$3,ROW()-ROW(R$4),"")</f>
        <v/>
      </c>
      <c r="S167" s="34" t="str">
        <f>IF(ROW()-ROW(S$4)&lt;=AI$3,ROW()-ROW(S$4),"")</f>
        <v/>
      </c>
      <c r="T167" s="34" t="str">
        <f>IF(ROW()-ROW(T$4)&lt;=AJ$3,ROW()-ROW(T$4),"")</f>
        <v/>
      </c>
      <c r="U167" s="34" t="str">
        <f>IF(ROW()-ROW(U$4)&lt;=AK$3,ROW()-ROW(U$4),"")</f>
        <v/>
      </c>
      <c r="V167" s="34" t="str">
        <f>IF(ROW()-ROW(V$4)&lt;=AL$3,ROW()-ROW(V$4),"")</f>
        <v/>
      </c>
      <c r="W167" s="34" t="str">
        <f>IF(ROW()-ROW(W$4)&lt;=AM$3,ROW()-ROW(W$4),"")</f>
        <v/>
      </c>
      <c r="X167" s="34" t="str">
        <f>IF(ROW()-ROW(X$4)&lt;=AN$3,ROW()-ROW(X$4),"")</f>
        <v/>
      </c>
      <c r="Y167" s="34"/>
      <c r="Z167" s="35" t="str">
        <f>IF(ISNUMBER(R167),INDEX($BE$5:$BE$2999,MATCH(R167,AH$5:AH$2999,0),1),"")</f>
        <v/>
      </c>
      <c r="AA167" s="35" t="str">
        <f>IF(ISNUMBER(S167),INDEX($BE$5:$BE$2999,MATCH(S167,AI$5:AI$2999,0),1),"")</f>
        <v/>
      </c>
      <c r="AB167" s="35" t="str">
        <f>IF(ISNUMBER(T167),INDEX($BE$5:$BE$2999,MATCH(T167,AJ$5:AJ$2999,0),1),"")</f>
        <v/>
      </c>
      <c r="AC167" s="35" t="str">
        <f>IF(ISNUMBER(U167),INDEX($BE$5:$BE$2999,MATCH(U167,AK$5:AK$2999,0),1),"")</f>
        <v/>
      </c>
      <c r="AD167" s="35" t="str">
        <f>IF(ISNUMBER(V167),INDEX($BE$5:$BE$2999,MATCH(V167,AL$5:AL$2999,0),1),"")</f>
        <v/>
      </c>
      <c r="AE167" s="35" t="str">
        <f>IF(ISNUMBER(W167),INDEX($BE$5:$BE$2999,MATCH(W167,AM$5:AM$2999,0),1),"")</f>
        <v/>
      </c>
      <c r="AF167" s="35" t="str">
        <f>IF(ISNUMBER(X167),INDEX($BE$5:$BE$2999,MATCH(X167,AN$5:AN$2999,0),1),"")</f>
        <v/>
      </c>
      <c r="AG167" s="35"/>
      <c r="AH167" s="34" t="str">
        <f>IF($BE167="","",IF(ISNUMBER(MATCH($BE167,AP$5:AP$29999,0)),MAX(AH$4:AH166)+1,0))</f>
        <v/>
      </c>
      <c r="AI167" s="34" t="str">
        <f>IF($BE167="","",IF(ISNUMBER(MATCH($BE167,AQ$5:AQ$29999,0)),MAX(AI$4:AI166)+1,0))</f>
        <v/>
      </c>
      <c r="AJ167" s="34" t="str">
        <f>IF($BE167="","",IF(ISNUMBER(MATCH($BE167,AR$5:AR$29999,0)),MAX(AJ$4:AJ166)+1,0))</f>
        <v/>
      </c>
      <c r="AK167" s="34" t="str">
        <f>IF($BE167="","",IF(ISNUMBER(MATCH($BE167,AS$5:AS$29999,0)),MAX(AK$4:AK166)+1,0))</f>
        <v/>
      </c>
      <c r="AL167" s="34" t="str">
        <f>IF($BE167="","",IF(ISNUMBER(MATCH($BE167,AT$5:AT$29999,0)),MAX(AL$4:AL166)+1,0))</f>
        <v/>
      </c>
      <c r="AM167" s="34" t="str">
        <f>IF($BE167="","",IF(ISNUMBER(MATCH($BE167,AU$5:AU$29999,0)),MAX(AM$4:AM166)+1,0))</f>
        <v/>
      </c>
      <c r="AN167" s="34" t="str">
        <f>IF($BE167="","",IF(ISNUMBER(MATCH($BE167,AV$5:AV$29999,0)),MAX(AN$4:AN166)+1,0))</f>
        <v/>
      </c>
      <c r="AO167" s="16"/>
      <c r="AP167" s="33"/>
      <c r="AQ167" s="33"/>
      <c r="AR167" s="33"/>
      <c r="AS167" s="33"/>
      <c r="AT167" s="32"/>
      <c r="AU167" s="32"/>
      <c r="AV167" s="32" t="s">
        <v>0</v>
      </c>
      <c r="AW167" s="20"/>
      <c r="AX167" s="20" t="s">
        <v>0</v>
      </c>
      <c r="AY167" s="30"/>
      <c r="AZ167" s="30"/>
      <c r="BA167" s="20"/>
      <c r="BB167" s="20"/>
      <c r="BC167" s="17"/>
      <c r="BD167" s="17"/>
      <c r="BE167" s="20"/>
      <c r="BF167" s="17"/>
      <c r="BG167" s="19"/>
      <c r="BH167" s="19"/>
      <c r="BI167" s="19"/>
      <c r="BJ167" s="19"/>
      <c r="BK167" s="19"/>
      <c r="BL167" s="19"/>
      <c r="BM167" s="19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</row>
    <row r="168" spans="1:78" ht="12" customHeight="1" x14ac:dyDescent="0.25">
      <c r="A168" s="26"/>
      <c r="B168" s="28"/>
      <c r="C168" s="28"/>
      <c r="D168" s="15" t="str">
        <f>IF(IF(ISNUMBER(B168),"",MAX(D$4:D167)+1)&lt;=D$3,IF(ISNUMBER(B168),"",MAX(D$4:D167)+1),"")</f>
        <v/>
      </c>
      <c r="E168" s="28"/>
      <c r="F168" s="28"/>
      <c r="G168" s="27"/>
      <c r="H168" s="15"/>
      <c r="I168" s="15" t="str">
        <f>IF(O168="","",IF(ISNUMBER(MATCH(O168,$G$5:$G$1000,0)),"",IF(D168=1,B$4,0)+MAX(I$4:I167)+1))</f>
        <v/>
      </c>
      <c r="J168" s="27"/>
      <c r="K168" s="27"/>
      <c r="L168" s="26"/>
      <c r="M168" s="14">
        <f>IF(ROW()-ROW(M$4)&lt;=1000,ROW()-ROW(M$4),"")</f>
        <v>164</v>
      </c>
      <c r="N168" s="29"/>
      <c r="O168" s="29"/>
      <c r="P168" s="17"/>
      <c r="Q168" s="16" t="s">
        <v>0</v>
      </c>
      <c r="R168" s="34" t="str">
        <f>IF(ROW()-ROW(R$4)&lt;=AH$3,ROW()-ROW(R$4),"")</f>
        <v/>
      </c>
      <c r="S168" s="34" t="str">
        <f>IF(ROW()-ROW(S$4)&lt;=AI$3,ROW()-ROW(S$4),"")</f>
        <v/>
      </c>
      <c r="T168" s="34" t="str">
        <f>IF(ROW()-ROW(T$4)&lt;=AJ$3,ROW()-ROW(T$4),"")</f>
        <v/>
      </c>
      <c r="U168" s="34" t="str">
        <f>IF(ROW()-ROW(U$4)&lt;=AK$3,ROW()-ROW(U$4),"")</f>
        <v/>
      </c>
      <c r="V168" s="34" t="str">
        <f>IF(ROW()-ROW(V$4)&lt;=AL$3,ROW()-ROW(V$4),"")</f>
        <v/>
      </c>
      <c r="W168" s="34" t="str">
        <f>IF(ROW()-ROW(W$4)&lt;=AM$3,ROW()-ROW(W$4),"")</f>
        <v/>
      </c>
      <c r="X168" s="34" t="str">
        <f>IF(ROW()-ROW(X$4)&lt;=AN$3,ROW()-ROW(X$4),"")</f>
        <v/>
      </c>
      <c r="Y168" s="34"/>
      <c r="Z168" s="35" t="str">
        <f>IF(ISNUMBER(R168),INDEX($BE$5:$BE$2999,MATCH(R168,AH$5:AH$2999,0),1),"")</f>
        <v/>
      </c>
      <c r="AA168" s="35" t="str">
        <f>IF(ISNUMBER(S168),INDEX($BE$5:$BE$2999,MATCH(S168,AI$5:AI$2999,0),1),"")</f>
        <v/>
      </c>
      <c r="AB168" s="35" t="str">
        <f>IF(ISNUMBER(T168),INDEX($BE$5:$BE$2999,MATCH(T168,AJ$5:AJ$2999,0),1),"")</f>
        <v/>
      </c>
      <c r="AC168" s="35" t="str">
        <f>IF(ISNUMBER(U168),INDEX($BE$5:$BE$2999,MATCH(U168,AK$5:AK$2999,0),1),"")</f>
        <v/>
      </c>
      <c r="AD168" s="35" t="str">
        <f>IF(ISNUMBER(V168),INDEX($BE$5:$BE$2999,MATCH(V168,AL$5:AL$2999,0),1),"")</f>
        <v/>
      </c>
      <c r="AE168" s="35" t="str">
        <f>IF(ISNUMBER(W168),INDEX($BE$5:$BE$2999,MATCH(W168,AM$5:AM$2999,0),1),"")</f>
        <v/>
      </c>
      <c r="AF168" s="35" t="str">
        <f>IF(ISNUMBER(X168),INDEX($BE$5:$BE$2999,MATCH(X168,AN$5:AN$2999,0),1),"")</f>
        <v/>
      </c>
      <c r="AG168" s="35"/>
      <c r="AH168" s="34" t="str">
        <f>IF($BE168="","",IF(ISNUMBER(MATCH($BE168,AP$5:AP$29999,0)),MAX(AH$4:AH167)+1,0))</f>
        <v/>
      </c>
      <c r="AI168" s="34" t="str">
        <f>IF($BE168="","",IF(ISNUMBER(MATCH($BE168,AQ$5:AQ$29999,0)),MAX(AI$4:AI167)+1,0))</f>
        <v/>
      </c>
      <c r="AJ168" s="34" t="str">
        <f>IF($BE168="","",IF(ISNUMBER(MATCH($BE168,AR$5:AR$29999,0)),MAX(AJ$4:AJ167)+1,0))</f>
        <v/>
      </c>
      <c r="AK168" s="34" t="str">
        <f>IF($BE168="","",IF(ISNUMBER(MATCH($BE168,AS$5:AS$29999,0)),MAX(AK$4:AK167)+1,0))</f>
        <v/>
      </c>
      <c r="AL168" s="34" t="str">
        <f>IF($BE168="","",IF(ISNUMBER(MATCH($BE168,AT$5:AT$29999,0)),MAX(AL$4:AL167)+1,0))</f>
        <v/>
      </c>
      <c r="AM168" s="34" t="str">
        <f>IF($BE168="","",IF(ISNUMBER(MATCH($BE168,AU$5:AU$29999,0)),MAX(AM$4:AM167)+1,0))</f>
        <v/>
      </c>
      <c r="AN168" s="34" t="str">
        <f>IF($BE168="","",IF(ISNUMBER(MATCH($BE168,AV$5:AV$29999,0)),MAX(AN$4:AN167)+1,0))</f>
        <v/>
      </c>
      <c r="AO168" s="16"/>
      <c r="AP168" s="33"/>
      <c r="AQ168" s="33"/>
      <c r="AR168" s="33"/>
      <c r="AS168" s="33"/>
      <c r="AT168" s="32"/>
      <c r="AU168" s="32"/>
      <c r="AV168" s="32" t="s">
        <v>0</v>
      </c>
      <c r="AW168" s="20"/>
      <c r="AX168" s="20" t="s">
        <v>0</v>
      </c>
      <c r="AY168" s="30"/>
      <c r="AZ168" s="30"/>
      <c r="BA168" s="20"/>
      <c r="BB168" s="20"/>
      <c r="BC168" s="17"/>
      <c r="BD168" s="17"/>
      <c r="BE168" s="20"/>
      <c r="BF168" s="17"/>
      <c r="BG168" s="19"/>
      <c r="BH168" s="19"/>
      <c r="BI168" s="19"/>
      <c r="BJ168" s="19"/>
      <c r="BK168" s="19"/>
      <c r="BL168" s="19"/>
      <c r="BM168" s="19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</row>
    <row r="169" spans="1:78" ht="12" customHeight="1" x14ac:dyDescent="0.25">
      <c r="A169" s="26"/>
      <c r="B169" s="28"/>
      <c r="C169" s="28"/>
      <c r="D169" s="15" t="str">
        <f>IF(IF(ISNUMBER(B169),"",MAX(D$4:D168)+1)&lt;=D$3,IF(ISNUMBER(B169),"",MAX(D$4:D168)+1),"")</f>
        <v/>
      </c>
      <c r="E169" s="28"/>
      <c r="F169" s="28"/>
      <c r="G169" s="27"/>
      <c r="H169" s="15"/>
      <c r="I169" s="15" t="str">
        <f>IF(O169="","",IF(ISNUMBER(MATCH(O169,$G$5:$G$1000,0)),"",IF(D169=1,B$4,0)+MAX(I$4:I168)+1))</f>
        <v/>
      </c>
      <c r="J169" s="27"/>
      <c r="K169" s="27"/>
      <c r="L169" s="26"/>
      <c r="M169" s="14">
        <f>IF(ROW()-ROW(M$4)&lt;=1000,ROW()-ROW(M$4),"")</f>
        <v>165</v>
      </c>
      <c r="N169" s="29"/>
      <c r="O169" s="29"/>
      <c r="P169" s="17"/>
      <c r="Q169" s="16" t="s">
        <v>0</v>
      </c>
      <c r="R169" s="34" t="str">
        <f>IF(ROW()-ROW(R$4)&lt;=AH$3,ROW()-ROW(R$4),"")</f>
        <v/>
      </c>
      <c r="S169" s="34" t="str">
        <f>IF(ROW()-ROW(S$4)&lt;=AI$3,ROW()-ROW(S$4),"")</f>
        <v/>
      </c>
      <c r="T169" s="34" t="str">
        <f>IF(ROW()-ROW(T$4)&lt;=AJ$3,ROW()-ROW(T$4),"")</f>
        <v/>
      </c>
      <c r="U169" s="34" t="str">
        <f>IF(ROW()-ROW(U$4)&lt;=AK$3,ROW()-ROW(U$4),"")</f>
        <v/>
      </c>
      <c r="V169" s="34" t="str">
        <f>IF(ROW()-ROW(V$4)&lt;=AL$3,ROW()-ROW(V$4),"")</f>
        <v/>
      </c>
      <c r="W169" s="34" t="str">
        <f>IF(ROW()-ROW(W$4)&lt;=AM$3,ROW()-ROW(W$4),"")</f>
        <v/>
      </c>
      <c r="X169" s="34" t="str">
        <f>IF(ROW()-ROW(X$4)&lt;=AN$3,ROW()-ROW(X$4),"")</f>
        <v/>
      </c>
      <c r="Y169" s="34"/>
      <c r="Z169" s="35" t="str">
        <f>IF(ISNUMBER(R169),INDEX($BE$5:$BE$2999,MATCH(R169,AH$5:AH$2999,0),1),"")</f>
        <v/>
      </c>
      <c r="AA169" s="35" t="str">
        <f>IF(ISNUMBER(S169),INDEX($BE$5:$BE$2999,MATCH(S169,AI$5:AI$2999,0),1),"")</f>
        <v/>
      </c>
      <c r="AB169" s="35" t="str">
        <f>IF(ISNUMBER(T169),INDEX($BE$5:$BE$2999,MATCH(T169,AJ$5:AJ$2999,0),1),"")</f>
        <v/>
      </c>
      <c r="AC169" s="35" t="str">
        <f>IF(ISNUMBER(U169),INDEX($BE$5:$BE$2999,MATCH(U169,AK$5:AK$2999,0),1),"")</f>
        <v/>
      </c>
      <c r="AD169" s="35" t="str">
        <f>IF(ISNUMBER(V169),INDEX($BE$5:$BE$2999,MATCH(V169,AL$5:AL$2999,0),1),"")</f>
        <v/>
      </c>
      <c r="AE169" s="35" t="str">
        <f>IF(ISNUMBER(W169),INDEX($BE$5:$BE$2999,MATCH(W169,AM$5:AM$2999,0),1),"")</f>
        <v/>
      </c>
      <c r="AF169" s="35" t="str">
        <f>IF(ISNUMBER(X169),INDEX($BE$5:$BE$2999,MATCH(X169,AN$5:AN$2999,0),1),"")</f>
        <v/>
      </c>
      <c r="AG169" s="35"/>
      <c r="AH169" s="34" t="str">
        <f>IF($BE169="","",IF(ISNUMBER(MATCH($BE169,AP$5:AP$29999,0)),MAX(AH$4:AH168)+1,0))</f>
        <v/>
      </c>
      <c r="AI169" s="34" t="str">
        <f>IF($BE169="","",IF(ISNUMBER(MATCH($BE169,AQ$5:AQ$29999,0)),MAX(AI$4:AI168)+1,0))</f>
        <v/>
      </c>
      <c r="AJ169" s="34" t="str">
        <f>IF($BE169="","",IF(ISNUMBER(MATCH($BE169,AR$5:AR$29999,0)),MAX(AJ$4:AJ168)+1,0))</f>
        <v/>
      </c>
      <c r="AK169" s="34" t="str">
        <f>IF($BE169="","",IF(ISNUMBER(MATCH($BE169,AS$5:AS$29999,0)),MAX(AK$4:AK168)+1,0))</f>
        <v/>
      </c>
      <c r="AL169" s="34" t="str">
        <f>IF($BE169="","",IF(ISNUMBER(MATCH($BE169,AT$5:AT$29999,0)),MAX(AL$4:AL168)+1,0))</f>
        <v/>
      </c>
      <c r="AM169" s="34" t="str">
        <f>IF($BE169="","",IF(ISNUMBER(MATCH($BE169,AU$5:AU$29999,0)),MAX(AM$4:AM168)+1,0))</f>
        <v/>
      </c>
      <c r="AN169" s="34" t="str">
        <f>IF($BE169="","",IF(ISNUMBER(MATCH($BE169,AV$5:AV$29999,0)),MAX(AN$4:AN168)+1,0))</f>
        <v/>
      </c>
      <c r="AO169" s="16"/>
      <c r="AP169" s="33"/>
      <c r="AQ169" s="33"/>
      <c r="AR169" s="33"/>
      <c r="AS169" s="33"/>
      <c r="AT169" s="32"/>
      <c r="AU169" s="32"/>
      <c r="AV169" s="32" t="s">
        <v>0</v>
      </c>
      <c r="AW169" s="20"/>
      <c r="AX169" s="20" t="s">
        <v>0</v>
      </c>
      <c r="AY169" s="30"/>
      <c r="AZ169" s="30"/>
      <c r="BA169" s="20"/>
      <c r="BB169" s="20"/>
      <c r="BC169" s="17"/>
      <c r="BD169" s="17"/>
      <c r="BE169" s="20"/>
      <c r="BF169" s="17"/>
      <c r="BG169" s="19"/>
      <c r="BH169" s="19"/>
      <c r="BI169" s="19"/>
      <c r="BJ169" s="19"/>
      <c r="BK169" s="19"/>
      <c r="BL169" s="19"/>
      <c r="BM169" s="19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</row>
    <row r="170" spans="1:78" ht="12" customHeight="1" x14ac:dyDescent="0.25">
      <c r="A170" s="26"/>
      <c r="B170" s="28"/>
      <c r="C170" s="28"/>
      <c r="D170" s="15" t="str">
        <f>IF(IF(ISNUMBER(B170),"",MAX(D$4:D169)+1)&lt;=D$3,IF(ISNUMBER(B170),"",MAX(D$4:D169)+1),"")</f>
        <v/>
      </c>
      <c r="E170" s="28"/>
      <c r="F170" s="28"/>
      <c r="G170" s="27"/>
      <c r="H170" s="15"/>
      <c r="I170" s="15" t="str">
        <f>IF(O170="","",IF(ISNUMBER(MATCH(O170,$G$5:$G$1000,0)),"",IF(D170=1,B$4,0)+MAX(I$4:I169)+1))</f>
        <v/>
      </c>
      <c r="J170" s="27"/>
      <c r="K170" s="27"/>
      <c r="L170" s="26"/>
      <c r="M170" s="14">
        <f>IF(ROW()-ROW(M$4)&lt;=1000,ROW()-ROW(M$4),"")</f>
        <v>166</v>
      </c>
      <c r="N170" s="29"/>
      <c r="O170" s="29"/>
      <c r="P170" s="17"/>
      <c r="Q170" s="16" t="s">
        <v>0</v>
      </c>
      <c r="R170" s="34" t="str">
        <f>IF(ROW()-ROW(R$4)&lt;=AH$3,ROW()-ROW(R$4),"")</f>
        <v/>
      </c>
      <c r="S170" s="34" t="str">
        <f>IF(ROW()-ROW(S$4)&lt;=AI$3,ROW()-ROW(S$4),"")</f>
        <v/>
      </c>
      <c r="T170" s="34" t="str">
        <f>IF(ROW()-ROW(T$4)&lt;=AJ$3,ROW()-ROW(T$4),"")</f>
        <v/>
      </c>
      <c r="U170" s="34" t="str">
        <f>IF(ROW()-ROW(U$4)&lt;=AK$3,ROW()-ROW(U$4),"")</f>
        <v/>
      </c>
      <c r="V170" s="34" t="str">
        <f>IF(ROW()-ROW(V$4)&lt;=AL$3,ROW()-ROW(V$4),"")</f>
        <v/>
      </c>
      <c r="W170" s="34" t="str">
        <f>IF(ROW()-ROW(W$4)&lt;=AM$3,ROW()-ROW(W$4),"")</f>
        <v/>
      </c>
      <c r="X170" s="34" t="str">
        <f>IF(ROW()-ROW(X$4)&lt;=AN$3,ROW()-ROW(X$4),"")</f>
        <v/>
      </c>
      <c r="Y170" s="34"/>
      <c r="Z170" s="35" t="str">
        <f>IF(ISNUMBER(R170),INDEX($BE$5:$BE$2999,MATCH(R170,AH$5:AH$2999,0),1),"")</f>
        <v/>
      </c>
      <c r="AA170" s="35" t="str">
        <f>IF(ISNUMBER(S170),INDEX($BE$5:$BE$2999,MATCH(S170,AI$5:AI$2999,0),1),"")</f>
        <v/>
      </c>
      <c r="AB170" s="35" t="str">
        <f>IF(ISNUMBER(T170),INDEX($BE$5:$BE$2999,MATCH(T170,AJ$5:AJ$2999,0),1),"")</f>
        <v/>
      </c>
      <c r="AC170" s="35" t="str">
        <f>IF(ISNUMBER(U170),INDEX($BE$5:$BE$2999,MATCH(U170,AK$5:AK$2999,0),1),"")</f>
        <v/>
      </c>
      <c r="AD170" s="35" t="str">
        <f>IF(ISNUMBER(V170),INDEX($BE$5:$BE$2999,MATCH(V170,AL$5:AL$2999,0),1),"")</f>
        <v/>
      </c>
      <c r="AE170" s="35" t="str">
        <f>IF(ISNUMBER(W170),INDEX($BE$5:$BE$2999,MATCH(W170,AM$5:AM$2999,0),1),"")</f>
        <v/>
      </c>
      <c r="AF170" s="35" t="str">
        <f>IF(ISNUMBER(X170),INDEX($BE$5:$BE$2999,MATCH(X170,AN$5:AN$2999,0),1),"")</f>
        <v/>
      </c>
      <c r="AG170" s="35"/>
      <c r="AH170" s="34" t="str">
        <f>IF($BE170="","",IF(ISNUMBER(MATCH($BE170,AP$5:AP$29999,0)),MAX(AH$4:AH169)+1,0))</f>
        <v/>
      </c>
      <c r="AI170" s="34" t="str">
        <f>IF($BE170="","",IF(ISNUMBER(MATCH($BE170,AQ$5:AQ$29999,0)),MAX(AI$4:AI169)+1,0))</f>
        <v/>
      </c>
      <c r="AJ170" s="34" t="str">
        <f>IF($BE170="","",IF(ISNUMBER(MATCH($BE170,AR$5:AR$29999,0)),MAX(AJ$4:AJ169)+1,0))</f>
        <v/>
      </c>
      <c r="AK170" s="34" t="str">
        <f>IF($BE170="","",IF(ISNUMBER(MATCH($BE170,AS$5:AS$29999,0)),MAX(AK$4:AK169)+1,0))</f>
        <v/>
      </c>
      <c r="AL170" s="34" t="str">
        <f>IF($BE170="","",IF(ISNUMBER(MATCH($BE170,AT$5:AT$29999,0)),MAX(AL$4:AL169)+1,0))</f>
        <v/>
      </c>
      <c r="AM170" s="34" t="str">
        <f>IF($BE170="","",IF(ISNUMBER(MATCH($BE170,AU$5:AU$29999,0)),MAX(AM$4:AM169)+1,0))</f>
        <v/>
      </c>
      <c r="AN170" s="34" t="str">
        <f>IF($BE170="","",IF(ISNUMBER(MATCH($BE170,AV$5:AV$29999,0)),MAX(AN$4:AN169)+1,0))</f>
        <v/>
      </c>
      <c r="AO170" s="16"/>
      <c r="AP170" s="33"/>
      <c r="AQ170" s="33"/>
      <c r="AR170" s="33"/>
      <c r="AS170" s="33"/>
      <c r="AT170" s="32"/>
      <c r="AU170" s="32"/>
      <c r="AV170" s="32" t="s">
        <v>0</v>
      </c>
      <c r="AW170" s="20"/>
      <c r="AX170" s="20" t="s">
        <v>0</v>
      </c>
      <c r="AY170" s="30"/>
      <c r="AZ170" s="30"/>
      <c r="BA170" s="20"/>
      <c r="BB170" s="20"/>
      <c r="BC170" s="17"/>
      <c r="BD170" s="17"/>
      <c r="BE170" s="20"/>
      <c r="BF170" s="17"/>
      <c r="BG170" s="19"/>
      <c r="BH170" s="19"/>
      <c r="BI170" s="19"/>
      <c r="BJ170" s="19"/>
      <c r="BK170" s="19"/>
      <c r="BL170" s="19"/>
      <c r="BM170" s="19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</row>
    <row r="171" spans="1:78" ht="12" customHeight="1" x14ac:dyDescent="0.25">
      <c r="A171" s="26"/>
      <c r="B171" s="28"/>
      <c r="C171" s="28"/>
      <c r="D171" s="15" t="str">
        <f>IF(IF(ISNUMBER(B171),"",MAX(D$4:D170)+1)&lt;=D$3,IF(ISNUMBER(B171),"",MAX(D$4:D170)+1),"")</f>
        <v/>
      </c>
      <c r="E171" s="28"/>
      <c r="F171" s="28"/>
      <c r="G171" s="27"/>
      <c r="H171" s="15"/>
      <c r="I171" s="15" t="str">
        <f>IF(O171="","",IF(ISNUMBER(MATCH(O171,$G$5:$G$1000,0)),"",IF(D171=1,B$4,0)+MAX(I$4:I170)+1))</f>
        <v/>
      </c>
      <c r="J171" s="27"/>
      <c r="K171" s="27"/>
      <c r="L171" s="26"/>
      <c r="M171" s="14">
        <f>IF(ROW()-ROW(M$4)&lt;=1000,ROW()-ROW(M$4),"")</f>
        <v>167</v>
      </c>
      <c r="N171" s="29"/>
      <c r="O171" s="29"/>
      <c r="P171" s="17"/>
      <c r="Q171" s="16" t="s">
        <v>0</v>
      </c>
      <c r="R171" s="34" t="str">
        <f>IF(ROW()-ROW(R$4)&lt;=AH$3,ROW()-ROW(R$4),"")</f>
        <v/>
      </c>
      <c r="S171" s="34" t="str">
        <f>IF(ROW()-ROW(S$4)&lt;=AI$3,ROW()-ROW(S$4),"")</f>
        <v/>
      </c>
      <c r="T171" s="34" t="str">
        <f>IF(ROW()-ROW(T$4)&lt;=AJ$3,ROW()-ROW(T$4),"")</f>
        <v/>
      </c>
      <c r="U171" s="34" t="str">
        <f>IF(ROW()-ROW(U$4)&lt;=AK$3,ROW()-ROW(U$4),"")</f>
        <v/>
      </c>
      <c r="V171" s="34" t="str">
        <f>IF(ROW()-ROW(V$4)&lt;=AL$3,ROW()-ROW(V$4),"")</f>
        <v/>
      </c>
      <c r="W171" s="34" t="str">
        <f>IF(ROW()-ROW(W$4)&lt;=AM$3,ROW()-ROW(W$4),"")</f>
        <v/>
      </c>
      <c r="X171" s="34" t="str">
        <f>IF(ROW()-ROW(X$4)&lt;=AN$3,ROW()-ROW(X$4),"")</f>
        <v/>
      </c>
      <c r="Y171" s="34"/>
      <c r="Z171" s="35" t="str">
        <f>IF(ISNUMBER(R171),INDEX($BE$5:$BE$2999,MATCH(R171,AH$5:AH$2999,0),1),"")</f>
        <v/>
      </c>
      <c r="AA171" s="35" t="str">
        <f>IF(ISNUMBER(S171),INDEX($BE$5:$BE$2999,MATCH(S171,AI$5:AI$2999,0),1),"")</f>
        <v/>
      </c>
      <c r="AB171" s="35" t="str">
        <f>IF(ISNUMBER(T171),INDEX($BE$5:$BE$2999,MATCH(T171,AJ$5:AJ$2999,0),1),"")</f>
        <v/>
      </c>
      <c r="AC171" s="35" t="str">
        <f>IF(ISNUMBER(U171),INDEX($BE$5:$BE$2999,MATCH(U171,AK$5:AK$2999,0),1),"")</f>
        <v/>
      </c>
      <c r="AD171" s="35" t="str">
        <f>IF(ISNUMBER(V171),INDEX($BE$5:$BE$2999,MATCH(V171,AL$5:AL$2999,0),1),"")</f>
        <v/>
      </c>
      <c r="AE171" s="35" t="str">
        <f>IF(ISNUMBER(W171),INDEX($BE$5:$BE$2999,MATCH(W171,AM$5:AM$2999,0),1),"")</f>
        <v/>
      </c>
      <c r="AF171" s="35" t="str">
        <f>IF(ISNUMBER(X171),INDEX($BE$5:$BE$2999,MATCH(X171,AN$5:AN$2999,0),1),"")</f>
        <v/>
      </c>
      <c r="AG171" s="35"/>
      <c r="AH171" s="34" t="str">
        <f>IF($BE171="","",IF(ISNUMBER(MATCH($BE171,AP$5:AP$29999,0)),MAX(AH$4:AH170)+1,0))</f>
        <v/>
      </c>
      <c r="AI171" s="34" t="str">
        <f>IF($BE171="","",IF(ISNUMBER(MATCH($BE171,AQ$5:AQ$29999,0)),MAX(AI$4:AI170)+1,0))</f>
        <v/>
      </c>
      <c r="AJ171" s="34" t="str">
        <f>IF($BE171="","",IF(ISNUMBER(MATCH($BE171,AR$5:AR$29999,0)),MAX(AJ$4:AJ170)+1,0))</f>
        <v/>
      </c>
      <c r="AK171" s="34" t="str">
        <f>IF($BE171="","",IF(ISNUMBER(MATCH($BE171,AS$5:AS$29999,0)),MAX(AK$4:AK170)+1,0))</f>
        <v/>
      </c>
      <c r="AL171" s="34" t="str">
        <f>IF($BE171="","",IF(ISNUMBER(MATCH($BE171,AT$5:AT$29999,0)),MAX(AL$4:AL170)+1,0))</f>
        <v/>
      </c>
      <c r="AM171" s="34" t="str">
        <f>IF($BE171="","",IF(ISNUMBER(MATCH($BE171,AU$5:AU$29999,0)),MAX(AM$4:AM170)+1,0))</f>
        <v/>
      </c>
      <c r="AN171" s="34" t="str">
        <f>IF($BE171="","",IF(ISNUMBER(MATCH($BE171,AV$5:AV$29999,0)),MAX(AN$4:AN170)+1,0))</f>
        <v/>
      </c>
      <c r="AO171" s="16"/>
      <c r="AP171" s="33"/>
      <c r="AQ171" s="33"/>
      <c r="AR171" s="33"/>
      <c r="AS171" s="33"/>
      <c r="AT171" s="32"/>
      <c r="AU171" s="32"/>
      <c r="AV171" s="32" t="s">
        <v>0</v>
      </c>
      <c r="AW171" s="20"/>
      <c r="AX171" s="20" t="s">
        <v>0</v>
      </c>
      <c r="AY171" s="30"/>
      <c r="AZ171" s="30"/>
      <c r="BA171" s="20"/>
      <c r="BB171" s="20"/>
      <c r="BC171" s="17"/>
      <c r="BD171" s="17"/>
      <c r="BE171" s="20"/>
      <c r="BF171" s="17"/>
      <c r="BG171" s="19"/>
      <c r="BH171" s="19"/>
      <c r="BI171" s="19"/>
      <c r="BJ171" s="19"/>
      <c r="BK171" s="19"/>
      <c r="BL171" s="19"/>
      <c r="BM171" s="19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</row>
    <row r="172" spans="1:78" ht="12" customHeight="1" x14ac:dyDescent="0.25">
      <c r="A172" s="26"/>
      <c r="B172" s="28"/>
      <c r="C172" s="28"/>
      <c r="D172" s="15" t="str">
        <f>IF(IF(ISNUMBER(B172),"",MAX(D$4:D171)+1)&lt;=D$3,IF(ISNUMBER(B172),"",MAX(D$4:D171)+1),"")</f>
        <v/>
      </c>
      <c r="E172" s="28"/>
      <c r="F172" s="28"/>
      <c r="G172" s="27"/>
      <c r="H172" s="15"/>
      <c r="I172" s="15" t="str">
        <f>IF(O172="","",IF(ISNUMBER(MATCH(O172,$G$5:$G$1000,0)),"",IF(D172=1,B$4,0)+MAX(I$4:I171)+1))</f>
        <v/>
      </c>
      <c r="J172" s="27"/>
      <c r="K172" s="27"/>
      <c r="L172" s="26"/>
      <c r="M172" s="14">
        <f>IF(ROW()-ROW(M$4)&lt;=1000,ROW()-ROW(M$4),"")</f>
        <v>168</v>
      </c>
      <c r="N172" s="29"/>
      <c r="O172" s="29"/>
      <c r="P172" s="17"/>
      <c r="Q172" s="16" t="s">
        <v>0</v>
      </c>
      <c r="R172" s="34" t="str">
        <f>IF(ROW()-ROW(R$4)&lt;=AH$3,ROW()-ROW(R$4),"")</f>
        <v/>
      </c>
      <c r="S172" s="34" t="str">
        <f>IF(ROW()-ROW(S$4)&lt;=AI$3,ROW()-ROW(S$4),"")</f>
        <v/>
      </c>
      <c r="T172" s="34" t="str">
        <f>IF(ROW()-ROW(T$4)&lt;=AJ$3,ROW()-ROW(T$4),"")</f>
        <v/>
      </c>
      <c r="U172" s="34" t="str">
        <f>IF(ROW()-ROW(U$4)&lt;=AK$3,ROW()-ROW(U$4),"")</f>
        <v/>
      </c>
      <c r="V172" s="34" t="str">
        <f>IF(ROW()-ROW(V$4)&lt;=AL$3,ROW()-ROW(V$4),"")</f>
        <v/>
      </c>
      <c r="W172" s="34" t="str">
        <f>IF(ROW()-ROW(W$4)&lt;=AM$3,ROW()-ROW(W$4),"")</f>
        <v/>
      </c>
      <c r="X172" s="34" t="str">
        <f>IF(ROW()-ROW(X$4)&lt;=AN$3,ROW()-ROW(X$4),"")</f>
        <v/>
      </c>
      <c r="Y172" s="34"/>
      <c r="Z172" s="35" t="str">
        <f>IF(ISNUMBER(R172),INDEX($BE$5:$BE$2999,MATCH(R172,AH$5:AH$2999,0),1),"")</f>
        <v/>
      </c>
      <c r="AA172" s="35" t="str">
        <f>IF(ISNUMBER(S172),INDEX($BE$5:$BE$2999,MATCH(S172,AI$5:AI$2999,0),1),"")</f>
        <v/>
      </c>
      <c r="AB172" s="35" t="str">
        <f>IF(ISNUMBER(T172),INDEX($BE$5:$BE$2999,MATCH(T172,AJ$5:AJ$2999,0),1),"")</f>
        <v/>
      </c>
      <c r="AC172" s="35" t="str">
        <f>IF(ISNUMBER(U172),INDEX($BE$5:$BE$2999,MATCH(U172,AK$5:AK$2999,0),1),"")</f>
        <v/>
      </c>
      <c r="AD172" s="35" t="str">
        <f>IF(ISNUMBER(V172),INDEX($BE$5:$BE$2999,MATCH(V172,AL$5:AL$2999,0),1),"")</f>
        <v/>
      </c>
      <c r="AE172" s="35" t="str">
        <f>IF(ISNUMBER(W172),INDEX($BE$5:$BE$2999,MATCH(W172,AM$5:AM$2999,0),1),"")</f>
        <v/>
      </c>
      <c r="AF172" s="35" t="str">
        <f>IF(ISNUMBER(X172),INDEX($BE$5:$BE$2999,MATCH(X172,AN$5:AN$2999,0),1),"")</f>
        <v/>
      </c>
      <c r="AG172" s="35"/>
      <c r="AH172" s="34" t="str">
        <f>IF($BE172="","",IF(ISNUMBER(MATCH($BE172,AP$5:AP$29999,0)),MAX(AH$4:AH171)+1,0))</f>
        <v/>
      </c>
      <c r="AI172" s="34" t="str">
        <f>IF($BE172="","",IF(ISNUMBER(MATCH($BE172,AQ$5:AQ$29999,0)),MAX(AI$4:AI171)+1,0))</f>
        <v/>
      </c>
      <c r="AJ172" s="34" t="str">
        <f>IF($BE172="","",IF(ISNUMBER(MATCH($BE172,AR$5:AR$29999,0)),MAX(AJ$4:AJ171)+1,0))</f>
        <v/>
      </c>
      <c r="AK172" s="34" t="str">
        <f>IF($BE172="","",IF(ISNUMBER(MATCH($BE172,AS$5:AS$29999,0)),MAX(AK$4:AK171)+1,0))</f>
        <v/>
      </c>
      <c r="AL172" s="34" t="str">
        <f>IF($BE172="","",IF(ISNUMBER(MATCH($BE172,AT$5:AT$29999,0)),MAX(AL$4:AL171)+1,0))</f>
        <v/>
      </c>
      <c r="AM172" s="34" t="str">
        <f>IF($BE172="","",IF(ISNUMBER(MATCH($BE172,AU$5:AU$29999,0)),MAX(AM$4:AM171)+1,0))</f>
        <v/>
      </c>
      <c r="AN172" s="34" t="str">
        <f>IF($BE172="","",IF(ISNUMBER(MATCH($BE172,AV$5:AV$29999,0)),MAX(AN$4:AN171)+1,0))</f>
        <v/>
      </c>
      <c r="AO172" s="16"/>
      <c r="AP172" s="33"/>
      <c r="AQ172" s="33"/>
      <c r="AR172" s="33"/>
      <c r="AS172" s="33"/>
      <c r="AT172" s="32"/>
      <c r="AU172" s="32"/>
      <c r="AV172" s="32" t="s">
        <v>0</v>
      </c>
      <c r="AW172" s="20"/>
      <c r="AX172" s="20" t="s">
        <v>0</v>
      </c>
      <c r="AY172" s="30"/>
      <c r="AZ172" s="30"/>
      <c r="BA172" s="20"/>
      <c r="BB172" s="20"/>
      <c r="BC172" s="17"/>
      <c r="BD172" s="17"/>
      <c r="BE172" s="20"/>
      <c r="BF172" s="17"/>
      <c r="BG172" s="19"/>
      <c r="BH172" s="19"/>
      <c r="BI172" s="19"/>
      <c r="BJ172" s="19"/>
      <c r="BK172" s="19"/>
      <c r="BL172" s="19"/>
      <c r="BM172" s="19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</row>
    <row r="173" spans="1:78" ht="12" customHeight="1" x14ac:dyDescent="0.25">
      <c r="A173" s="26"/>
      <c r="B173" s="28"/>
      <c r="C173" s="28"/>
      <c r="D173" s="15" t="str">
        <f>IF(IF(ISNUMBER(B173),"",MAX(D$4:D172)+1)&lt;=D$3,IF(ISNUMBER(B173),"",MAX(D$4:D172)+1),"")</f>
        <v/>
      </c>
      <c r="E173" s="28"/>
      <c r="F173" s="28"/>
      <c r="G173" s="27"/>
      <c r="H173" s="15"/>
      <c r="I173" s="15" t="str">
        <f>IF(O173="","",IF(ISNUMBER(MATCH(O173,$G$5:$G$1000,0)),"",IF(D173=1,B$4,0)+MAX(I$4:I172)+1))</f>
        <v/>
      </c>
      <c r="J173" s="27"/>
      <c r="K173" s="27"/>
      <c r="L173" s="26"/>
      <c r="M173" s="14">
        <f>IF(ROW()-ROW(M$4)&lt;=1000,ROW()-ROW(M$4),"")</f>
        <v>169</v>
      </c>
      <c r="N173" s="29"/>
      <c r="O173" s="29"/>
      <c r="P173" s="17"/>
      <c r="Q173" s="16" t="s">
        <v>0</v>
      </c>
      <c r="R173" s="34" t="str">
        <f>IF(ROW()-ROW(R$4)&lt;=AH$3,ROW()-ROW(R$4),"")</f>
        <v/>
      </c>
      <c r="S173" s="34" t="str">
        <f>IF(ROW()-ROW(S$4)&lt;=AI$3,ROW()-ROW(S$4),"")</f>
        <v/>
      </c>
      <c r="T173" s="34" t="str">
        <f>IF(ROW()-ROW(T$4)&lt;=AJ$3,ROW()-ROW(T$4),"")</f>
        <v/>
      </c>
      <c r="U173" s="34" t="str">
        <f>IF(ROW()-ROW(U$4)&lt;=AK$3,ROW()-ROW(U$4),"")</f>
        <v/>
      </c>
      <c r="V173" s="34" t="str">
        <f>IF(ROW()-ROW(V$4)&lt;=AL$3,ROW()-ROW(V$4),"")</f>
        <v/>
      </c>
      <c r="W173" s="34" t="str">
        <f>IF(ROW()-ROW(W$4)&lt;=AM$3,ROW()-ROW(W$4),"")</f>
        <v/>
      </c>
      <c r="X173" s="34" t="str">
        <f>IF(ROW()-ROW(X$4)&lt;=AN$3,ROW()-ROW(X$4),"")</f>
        <v/>
      </c>
      <c r="Y173" s="34"/>
      <c r="Z173" s="35" t="str">
        <f>IF(ISNUMBER(R173),INDEX($BE$5:$BE$2999,MATCH(R173,AH$5:AH$2999,0),1),"")</f>
        <v/>
      </c>
      <c r="AA173" s="35" t="str">
        <f>IF(ISNUMBER(S173),INDEX($BE$5:$BE$2999,MATCH(S173,AI$5:AI$2999,0),1),"")</f>
        <v/>
      </c>
      <c r="AB173" s="35" t="str">
        <f>IF(ISNUMBER(T173),INDEX($BE$5:$BE$2999,MATCH(T173,AJ$5:AJ$2999,0),1),"")</f>
        <v/>
      </c>
      <c r="AC173" s="35" t="str">
        <f>IF(ISNUMBER(U173),INDEX($BE$5:$BE$2999,MATCH(U173,AK$5:AK$2999,0),1),"")</f>
        <v/>
      </c>
      <c r="AD173" s="35" t="str">
        <f>IF(ISNUMBER(V173),INDEX($BE$5:$BE$2999,MATCH(V173,AL$5:AL$2999,0),1),"")</f>
        <v/>
      </c>
      <c r="AE173" s="35" t="str">
        <f>IF(ISNUMBER(W173),INDEX($BE$5:$BE$2999,MATCH(W173,AM$5:AM$2999,0),1),"")</f>
        <v/>
      </c>
      <c r="AF173" s="35" t="str">
        <f>IF(ISNUMBER(X173),INDEX($BE$5:$BE$2999,MATCH(X173,AN$5:AN$2999,0),1),"")</f>
        <v/>
      </c>
      <c r="AG173" s="35"/>
      <c r="AH173" s="34" t="str">
        <f>IF($BE173="","",IF(ISNUMBER(MATCH($BE173,AP$5:AP$29999,0)),MAX(AH$4:AH172)+1,0))</f>
        <v/>
      </c>
      <c r="AI173" s="34" t="str">
        <f>IF($BE173="","",IF(ISNUMBER(MATCH($BE173,AQ$5:AQ$29999,0)),MAX(AI$4:AI172)+1,0))</f>
        <v/>
      </c>
      <c r="AJ173" s="34" t="str">
        <f>IF($BE173="","",IF(ISNUMBER(MATCH($BE173,AR$5:AR$29999,0)),MAX(AJ$4:AJ172)+1,0))</f>
        <v/>
      </c>
      <c r="AK173" s="34" t="str">
        <f>IF($BE173="","",IF(ISNUMBER(MATCH($BE173,AS$5:AS$29999,0)),MAX(AK$4:AK172)+1,0))</f>
        <v/>
      </c>
      <c r="AL173" s="34" t="str">
        <f>IF($BE173="","",IF(ISNUMBER(MATCH($BE173,AT$5:AT$29999,0)),MAX(AL$4:AL172)+1,0))</f>
        <v/>
      </c>
      <c r="AM173" s="34" t="str">
        <f>IF($BE173="","",IF(ISNUMBER(MATCH($BE173,AU$5:AU$29999,0)),MAX(AM$4:AM172)+1,0))</f>
        <v/>
      </c>
      <c r="AN173" s="34" t="str">
        <f>IF($BE173="","",IF(ISNUMBER(MATCH($BE173,AV$5:AV$29999,0)),MAX(AN$4:AN172)+1,0))</f>
        <v/>
      </c>
      <c r="AO173" s="16"/>
      <c r="AP173" s="33"/>
      <c r="AQ173" s="33"/>
      <c r="AR173" s="33"/>
      <c r="AS173" s="33"/>
      <c r="AT173" s="32"/>
      <c r="AU173" s="32"/>
      <c r="AV173" s="32" t="s">
        <v>0</v>
      </c>
      <c r="AW173" s="20"/>
      <c r="AX173" s="20" t="s">
        <v>0</v>
      </c>
      <c r="AY173" s="30"/>
      <c r="AZ173" s="30"/>
      <c r="BA173" s="20"/>
      <c r="BB173" s="20"/>
      <c r="BC173" s="17"/>
      <c r="BD173" s="17"/>
      <c r="BE173" s="20"/>
      <c r="BF173" s="17"/>
      <c r="BG173" s="19"/>
      <c r="BH173" s="19"/>
      <c r="BI173" s="19"/>
      <c r="BJ173" s="19"/>
      <c r="BK173" s="19"/>
      <c r="BL173" s="19"/>
      <c r="BM173" s="19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</row>
    <row r="174" spans="1:78" ht="12" customHeight="1" x14ac:dyDescent="0.25">
      <c r="A174" s="26"/>
      <c r="B174" s="28"/>
      <c r="C174" s="28"/>
      <c r="D174" s="15" t="str">
        <f>IF(IF(ISNUMBER(B174),"",MAX(D$4:D173)+1)&lt;=D$3,IF(ISNUMBER(B174),"",MAX(D$4:D173)+1),"")</f>
        <v/>
      </c>
      <c r="E174" s="28"/>
      <c r="F174" s="28"/>
      <c r="G174" s="27"/>
      <c r="H174" s="15"/>
      <c r="I174" s="15" t="str">
        <f>IF(O174="","",IF(ISNUMBER(MATCH(O174,$G$5:$G$1000,0)),"",IF(D174=1,B$4,0)+MAX(I$4:I173)+1))</f>
        <v/>
      </c>
      <c r="J174" s="27"/>
      <c r="K174" s="27"/>
      <c r="L174" s="26"/>
      <c r="M174" s="14">
        <f>IF(ROW()-ROW(M$4)&lt;=1000,ROW()-ROW(M$4),"")</f>
        <v>170</v>
      </c>
      <c r="N174" s="29"/>
      <c r="O174" s="29"/>
      <c r="P174" s="17"/>
      <c r="Q174" s="16" t="s">
        <v>0</v>
      </c>
      <c r="R174" s="34" t="str">
        <f>IF(ROW()-ROW(R$4)&lt;=AH$3,ROW()-ROW(R$4),"")</f>
        <v/>
      </c>
      <c r="S174" s="34" t="str">
        <f>IF(ROW()-ROW(S$4)&lt;=AI$3,ROW()-ROW(S$4),"")</f>
        <v/>
      </c>
      <c r="T174" s="34" t="str">
        <f>IF(ROW()-ROW(T$4)&lt;=AJ$3,ROW()-ROW(T$4),"")</f>
        <v/>
      </c>
      <c r="U174" s="34" t="str">
        <f>IF(ROW()-ROW(U$4)&lt;=AK$3,ROW()-ROW(U$4),"")</f>
        <v/>
      </c>
      <c r="V174" s="34" t="str">
        <f>IF(ROW()-ROW(V$4)&lt;=AL$3,ROW()-ROW(V$4),"")</f>
        <v/>
      </c>
      <c r="W174" s="34" t="str">
        <f>IF(ROW()-ROW(W$4)&lt;=AM$3,ROW()-ROW(W$4),"")</f>
        <v/>
      </c>
      <c r="X174" s="34" t="str">
        <f>IF(ROW()-ROW(X$4)&lt;=AN$3,ROW()-ROW(X$4),"")</f>
        <v/>
      </c>
      <c r="Y174" s="34"/>
      <c r="Z174" s="35" t="str">
        <f>IF(ISNUMBER(R174),INDEX($BE$5:$BE$2999,MATCH(R174,AH$5:AH$2999,0),1),"")</f>
        <v/>
      </c>
      <c r="AA174" s="35" t="str">
        <f>IF(ISNUMBER(S174),INDEX($BE$5:$BE$2999,MATCH(S174,AI$5:AI$2999,0),1),"")</f>
        <v/>
      </c>
      <c r="AB174" s="35" t="str">
        <f>IF(ISNUMBER(T174),INDEX($BE$5:$BE$2999,MATCH(T174,AJ$5:AJ$2999,0),1),"")</f>
        <v/>
      </c>
      <c r="AC174" s="35" t="str">
        <f>IF(ISNUMBER(U174),INDEX($BE$5:$BE$2999,MATCH(U174,AK$5:AK$2999,0),1),"")</f>
        <v/>
      </c>
      <c r="AD174" s="35" t="str">
        <f>IF(ISNUMBER(V174),INDEX($BE$5:$BE$2999,MATCH(V174,AL$5:AL$2999,0),1),"")</f>
        <v/>
      </c>
      <c r="AE174" s="35" t="str">
        <f>IF(ISNUMBER(W174),INDEX($BE$5:$BE$2999,MATCH(W174,AM$5:AM$2999,0),1),"")</f>
        <v/>
      </c>
      <c r="AF174" s="35" t="str">
        <f>IF(ISNUMBER(X174),INDEX($BE$5:$BE$2999,MATCH(X174,AN$5:AN$2999,0),1),"")</f>
        <v/>
      </c>
      <c r="AG174" s="35"/>
      <c r="AH174" s="34" t="str">
        <f>IF($BE174="","",IF(ISNUMBER(MATCH($BE174,AP$5:AP$29999,0)),MAX(AH$4:AH173)+1,0))</f>
        <v/>
      </c>
      <c r="AI174" s="34" t="str">
        <f>IF($BE174="","",IF(ISNUMBER(MATCH($BE174,AQ$5:AQ$29999,0)),MAX(AI$4:AI173)+1,0))</f>
        <v/>
      </c>
      <c r="AJ174" s="34" t="str">
        <f>IF($BE174="","",IF(ISNUMBER(MATCH($BE174,AR$5:AR$29999,0)),MAX(AJ$4:AJ173)+1,0))</f>
        <v/>
      </c>
      <c r="AK174" s="34" t="str">
        <f>IF($BE174="","",IF(ISNUMBER(MATCH($BE174,AS$5:AS$29999,0)),MAX(AK$4:AK173)+1,0))</f>
        <v/>
      </c>
      <c r="AL174" s="34" t="str">
        <f>IF($BE174="","",IF(ISNUMBER(MATCH($BE174,AT$5:AT$29999,0)),MAX(AL$4:AL173)+1,0))</f>
        <v/>
      </c>
      <c r="AM174" s="34" t="str">
        <f>IF($BE174="","",IF(ISNUMBER(MATCH($BE174,AU$5:AU$29999,0)),MAX(AM$4:AM173)+1,0))</f>
        <v/>
      </c>
      <c r="AN174" s="34" t="str">
        <f>IF($BE174="","",IF(ISNUMBER(MATCH($BE174,AV$5:AV$29999,0)),MAX(AN$4:AN173)+1,0))</f>
        <v/>
      </c>
      <c r="AO174" s="16"/>
      <c r="AP174" s="33"/>
      <c r="AQ174" s="33"/>
      <c r="AR174" s="33"/>
      <c r="AS174" s="33"/>
      <c r="AT174" s="32"/>
      <c r="AU174" s="32"/>
      <c r="AV174" s="32" t="s">
        <v>0</v>
      </c>
      <c r="AW174" s="20"/>
      <c r="AX174" s="20" t="s">
        <v>0</v>
      </c>
      <c r="AY174" s="30"/>
      <c r="AZ174" s="30"/>
      <c r="BA174" s="20"/>
      <c r="BB174" s="20"/>
      <c r="BC174" s="17"/>
      <c r="BD174" s="17"/>
      <c r="BE174" s="20"/>
      <c r="BF174" s="17"/>
      <c r="BG174" s="19"/>
      <c r="BH174" s="19"/>
      <c r="BI174" s="19"/>
      <c r="BJ174" s="19"/>
      <c r="BK174" s="19"/>
      <c r="BL174" s="19"/>
      <c r="BM174" s="19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</row>
    <row r="175" spans="1:78" ht="12" customHeight="1" x14ac:dyDescent="0.25">
      <c r="A175" s="26"/>
      <c r="B175" s="28"/>
      <c r="C175" s="28"/>
      <c r="D175" s="15" t="str">
        <f>IF(IF(ISNUMBER(B175),"",MAX(D$4:D174)+1)&lt;=D$3,IF(ISNUMBER(B175),"",MAX(D$4:D174)+1),"")</f>
        <v/>
      </c>
      <c r="E175" s="28"/>
      <c r="F175" s="28"/>
      <c r="G175" s="27"/>
      <c r="H175" s="15"/>
      <c r="I175" s="15" t="str">
        <f>IF(O175="","",IF(ISNUMBER(MATCH(O175,$G$5:$G$1000,0)),"",IF(D175=1,B$4,0)+MAX(I$4:I174)+1))</f>
        <v/>
      </c>
      <c r="J175" s="27"/>
      <c r="K175" s="27"/>
      <c r="L175" s="26"/>
      <c r="M175" s="14">
        <f>IF(ROW()-ROW(M$4)&lt;=1000,ROW()-ROW(M$4),"")</f>
        <v>171</v>
      </c>
      <c r="N175" s="29"/>
      <c r="O175" s="29"/>
      <c r="P175" s="17"/>
      <c r="Q175" s="16" t="s">
        <v>0</v>
      </c>
      <c r="R175" s="34" t="str">
        <f>IF(ROW()-ROW(R$4)&lt;=AH$3,ROW()-ROW(R$4),"")</f>
        <v/>
      </c>
      <c r="S175" s="34" t="str">
        <f>IF(ROW()-ROW(S$4)&lt;=AI$3,ROW()-ROW(S$4),"")</f>
        <v/>
      </c>
      <c r="T175" s="34" t="str">
        <f>IF(ROW()-ROW(T$4)&lt;=AJ$3,ROW()-ROW(T$4),"")</f>
        <v/>
      </c>
      <c r="U175" s="34" t="str">
        <f>IF(ROW()-ROW(U$4)&lt;=AK$3,ROW()-ROW(U$4),"")</f>
        <v/>
      </c>
      <c r="V175" s="34" t="str">
        <f>IF(ROW()-ROW(V$4)&lt;=AL$3,ROW()-ROW(V$4),"")</f>
        <v/>
      </c>
      <c r="W175" s="34" t="str">
        <f>IF(ROW()-ROW(W$4)&lt;=AM$3,ROW()-ROW(W$4),"")</f>
        <v/>
      </c>
      <c r="X175" s="34" t="str">
        <f>IF(ROW()-ROW(X$4)&lt;=AN$3,ROW()-ROW(X$4),"")</f>
        <v/>
      </c>
      <c r="Y175" s="34"/>
      <c r="Z175" s="35" t="str">
        <f>IF(ISNUMBER(R175),INDEX($BE$5:$BE$2999,MATCH(R175,AH$5:AH$2999,0),1),"")</f>
        <v/>
      </c>
      <c r="AA175" s="35" t="str">
        <f>IF(ISNUMBER(S175),INDEX($BE$5:$BE$2999,MATCH(S175,AI$5:AI$2999,0),1),"")</f>
        <v/>
      </c>
      <c r="AB175" s="35" t="str">
        <f>IF(ISNUMBER(T175),INDEX($BE$5:$BE$2999,MATCH(T175,AJ$5:AJ$2999,0),1),"")</f>
        <v/>
      </c>
      <c r="AC175" s="35" t="str">
        <f>IF(ISNUMBER(U175),INDEX($BE$5:$BE$2999,MATCH(U175,AK$5:AK$2999,0),1),"")</f>
        <v/>
      </c>
      <c r="AD175" s="35" t="str">
        <f>IF(ISNUMBER(V175),INDEX($BE$5:$BE$2999,MATCH(V175,AL$5:AL$2999,0),1),"")</f>
        <v/>
      </c>
      <c r="AE175" s="35" t="str">
        <f>IF(ISNUMBER(W175),INDEX($BE$5:$BE$2999,MATCH(W175,AM$5:AM$2999,0),1),"")</f>
        <v/>
      </c>
      <c r="AF175" s="35" t="str">
        <f>IF(ISNUMBER(X175),INDEX($BE$5:$BE$2999,MATCH(X175,AN$5:AN$2999,0),1),"")</f>
        <v/>
      </c>
      <c r="AG175" s="35"/>
      <c r="AH175" s="34" t="str">
        <f>IF($BE175="","",IF(ISNUMBER(MATCH($BE175,AP$5:AP$29999,0)),MAX(AH$4:AH174)+1,0))</f>
        <v/>
      </c>
      <c r="AI175" s="34" t="str">
        <f>IF($BE175="","",IF(ISNUMBER(MATCH($BE175,AQ$5:AQ$29999,0)),MAX(AI$4:AI174)+1,0))</f>
        <v/>
      </c>
      <c r="AJ175" s="34" t="str">
        <f>IF($BE175="","",IF(ISNUMBER(MATCH($BE175,AR$5:AR$29999,0)),MAX(AJ$4:AJ174)+1,0))</f>
        <v/>
      </c>
      <c r="AK175" s="34" t="str">
        <f>IF($BE175="","",IF(ISNUMBER(MATCH($BE175,AS$5:AS$29999,0)),MAX(AK$4:AK174)+1,0))</f>
        <v/>
      </c>
      <c r="AL175" s="34" t="str">
        <f>IF($BE175="","",IF(ISNUMBER(MATCH($BE175,AT$5:AT$29999,0)),MAX(AL$4:AL174)+1,0))</f>
        <v/>
      </c>
      <c r="AM175" s="34" t="str">
        <f>IF($BE175="","",IF(ISNUMBER(MATCH($BE175,AU$5:AU$29999,0)),MAX(AM$4:AM174)+1,0))</f>
        <v/>
      </c>
      <c r="AN175" s="34" t="str">
        <f>IF($BE175="","",IF(ISNUMBER(MATCH($BE175,AV$5:AV$29999,0)),MAX(AN$4:AN174)+1,0))</f>
        <v/>
      </c>
      <c r="AO175" s="16"/>
      <c r="AP175" s="33"/>
      <c r="AQ175" s="33"/>
      <c r="AR175" s="33"/>
      <c r="AS175" s="33"/>
      <c r="AT175" s="32"/>
      <c r="AU175" s="32"/>
      <c r="AV175" s="32" t="s">
        <v>0</v>
      </c>
      <c r="AW175" s="20"/>
      <c r="AX175" s="20" t="s">
        <v>0</v>
      </c>
      <c r="AY175" s="30"/>
      <c r="AZ175" s="30"/>
      <c r="BA175" s="20"/>
      <c r="BB175" s="20"/>
      <c r="BC175" s="17"/>
      <c r="BD175" s="17"/>
      <c r="BE175" s="20"/>
      <c r="BF175" s="17"/>
      <c r="BG175" s="19"/>
      <c r="BH175" s="19"/>
      <c r="BI175" s="19"/>
      <c r="BJ175" s="19"/>
      <c r="BK175" s="19"/>
      <c r="BL175" s="19"/>
      <c r="BM175" s="19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</row>
    <row r="176" spans="1:78" ht="12" customHeight="1" x14ac:dyDescent="0.25">
      <c r="A176" s="26"/>
      <c r="B176" s="28"/>
      <c r="C176" s="28"/>
      <c r="D176" s="15" t="str">
        <f>IF(IF(ISNUMBER(B176),"",MAX(D$4:D175)+1)&lt;=D$3,IF(ISNUMBER(B176),"",MAX(D$4:D175)+1),"")</f>
        <v/>
      </c>
      <c r="E176" s="28"/>
      <c r="F176" s="28"/>
      <c r="G176" s="27"/>
      <c r="H176" s="15"/>
      <c r="I176" s="15" t="str">
        <f>IF(O176="","",IF(ISNUMBER(MATCH(O176,$G$5:$G$1000,0)),"",IF(D176=1,B$4,0)+MAX(I$4:I175)+1))</f>
        <v/>
      </c>
      <c r="J176" s="27"/>
      <c r="K176" s="27"/>
      <c r="L176" s="26"/>
      <c r="M176" s="14">
        <f>IF(ROW()-ROW(M$4)&lt;=1000,ROW()-ROW(M$4),"")</f>
        <v>172</v>
      </c>
      <c r="N176" s="29"/>
      <c r="O176" s="29"/>
      <c r="P176" s="17"/>
      <c r="Q176" s="16" t="s">
        <v>0</v>
      </c>
      <c r="R176" s="34" t="str">
        <f>IF(ROW()-ROW(R$4)&lt;=AH$3,ROW()-ROW(R$4),"")</f>
        <v/>
      </c>
      <c r="S176" s="34" t="str">
        <f>IF(ROW()-ROW(S$4)&lt;=AI$3,ROW()-ROW(S$4),"")</f>
        <v/>
      </c>
      <c r="T176" s="34" t="str">
        <f>IF(ROW()-ROW(T$4)&lt;=AJ$3,ROW()-ROW(T$4),"")</f>
        <v/>
      </c>
      <c r="U176" s="34" t="str">
        <f>IF(ROW()-ROW(U$4)&lt;=AK$3,ROW()-ROW(U$4),"")</f>
        <v/>
      </c>
      <c r="V176" s="34" t="str">
        <f>IF(ROW()-ROW(V$4)&lt;=AL$3,ROW()-ROW(V$4),"")</f>
        <v/>
      </c>
      <c r="W176" s="34" t="str">
        <f>IF(ROW()-ROW(W$4)&lt;=AM$3,ROW()-ROW(W$4),"")</f>
        <v/>
      </c>
      <c r="X176" s="34" t="str">
        <f>IF(ROW()-ROW(X$4)&lt;=AN$3,ROW()-ROW(X$4),"")</f>
        <v/>
      </c>
      <c r="Y176" s="34"/>
      <c r="Z176" s="35" t="str">
        <f>IF(ISNUMBER(R176),INDEX($BE$5:$BE$2999,MATCH(R176,AH$5:AH$2999,0),1),"")</f>
        <v/>
      </c>
      <c r="AA176" s="35" t="str">
        <f>IF(ISNUMBER(S176),INDEX($BE$5:$BE$2999,MATCH(S176,AI$5:AI$2999,0),1),"")</f>
        <v/>
      </c>
      <c r="AB176" s="35" t="str">
        <f>IF(ISNUMBER(T176),INDEX($BE$5:$BE$2999,MATCH(T176,AJ$5:AJ$2999,0),1),"")</f>
        <v/>
      </c>
      <c r="AC176" s="35" t="str">
        <f>IF(ISNUMBER(U176),INDEX($BE$5:$BE$2999,MATCH(U176,AK$5:AK$2999,0),1),"")</f>
        <v/>
      </c>
      <c r="AD176" s="35" t="str">
        <f>IF(ISNUMBER(V176),INDEX($BE$5:$BE$2999,MATCH(V176,AL$5:AL$2999,0),1),"")</f>
        <v/>
      </c>
      <c r="AE176" s="35" t="str">
        <f>IF(ISNUMBER(W176),INDEX($BE$5:$BE$2999,MATCH(W176,AM$5:AM$2999,0),1),"")</f>
        <v/>
      </c>
      <c r="AF176" s="35" t="str">
        <f>IF(ISNUMBER(X176),INDEX($BE$5:$BE$2999,MATCH(X176,AN$5:AN$2999,0),1),"")</f>
        <v/>
      </c>
      <c r="AG176" s="35"/>
      <c r="AH176" s="34" t="str">
        <f>IF($BE176="","",IF(ISNUMBER(MATCH($BE176,AP$5:AP$29999,0)),MAX(AH$4:AH175)+1,0))</f>
        <v/>
      </c>
      <c r="AI176" s="34" t="str">
        <f>IF($BE176="","",IF(ISNUMBER(MATCH($BE176,AQ$5:AQ$29999,0)),MAX(AI$4:AI175)+1,0))</f>
        <v/>
      </c>
      <c r="AJ176" s="34" t="str">
        <f>IF($BE176="","",IF(ISNUMBER(MATCH($BE176,AR$5:AR$29999,0)),MAX(AJ$4:AJ175)+1,0))</f>
        <v/>
      </c>
      <c r="AK176" s="34" t="str">
        <f>IF($BE176="","",IF(ISNUMBER(MATCH($BE176,AS$5:AS$29999,0)),MAX(AK$4:AK175)+1,0))</f>
        <v/>
      </c>
      <c r="AL176" s="34" t="str">
        <f>IF($BE176="","",IF(ISNUMBER(MATCH($BE176,AT$5:AT$29999,0)),MAX(AL$4:AL175)+1,0))</f>
        <v/>
      </c>
      <c r="AM176" s="34" t="str">
        <f>IF($BE176="","",IF(ISNUMBER(MATCH($BE176,AU$5:AU$29999,0)),MAX(AM$4:AM175)+1,0))</f>
        <v/>
      </c>
      <c r="AN176" s="34" t="str">
        <f>IF($BE176="","",IF(ISNUMBER(MATCH($BE176,AV$5:AV$29999,0)),MAX(AN$4:AN175)+1,0))</f>
        <v/>
      </c>
      <c r="AO176" s="16"/>
      <c r="AP176" s="33"/>
      <c r="AQ176" s="33"/>
      <c r="AR176" s="33"/>
      <c r="AS176" s="33"/>
      <c r="AT176" s="32"/>
      <c r="AU176" s="32"/>
      <c r="AV176" s="32" t="s">
        <v>0</v>
      </c>
      <c r="AW176" s="20"/>
      <c r="AX176" s="20" t="s">
        <v>0</v>
      </c>
      <c r="AY176" s="30"/>
      <c r="AZ176" s="30"/>
      <c r="BA176" s="20"/>
      <c r="BB176" s="20"/>
      <c r="BC176" s="17"/>
      <c r="BD176" s="17"/>
      <c r="BE176" s="20"/>
      <c r="BF176" s="17"/>
      <c r="BG176" s="19"/>
      <c r="BH176" s="19"/>
      <c r="BI176" s="19"/>
      <c r="BJ176" s="19"/>
      <c r="BK176" s="19"/>
      <c r="BL176" s="19"/>
      <c r="BM176" s="19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</row>
    <row r="177" spans="1:78" ht="12" customHeight="1" x14ac:dyDescent="0.25">
      <c r="A177" s="26"/>
      <c r="B177" s="28"/>
      <c r="C177" s="28"/>
      <c r="D177" s="15" t="str">
        <f>IF(IF(ISNUMBER(B177),"",MAX(D$4:D176)+1)&lt;=D$3,IF(ISNUMBER(B177),"",MAX(D$4:D176)+1),"")</f>
        <v/>
      </c>
      <c r="E177" s="28"/>
      <c r="F177" s="28"/>
      <c r="G177" s="27"/>
      <c r="H177" s="15"/>
      <c r="I177" s="15" t="str">
        <f>IF(O177="","",IF(ISNUMBER(MATCH(O177,$G$5:$G$1000,0)),"",IF(D177=1,B$4,0)+MAX(I$4:I176)+1))</f>
        <v/>
      </c>
      <c r="J177" s="27"/>
      <c r="K177" s="27"/>
      <c r="L177" s="26"/>
      <c r="M177" s="14">
        <f>IF(ROW()-ROW(M$4)&lt;=1000,ROW()-ROW(M$4),"")</f>
        <v>173</v>
      </c>
      <c r="N177" s="29"/>
      <c r="O177" s="29"/>
      <c r="P177" s="17"/>
      <c r="Q177" s="16" t="s">
        <v>0</v>
      </c>
      <c r="R177" s="34" t="str">
        <f>IF(ROW()-ROW(R$4)&lt;=AH$3,ROW()-ROW(R$4),"")</f>
        <v/>
      </c>
      <c r="S177" s="34" t="str">
        <f>IF(ROW()-ROW(S$4)&lt;=AI$3,ROW()-ROW(S$4),"")</f>
        <v/>
      </c>
      <c r="T177" s="34" t="str">
        <f>IF(ROW()-ROW(T$4)&lt;=AJ$3,ROW()-ROW(T$4),"")</f>
        <v/>
      </c>
      <c r="U177" s="34" t="str">
        <f>IF(ROW()-ROW(U$4)&lt;=AK$3,ROW()-ROW(U$4),"")</f>
        <v/>
      </c>
      <c r="V177" s="34" t="str">
        <f>IF(ROW()-ROW(V$4)&lt;=AL$3,ROW()-ROW(V$4),"")</f>
        <v/>
      </c>
      <c r="W177" s="34" t="str">
        <f>IF(ROW()-ROW(W$4)&lt;=AM$3,ROW()-ROW(W$4),"")</f>
        <v/>
      </c>
      <c r="X177" s="34" t="str">
        <f>IF(ROW()-ROW(X$4)&lt;=AN$3,ROW()-ROW(X$4),"")</f>
        <v/>
      </c>
      <c r="Y177" s="34"/>
      <c r="Z177" s="35" t="str">
        <f>IF(ISNUMBER(R177),INDEX($BE$5:$BE$2999,MATCH(R177,AH$5:AH$2999,0),1),"")</f>
        <v/>
      </c>
      <c r="AA177" s="35" t="str">
        <f>IF(ISNUMBER(S177),INDEX($BE$5:$BE$2999,MATCH(S177,AI$5:AI$2999,0),1),"")</f>
        <v/>
      </c>
      <c r="AB177" s="35" t="str">
        <f>IF(ISNUMBER(T177),INDEX($BE$5:$BE$2999,MATCH(T177,AJ$5:AJ$2999,0),1),"")</f>
        <v/>
      </c>
      <c r="AC177" s="35" t="str">
        <f>IF(ISNUMBER(U177),INDEX($BE$5:$BE$2999,MATCH(U177,AK$5:AK$2999,0),1),"")</f>
        <v/>
      </c>
      <c r="AD177" s="35" t="str">
        <f>IF(ISNUMBER(V177),INDEX($BE$5:$BE$2999,MATCH(V177,AL$5:AL$2999,0),1),"")</f>
        <v/>
      </c>
      <c r="AE177" s="35" t="str">
        <f>IF(ISNUMBER(W177),INDEX($BE$5:$BE$2999,MATCH(W177,AM$5:AM$2999,0),1),"")</f>
        <v/>
      </c>
      <c r="AF177" s="35" t="str">
        <f>IF(ISNUMBER(X177),INDEX($BE$5:$BE$2999,MATCH(X177,AN$5:AN$2999,0),1),"")</f>
        <v/>
      </c>
      <c r="AG177" s="35"/>
      <c r="AH177" s="34" t="str">
        <f>IF($BE177="","",IF(ISNUMBER(MATCH($BE177,AP$5:AP$29999,0)),MAX(AH$4:AH176)+1,0))</f>
        <v/>
      </c>
      <c r="AI177" s="34" t="str">
        <f>IF($BE177="","",IF(ISNUMBER(MATCH($BE177,AQ$5:AQ$29999,0)),MAX(AI$4:AI176)+1,0))</f>
        <v/>
      </c>
      <c r="AJ177" s="34" t="str">
        <f>IF($BE177="","",IF(ISNUMBER(MATCH($BE177,AR$5:AR$29999,0)),MAX(AJ$4:AJ176)+1,0))</f>
        <v/>
      </c>
      <c r="AK177" s="34" t="str">
        <f>IF($BE177="","",IF(ISNUMBER(MATCH($BE177,AS$5:AS$29999,0)),MAX(AK$4:AK176)+1,0))</f>
        <v/>
      </c>
      <c r="AL177" s="34" t="str">
        <f>IF($BE177="","",IF(ISNUMBER(MATCH($BE177,AT$5:AT$29999,0)),MAX(AL$4:AL176)+1,0))</f>
        <v/>
      </c>
      <c r="AM177" s="34" t="str">
        <f>IF($BE177="","",IF(ISNUMBER(MATCH($BE177,AU$5:AU$29999,0)),MAX(AM$4:AM176)+1,0))</f>
        <v/>
      </c>
      <c r="AN177" s="34" t="str">
        <f>IF($BE177="","",IF(ISNUMBER(MATCH($BE177,AV$5:AV$29999,0)),MAX(AN$4:AN176)+1,0))</f>
        <v/>
      </c>
      <c r="AO177" s="16"/>
      <c r="AP177" s="33"/>
      <c r="AQ177" s="33"/>
      <c r="AR177" s="33"/>
      <c r="AS177" s="33"/>
      <c r="AT177" s="32"/>
      <c r="AU177" s="32"/>
      <c r="AV177" s="32" t="s">
        <v>0</v>
      </c>
      <c r="AW177" s="20"/>
      <c r="AX177" s="20" t="s">
        <v>0</v>
      </c>
      <c r="AY177" s="30"/>
      <c r="AZ177" s="30"/>
      <c r="BA177" s="20"/>
      <c r="BB177" s="20"/>
      <c r="BC177" s="17"/>
      <c r="BD177" s="17"/>
      <c r="BE177" s="20"/>
      <c r="BF177" s="17"/>
      <c r="BG177" s="19"/>
      <c r="BH177" s="19"/>
      <c r="BI177" s="19"/>
      <c r="BJ177" s="19"/>
      <c r="BK177" s="19"/>
      <c r="BL177" s="19"/>
      <c r="BM177" s="19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</row>
    <row r="178" spans="1:78" ht="12" customHeight="1" x14ac:dyDescent="0.25">
      <c r="A178" s="26"/>
      <c r="B178" s="28"/>
      <c r="C178" s="28"/>
      <c r="D178" s="15" t="str">
        <f>IF(IF(ISNUMBER(B178),"",MAX(D$4:D177)+1)&lt;=D$3,IF(ISNUMBER(B178),"",MAX(D$4:D177)+1),"")</f>
        <v/>
      </c>
      <c r="E178" s="28"/>
      <c r="F178" s="28"/>
      <c r="G178" s="27"/>
      <c r="H178" s="15"/>
      <c r="I178" s="15" t="str">
        <f>IF(O178="","",IF(ISNUMBER(MATCH(O178,$G$5:$G$1000,0)),"",IF(D178=1,B$4,0)+MAX(I$4:I177)+1))</f>
        <v/>
      </c>
      <c r="J178" s="27"/>
      <c r="K178" s="27"/>
      <c r="L178" s="26"/>
      <c r="M178" s="14">
        <f>IF(ROW()-ROW(M$4)&lt;=1000,ROW()-ROW(M$4),"")</f>
        <v>174</v>
      </c>
      <c r="N178" s="29"/>
      <c r="O178" s="29"/>
      <c r="P178" s="17"/>
      <c r="Q178" s="16" t="s">
        <v>0</v>
      </c>
      <c r="R178" s="34" t="str">
        <f>IF(ROW()-ROW(R$4)&lt;=AH$3,ROW()-ROW(R$4),"")</f>
        <v/>
      </c>
      <c r="S178" s="34" t="str">
        <f>IF(ROW()-ROW(S$4)&lt;=AI$3,ROW()-ROW(S$4),"")</f>
        <v/>
      </c>
      <c r="T178" s="34" t="str">
        <f>IF(ROW()-ROW(T$4)&lt;=AJ$3,ROW()-ROW(T$4),"")</f>
        <v/>
      </c>
      <c r="U178" s="34" t="str">
        <f>IF(ROW()-ROW(U$4)&lt;=AK$3,ROW()-ROW(U$4),"")</f>
        <v/>
      </c>
      <c r="V178" s="34" t="str">
        <f>IF(ROW()-ROW(V$4)&lt;=AL$3,ROW()-ROW(V$4),"")</f>
        <v/>
      </c>
      <c r="W178" s="34" t="str">
        <f>IF(ROW()-ROW(W$4)&lt;=AM$3,ROW()-ROW(W$4),"")</f>
        <v/>
      </c>
      <c r="X178" s="34" t="str">
        <f>IF(ROW()-ROW(X$4)&lt;=AN$3,ROW()-ROW(X$4),"")</f>
        <v/>
      </c>
      <c r="Y178" s="34"/>
      <c r="Z178" s="35" t="str">
        <f>IF(ISNUMBER(R178),INDEX($BE$5:$BE$2999,MATCH(R178,AH$5:AH$2999,0),1),"")</f>
        <v/>
      </c>
      <c r="AA178" s="35" t="str">
        <f>IF(ISNUMBER(S178),INDEX($BE$5:$BE$2999,MATCH(S178,AI$5:AI$2999,0),1),"")</f>
        <v/>
      </c>
      <c r="AB178" s="35" t="str">
        <f>IF(ISNUMBER(T178),INDEX($BE$5:$BE$2999,MATCH(T178,AJ$5:AJ$2999,0),1),"")</f>
        <v/>
      </c>
      <c r="AC178" s="35" t="str">
        <f>IF(ISNUMBER(U178),INDEX($BE$5:$BE$2999,MATCH(U178,AK$5:AK$2999,0),1),"")</f>
        <v/>
      </c>
      <c r="AD178" s="35" t="str">
        <f>IF(ISNUMBER(V178),INDEX($BE$5:$BE$2999,MATCH(V178,AL$5:AL$2999,0),1),"")</f>
        <v/>
      </c>
      <c r="AE178" s="35" t="str">
        <f>IF(ISNUMBER(W178),INDEX($BE$5:$BE$2999,MATCH(W178,AM$5:AM$2999,0),1),"")</f>
        <v/>
      </c>
      <c r="AF178" s="35" t="str">
        <f>IF(ISNUMBER(X178),INDEX($BE$5:$BE$2999,MATCH(X178,AN$5:AN$2999,0),1),"")</f>
        <v/>
      </c>
      <c r="AG178" s="35"/>
      <c r="AH178" s="34" t="str">
        <f>IF($BE178="","",IF(ISNUMBER(MATCH($BE178,AP$5:AP$29999,0)),MAX(AH$4:AH177)+1,0))</f>
        <v/>
      </c>
      <c r="AI178" s="34" t="str">
        <f>IF($BE178="","",IF(ISNUMBER(MATCH($BE178,AQ$5:AQ$29999,0)),MAX(AI$4:AI177)+1,0))</f>
        <v/>
      </c>
      <c r="AJ178" s="34" t="str">
        <f>IF($BE178="","",IF(ISNUMBER(MATCH($BE178,AR$5:AR$29999,0)),MAX(AJ$4:AJ177)+1,0))</f>
        <v/>
      </c>
      <c r="AK178" s="34" t="str">
        <f>IF($BE178="","",IF(ISNUMBER(MATCH($BE178,AS$5:AS$29999,0)),MAX(AK$4:AK177)+1,0))</f>
        <v/>
      </c>
      <c r="AL178" s="34" t="str">
        <f>IF($BE178="","",IF(ISNUMBER(MATCH($BE178,AT$5:AT$29999,0)),MAX(AL$4:AL177)+1,0))</f>
        <v/>
      </c>
      <c r="AM178" s="34" t="str">
        <f>IF($BE178="","",IF(ISNUMBER(MATCH($BE178,AU$5:AU$29999,0)),MAX(AM$4:AM177)+1,0))</f>
        <v/>
      </c>
      <c r="AN178" s="34" t="str">
        <f>IF($BE178="","",IF(ISNUMBER(MATCH($BE178,AV$5:AV$29999,0)),MAX(AN$4:AN177)+1,0))</f>
        <v/>
      </c>
      <c r="AO178" s="16"/>
      <c r="AP178" s="33"/>
      <c r="AQ178" s="33"/>
      <c r="AR178" s="33"/>
      <c r="AS178" s="33"/>
      <c r="AT178" s="32"/>
      <c r="AU178" s="32"/>
      <c r="AV178" s="32" t="s">
        <v>0</v>
      </c>
      <c r="AW178" s="20"/>
      <c r="AX178" s="20" t="s">
        <v>0</v>
      </c>
      <c r="AY178" s="30"/>
      <c r="AZ178" s="30"/>
      <c r="BA178" s="20"/>
      <c r="BB178" s="20"/>
      <c r="BC178" s="17"/>
      <c r="BD178" s="17"/>
      <c r="BE178" s="20"/>
      <c r="BF178" s="17"/>
      <c r="BG178" s="19"/>
      <c r="BH178" s="19"/>
      <c r="BI178" s="19"/>
      <c r="BJ178" s="19"/>
      <c r="BK178" s="19"/>
      <c r="BL178" s="19"/>
      <c r="BM178" s="19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</row>
    <row r="179" spans="1:78" ht="12" customHeight="1" x14ac:dyDescent="0.25">
      <c r="A179" s="26"/>
      <c r="B179" s="28"/>
      <c r="C179" s="28"/>
      <c r="D179" s="15" t="str">
        <f>IF(IF(ISNUMBER(B179),"",MAX(D$4:D178)+1)&lt;=D$3,IF(ISNUMBER(B179),"",MAX(D$4:D178)+1),"")</f>
        <v/>
      </c>
      <c r="E179" s="28"/>
      <c r="F179" s="28"/>
      <c r="G179" s="27"/>
      <c r="H179" s="15"/>
      <c r="I179" s="15" t="str">
        <f>IF(O179="","",IF(ISNUMBER(MATCH(O179,$G$5:$G$1000,0)),"",IF(D179=1,B$4,0)+MAX(I$4:I178)+1))</f>
        <v/>
      </c>
      <c r="J179" s="27"/>
      <c r="K179" s="27"/>
      <c r="L179" s="26"/>
      <c r="M179" s="14">
        <f>IF(ROW()-ROW(M$4)&lt;=1000,ROW()-ROW(M$4),"")</f>
        <v>175</v>
      </c>
      <c r="N179" s="29"/>
      <c r="O179" s="29"/>
      <c r="P179" s="17"/>
      <c r="Q179" s="16" t="s">
        <v>0</v>
      </c>
      <c r="R179" s="34" t="str">
        <f>IF(ROW()-ROW(R$4)&lt;=AH$3,ROW()-ROW(R$4),"")</f>
        <v/>
      </c>
      <c r="S179" s="34" t="str">
        <f>IF(ROW()-ROW(S$4)&lt;=AI$3,ROW()-ROW(S$4),"")</f>
        <v/>
      </c>
      <c r="T179" s="34" t="str">
        <f>IF(ROW()-ROW(T$4)&lt;=AJ$3,ROW()-ROW(T$4),"")</f>
        <v/>
      </c>
      <c r="U179" s="34" t="str">
        <f>IF(ROW()-ROW(U$4)&lt;=AK$3,ROW()-ROW(U$4),"")</f>
        <v/>
      </c>
      <c r="V179" s="34" t="str">
        <f>IF(ROW()-ROW(V$4)&lt;=AL$3,ROW()-ROW(V$4),"")</f>
        <v/>
      </c>
      <c r="W179" s="34" t="str">
        <f>IF(ROW()-ROW(W$4)&lt;=AM$3,ROW()-ROW(W$4),"")</f>
        <v/>
      </c>
      <c r="X179" s="34" t="str">
        <f>IF(ROW()-ROW(X$4)&lt;=AN$3,ROW()-ROW(X$4),"")</f>
        <v/>
      </c>
      <c r="Y179" s="34"/>
      <c r="Z179" s="35" t="str">
        <f>IF(ISNUMBER(R179),INDEX($BE$5:$BE$2999,MATCH(R179,AH$5:AH$2999,0),1),"")</f>
        <v/>
      </c>
      <c r="AA179" s="35" t="str">
        <f>IF(ISNUMBER(S179),INDEX($BE$5:$BE$2999,MATCH(S179,AI$5:AI$2999,0),1),"")</f>
        <v/>
      </c>
      <c r="AB179" s="35" t="str">
        <f>IF(ISNUMBER(T179),INDEX($BE$5:$BE$2999,MATCH(T179,AJ$5:AJ$2999,0),1),"")</f>
        <v/>
      </c>
      <c r="AC179" s="35" t="str">
        <f>IF(ISNUMBER(U179),INDEX($BE$5:$BE$2999,MATCH(U179,AK$5:AK$2999,0),1),"")</f>
        <v/>
      </c>
      <c r="AD179" s="35" t="str">
        <f>IF(ISNUMBER(V179),INDEX($BE$5:$BE$2999,MATCH(V179,AL$5:AL$2999,0),1),"")</f>
        <v/>
      </c>
      <c r="AE179" s="35" t="str">
        <f>IF(ISNUMBER(W179),INDEX($BE$5:$BE$2999,MATCH(W179,AM$5:AM$2999,0),1),"")</f>
        <v/>
      </c>
      <c r="AF179" s="35" t="str">
        <f>IF(ISNUMBER(X179),INDEX($BE$5:$BE$2999,MATCH(X179,AN$5:AN$2999,0),1),"")</f>
        <v/>
      </c>
      <c r="AG179" s="35"/>
      <c r="AH179" s="34" t="str">
        <f>IF($BE179="","",IF(ISNUMBER(MATCH($BE179,AP$5:AP$29999,0)),MAX(AH$4:AH178)+1,0))</f>
        <v/>
      </c>
      <c r="AI179" s="34" t="str">
        <f>IF($BE179="","",IF(ISNUMBER(MATCH($BE179,AQ$5:AQ$29999,0)),MAX(AI$4:AI178)+1,0))</f>
        <v/>
      </c>
      <c r="AJ179" s="34" t="str">
        <f>IF($BE179="","",IF(ISNUMBER(MATCH($BE179,AR$5:AR$29999,0)),MAX(AJ$4:AJ178)+1,0))</f>
        <v/>
      </c>
      <c r="AK179" s="34" t="str">
        <f>IF($BE179="","",IF(ISNUMBER(MATCH($BE179,AS$5:AS$29999,0)),MAX(AK$4:AK178)+1,0))</f>
        <v/>
      </c>
      <c r="AL179" s="34" t="str">
        <f>IF($BE179="","",IF(ISNUMBER(MATCH($BE179,AT$5:AT$29999,0)),MAX(AL$4:AL178)+1,0))</f>
        <v/>
      </c>
      <c r="AM179" s="34" t="str">
        <f>IF($BE179="","",IF(ISNUMBER(MATCH($BE179,AU$5:AU$29999,0)),MAX(AM$4:AM178)+1,0))</f>
        <v/>
      </c>
      <c r="AN179" s="34" t="str">
        <f>IF($BE179="","",IF(ISNUMBER(MATCH($BE179,AV$5:AV$29999,0)),MAX(AN$4:AN178)+1,0))</f>
        <v/>
      </c>
      <c r="AO179" s="16"/>
      <c r="AP179" s="33"/>
      <c r="AQ179" s="33"/>
      <c r="AR179" s="33"/>
      <c r="AS179" s="33"/>
      <c r="AT179" s="32"/>
      <c r="AU179" s="32"/>
      <c r="AV179" s="32" t="s">
        <v>0</v>
      </c>
      <c r="AW179" s="20"/>
      <c r="AX179" s="20" t="s">
        <v>0</v>
      </c>
      <c r="AY179" s="30"/>
      <c r="AZ179" s="30"/>
      <c r="BA179" s="20"/>
      <c r="BB179" s="20"/>
      <c r="BC179" s="17"/>
      <c r="BD179" s="17"/>
      <c r="BE179" s="20"/>
      <c r="BF179" s="17"/>
      <c r="BG179" s="19"/>
      <c r="BH179" s="19"/>
      <c r="BI179" s="19"/>
      <c r="BJ179" s="19"/>
      <c r="BK179" s="19"/>
      <c r="BL179" s="19"/>
      <c r="BM179" s="19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</row>
    <row r="180" spans="1:78" ht="12" customHeight="1" x14ac:dyDescent="0.25">
      <c r="A180" s="26"/>
      <c r="B180" s="28"/>
      <c r="C180" s="28"/>
      <c r="D180" s="15" t="str">
        <f>IF(IF(ISNUMBER(B180),"",MAX(D$4:D179)+1)&lt;=D$3,IF(ISNUMBER(B180),"",MAX(D$4:D179)+1),"")</f>
        <v/>
      </c>
      <c r="E180" s="28"/>
      <c r="F180" s="28"/>
      <c r="G180" s="27"/>
      <c r="H180" s="15"/>
      <c r="I180" s="15" t="str">
        <f>IF(O180="","",IF(ISNUMBER(MATCH(O180,$G$5:$G$1000,0)),"",IF(D180=1,B$4,0)+MAX(I$4:I179)+1))</f>
        <v/>
      </c>
      <c r="J180" s="27"/>
      <c r="K180" s="27"/>
      <c r="L180" s="26"/>
      <c r="M180" s="14">
        <f>IF(ROW()-ROW(M$4)&lt;=1000,ROW()-ROW(M$4),"")</f>
        <v>176</v>
      </c>
      <c r="N180" s="29"/>
      <c r="O180" s="29"/>
      <c r="P180" s="17"/>
      <c r="Q180" s="16" t="s">
        <v>0</v>
      </c>
      <c r="R180" s="34" t="str">
        <f>IF(ROW()-ROW(R$4)&lt;=AH$3,ROW()-ROW(R$4),"")</f>
        <v/>
      </c>
      <c r="S180" s="34" t="str">
        <f>IF(ROW()-ROW(S$4)&lt;=AI$3,ROW()-ROW(S$4),"")</f>
        <v/>
      </c>
      <c r="T180" s="34" t="str">
        <f>IF(ROW()-ROW(T$4)&lt;=AJ$3,ROW()-ROW(T$4),"")</f>
        <v/>
      </c>
      <c r="U180" s="34" t="str">
        <f>IF(ROW()-ROW(U$4)&lt;=AK$3,ROW()-ROW(U$4),"")</f>
        <v/>
      </c>
      <c r="V180" s="34" t="str">
        <f>IF(ROW()-ROW(V$4)&lt;=AL$3,ROW()-ROW(V$4),"")</f>
        <v/>
      </c>
      <c r="W180" s="34" t="str">
        <f>IF(ROW()-ROW(W$4)&lt;=AM$3,ROW()-ROW(W$4),"")</f>
        <v/>
      </c>
      <c r="X180" s="34" t="str">
        <f>IF(ROW()-ROW(X$4)&lt;=AN$3,ROW()-ROW(X$4),"")</f>
        <v/>
      </c>
      <c r="Y180" s="34"/>
      <c r="Z180" s="35" t="str">
        <f>IF(ISNUMBER(R180),INDEX($BE$5:$BE$2999,MATCH(R180,AH$5:AH$2999,0),1),"")</f>
        <v/>
      </c>
      <c r="AA180" s="35" t="str">
        <f>IF(ISNUMBER(S180),INDEX($BE$5:$BE$2999,MATCH(S180,AI$5:AI$2999,0),1),"")</f>
        <v/>
      </c>
      <c r="AB180" s="35" t="str">
        <f>IF(ISNUMBER(T180),INDEX($BE$5:$BE$2999,MATCH(T180,AJ$5:AJ$2999,0),1),"")</f>
        <v/>
      </c>
      <c r="AC180" s="35" t="str">
        <f>IF(ISNUMBER(U180),INDEX($BE$5:$BE$2999,MATCH(U180,AK$5:AK$2999,0),1),"")</f>
        <v/>
      </c>
      <c r="AD180" s="35" t="str">
        <f>IF(ISNUMBER(V180),INDEX($BE$5:$BE$2999,MATCH(V180,AL$5:AL$2999,0),1),"")</f>
        <v/>
      </c>
      <c r="AE180" s="35" t="str">
        <f>IF(ISNUMBER(W180),INDEX($BE$5:$BE$2999,MATCH(W180,AM$5:AM$2999,0),1),"")</f>
        <v/>
      </c>
      <c r="AF180" s="35" t="str">
        <f>IF(ISNUMBER(X180),INDEX($BE$5:$BE$2999,MATCH(X180,AN$5:AN$2999,0),1),"")</f>
        <v/>
      </c>
      <c r="AG180" s="35"/>
      <c r="AH180" s="34" t="str">
        <f>IF($BE180="","",IF(ISNUMBER(MATCH($BE180,AP$5:AP$29999,0)),MAX(AH$4:AH179)+1,0))</f>
        <v/>
      </c>
      <c r="AI180" s="34" t="str">
        <f>IF($BE180="","",IF(ISNUMBER(MATCH($BE180,AQ$5:AQ$29999,0)),MAX(AI$4:AI179)+1,0))</f>
        <v/>
      </c>
      <c r="AJ180" s="34" t="str">
        <f>IF($BE180="","",IF(ISNUMBER(MATCH($BE180,AR$5:AR$29999,0)),MAX(AJ$4:AJ179)+1,0))</f>
        <v/>
      </c>
      <c r="AK180" s="34" t="str">
        <f>IF($BE180="","",IF(ISNUMBER(MATCH($BE180,AS$5:AS$29999,0)),MAX(AK$4:AK179)+1,0))</f>
        <v/>
      </c>
      <c r="AL180" s="34" t="str">
        <f>IF($BE180="","",IF(ISNUMBER(MATCH($BE180,AT$5:AT$29999,0)),MAX(AL$4:AL179)+1,0))</f>
        <v/>
      </c>
      <c r="AM180" s="34" t="str">
        <f>IF($BE180="","",IF(ISNUMBER(MATCH($BE180,AU$5:AU$29999,0)),MAX(AM$4:AM179)+1,0))</f>
        <v/>
      </c>
      <c r="AN180" s="34" t="str">
        <f>IF($BE180="","",IF(ISNUMBER(MATCH($BE180,AV$5:AV$29999,0)),MAX(AN$4:AN179)+1,0))</f>
        <v/>
      </c>
      <c r="AO180" s="16"/>
      <c r="AP180" s="33"/>
      <c r="AQ180" s="33"/>
      <c r="AR180" s="33"/>
      <c r="AS180" s="33"/>
      <c r="AT180" s="32"/>
      <c r="AU180" s="32"/>
      <c r="AV180" s="32" t="s">
        <v>0</v>
      </c>
      <c r="AW180" s="20"/>
      <c r="AX180" s="20" t="s">
        <v>0</v>
      </c>
      <c r="AY180" s="30"/>
      <c r="AZ180" s="30"/>
      <c r="BA180" s="20"/>
      <c r="BB180" s="20"/>
      <c r="BC180" s="17"/>
      <c r="BD180" s="17"/>
      <c r="BE180" s="20"/>
      <c r="BF180" s="17"/>
      <c r="BG180" s="19"/>
      <c r="BH180" s="19"/>
      <c r="BI180" s="19"/>
      <c r="BJ180" s="19"/>
      <c r="BK180" s="19"/>
      <c r="BL180" s="19"/>
      <c r="BM180" s="19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</row>
    <row r="181" spans="1:78" ht="12" customHeight="1" x14ac:dyDescent="0.25">
      <c r="A181" s="26"/>
      <c r="B181" s="28"/>
      <c r="C181" s="28"/>
      <c r="D181" s="15" t="str">
        <f>IF(IF(ISNUMBER(B181),"",MAX(D$4:D180)+1)&lt;=D$3,IF(ISNUMBER(B181),"",MAX(D$4:D180)+1),"")</f>
        <v/>
      </c>
      <c r="E181" s="28"/>
      <c r="F181" s="28"/>
      <c r="G181" s="27"/>
      <c r="H181" s="15"/>
      <c r="I181" s="15" t="str">
        <f>IF(O181="","",IF(ISNUMBER(MATCH(O181,$G$5:$G$1000,0)),"",IF(D181=1,B$4,0)+MAX(I$4:I180)+1))</f>
        <v/>
      </c>
      <c r="J181" s="27"/>
      <c r="K181" s="27"/>
      <c r="L181" s="26"/>
      <c r="M181" s="14">
        <f>IF(ROW()-ROW(M$4)&lt;=1000,ROW()-ROW(M$4),"")</f>
        <v>177</v>
      </c>
      <c r="N181" s="29"/>
      <c r="O181" s="29"/>
      <c r="P181" s="17"/>
      <c r="Q181" s="16" t="s">
        <v>0</v>
      </c>
      <c r="R181" s="34" t="str">
        <f>IF(ROW()-ROW(R$4)&lt;=AH$3,ROW()-ROW(R$4),"")</f>
        <v/>
      </c>
      <c r="S181" s="34" t="str">
        <f>IF(ROW()-ROW(S$4)&lt;=AI$3,ROW()-ROW(S$4),"")</f>
        <v/>
      </c>
      <c r="T181" s="34" t="str">
        <f>IF(ROW()-ROW(T$4)&lt;=AJ$3,ROW()-ROW(T$4),"")</f>
        <v/>
      </c>
      <c r="U181" s="34" t="str">
        <f>IF(ROW()-ROW(U$4)&lt;=AK$3,ROW()-ROW(U$4),"")</f>
        <v/>
      </c>
      <c r="V181" s="34" t="str">
        <f>IF(ROW()-ROW(V$4)&lt;=AL$3,ROW()-ROW(V$4),"")</f>
        <v/>
      </c>
      <c r="W181" s="34" t="str">
        <f>IF(ROW()-ROW(W$4)&lt;=AM$3,ROW()-ROW(W$4),"")</f>
        <v/>
      </c>
      <c r="X181" s="34" t="str">
        <f>IF(ROW()-ROW(X$4)&lt;=AN$3,ROW()-ROW(X$4),"")</f>
        <v/>
      </c>
      <c r="Y181" s="34"/>
      <c r="Z181" s="35" t="str">
        <f>IF(ISNUMBER(R181),INDEX($BE$5:$BE$2999,MATCH(R181,AH$5:AH$2999,0),1),"")</f>
        <v/>
      </c>
      <c r="AA181" s="35" t="str">
        <f>IF(ISNUMBER(S181),INDEX($BE$5:$BE$2999,MATCH(S181,AI$5:AI$2999,0),1),"")</f>
        <v/>
      </c>
      <c r="AB181" s="35" t="str">
        <f>IF(ISNUMBER(T181),INDEX($BE$5:$BE$2999,MATCH(T181,AJ$5:AJ$2999,0),1),"")</f>
        <v/>
      </c>
      <c r="AC181" s="35" t="str">
        <f>IF(ISNUMBER(U181),INDEX($BE$5:$BE$2999,MATCH(U181,AK$5:AK$2999,0),1),"")</f>
        <v/>
      </c>
      <c r="AD181" s="35" t="str">
        <f>IF(ISNUMBER(V181),INDEX($BE$5:$BE$2999,MATCH(V181,AL$5:AL$2999,0),1),"")</f>
        <v/>
      </c>
      <c r="AE181" s="35" t="str">
        <f>IF(ISNUMBER(W181),INDEX($BE$5:$BE$2999,MATCH(W181,AM$5:AM$2999,0),1),"")</f>
        <v/>
      </c>
      <c r="AF181" s="35" t="str">
        <f>IF(ISNUMBER(X181),INDEX($BE$5:$BE$2999,MATCH(X181,AN$5:AN$2999,0),1),"")</f>
        <v/>
      </c>
      <c r="AG181" s="35"/>
      <c r="AH181" s="34" t="str">
        <f>IF($BE181="","",IF(ISNUMBER(MATCH($BE181,AP$5:AP$29999,0)),MAX(AH$4:AH180)+1,0))</f>
        <v/>
      </c>
      <c r="AI181" s="34" t="str">
        <f>IF($BE181="","",IF(ISNUMBER(MATCH($BE181,AQ$5:AQ$29999,0)),MAX(AI$4:AI180)+1,0))</f>
        <v/>
      </c>
      <c r="AJ181" s="34" t="str">
        <f>IF($BE181="","",IF(ISNUMBER(MATCH($BE181,AR$5:AR$29999,0)),MAX(AJ$4:AJ180)+1,0))</f>
        <v/>
      </c>
      <c r="AK181" s="34" t="str">
        <f>IF($BE181="","",IF(ISNUMBER(MATCH($BE181,AS$5:AS$29999,0)),MAX(AK$4:AK180)+1,0))</f>
        <v/>
      </c>
      <c r="AL181" s="34" t="str">
        <f>IF($BE181="","",IF(ISNUMBER(MATCH($BE181,AT$5:AT$29999,0)),MAX(AL$4:AL180)+1,0))</f>
        <v/>
      </c>
      <c r="AM181" s="34" t="str">
        <f>IF($BE181="","",IF(ISNUMBER(MATCH($BE181,AU$5:AU$29999,0)),MAX(AM$4:AM180)+1,0))</f>
        <v/>
      </c>
      <c r="AN181" s="34" t="str">
        <f>IF($BE181="","",IF(ISNUMBER(MATCH($BE181,AV$5:AV$29999,0)),MAX(AN$4:AN180)+1,0))</f>
        <v/>
      </c>
      <c r="AO181" s="16"/>
      <c r="AP181" s="33"/>
      <c r="AQ181" s="33"/>
      <c r="AR181" s="33"/>
      <c r="AS181" s="33"/>
      <c r="AT181" s="32"/>
      <c r="AU181" s="32"/>
      <c r="AV181" s="32" t="s">
        <v>0</v>
      </c>
      <c r="AW181" s="20"/>
      <c r="AX181" s="20" t="s">
        <v>0</v>
      </c>
      <c r="AY181" s="30"/>
      <c r="AZ181" s="30"/>
      <c r="BA181" s="20"/>
      <c r="BB181" s="20"/>
      <c r="BC181" s="17"/>
      <c r="BD181" s="17"/>
      <c r="BE181" s="20"/>
      <c r="BF181" s="17"/>
      <c r="BG181" s="19"/>
      <c r="BH181" s="19"/>
      <c r="BI181" s="19"/>
      <c r="BJ181" s="19"/>
      <c r="BK181" s="19"/>
      <c r="BL181" s="19"/>
      <c r="BM181" s="19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</row>
    <row r="182" spans="1:78" ht="12" customHeight="1" x14ac:dyDescent="0.25">
      <c r="A182" s="26"/>
      <c r="B182" s="28"/>
      <c r="C182" s="28"/>
      <c r="D182" s="15" t="str">
        <f>IF(IF(ISNUMBER(B182),"",MAX(D$4:D181)+1)&lt;=D$3,IF(ISNUMBER(B182),"",MAX(D$4:D181)+1),"")</f>
        <v/>
      </c>
      <c r="E182" s="28"/>
      <c r="F182" s="28"/>
      <c r="G182" s="27"/>
      <c r="H182" s="15"/>
      <c r="I182" s="15" t="str">
        <f>IF(O182="","",IF(ISNUMBER(MATCH(O182,$G$5:$G$1000,0)),"",IF(D182=1,B$4,0)+MAX(I$4:I181)+1))</f>
        <v/>
      </c>
      <c r="J182" s="27"/>
      <c r="K182" s="27"/>
      <c r="L182" s="26"/>
      <c r="M182" s="14">
        <f>IF(ROW()-ROW(M$4)&lt;=1000,ROW()-ROW(M$4),"")</f>
        <v>178</v>
      </c>
      <c r="N182" s="29"/>
      <c r="O182" s="29"/>
      <c r="P182" s="17"/>
      <c r="Q182" s="16" t="s">
        <v>0</v>
      </c>
      <c r="R182" s="24"/>
      <c r="S182" s="24"/>
      <c r="T182" s="24"/>
      <c r="U182" s="24"/>
      <c r="V182" s="24"/>
      <c r="W182" s="24"/>
      <c r="X182" s="24"/>
      <c r="Y182" s="24"/>
      <c r="Z182" s="22"/>
      <c r="AA182" s="22"/>
      <c r="AB182" s="22"/>
      <c r="AC182" s="22"/>
      <c r="AD182" s="22"/>
      <c r="AE182" s="22"/>
      <c r="AF182" s="22"/>
      <c r="AG182" s="22"/>
      <c r="AH182" s="31"/>
      <c r="AI182" s="31"/>
      <c r="AJ182" s="31"/>
      <c r="AK182" s="31"/>
      <c r="AL182" s="31"/>
      <c r="AM182" s="31"/>
      <c r="AN182" s="31"/>
      <c r="AO182" s="16"/>
      <c r="AP182" s="21"/>
      <c r="AQ182" s="21"/>
      <c r="AR182" s="21"/>
      <c r="AS182" s="21"/>
      <c r="AT182" s="18"/>
      <c r="AU182" s="18"/>
      <c r="AV182" s="18"/>
      <c r="AW182" s="20"/>
      <c r="AX182" s="20" t="s">
        <v>0</v>
      </c>
      <c r="AY182" s="30"/>
      <c r="AZ182" s="30"/>
      <c r="BA182" s="20"/>
      <c r="BB182" s="20"/>
      <c r="BC182" s="17"/>
      <c r="BD182" s="17"/>
      <c r="BE182" s="20"/>
      <c r="BF182" s="17"/>
      <c r="BG182" s="19"/>
      <c r="BH182" s="19"/>
      <c r="BI182" s="19"/>
      <c r="BJ182" s="19"/>
      <c r="BK182" s="19"/>
      <c r="BL182" s="19"/>
      <c r="BM182" s="19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</row>
    <row r="183" spans="1:78" ht="12" customHeight="1" x14ac:dyDescent="0.25">
      <c r="A183" s="26"/>
      <c r="B183" s="28"/>
      <c r="C183" s="28"/>
      <c r="D183" s="15" t="str">
        <f>IF(IF(ISNUMBER(B183),"",MAX(D$4:D182)+1)&lt;=D$3,IF(ISNUMBER(B183),"",MAX(D$4:D182)+1),"")</f>
        <v/>
      </c>
      <c r="E183" s="28"/>
      <c r="F183" s="28"/>
      <c r="G183" s="27"/>
      <c r="H183" s="15"/>
      <c r="I183" s="15" t="str">
        <f>IF(O183="","",IF(ISNUMBER(MATCH(O183,$G$5:$G$1000,0)),"",IF(D183=1,B$4,0)+MAX(I$4:I182)+1))</f>
        <v/>
      </c>
      <c r="J183" s="27"/>
      <c r="K183" s="27"/>
      <c r="L183" s="26"/>
      <c r="M183" s="14">
        <f>IF(ROW()-ROW(M$4)&lt;=1000,ROW()-ROW(M$4),"")</f>
        <v>179</v>
      </c>
      <c r="N183" s="29"/>
      <c r="O183" s="29"/>
      <c r="P183" s="17"/>
      <c r="Q183" s="16" t="s">
        <v>0</v>
      </c>
      <c r="R183" s="24"/>
      <c r="S183" s="24"/>
      <c r="T183" s="24"/>
      <c r="U183" s="24"/>
      <c r="V183" s="24"/>
      <c r="W183" s="24"/>
      <c r="X183" s="24"/>
      <c r="Y183" s="24"/>
      <c r="Z183" s="22"/>
      <c r="AA183" s="22"/>
      <c r="AB183" s="22"/>
      <c r="AC183" s="22"/>
      <c r="AD183" s="22"/>
      <c r="AE183" s="22"/>
      <c r="AF183" s="22"/>
      <c r="AG183" s="22"/>
      <c r="AH183" s="31"/>
      <c r="AI183" s="31"/>
      <c r="AJ183" s="31"/>
      <c r="AK183" s="31"/>
      <c r="AL183" s="31"/>
      <c r="AM183" s="31"/>
      <c r="AN183" s="31"/>
      <c r="AO183" s="16"/>
      <c r="AP183" s="21"/>
      <c r="AQ183" s="21"/>
      <c r="AR183" s="21"/>
      <c r="AS183" s="21"/>
      <c r="AT183" s="18"/>
      <c r="AU183" s="18"/>
      <c r="AV183" s="18"/>
      <c r="AW183" s="20"/>
      <c r="AX183" s="20" t="s">
        <v>0</v>
      </c>
      <c r="AY183" s="30"/>
      <c r="AZ183" s="30"/>
      <c r="BA183" s="20"/>
      <c r="BB183" s="20"/>
      <c r="BC183" s="17"/>
      <c r="BD183" s="17"/>
      <c r="BE183" s="20"/>
      <c r="BF183" s="17"/>
      <c r="BG183" s="19"/>
      <c r="BH183" s="19"/>
      <c r="BI183" s="19"/>
      <c r="BJ183" s="19"/>
      <c r="BK183" s="19"/>
      <c r="BL183" s="19"/>
      <c r="BM183" s="19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</row>
    <row r="184" spans="1:78" ht="12" customHeight="1" x14ac:dyDescent="0.25">
      <c r="A184" s="26"/>
      <c r="B184" s="28"/>
      <c r="C184" s="28"/>
      <c r="D184" s="15" t="str">
        <f>IF(IF(ISNUMBER(B184),"",MAX(D$4:D183)+1)&lt;=D$3,IF(ISNUMBER(B184),"",MAX(D$4:D183)+1),"")</f>
        <v/>
      </c>
      <c r="E184" s="28"/>
      <c r="F184" s="28"/>
      <c r="G184" s="27"/>
      <c r="H184" s="15"/>
      <c r="I184" s="15" t="str">
        <f>IF(O184="","",IF(ISNUMBER(MATCH(O184,$G$5:$G$1000,0)),"",IF(D184=1,B$4,0)+MAX(I$4:I183)+1))</f>
        <v/>
      </c>
      <c r="J184" s="27"/>
      <c r="K184" s="27"/>
      <c r="L184" s="26"/>
      <c r="M184" s="14">
        <f>IF(ROW()-ROW(M$4)&lt;=1000,ROW()-ROW(M$4),"")</f>
        <v>180</v>
      </c>
      <c r="N184" s="29"/>
      <c r="O184" s="29"/>
      <c r="P184" s="17"/>
      <c r="Q184" s="16" t="s">
        <v>0</v>
      </c>
      <c r="R184" s="24"/>
      <c r="S184" s="24"/>
      <c r="T184" s="24"/>
      <c r="U184" s="24"/>
      <c r="V184" s="24"/>
      <c r="W184" s="24"/>
      <c r="X184" s="24"/>
      <c r="Y184" s="24"/>
      <c r="Z184" s="22"/>
      <c r="AA184" s="22"/>
      <c r="AB184" s="22"/>
      <c r="AC184" s="22"/>
      <c r="AD184" s="22"/>
      <c r="AE184" s="22"/>
      <c r="AF184" s="22"/>
      <c r="AG184" s="22"/>
      <c r="AH184" s="31"/>
      <c r="AI184" s="31"/>
      <c r="AJ184" s="31"/>
      <c r="AK184" s="31"/>
      <c r="AL184" s="31"/>
      <c r="AM184" s="31"/>
      <c r="AN184" s="31"/>
      <c r="AO184" s="16"/>
      <c r="AP184" s="21"/>
      <c r="AQ184" s="21"/>
      <c r="AR184" s="21"/>
      <c r="AS184" s="21"/>
      <c r="AT184" s="18"/>
      <c r="AU184" s="18"/>
      <c r="AV184" s="18"/>
      <c r="AW184" s="20"/>
      <c r="AX184" s="20" t="s">
        <v>0</v>
      </c>
      <c r="AY184" s="30"/>
      <c r="AZ184" s="30"/>
      <c r="BA184" s="20"/>
      <c r="BB184" s="20"/>
      <c r="BC184" s="17"/>
      <c r="BD184" s="17"/>
      <c r="BE184" s="20"/>
      <c r="BF184" s="17"/>
      <c r="BG184" s="19"/>
      <c r="BH184" s="19"/>
      <c r="BI184" s="19"/>
      <c r="BJ184" s="19"/>
      <c r="BK184" s="19"/>
      <c r="BL184" s="19"/>
      <c r="BM184" s="19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</row>
    <row r="185" spans="1:78" ht="12" customHeight="1" x14ac:dyDescent="0.25">
      <c r="A185" s="26"/>
      <c r="B185" s="28"/>
      <c r="C185" s="28"/>
      <c r="D185" s="15" t="str">
        <f>IF(IF(ISNUMBER(B185),"",MAX(D$4:D184)+1)&lt;=D$3,IF(ISNUMBER(B185),"",MAX(D$4:D184)+1),"")</f>
        <v/>
      </c>
      <c r="E185" s="28"/>
      <c r="F185" s="28"/>
      <c r="G185" s="27"/>
      <c r="H185" s="15"/>
      <c r="I185" s="15" t="str">
        <f>IF(O185="","",IF(ISNUMBER(MATCH(O185,$G$5:$G$1000,0)),"",IF(D185=1,B$4,0)+MAX(I$4:I184)+1))</f>
        <v/>
      </c>
      <c r="J185" s="27"/>
      <c r="K185" s="27"/>
      <c r="L185" s="26"/>
      <c r="M185" s="14">
        <f>IF(ROW()-ROW(M$4)&lt;=1000,ROW()-ROW(M$4),"")</f>
        <v>181</v>
      </c>
      <c r="N185" s="29"/>
      <c r="O185" s="29"/>
      <c r="P185" s="17"/>
      <c r="Q185" s="16" t="s">
        <v>0</v>
      </c>
      <c r="R185" s="24"/>
      <c r="S185" s="24"/>
      <c r="T185" s="24"/>
      <c r="U185" s="24"/>
      <c r="V185" s="24"/>
      <c r="W185" s="24"/>
      <c r="X185" s="24"/>
      <c r="Y185" s="24"/>
      <c r="Z185" s="22"/>
      <c r="AA185" s="22"/>
      <c r="AB185" s="22"/>
      <c r="AC185" s="22"/>
      <c r="AD185" s="22"/>
      <c r="AE185" s="22"/>
      <c r="AF185" s="22"/>
      <c r="AG185" s="22"/>
      <c r="AH185" s="31"/>
      <c r="AI185" s="31"/>
      <c r="AJ185" s="31"/>
      <c r="AK185" s="31"/>
      <c r="AL185" s="31"/>
      <c r="AM185" s="31"/>
      <c r="AN185" s="31"/>
      <c r="AO185" s="16"/>
      <c r="AP185" s="21"/>
      <c r="AQ185" s="21"/>
      <c r="AR185" s="21"/>
      <c r="AS185" s="21"/>
      <c r="AT185" s="18"/>
      <c r="AU185" s="18"/>
      <c r="AV185" s="18"/>
      <c r="AW185" s="20"/>
      <c r="AX185" s="20"/>
      <c r="AY185" s="30"/>
      <c r="AZ185" s="30"/>
      <c r="BA185" s="20"/>
      <c r="BB185" s="20"/>
      <c r="BC185" s="17"/>
      <c r="BD185" s="17"/>
      <c r="BE185" s="20"/>
      <c r="BF185" s="17"/>
      <c r="BG185" s="19"/>
      <c r="BH185" s="19"/>
      <c r="BI185" s="19"/>
      <c r="BJ185" s="19"/>
      <c r="BK185" s="19"/>
      <c r="BL185" s="19"/>
      <c r="BM185" s="19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</row>
    <row r="186" spans="1:78" ht="12" customHeight="1" x14ac:dyDescent="0.25">
      <c r="A186" s="26"/>
      <c r="B186" s="28"/>
      <c r="C186" s="28"/>
      <c r="D186" s="15" t="str">
        <f>IF(IF(ISNUMBER(B186),"",MAX(D$4:D185)+1)&lt;=D$3,IF(ISNUMBER(B186),"",MAX(D$4:D185)+1),"")</f>
        <v/>
      </c>
      <c r="E186" s="28"/>
      <c r="F186" s="28"/>
      <c r="G186" s="27"/>
      <c r="H186" s="15"/>
      <c r="I186" s="15" t="str">
        <f>IF(O186="","",IF(ISNUMBER(MATCH(O186,$G$5:$G$1000,0)),"",IF(D186=1,B$4,0)+MAX(I$4:I185)+1))</f>
        <v/>
      </c>
      <c r="J186" s="27"/>
      <c r="K186" s="27"/>
      <c r="L186" s="26"/>
      <c r="M186" s="14">
        <f>IF(ROW()-ROW(M$4)&lt;=1000,ROW()-ROW(M$4),"")</f>
        <v>182</v>
      </c>
      <c r="N186" s="29"/>
      <c r="O186" s="29"/>
      <c r="P186" s="17"/>
      <c r="Q186" s="16" t="s">
        <v>0</v>
      </c>
      <c r="R186" s="24"/>
      <c r="S186" s="24"/>
      <c r="T186" s="24"/>
      <c r="U186" s="24"/>
      <c r="V186" s="24"/>
      <c r="W186" s="24"/>
      <c r="X186" s="24"/>
      <c r="Y186" s="24"/>
      <c r="Z186" s="22"/>
      <c r="AA186" s="22"/>
      <c r="AB186" s="22"/>
      <c r="AC186" s="22"/>
      <c r="AD186" s="22"/>
      <c r="AE186" s="22"/>
      <c r="AF186" s="22"/>
      <c r="AG186" s="22"/>
      <c r="AH186" s="31"/>
      <c r="AI186" s="31"/>
      <c r="AJ186" s="31"/>
      <c r="AK186" s="31"/>
      <c r="AL186" s="31"/>
      <c r="AM186" s="31"/>
      <c r="AN186" s="31"/>
      <c r="AO186" s="16"/>
      <c r="AP186" s="21"/>
      <c r="AQ186" s="21"/>
      <c r="AR186" s="21"/>
      <c r="AS186" s="21"/>
      <c r="AT186" s="18"/>
      <c r="AU186" s="18"/>
      <c r="AV186" s="18"/>
      <c r="AW186" s="20"/>
      <c r="AX186" s="20"/>
      <c r="AY186" s="30"/>
      <c r="AZ186" s="30"/>
      <c r="BA186" s="20"/>
      <c r="BB186" s="20"/>
      <c r="BC186" s="17"/>
      <c r="BD186" s="17"/>
      <c r="BE186" s="20"/>
      <c r="BF186" s="17"/>
      <c r="BG186" s="19"/>
      <c r="BH186" s="19"/>
      <c r="BI186" s="19"/>
      <c r="BJ186" s="19"/>
      <c r="BK186" s="19"/>
      <c r="BL186" s="19"/>
      <c r="BM186" s="19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</row>
    <row r="187" spans="1:78" ht="12" customHeight="1" x14ac:dyDescent="0.25">
      <c r="A187" s="26"/>
      <c r="B187" s="28"/>
      <c r="C187" s="28"/>
      <c r="D187" s="15" t="str">
        <f>IF(IF(ISNUMBER(B187),"",MAX(D$4:D186)+1)&lt;=D$3,IF(ISNUMBER(B187),"",MAX(D$4:D186)+1),"")</f>
        <v/>
      </c>
      <c r="E187" s="28"/>
      <c r="F187" s="28"/>
      <c r="G187" s="27"/>
      <c r="H187" s="15"/>
      <c r="I187" s="15" t="str">
        <f>IF(O187="","",IF(ISNUMBER(MATCH(O187,$G$5:$G$1000,0)),"",IF(D187=1,B$4,0)+MAX(I$4:I186)+1))</f>
        <v/>
      </c>
      <c r="J187" s="27"/>
      <c r="K187" s="27"/>
      <c r="L187" s="26"/>
      <c r="M187" s="14">
        <f>IF(ROW()-ROW(M$4)&lt;=1000,ROW()-ROW(M$4),"")</f>
        <v>183</v>
      </c>
      <c r="N187" s="29"/>
      <c r="O187" s="29"/>
      <c r="P187" s="17"/>
      <c r="Q187" s="16" t="s">
        <v>0</v>
      </c>
      <c r="R187" s="24"/>
      <c r="S187" s="24"/>
      <c r="T187" s="24"/>
      <c r="U187" s="24"/>
      <c r="V187" s="24"/>
      <c r="W187" s="24"/>
      <c r="X187" s="24"/>
      <c r="Y187" s="24"/>
      <c r="Z187" s="22"/>
      <c r="AA187" s="22"/>
      <c r="AB187" s="22"/>
      <c r="AC187" s="22"/>
      <c r="AD187" s="22"/>
      <c r="AE187" s="22"/>
      <c r="AF187" s="22"/>
      <c r="AG187" s="22"/>
      <c r="AH187" s="31"/>
      <c r="AI187" s="31"/>
      <c r="AJ187" s="31"/>
      <c r="AK187" s="31"/>
      <c r="AL187" s="31"/>
      <c r="AM187" s="31"/>
      <c r="AN187" s="31"/>
      <c r="AO187" s="16"/>
      <c r="AP187" s="21"/>
      <c r="AQ187" s="21"/>
      <c r="AR187" s="21"/>
      <c r="AS187" s="21"/>
      <c r="AT187" s="18"/>
      <c r="AU187" s="18"/>
      <c r="AV187" s="18"/>
      <c r="AW187" s="20"/>
      <c r="AX187" s="20"/>
      <c r="AY187" s="30"/>
      <c r="AZ187" s="30"/>
      <c r="BA187" s="20"/>
      <c r="BB187" s="20"/>
      <c r="BC187" s="17"/>
      <c r="BD187" s="17"/>
      <c r="BE187" s="20"/>
      <c r="BF187" s="17"/>
      <c r="BG187" s="19"/>
      <c r="BH187" s="19"/>
      <c r="BI187" s="19"/>
      <c r="BJ187" s="19"/>
      <c r="BK187" s="19"/>
      <c r="BL187" s="19"/>
      <c r="BM187" s="19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</row>
    <row r="188" spans="1:78" ht="12" customHeight="1" x14ac:dyDescent="0.25">
      <c r="A188" s="26"/>
      <c r="B188" s="28"/>
      <c r="C188" s="28"/>
      <c r="D188" s="15" t="str">
        <f>IF(IF(ISNUMBER(B188),"",MAX(D$4:D187)+1)&lt;=D$3,IF(ISNUMBER(B188),"",MAX(D$4:D187)+1),"")</f>
        <v/>
      </c>
      <c r="E188" s="28"/>
      <c r="F188" s="28"/>
      <c r="G188" s="27"/>
      <c r="H188" s="15"/>
      <c r="I188" s="15" t="str">
        <f>IF(O188="","",IF(ISNUMBER(MATCH(O188,$G$5:$G$1000,0)),"",IF(D188=1,B$4,0)+MAX(I$4:I187)+1))</f>
        <v/>
      </c>
      <c r="J188" s="27"/>
      <c r="K188" s="27"/>
      <c r="L188" s="26"/>
      <c r="M188" s="14">
        <f>IF(ROW()-ROW(M$4)&lt;=1000,ROW()-ROW(M$4),"")</f>
        <v>184</v>
      </c>
      <c r="N188" s="29"/>
      <c r="O188" s="29"/>
      <c r="P188" s="17"/>
      <c r="Q188" s="16" t="s">
        <v>0</v>
      </c>
      <c r="R188" s="24"/>
      <c r="S188" s="24"/>
      <c r="T188" s="24"/>
      <c r="U188" s="24"/>
      <c r="V188" s="24"/>
      <c r="W188" s="24"/>
      <c r="X188" s="24"/>
      <c r="Y188" s="24"/>
      <c r="Z188" s="22"/>
      <c r="AA188" s="22"/>
      <c r="AB188" s="22"/>
      <c r="AC188" s="22"/>
      <c r="AD188" s="22"/>
      <c r="AE188" s="22"/>
      <c r="AF188" s="22"/>
      <c r="AG188" s="22"/>
      <c r="AH188" s="31"/>
      <c r="AI188" s="31"/>
      <c r="AJ188" s="31"/>
      <c r="AK188" s="31"/>
      <c r="AL188" s="31"/>
      <c r="AM188" s="31"/>
      <c r="AN188" s="31"/>
      <c r="AO188" s="16"/>
      <c r="AP188" s="21"/>
      <c r="AQ188" s="21"/>
      <c r="AR188" s="21"/>
      <c r="AS188" s="21"/>
      <c r="AT188" s="18"/>
      <c r="AU188" s="18"/>
      <c r="AV188" s="18"/>
      <c r="AW188" s="20"/>
      <c r="AX188" s="20"/>
      <c r="AY188" s="30"/>
      <c r="AZ188" s="30"/>
      <c r="BA188" s="20"/>
      <c r="BB188" s="20"/>
      <c r="BC188" s="17"/>
      <c r="BD188" s="17"/>
      <c r="BE188" s="20"/>
      <c r="BF188" s="17"/>
      <c r="BG188" s="19"/>
      <c r="BH188" s="19"/>
      <c r="BI188" s="19"/>
      <c r="BJ188" s="19"/>
      <c r="BK188" s="19"/>
      <c r="BL188" s="19"/>
      <c r="BM188" s="19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</row>
    <row r="189" spans="1:78" ht="12" customHeight="1" x14ac:dyDescent="0.25">
      <c r="A189" s="26"/>
      <c r="B189" s="28"/>
      <c r="C189" s="28"/>
      <c r="D189" s="15" t="str">
        <f>IF(IF(ISNUMBER(B189),"",MAX(D$4:D188)+1)&lt;=D$3,IF(ISNUMBER(B189),"",MAX(D$4:D188)+1),"")</f>
        <v/>
      </c>
      <c r="E189" s="28"/>
      <c r="F189" s="28"/>
      <c r="G189" s="27"/>
      <c r="H189" s="15"/>
      <c r="I189" s="15" t="str">
        <f>IF(O189="","",IF(ISNUMBER(MATCH(O189,$G$5:$G$1000,0)),"",IF(D189=1,B$4,0)+MAX(I$4:I188)+1))</f>
        <v/>
      </c>
      <c r="J189" s="27"/>
      <c r="K189" s="27"/>
      <c r="L189" s="26"/>
      <c r="M189" s="14">
        <f>IF(ROW()-ROW(M$4)&lt;=1000,ROW()-ROW(M$4),"")</f>
        <v>185</v>
      </c>
      <c r="N189" s="29"/>
      <c r="O189" s="29"/>
      <c r="P189" s="17"/>
      <c r="Q189" s="16" t="s">
        <v>0</v>
      </c>
      <c r="R189" s="24"/>
      <c r="S189" s="24"/>
      <c r="T189" s="24"/>
      <c r="U189" s="24"/>
      <c r="V189" s="24"/>
      <c r="W189" s="24"/>
      <c r="X189" s="24"/>
      <c r="Y189" s="24"/>
      <c r="Z189" s="22"/>
      <c r="AA189" s="22"/>
      <c r="AB189" s="22"/>
      <c r="AC189" s="22"/>
      <c r="AD189" s="22"/>
      <c r="AE189" s="22"/>
      <c r="AF189" s="22"/>
      <c r="AG189" s="22"/>
      <c r="AH189" s="31"/>
      <c r="AI189" s="31"/>
      <c r="AJ189" s="31"/>
      <c r="AK189" s="31"/>
      <c r="AL189" s="31"/>
      <c r="AM189" s="31"/>
      <c r="AN189" s="31"/>
      <c r="AO189" s="16"/>
      <c r="AP189" s="21"/>
      <c r="AQ189" s="21"/>
      <c r="AR189" s="21"/>
      <c r="AS189" s="21"/>
      <c r="AT189" s="18"/>
      <c r="AU189" s="18"/>
      <c r="AV189" s="18"/>
      <c r="AW189" s="20"/>
      <c r="AX189" s="20"/>
      <c r="AY189" s="30"/>
      <c r="AZ189" s="30"/>
      <c r="BA189" s="20"/>
      <c r="BB189" s="20"/>
      <c r="BC189" s="17"/>
      <c r="BD189" s="17"/>
      <c r="BE189" s="20"/>
      <c r="BF189" s="17"/>
      <c r="BG189" s="19"/>
      <c r="BH189" s="19"/>
      <c r="BI189" s="19"/>
      <c r="BJ189" s="19"/>
      <c r="BK189" s="19"/>
      <c r="BL189" s="19"/>
      <c r="BM189" s="19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</row>
    <row r="190" spans="1:78" ht="12" customHeight="1" x14ac:dyDescent="0.25">
      <c r="A190" s="26"/>
      <c r="B190" s="28"/>
      <c r="C190" s="28"/>
      <c r="D190" s="15" t="str">
        <f>IF(IF(ISNUMBER(B190),"",MAX(D$4:D189)+1)&lt;=D$3,IF(ISNUMBER(B190),"",MAX(D$4:D189)+1),"")</f>
        <v/>
      </c>
      <c r="E190" s="28"/>
      <c r="F190" s="28"/>
      <c r="G190" s="27"/>
      <c r="H190" s="15"/>
      <c r="I190" s="15" t="str">
        <f>IF(O190="","",IF(ISNUMBER(MATCH(O190,$G$5:$G$1000,0)),"",IF(D190=1,B$4,0)+MAX(I$4:I189)+1))</f>
        <v/>
      </c>
      <c r="J190" s="27"/>
      <c r="K190" s="27"/>
      <c r="L190" s="26"/>
      <c r="M190" s="14">
        <f>IF(ROW()-ROW(M$4)&lt;=1000,ROW()-ROW(M$4),"")</f>
        <v>186</v>
      </c>
      <c r="N190" s="29"/>
      <c r="O190" s="29"/>
      <c r="P190" s="17"/>
      <c r="Q190" s="16" t="s">
        <v>0</v>
      </c>
      <c r="R190" s="24"/>
      <c r="S190" s="24"/>
      <c r="T190" s="24"/>
      <c r="U190" s="24"/>
      <c r="V190" s="24"/>
      <c r="W190" s="24"/>
      <c r="X190" s="24"/>
      <c r="Y190" s="24"/>
      <c r="Z190" s="22"/>
      <c r="AA190" s="22"/>
      <c r="AB190" s="22"/>
      <c r="AC190" s="22"/>
      <c r="AD190" s="22"/>
      <c r="AE190" s="22"/>
      <c r="AF190" s="22"/>
      <c r="AG190" s="22"/>
      <c r="AH190" s="31"/>
      <c r="AI190" s="31"/>
      <c r="AJ190" s="31"/>
      <c r="AK190" s="31"/>
      <c r="AL190" s="31"/>
      <c r="AM190" s="31"/>
      <c r="AN190" s="31"/>
      <c r="AO190" s="16"/>
      <c r="AP190" s="21"/>
      <c r="AQ190" s="21"/>
      <c r="AR190" s="21"/>
      <c r="AS190" s="21"/>
      <c r="AT190" s="18"/>
      <c r="AU190" s="18"/>
      <c r="AV190" s="18"/>
      <c r="AW190" s="20"/>
      <c r="AX190" s="20"/>
      <c r="AY190" s="30"/>
      <c r="AZ190" s="30"/>
      <c r="BA190" s="20"/>
      <c r="BB190" s="20"/>
      <c r="BC190" s="17"/>
      <c r="BD190" s="17"/>
      <c r="BE190" s="20"/>
      <c r="BF190" s="17"/>
      <c r="BG190" s="19"/>
      <c r="BH190" s="19"/>
      <c r="BI190" s="19"/>
      <c r="BJ190" s="19"/>
      <c r="BK190" s="19"/>
      <c r="BL190" s="19"/>
      <c r="BM190" s="19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</row>
    <row r="191" spans="1:78" ht="12" customHeight="1" x14ac:dyDescent="0.25">
      <c r="A191" s="26"/>
      <c r="B191" s="28"/>
      <c r="C191" s="28"/>
      <c r="D191" s="15" t="str">
        <f>IF(IF(ISNUMBER(B191),"",MAX(D$4:D190)+1)&lt;=D$3,IF(ISNUMBER(B191),"",MAX(D$4:D190)+1),"")</f>
        <v/>
      </c>
      <c r="E191" s="28"/>
      <c r="F191" s="28"/>
      <c r="G191" s="27"/>
      <c r="H191" s="15"/>
      <c r="I191" s="15" t="str">
        <f>IF(O191="","",IF(ISNUMBER(MATCH(O191,$G$5:$G$1000,0)),"",IF(D191=1,B$4,0)+MAX(I$4:I190)+1))</f>
        <v/>
      </c>
      <c r="J191" s="27"/>
      <c r="K191" s="27"/>
      <c r="L191" s="26"/>
      <c r="M191" s="14">
        <f>IF(ROW()-ROW(M$4)&lt;=1000,ROW()-ROW(M$4),"")</f>
        <v>187</v>
      </c>
      <c r="N191" s="29"/>
      <c r="O191" s="29"/>
      <c r="P191" s="17"/>
      <c r="Q191" s="16" t="s">
        <v>0</v>
      </c>
      <c r="R191" s="24"/>
      <c r="S191" s="24"/>
      <c r="T191" s="24"/>
      <c r="U191" s="24"/>
      <c r="V191" s="24"/>
      <c r="W191" s="24"/>
      <c r="X191" s="24"/>
      <c r="Y191" s="24"/>
      <c r="Z191" s="23"/>
      <c r="AA191" s="23"/>
      <c r="AB191" s="23"/>
      <c r="AC191" s="23"/>
      <c r="AD191" s="23"/>
      <c r="AE191" s="23"/>
      <c r="AF191" s="23"/>
      <c r="AG191" s="23"/>
      <c r="AH191" s="22"/>
      <c r="AI191" s="22"/>
      <c r="AJ191" s="22"/>
      <c r="AK191" s="22"/>
      <c r="AL191" s="22"/>
      <c r="AM191" s="22"/>
      <c r="AN191" s="22"/>
      <c r="AO191" s="16"/>
      <c r="AP191" s="21"/>
      <c r="AQ191" s="21"/>
      <c r="AR191" s="21"/>
      <c r="AS191" s="21"/>
      <c r="AT191" s="18"/>
      <c r="AU191" s="18"/>
      <c r="AV191" s="18"/>
      <c r="AW191" s="20"/>
      <c r="AX191" s="20"/>
      <c r="AY191" s="30"/>
      <c r="AZ191" s="30"/>
      <c r="BA191" s="20"/>
      <c r="BB191" s="20"/>
      <c r="BC191" s="17"/>
      <c r="BD191" s="17"/>
      <c r="BE191" s="20"/>
      <c r="BF191" s="17"/>
      <c r="BG191" s="19"/>
      <c r="BH191" s="19"/>
      <c r="BI191" s="19"/>
      <c r="BJ191" s="19"/>
      <c r="BK191" s="19"/>
      <c r="BL191" s="19"/>
      <c r="BM191" s="19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</row>
    <row r="192" spans="1:78" ht="12" customHeight="1" x14ac:dyDescent="0.25">
      <c r="A192" s="26"/>
      <c r="B192" s="28"/>
      <c r="C192" s="28"/>
      <c r="D192" s="15" t="str">
        <f>IF(IF(ISNUMBER(B192),"",MAX(D$4:D191)+1)&lt;=D$3,IF(ISNUMBER(B192),"",MAX(D$4:D191)+1),"")</f>
        <v/>
      </c>
      <c r="E192" s="28"/>
      <c r="F192" s="28"/>
      <c r="G192" s="27"/>
      <c r="H192" s="15"/>
      <c r="I192" s="15" t="str">
        <f>IF(O192="","",IF(ISNUMBER(MATCH(O192,$G$5:$G$1000,0)),"",IF(D192=1,B$4,0)+MAX(I$4:I191)+1))</f>
        <v/>
      </c>
      <c r="J192" s="27"/>
      <c r="K192" s="27"/>
      <c r="L192" s="26"/>
      <c r="M192" s="14">
        <f>IF(ROW()-ROW(M$4)&lt;=1000,ROW()-ROW(M$4),"")</f>
        <v>188</v>
      </c>
      <c r="N192" s="29"/>
      <c r="O192" s="29"/>
      <c r="P192" s="17"/>
      <c r="Q192" s="16" t="s">
        <v>0</v>
      </c>
      <c r="R192" s="24"/>
      <c r="S192" s="24"/>
      <c r="T192" s="24"/>
      <c r="U192" s="24"/>
      <c r="V192" s="24"/>
      <c r="W192" s="24"/>
      <c r="X192" s="24"/>
      <c r="Y192" s="24"/>
      <c r="Z192" s="23"/>
      <c r="AA192" s="23"/>
      <c r="AB192" s="23"/>
      <c r="AC192" s="23"/>
      <c r="AD192" s="23"/>
      <c r="AE192" s="23"/>
      <c r="AF192" s="23"/>
      <c r="AG192" s="23"/>
      <c r="AH192" s="22"/>
      <c r="AI192" s="22"/>
      <c r="AJ192" s="22"/>
      <c r="AK192" s="22"/>
      <c r="AL192" s="22"/>
      <c r="AM192" s="22"/>
      <c r="AN192" s="22"/>
      <c r="AO192" s="16"/>
      <c r="AP192" s="21"/>
      <c r="AQ192" s="21"/>
      <c r="AR192" s="21"/>
      <c r="AS192" s="21"/>
      <c r="AT192" s="18"/>
      <c r="AU192" s="18"/>
      <c r="AV192" s="18"/>
      <c r="AW192" s="20"/>
      <c r="AX192" s="20"/>
      <c r="AY192" s="30"/>
      <c r="AZ192" s="30"/>
      <c r="BA192" s="20"/>
      <c r="BB192" s="20"/>
      <c r="BC192" s="17"/>
      <c r="BD192" s="17"/>
      <c r="BE192" s="20"/>
      <c r="BF192" s="17"/>
      <c r="BG192" s="19"/>
      <c r="BH192" s="19"/>
      <c r="BI192" s="19"/>
      <c r="BJ192" s="19"/>
      <c r="BK192" s="19"/>
      <c r="BL192" s="19"/>
      <c r="BM192" s="19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</row>
    <row r="193" spans="1:78" ht="12" customHeight="1" x14ac:dyDescent="0.25">
      <c r="A193" s="26"/>
      <c r="B193" s="28"/>
      <c r="C193" s="28"/>
      <c r="D193" s="15" t="str">
        <f>IF(IF(ISNUMBER(B193),"",MAX(D$4:D192)+1)&lt;=D$3,IF(ISNUMBER(B193),"",MAX(D$4:D192)+1),"")</f>
        <v/>
      </c>
      <c r="E193" s="28"/>
      <c r="F193" s="28"/>
      <c r="G193" s="27"/>
      <c r="H193" s="15"/>
      <c r="I193" s="15" t="str">
        <f>IF(O193="","",IF(ISNUMBER(MATCH(O193,$G$5:$G$1000,0)),"",IF(D193=1,B$4,0)+MAX(I$4:I192)+1))</f>
        <v/>
      </c>
      <c r="J193" s="27"/>
      <c r="K193" s="27"/>
      <c r="L193" s="26"/>
      <c r="M193" s="14">
        <f>IF(ROW()-ROW(M$4)&lt;=1000,ROW()-ROW(M$4),"")</f>
        <v>189</v>
      </c>
      <c r="N193" s="29"/>
      <c r="O193" s="29"/>
      <c r="P193" s="17"/>
      <c r="Q193" s="16" t="s">
        <v>0</v>
      </c>
      <c r="R193" s="24"/>
      <c r="S193" s="24"/>
      <c r="T193" s="24"/>
      <c r="U193" s="24"/>
      <c r="V193" s="24"/>
      <c r="W193" s="24"/>
      <c r="X193" s="24"/>
      <c r="Y193" s="24"/>
      <c r="Z193" s="23"/>
      <c r="AA193" s="23"/>
      <c r="AB193" s="23"/>
      <c r="AC193" s="23"/>
      <c r="AD193" s="23"/>
      <c r="AE193" s="23"/>
      <c r="AF193" s="23"/>
      <c r="AG193" s="23"/>
      <c r="AH193" s="22"/>
      <c r="AI193" s="22"/>
      <c r="AJ193" s="22"/>
      <c r="AK193" s="22"/>
      <c r="AL193" s="22"/>
      <c r="AM193" s="22"/>
      <c r="AN193" s="22"/>
      <c r="AO193" s="16"/>
      <c r="AP193" s="21"/>
      <c r="AQ193" s="21"/>
      <c r="AR193" s="21"/>
      <c r="AS193" s="21"/>
      <c r="AT193" s="18"/>
      <c r="AU193" s="18"/>
      <c r="AV193" s="18"/>
      <c r="AW193" s="20"/>
      <c r="AX193" s="20"/>
      <c r="AY193" s="30"/>
      <c r="AZ193" s="30"/>
      <c r="BA193" s="20"/>
      <c r="BB193" s="20"/>
      <c r="BC193" s="17"/>
      <c r="BD193" s="17"/>
      <c r="BE193" s="20"/>
      <c r="BF193" s="17"/>
      <c r="BG193" s="19"/>
      <c r="BH193" s="19"/>
      <c r="BI193" s="19"/>
      <c r="BJ193" s="19"/>
      <c r="BK193" s="19"/>
      <c r="BL193" s="19"/>
      <c r="BM193" s="19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</row>
    <row r="194" spans="1:78" ht="12" customHeight="1" x14ac:dyDescent="0.25">
      <c r="A194" s="26"/>
      <c r="B194" s="28"/>
      <c r="C194" s="28"/>
      <c r="D194" s="15" t="str">
        <f>IF(IF(ISNUMBER(B194),"",MAX(D$4:D193)+1)&lt;=D$3,IF(ISNUMBER(B194),"",MAX(D$4:D193)+1),"")</f>
        <v/>
      </c>
      <c r="E194" s="28"/>
      <c r="F194" s="28"/>
      <c r="G194" s="27"/>
      <c r="H194" s="15"/>
      <c r="I194" s="15" t="str">
        <f>IF(O194="","",IF(ISNUMBER(MATCH(O194,$G$5:$G$1000,0)),"",IF(D194=1,B$4,0)+MAX(I$4:I193)+1))</f>
        <v/>
      </c>
      <c r="J194" s="27"/>
      <c r="K194" s="27"/>
      <c r="L194" s="26"/>
      <c r="M194" s="14">
        <f>IF(ROW()-ROW(M$4)&lt;=1000,ROW()-ROW(M$4),"")</f>
        <v>190</v>
      </c>
      <c r="N194" s="29"/>
      <c r="O194" s="29"/>
      <c r="P194" s="17"/>
      <c r="Q194" s="16" t="s">
        <v>0</v>
      </c>
      <c r="R194" s="24"/>
      <c r="S194" s="24"/>
      <c r="T194" s="24"/>
      <c r="U194" s="24"/>
      <c r="V194" s="24"/>
      <c r="W194" s="24"/>
      <c r="X194" s="24"/>
      <c r="Y194" s="24"/>
      <c r="Z194" s="23"/>
      <c r="AA194" s="23"/>
      <c r="AB194" s="23"/>
      <c r="AC194" s="23"/>
      <c r="AD194" s="23"/>
      <c r="AE194" s="23"/>
      <c r="AF194" s="23"/>
      <c r="AG194" s="23"/>
      <c r="AH194" s="22"/>
      <c r="AI194" s="22"/>
      <c r="AJ194" s="22"/>
      <c r="AK194" s="22"/>
      <c r="AL194" s="22"/>
      <c r="AM194" s="22"/>
      <c r="AN194" s="22"/>
      <c r="AO194" s="16"/>
      <c r="AP194" s="21"/>
      <c r="AQ194" s="21"/>
      <c r="AR194" s="21"/>
      <c r="AS194" s="21"/>
      <c r="AT194" s="18"/>
      <c r="AU194" s="18"/>
      <c r="AV194" s="18"/>
      <c r="AW194" s="20"/>
      <c r="AX194" s="20"/>
      <c r="AY194" s="30"/>
      <c r="AZ194" s="30"/>
      <c r="BA194" s="20"/>
      <c r="BB194" s="20"/>
      <c r="BC194" s="17"/>
      <c r="BD194" s="17"/>
      <c r="BE194" s="20"/>
      <c r="BF194" s="17"/>
      <c r="BG194" s="19"/>
      <c r="BH194" s="19"/>
      <c r="BI194" s="19"/>
      <c r="BJ194" s="19"/>
      <c r="BK194" s="19"/>
      <c r="BL194" s="19"/>
      <c r="BM194" s="19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</row>
    <row r="195" spans="1:78" ht="12" customHeight="1" x14ac:dyDescent="0.25">
      <c r="A195" s="26"/>
      <c r="B195" s="28"/>
      <c r="C195" s="28"/>
      <c r="D195" s="15" t="str">
        <f>IF(IF(ISNUMBER(B195),"",MAX(D$4:D194)+1)&lt;=D$3,IF(ISNUMBER(B195),"",MAX(D$4:D194)+1),"")</f>
        <v/>
      </c>
      <c r="E195" s="28"/>
      <c r="F195" s="28"/>
      <c r="G195" s="27"/>
      <c r="H195" s="15"/>
      <c r="I195" s="15" t="str">
        <f>IF(O195="","",IF(ISNUMBER(MATCH(O195,$G$5:$G$1000,0)),"",IF(D195=1,B$4,0)+MAX(I$4:I194)+1))</f>
        <v/>
      </c>
      <c r="J195" s="27"/>
      <c r="K195" s="27"/>
      <c r="L195" s="26"/>
      <c r="M195" s="14">
        <f>IF(ROW()-ROW(M$4)&lt;=1000,ROW()-ROW(M$4),"")</f>
        <v>191</v>
      </c>
      <c r="N195" s="29"/>
      <c r="O195" s="29"/>
      <c r="P195" s="17"/>
      <c r="Q195" s="16" t="s">
        <v>0</v>
      </c>
      <c r="R195" s="24"/>
      <c r="S195" s="24"/>
      <c r="T195" s="24"/>
      <c r="U195" s="24"/>
      <c r="V195" s="24"/>
      <c r="W195" s="24"/>
      <c r="X195" s="24"/>
      <c r="Y195" s="24"/>
      <c r="Z195" s="23"/>
      <c r="AA195" s="23"/>
      <c r="AB195" s="23"/>
      <c r="AC195" s="23"/>
      <c r="AD195" s="23"/>
      <c r="AE195" s="23"/>
      <c r="AF195" s="23"/>
      <c r="AG195" s="23"/>
      <c r="AH195" s="22"/>
      <c r="AI195" s="22"/>
      <c r="AJ195" s="22"/>
      <c r="AK195" s="22"/>
      <c r="AL195" s="22"/>
      <c r="AM195" s="22"/>
      <c r="AN195" s="22"/>
      <c r="AO195" s="16"/>
      <c r="AP195" s="21"/>
      <c r="AQ195" s="21"/>
      <c r="AR195" s="21"/>
      <c r="AS195" s="21"/>
      <c r="AT195" s="18"/>
      <c r="AU195" s="18"/>
      <c r="AV195" s="18"/>
      <c r="AW195" s="20"/>
      <c r="AX195" s="20"/>
      <c r="AY195" s="30"/>
      <c r="AZ195" s="30"/>
      <c r="BA195" s="20"/>
      <c r="BB195" s="20"/>
      <c r="BC195" s="17"/>
      <c r="BD195" s="17"/>
      <c r="BE195" s="20"/>
      <c r="BF195" s="17"/>
      <c r="BG195" s="19"/>
      <c r="BH195" s="19"/>
      <c r="BI195" s="19"/>
      <c r="BJ195" s="19"/>
      <c r="BK195" s="19"/>
      <c r="BL195" s="19"/>
      <c r="BM195" s="19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</row>
    <row r="196" spans="1:78" ht="12" customHeight="1" x14ac:dyDescent="0.25">
      <c r="A196" s="26"/>
      <c r="B196" s="28"/>
      <c r="C196" s="28"/>
      <c r="D196" s="15" t="str">
        <f>IF(IF(ISNUMBER(B196),"",MAX(D$4:D195)+1)&lt;=D$3,IF(ISNUMBER(B196),"",MAX(D$4:D195)+1),"")</f>
        <v/>
      </c>
      <c r="E196" s="28"/>
      <c r="F196" s="28"/>
      <c r="G196" s="27"/>
      <c r="H196" s="15"/>
      <c r="I196" s="15" t="str">
        <f>IF(O196="","",IF(ISNUMBER(MATCH(O196,$G$5:$G$1000,0)),"",IF(D196=1,B$4,0)+MAX(I$4:I195)+1))</f>
        <v/>
      </c>
      <c r="J196" s="27"/>
      <c r="K196" s="27"/>
      <c r="L196" s="26"/>
      <c r="M196" s="14">
        <f>IF(ROW()-ROW(M$4)&lt;=1000,ROW()-ROW(M$4),"")</f>
        <v>192</v>
      </c>
      <c r="N196" s="29"/>
      <c r="O196" s="29"/>
      <c r="P196" s="17"/>
      <c r="Q196" s="16" t="s">
        <v>0</v>
      </c>
      <c r="R196" s="24"/>
      <c r="S196" s="24"/>
      <c r="T196" s="24"/>
      <c r="U196" s="24"/>
      <c r="V196" s="24"/>
      <c r="W196" s="24"/>
      <c r="X196" s="24"/>
      <c r="Y196" s="24"/>
      <c r="Z196" s="23"/>
      <c r="AA196" s="23"/>
      <c r="AB196" s="23"/>
      <c r="AC196" s="23"/>
      <c r="AD196" s="23"/>
      <c r="AE196" s="23"/>
      <c r="AF196" s="23"/>
      <c r="AG196" s="23"/>
      <c r="AH196" s="22"/>
      <c r="AI196" s="22"/>
      <c r="AJ196" s="22"/>
      <c r="AK196" s="22"/>
      <c r="AL196" s="22"/>
      <c r="AM196" s="22"/>
      <c r="AN196" s="22"/>
      <c r="AO196" s="16"/>
      <c r="AP196" s="21"/>
      <c r="AQ196" s="21"/>
      <c r="AR196" s="21"/>
      <c r="AS196" s="21"/>
      <c r="AT196" s="18"/>
      <c r="AU196" s="18"/>
      <c r="AV196" s="18"/>
      <c r="AW196" s="20"/>
      <c r="AX196" s="20"/>
      <c r="AY196" s="30"/>
      <c r="AZ196" s="30"/>
      <c r="BA196" s="20"/>
      <c r="BB196" s="20"/>
      <c r="BC196" s="17"/>
      <c r="BD196" s="17"/>
      <c r="BE196" s="20"/>
      <c r="BF196" s="17"/>
      <c r="BG196" s="19"/>
      <c r="BH196" s="19"/>
      <c r="BI196" s="19"/>
      <c r="BJ196" s="19"/>
      <c r="BK196" s="19"/>
      <c r="BL196" s="19"/>
      <c r="BM196" s="19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</row>
    <row r="197" spans="1:78" ht="12" customHeight="1" x14ac:dyDescent="0.25">
      <c r="A197" s="26"/>
      <c r="B197" s="28"/>
      <c r="C197" s="28"/>
      <c r="D197" s="15" t="str">
        <f>IF(IF(ISNUMBER(B197),"",MAX(D$4:D196)+1)&lt;=D$3,IF(ISNUMBER(B197),"",MAX(D$4:D196)+1),"")</f>
        <v/>
      </c>
      <c r="E197" s="28"/>
      <c r="F197" s="28"/>
      <c r="G197" s="27"/>
      <c r="H197" s="15"/>
      <c r="I197" s="15" t="str">
        <f>IF(O197="","",IF(ISNUMBER(MATCH(O197,$G$5:$G$1000,0)),"",IF(D197=1,B$4,0)+MAX(I$4:I196)+1))</f>
        <v/>
      </c>
      <c r="J197" s="27"/>
      <c r="K197" s="27"/>
      <c r="L197" s="26"/>
      <c r="M197" s="14">
        <f>IF(ROW()-ROW(M$4)&lt;=1000,ROW()-ROW(M$4),"")</f>
        <v>193</v>
      </c>
      <c r="N197" s="29"/>
      <c r="O197" s="29"/>
      <c r="P197" s="17"/>
      <c r="Q197" s="16" t="s">
        <v>0</v>
      </c>
      <c r="R197" s="24"/>
      <c r="S197" s="24"/>
      <c r="T197" s="24"/>
      <c r="U197" s="24"/>
      <c r="V197" s="24"/>
      <c r="W197" s="24"/>
      <c r="X197" s="24"/>
      <c r="Y197" s="24"/>
      <c r="Z197" s="23"/>
      <c r="AA197" s="23"/>
      <c r="AB197" s="23"/>
      <c r="AC197" s="23"/>
      <c r="AD197" s="23"/>
      <c r="AE197" s="23"/>
      <c r="AF197" s="23"/>
      <c r="AG197" s="23"/>
      <c r="AH197" s="22"/>
      <c r="AI197" s="22"/>
      <c r="AJ197" s="22"/>
      <c r="AK197" s="22"/>
      <c r="AL197" s="22"/>
      <c r="AM197" s="22"/>
      <c r="AN197" s="22"/>
      <c r="AO197" s="16"/>
      <c r="AP197" s="21"/>
      <c r="AQ197" s="21"/>
      <c r="AR197" s="21"/>
      <c r="AS197" s="21"/>
      <c r="AT197" s="18"/>
      <c r="AU197" s="18"/>
      <c r="AV197" s="18"/>
      <c r="AW197" s="20"/>
      <c r="AX197" s="20"/>
      <c r="AY197" s="30"/>
      <c r="AZ197" s="30"/>
      <c r="BA197" s="20"/>
      <c r="BB197" s="20"/>
      <c r="BC197" s="17"/>
      <c r="BD197" s="17"/>
      <c r="BE197" s="20"/>
      <c r="BF197" s="17"/>
      <c r="BG197" s="19"/>
      <c r="BH197" s="19"/>
      <c r="BI197" s="19"/>
      <c r="BJ197" s="19"/>
      <c r="BK197" s="19"/>
      <c r="BL197" s="19"/>
      <c r="BM197" s="19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</row>
    <row r="198" spans="1:78" ht="12" customHeight="1" x14ac:dyDescent="0.25">
      <c r="A198" s="26"/>
      <c r="B198" s="28"/>
      <c r="C198" s="28"/>
      <c r="D198" s="15" t="str">
        <f>IF(IF(ISNUMBER(B198),"",MAX(D$4:D197)+1)&lt;=D$3,IF(ISNUMBER(B198),"",MAX(D$4:D197)+1),"")</f>
        <v/>
      </c>
      <c r="E198" s="28"/>
      <c r="F198" s="28"/>
      <c r="G198" s="27"/>
      <c r="H198" s="15"/>
      <c r="I198" s="15" t="str">
        <f>IF(O198="","",IF(ISNUMBER(MATCH(O198,$G$5:$G$1000,0)),"",IF(D198=1,B$4,0)+MAX(I$4:I197)+1))</f>
        <v/>
      </c>
      <c r="J198" s="27"/>
      <c r="K198" s="27"/>
      <c r="L198" s="26"/>
      <c r="M198" s="14">
        <f>IF(ROW()-ROW(M$4)&lt;=1000,ROW()-ROW(M$4),"")</f>
        <v>194</v>
      </c>
      <c r="N198" s="29"/>
      <c r="O198" s="29"/>
      <c r="P198" s="17"/>
      <c r="Q198" s="16" t="s">
        <v>0</v>
      </c>
      <c r="R198" s="24"/>
      <c r="S198" s="24"/>
      <c r="T198" s="24"/>
      <c r="U198" s="24"/>
      <c r="V198" s="24"/>
      <c r="W198" s="24"/>
      <c r="X198" s="24"/>
      <c r="Y198" s="24"/>
      <c r="Z198" s="23"/>
      <c r="AA198" s="23"/>
      <c r="AB198" s="23"/>
      <c r="AC198" s="23"/>
      <c r="AD198" s="23"/>
      <c r="AE198" s="23"/>
      <c r="AF198" s="23"/>
      <c r="AG198" s="23"/>
      <c r="AH198" s="22"/>
      <c r="AI198" s="22"/>
      <c r="AJ198" s="22"/>
      <c r="AK198" s="22"/>
      <c r="AL198" s="22"/>
      <c r="AM198" s="22"/>
      <c r="AN198" s="22"/>
      <c r="AO198" s="16"/>
      <c r="AP198" s="21"/>
      <c r="AQ198" s="21"/>
      <c r="AR198" s="21"/>
      <c r="AS198" s="21"/>
      <c r="AT198" s="18"/>
      <c r="AU198" s="18"/>
      <c r="AV198" s="18"/>
      <c r="AW198" s="20"/>
      <c r="AX198" s="20"/>
      <c r="AY198" s="30"/>
      <c r="AZ198" s="30"/>
      <c r="BA198" s="20"/>
      <c r="BB198" s="20"/>
      <c r="BC198" s="17"/>
      <c r="BD198" s="17"/>
      <c r="BE198" s="20"/>
      <c r="BF198" s="17"/>
      <c r="BG198" s="19"/>
      <c r="BH198" s="19"/>
      <c r="BI198" s="19"/>
      <c r="BJ198" s="19"/>
      <c r="BK198" s="19"/>
      <c r="BL198" s="19"/>
      <c r="BM198" s="19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</row>
    <row r="199" spans="1:78" ht="12" customHeight="1" x14ac:dyDescent="0.25">
      <c r="A199" s="26"/>
      <c r="B199" s="28"/>
      <c r="C199" s="28"/>
      <c r="D199" s="15" t="str">
        <f>IF(IF(ISNUMBER(B199),"",MAX(D$4:D198)+1)&lt;=D$3,IF(ISNUMBER(B199),"",MAX(D$4:D198)+1),"")</f>
        <v/>
      </c>
      <c r="E199" s="28"/>
      <c r="F199" s="28"/>
      <c r="G199" s="27"/>
      <c r="H199" s="15"/>
      <c r="I199" s="15" t="str">
        <f>IF(O199="","",IF(ISNUMBER(MATCH(O199,$G$5:$G$1000,0)),"",IF(D199=1,B$4,0)+MAX(I$4:I198)+1))</f>
        <v/>
      </c>
      <c r="J199" s="27"/>
      <c r="K199" s="27"/>
      <c r="L199" s="26"/>
      <c r="M199" s="14">
        <f>IF(ROW()-ROW(M$4)&lt;=1000,ROW()-ROW(M$4),"")</f>
        <v>195</v>
      </c>
      <c r="N199" s="29"/>
      <c r="O199" s="29"/>
      <c r="P199" s="17"/>
      <c r="Q199" s="16" t="s">
        <v>0</v>
      </c>
      <c r="R199" s="24"/>
      <c r="S199" s="24"/>
      <c r="T199" s="24"/>
      <c r="U199" s="24"/>
      <c r="V199" s="24"/>
      <c r="W199" s="24"/>
      <c r="X199" s="24"/>
      <c r="Y199" s="24"/>
      <c r="Z199" s="23"/>
      <c r="AA199" s="23"/>
      <c r="AB199" s="23"/>
      <c r="AC199" s="23"/>
      <c r="AD199" s="23"/>
      <c r="AE199" s="23"/>
      <c r="AF199" s="23"/>
      <c r="AG199" s="23"/>
      <c r="AH199" s="22"/>
      <c r="AI199" s="22"/>
      <c r="AJ199" s="22"/>
      <c r="AK199" s="22"/>
      <c r="AL199" s="22"/>
      <c r="AM199" s="22"/>
      <c r="AN199" s="22"/>
      <c r="AO199" s="16"/>
      <c r="AP199" s="21"/>
      <c r="AQ199" s="21"/>
      <c r="AR199" s="21"/>
      <c r="AS199" s="21"/>
      <c r="AT199" s="18"/>
      <c r="AU199" s="18"/>
      <c r="AV199" s="18"/>
      <c r="AW199" s="20"/>
      <c r="AX199" s="20"/>
      <c r="AY199" s="30"/>
      <c r="AZ199" s="30"/>
      <c r="BA199" s="20"/>
      <c r="BB199" s="20"/>
      <c r="BC199" s="17"/>
      <c r="BD199" s="17"/>
      <c r="BE199" s="20"/>
      <c r="BF199" s="17"/>
      <c r="BG199" s="19"/>
      <c r="BH199" s="19"/>
      <c r="BI199" s="19"/>
      <c r="BJ199" s="19"/>
      <c r="BK199" s="19"/>
      <c r="BL199" s="19"/>
      <c r="BM199" s="19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</row>
    <row r="200" spans="1:78" ht="12" customHeight="1" x14ac:dyDescent="0.25">
      <c r="A200" s="26"/>
      <c r="B200" s="28"/>
      <c r="C200" s="28"/>
      <c r="D200" s="15" t="str">
        <f>IF(IF(ISNUMBER(B200),"",MAX(D$4:D199)+1)&lt;=D$3,IF(ISNUMBER(B200),"",MAX(D$4:D199)+1),"")</f>
        <v/>
      </c>
      <c r="E200" s="28"/>
      <c r="F200" s="28"/>
      <c r="G200" s="27"/>
      <c r="H200" s="15"/>
      <c r="I200" s="15" t="str">
        <f>IF(O200="","",IF(ISNUMBER(MATCH(O200,$G$5:$G$1000,0)),"",IF(D200=1,B$4,0)+MAX(I$4:I199)+1))</f>
        <v/>
      </c>
      <c r="J200" s="27"/>
      <c r="K200" s="27"/>
      <c r="L200" s="26"/>
      <c r="M200" s="14">
        <f>IF(ROW()-ROW(M$4)&lt;=1000,ROW()-ROW(M$4),"")</f>
        <v>196</v>
      </c>
      <c r="N200" s="29"/>
      <c r="O200" s="29"/>
      <c r="P200" s="17"/>
      <c r="Q200" s="16" t="s">
        <v>0</v>
      </c>
      <c r="R200" s="24"/>
      <c r="S200" s="24"/>
      <c r="T200" s="24"/>
      <c r="U200" s="24"/>
      <c r="V200" s="24"/>
      <c r="W200" s="24"/>
      <c r="X200" s="24"/>
      <c r="Y200" s="24"/>
      <c r="Z200" s="23"/>
      <c r="AA200" s="23"/>
      <c r="AB200" s="23"/>
      <c r="AC200" s="23"/>
      <c r="AD200" s="23"/>
      <c r="AE200" s="23"/>
      <c r="AF200" s="23"/>
      <c r="AG200" s="23"/>
      <c r="AH200" s="22"/>
      <c r="AI200" s="22"/>
      <c r="AJ200" s="22"/>
      <c r="AK200" s="22"/>
      <c r="AL200" s="22"/>
      <c r="AM200" s="22"/>
      <c r="AN200" s="22"/>
      <c r="AO200" s="16"/>
      <c r="AP200" s="21"/>
      <c r="AQ200" s="21"/>
      <c r="AR200" s="21"/>
      <c r="AS200" s="21"/>
      <c r="AT200" s="18"/>
      <c r="AU200" s="18"/>
      <c r="AV200" s="18"/>
      <c r="AW200" s="20"/>
      <c r="AX200" s="20"/>
      <c r="AY200" s="30"/>
      <c r="AZ200" s="30"/>
      <c r="BA200" s="20"/>
      <c r="BB200" s="20"/>
      <c r="BC200" s="17"/>
      <c r="BD200" s="17"/>
      <c r="BE200" s="20"/>
      <c r="BF200" s="17"/>
      <c r="BG200" s="19"/>
      <c r="BH200" s="19"/>
      <c r="BI200" s="19"/>
      <c r="BJ200" s="19"/>
      <c r="BK200" s="19"/>
      <c r="BL200" s="19"/>
      <c r="BM200" s="19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</row>
    <row r="201" spans="1:78" ht="12" customHeight="1" x14ac:dyDescent="0.25">
      <c r="A201" s="26"/>
      <c r="B201" s="28"/>
      <c r="C201" s="28"/>
      <c r="D201" s="15" t="str">
        <f>IF(IF(ISNUMBER(B201),"",MAX(D$4:D200)+1)&lt;=D$3,IF(ISNUMBER(B201),"",MAX(D$4:D200)+1),"")</f>
        <v/>
      </c>
      <c r="E201" s="28"/>
      <c r="F201" s="28"/>
      <c r="G201" s="27"/>
      <c r="H201" s="15"/>
      <c r="I201" s="15" t="str">
        <f>IF(O201="","",IF(ISNUMBER(MATCH(O201,$G$5:$G$1000,0)),"",IF(D201=1,B$4,0)+MAX(I$4:I200)+1))</f>
        <v/>
      </c>
      <c r="J201" s="27"/>
      <c r="K201" s="27"/>
      <c r="L201" s="26"/>
      <c r="M201" s="14">
        <f>IF(ROW()-ROW(M$4)&lt;=1000,ROW()-ROW(M$4),"")</f>
        <v>197</v>
      </c>
      <c r="N201" s="29"/>
      <c r="O201" s="29"/>
      <c r="P201" s="17"/>
      <c r="Q201" s="16" t="s">
        <v>0</v>
      </c>
      <c r="R201" s="24"/>
      <c r="S201" s="24"/>
      <c r="T201" s="24"/>
      <c r="U201" s="24"/>
      <c r="V201" s="24"/>
      <c r="W201" s="24"/>
      <c r="X201" s="24"/>
      <c r="Y201" s="24"/>
      <c r="Z201" s="23"/>
      <c r="AA201" s="23"/>
      <c r="AB201" s="23"/>
      <c r="AC201" s="23"/>
      <c r="AD201" s="23"/>
      <c r="AE201" s="23"/>
      <c r="AF201" s="23"/>
      <c r="AG201" s="23"/>
      <c r="AH201" s="22"/>
      <c r="AI201" s="22"/>
      <c r="AJ201" s="22"/>
      <c r="AK201" s="22"/>
      <c r="AL201" s="22"/>
      <c r="AM201" s="22"/>
      <c r="AN201" s="22"/>
      <c r="AO201" s="16"/>
      <c r="AP201" s="21"/>
      <c r="AQ201" s="21"/>
      <c r="AR201" s="21"/>
      <c r="AS201" s="21"/>
      <c r="AT201" s="18"/>
      <c r="AU201" s="18"/>
      <c r="AV201" s="18"/>
      <c r="AW201" s="20"/>
      <c r="AX201" s="20"/>
      <c r="AY201" s="30"/>
      <c r="AZ201" s="30"/>
      <c r="BA201" s="20"/>
      <c r="BB201" s="20"/>
      <c r="BC201" s="17"/>
      <c r="BD201" s="17"/>
      <c r="BE201" s="20"/>
      <c r="BF201" s="17"/>
      <c r="BG201" s="19"/>
      <c r="BH201" s="19"/>
      <c r="BI201" s="19"/>
      <c r="BJ201" s="19"/>
      <c r="BK201" s="19"/>
      <c r="BL201" s="19"/>
      <c r="BM201" s="19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</row>
    <row r="202" spans="1:78" ht="12" customHeight="1" x14ac:dyDescent="0.25">
      <c r="A202" s="26"/>
      <c r="B202" s="28"/>
      <c r="C202" s="28"/>
      <c r="D202" s="15" t="str">
        <f>IF(IF(ISNUMBER(B202),"",MAX(D$4:D201)+1)&lt;=D$3,IF(ISNUMBER(B202),"",MAX(D$4:D201)+1),"")</f>
        <v/>
      </c>
      <c r="E202" s="28"/>
      <c r="F202" s="28"/>
      <c r="G202" s="27"/>
      <c r="H202" s="15"/>
      <c r="I202" s="15" t="str">
        <f>IF(O202="","",IF(ISNUMBER(MATCH(O202,$G$5:$G$1000,0)),"",IF(D202=1,B$4,0)+MAX(I$4:I201)+1))</f>
        <v/>
      </c>
      <c r="J202" s="27"/>
      <c r="K202" s="27"/>
      <c r="L202" s="26"/>
      <c r="M202" s="14">
        <f>IF(ROW()-ROW(M$4)&lt;=1000,ROW()-ROW(M$4),"")</f>
        <v>198</v>
      </c>
      <c r="N202" s="29"/>
      <c r="O202" s="29"/>
      <c r="P202" s="17"/>
      <c r="Q202" s="16" t="s">
        <v>0</v>
      </c>
      <c r="R202" s="24"/>
      <c r="S202" s="24"/>
      <c r="T202" s="24"/>
      <c r="U202" s="24"/>
      <c r="V202" s="24"/>
      <c r="W202" s="24"/>
      <c r="X202" s="24"/>
      <c r="Y202" s="24"/>
      <c r="Z202" s="23"/>
      <c r="AA202" s="23"/>
      <c r="AB202" s="23"/>
      <c r="AC202" s="23"/>
      <c r="AD202" s="23"/>
      <c r="AE202" s="23"/>
      <c r="AF202" s="23"/>
      <c r="AG202" s="23"/>
      <c r="AH202" s="22"/>
      <c r="AI202" s="22"/>
      <c r="AJ202" s="22"/>
      <c r="AK202" s="22"/>
      <c r="AL202" s="22"/>
      <c r="AM202" s="22"/>
      <c r="AN202" s="22"/>
      <c r="AO202" s="16"/>
      <c r="AP202" s="21"/>
      <c r="AQ202" s="21"/>
      <c r="AR202" s="21"/>
      <c r="AS202" s="21"/>
      <c r="AT202" s="18"/>
      <c r="AU202" s="18"/>
      <c r="AV202" s="18"/>
      <c r="AW202" s="20"/>
      <c r="AX202" s="20"/>
      <c r="AY202" s="30"/>
      <c r="AZ202" s="30"/>
      <c r="BA202" s="20"/>
      <c r="BB202" s="20"/>
      <c r="BC202" s="17"/>
      <c r="BD202" s="17"/>
      <c r="BE202" s="20"/>
      <c r="BF202" s="17"/>
      <c r="BG202" s="19"/>
      <c r="BH202" s="19"/>
      <c r="BI202" s="19"/>
      <c r="BJ202" s="19"/>
      <c r="BK202" s="19"/>
      <c r="BL202" s="19"/>
      <c r="BM202" s="19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</row>
    <row r="203" spans="1:78" ht="12" customHeight="1" x14ac:dyDescent="0.25">
      <c r="A203" s="26"/>
      <c r="B203" s="28"/>
      <c r="C203" s="28"/>
      <c r="D203" s="15" t="str">
        <f>IF(IF(ISNUMBER(B203),"",MAX(D$4:D202)+1)&lt;=D$3,IF(ISNUMBER(B203),"",MAX(D$4:D202)+1),"")</f>
        <v/>
      </c>
      <c r="E203" s="28"/>
      <c r="F203" s="28"/>
      <c r="G203" s="27"/>
      <c r="H203" s="15"/>
      <c r="I203" s="15" t="str">
        <f>IF(O203="","",IF(ISNUMBER(MATCH(O203,$G$5:$G$1000,0)),"",IF(D203=1,B$4,0)+MAX(I$4:I202)+1))</f>
        <v/>
      </c>
      <c r="J203" s="27"/>
      <c r="K203" s="27"/>
      <c r="L203" s="26"/>
      <c r="M203" s="14">
        <f>IF(ROW()-ROW(M$4)&lt;=1000,ROW()-ROW(M$4),"")</f>
        <v>199</v>
      </c>
      <c r="N203" s="29"/>
      <c r="O203" s="29"/>
      <c r="P203" s="17"/>
      <c r="Q203" s="16" t="s">
        <v>0</v>
      </c>
      <c r="R203" s="24"/>
      <c r="S203" s="24"/>
      <c r="T203" s="24"/>
      <c r="U203" s="24"/>
      <c r="V203" s="24"/>
      <c r="W203" s="24"/>
      <c r="X203" s="24"/>
      <c r="Y203" s="24"/>
      <c r="Z203" s="23"/>
      <c r="AA203" s="23"/>
      <c r="AB203" s="23"/>
      <c r="AC203" s="23"/>
      <c r="AD203" s="23"/>
      <c r="AE203" s="23"/>
      <c r="AF203" s="23"/>
      <c r="AG203" s="23"/>
      <c r="AH203" s="22"/>
      <c r="AI203" s="22"/>
      <c r="AJ203" s="22"/>
      <c r="AK203" s="22"/>
      <c r="AL203" s="22"/>
      <c r="AM203" s="22"/>
      <c r="AN203" s="22"/>
      <c r="AO203" s="16"/>
      <c r="AP203" s="21"/>
      <c r="AQ203" s="21"/>
      <c r="AR203" s="21"/>
      <c r="AS203" s="21"/>
      <c r="AT203" s="18"/>
      <c r="AU203" s="18"/>
      <c r="AV203" s="18"/>
      <c r="AW203" s="20"/>
      <c r="AX203" s="20"/>
      <c r="AY203" s="30"/>
      <c r="AZ203" s="30"/>
      <c r="BA203" s="20"/>
      <c r="BB203" s="20"/>
      <c r="BC203" s="17"/>
      <c r="BD203" s="17"/>
      <c r="BE203" s="20"/>
      <c r="BF203" s="17"/>
      <c r="BG203" s="19"/>
      <c r="BH203" s="19"/>
      <c r="BI203" s="19"/>
      <c r="BJ203" s="19"/>
      <c r="BK203" s="19"/>
      <c r="BL203" s="19"/>
      <c r="BM203" s="19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</row>
    <row r="204" spans="1:78" ht="12" customHeight="1" x14ac:dyDescent="0.25">
      <c r="A204" s="26"/>
      <c r="B204" s="28"/>
      <c r="C204" s="28"/>
      <c r="D204" s="15" t="str">
        <f>IF(IF(ISNUMBER(B204),"",MAX(D$4:D203)+1)&lt;=D$3,IF(ISNUMBER(B204),"",MAX(D$4:D203)+1),"")</f>
        <v/>
      </c>
      <c r="E204" s="28"/>
      <c r="F204" s="28"/>
      <c r="G204" s="27"/>
      <c r="H204" s="15"/>
      <c r="I204" s="15" t="str">
        <f>IF(O204="","",IF(ISNUMBER(MATCH(O204,$G$5:$G$1000,0)),"",IF(D204=1,B$4,0)+MAX(I$4:I203)+1))</f>
        <v/>
      </c>
      <c r="J204" s="27"/>
      <c r="K204" s="27"/>
      <c r="L204" s="26"/>
      <c r="M204" s="14">
        <f>IF(ROW()-ROW(M$4)&lt;=1000,ROW()-ROW(M$4),"")</f>
        <v>200</v>
      </c>
      <c r="N204" s="29"/>
      <c r="O204" s="29"/>
      <c r="P204" s="17"/>
      <c r="Q204" s="16" t="s">
        <v>0</v>
      </c>
      <c r="R204" s="24"/>
      <c r="S204" s="24"/>
      <c r="T204" s="24"/>
      <c r="U204" s="24"/>
      <c r="V204" s="24"/>
      <c r="W204" s="24"/>
      <c r="X204" s="24"/>
      <c r="Y204" s="24"/>
      <c r="Z204" s="23"/>
      <c r="AA204" s="23"/>
      <c r="AB204" s="23"/>
      <c r="AC204" s="23"/>
      <c r="AD204" s="23"/>
      <c r="AE204" s="23"/>
      <c r="AF204" s="23"/>
      <c r="AG204" s="23"/>
      <c r="AH204" s="22"/>
      <c r="AI204" s="22"/>
      <c r="AJ204" s="22"/>
      <c r="AK204" s="22"/>
      <c r="AL204" s="22"/>
      <c r="AM204" s="22"/>
      <c r="AN204" s="22"/>
      <c r="AO204" s="16"/>
      <c r="AP204" s="21"/>
      <c r="AQ204" s="21"/>
      <c r="AR204" s="21"/>
      <c r="AS204" s="21"/>
      <c r="AT204" s="18"/>
      <c r="AU204" s="18"/>
      <c r="AV204" s="18"/>
      <c r="AW204" s="20"/>
      <c r="AX204" s="20"/>
      <c r="AY204" s="30"/>
      <c r="AZ204" s="30"/>
      <c r="BA204" s="20"/>
      <c r="BB204" s="20"/>
      <c r="BC204" s="17"/>
      <c r="BD204" s="17"/>
      <c r="BE204" s="20"/>
      <c r="BF204" s="17"/>
      <c r="BG204" s="19"/>
      <c r="BH204" s="19"/>
      <c r="BI204" s="19"/>
      <c r="BJ204" s="19"/>
      <c r="BK204" s="19"/>
      <c r="BL204" s="19"/>
      <c r="BM204" s="19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</row>
    <row r="205" spans="1:78" ht="12" customHeight="1" x14ac:dyDescent="0.25">
      <c r="A205" s="26"/>
      <c r="B205" s="28"/>
      <c r="C205" s="28"/>
      <c r="D205" s="15" t="str">
        <f>IF(IF(ISNUMBER(B205),"",MAX(D$4:D204)+1)&lt;=D$3,IF(ISNUMBER(B205),"",MAX(D$4:D204)+1),"")</f>
        <v/>
      </c>
      <c r="E205" s="28"/>
      <c r="F205" s="28"/>
      <c r="G205" s="27"/>
      <c r="H205" s="15"/>
      <c r="I205" s="15" t="str">
        <f>IF(O205="","",IF(ISNUMBER(MATCH(O205,$G$5:$G$1000,0)),"",IF(D205=1,B$4,0)+MAX(I$4:I204)+1))</f>
        <v/>
      </c>
      <c r="J205" s="27"/>
      <c r="K205" s="27"/>
      <c r="L205" s="26"/>
      <c r="M205" s="14">
        <f>IF(ROW()-ROW(M$4)&lt;=1000,ROW()-ROW(M$4),"")</f>
        <v>201</v>
      </c>
      <c r="N205" s="29"/>
      <c r="O205" s="29"/>
      <c r="P205" s="17"/>
      <c r="Q205" s="16" t="s">
        <v>0</v>
      </c>
      <c r="R205" s="24"/>
      <c r="S205" s="24"/>
      <c r="T205" s="24"/>
      <c r="U205" s="24"/>
      <c r="V205" s="24"/>
      <c r="W205" s="24"/>
      <c r="X205" s="24"/>
      <c r="Y205" s="24"/>
      <c r="Z205" s="23"/>
      <c r="AA205" s="23"/>
      <c r="AB205" s="23"/>
      <c r="AC205" s="23"/>
      <c r="AD205" s="23"/>
      <c r="AE205" s="23"/>
      <c r="AF205" s="23"/>
      <c r="AG205" s="23"/>
      <c r="AH205" s="22"/>
      <c r="AI205" s="22"/>
      <c r="AJ205" s="22"/>
      <c r="AK205" s="22"/>
      <c r="AL205" s="22"/>
      <c r="AM205" s="22"/>
      <c r="AN205" s="22"/>
      <c r="AO205" s="16"/>
      <c r="AP205" s="21"/>
      <c r="AQ205" s="21"/>
      <c r="AR205" s="21"/>
      <c r="AS205" s="21"/>
      <c r="AT205" s="18"/>
      <c r="AU205" s="18"/>
      <c r="AV205" s="18"/>
      <c r="AW205" s="20"/>
      <c r="AX205" s="20"/>
      <c r="AY205" s="30"/>
      <c r="AZ205" s="30"/>
      <c r="BA205" s="20"/>
      <c r="BB205" s="20"/>
      <c r="BC205" s="17"/>
      <c r="BD205" s="17"/>
      <c r="BE205" s="20"/>
      <c r="BF205" s="17"/>
      <c r="BG205" s="19"/>
      <c r="BH205" s="19"/>
      <c r="BI205" s="19"/>
      <c r="BJ205" s="19"/>
      <c r="BK205" s="19"/>
      <c r="BL205" s="19"/>
      <c r="BM205" s="19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</row>
    <row r="206" spans="1:78" ht="12" customHeight="1" x14ac:dyDescent="0.25">
      <c r="A206" s="26"/>
      <c r="B206" s="28"/>
      <c r="C206" s="28"/>
      <c r="D206" s="15" t="str">
        <f>IF(IF(ISNUMBER(B206),"",MAX(D$4:D205)+1)&lt;=D$3,IF(ISNUMBER(B206),"",MAX(D$4:D205)+1),"")</f>
        <v/>
      </c>
      <c r="E206" s="28"/>
      <c r="F206" s="28"/>
      <c r="G206" s="27"/>
      <c r="H206" s="15"/>
      <c r="I206" s="15" t="str">
        <f>IF(O206="","",IF(ISNUMBER(MATCH(O206,$G$5:$G$1000,0)),"",IF(D206=1,B$4,0)+MAX(I$4:I205)+1))</f>
        <v/>
      </c>
      <c r="J206" s="27"/>
      <c r="K206" s="27"/>
      <c r="L206" s="26"/>
      <c r="M206" s="14">
        <f>IF(ROW()-ROW(M$4)&lt;=1000,ROW()-ROW(M$4),"")</f>
        <v>202</v>
      </c>
      <c r="N206" s="29"/>
      <c r="O206" s="29"/>
      <c r="P206" s="17"/>
      <c r="Q206" s="16" t="s">
        <v>0</v>
      </c>
      <c r="R206" s="24"/>
      <c r="S206" s="24"/>
      <c r="T206" s="24"/>
      <c r="U206" s="24"/>
      <c r="V206" s="24"/>
      <c r="W206" s="24"/>
      <c r="X206" s="24"/>
      <c r="Y206" s="24"/>
      <c r="Z206" s="23"/>
      <c r="AA206" s="23"/>
      <c r="AB206" s="23"/>
      <c r="AC206" s="23"/>
      <c r="AD206" s="23"/>
      <c r="AE206" s="23"/>
      <c r="AF206" s="23"/>
      <c r="AG206" s="23"/>
      <c r="AH206" s="22"/>
      <c r="AI206" s="22"/>
      <c r="AJ206" s="22"/>
      <c r="AK206" s="22"/>
      <c r="AL206" s="22"/>
      <c r="AM206" s="22"/>
      <c r="AN206" s="22"/>
      <c r="AO206" s="16"/>
      <c r="AP206" s="21"/>
      <c r="AQ206" s="21"/>
      <c r="AR206" s="21"/>
      <c r="AS206" s="21"/>
      <c r="AT206" s="18"/>
      <c r="AU206" s="18"/>
      <c r="AV206" s="18"/>
      <c r="AW206" s="20"/>
      <c r="AX206" s="20"/>
      <c r="AY206" s="30"/>
      <c r="AZ206" s="30"/>
      <c r="BA206" s="20"/>
      <c r="BB206" s="20"/>
      <c r="BC206" s="17"/>
      <c r="BD206" s="17"/>
      <c r="BE206" s="20"/>
      <c r="BF206" s="17"/>
      <c r="BG206" s="19"/>
      <c r="BH206" s="19"/>
      <c r="BI206" s="19"/>
      <c r="BJ206" s="19"/>
      <c r="BK206" s="19"/>
      <c r="BL206" s="19"/>
      <c r="BM206" s="19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</row>
    <row r="207" spans="1:78" ht="12" customHeight="1" x14ac:dyDescent="0.25">
      <c r="A207" s="26"/>
      <c r="B207" s="28"/>
      <c r="C207" s="28"/>
      <c r="D207" s="15" t="str">
        <f>IF(IF(ISNUMBER(B207),"",MAX(D$4:D206)+1)&lt;=D$3,IF(ISNUMBER(B207),"",MAX(D$4:D206)+1),"")</f>
        <v/>
      </c>
      <c r="E207" s="28"/>
      <c r="F207" s="28"/>
      <c r="G207" s="27"/>
      <c r="H207" s="15"/>
      <c r="I207" s="15" t="str">
        <f>IF(O207="","",IF(ISNUMBER(MATCH(O207,$G$5:$G$1000,0)),"",IF(D207=1,B$4,0)+MAX(I$4:I206)+1))</f>
        <v/>
      </c>
      <c r="J207" s="27"/>
      <c r="K207" s="27"/>
      <c r="L207" s="26"/>
      <c r="M207" s="14">
        <f>IF(ROW()-ROW(M$4)&lt;=1000,ROW()-ROW(M$4),"")</f>
        <v>203</v>
      </c>
      <c r="N207" s="29"/>
      <c r="O207" s="29"/>
      <c r="P207" s="17"/>
      <c r="Q207" s="16" t="s">
        <v>0</v>
      </c>
      <c r="R207" s="24"/>
      <c r="S207" s="24"/>
      <c r="T207" s="24"/>
      <c r="U207" s="24"/>
      <c r="V207" s="24"/>
      <c r="W207" s="24"/>
      <c r="X207" s="24"/>
      <c r="Y207" s="24"/>
      <c r="Z207" s="23"/>
      <c r="AA207" s="23"/>
      <c r="AB207" s="23"/>
      <c r="AC207" s="23"/>
      <c r="AD207" s="23"/>
      <c r="AE207" s="23"/>
      <c r="AF207" s="23"/>
      <c r="AG207" s="23"/>
      <c r="AH207" s="22"/>
      <c r="AI207" s="22"/>
      <c r="AJ207" s="22"/>
      <c r="AK207" s="22"/>
      <c r="AL207" s="22"/>
      <c r="AM207" s="22"/>
      <c r="AN207" s="22"/>
      <c r="AO207" s="16"/>
      <c r="AP207" s="21"/>
      <c r="AQ207" s="21"/>
      <c r="AR207" s="21"/>
      <c r="AS207" s="21"/>
      <c r="AT207" s="18"/>
      <c r="AU207" s="18"/>
      <c r="AV207" s="18"/>
      <c r="AW207" s="20"/>
      <c r="AX207" s="20"/>
      <c r="AY207" s="30"/>
      <c r="AZ207" s="30"/>
      <c r="BA207" s="20"/>
      <c r="BB207" s="20"/>
      <c r="BC207" s="17"/>
      <c r="BD207" s="17"/>
      <c r="BE207" s="20"/>
      <c r="BF207" s="17"/>
      <c r="BG207" s="19"/>
      <c r="BH207" s="19"/>
      <c r="BI207" s="19"/>
      <c r="BJ207" s="19"/>
      <c r="BK207" s="19"/>
      <c r="BL207" s="19"/>
      <c r="BM207" s="19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</row>
    <row r="208" spans="1:78" ht="12" customHeight="1" x14ac:dyDescent="0.25">
      <c r="A208" s="26"/>
      <c r="B208" s="28"/>
      <c r="C208" s="28"/>
      <c r="D208" s="15" t="str">
        <f>IF(IF(ISNUMBER(B208),"",MAX(D$4:D207)+1)&lt;=D$3,IF(ISNUMBER(B208),"",MAX(D$4:D207)+1),"")</f>
        <v/>
      </c>
      <c r="E208" s="28"/>
      <c r="F208" s="28"/>
      <c r="G208" s="27"/>
      <c r="H208" s="15"/>
      <c r="I208" s="15" t="str">
        <f>IF(O208="","",IF(ISNUMBER(MATCH(O208,$G$5:$G$1000,0)),"",IF(D208=1,B$4,0)+MAX(I$4:I207)+1))</f>
        <v/>
      </c>
      <c r="J208" s="27"/>
      <c r="K208" s="27"/>
      <c r="L208" s="26"/>
      <c r="M208" s="14">
        <f>IF(ROW()-ROW(M$4)&lt;=1000,ROW()-ROW(M$4),"")</f>
        <v>204</v>
      </c>
      <c r="N208" s="29"/>
      <c r="O208" s="29"/>
      <c r="P208" s="17"/>
      <c r="Q208" s="16" t="s">
        <v>0</v>
      </c>
      <c r="R208" s="24"/>
      <c r="S208" s="24"/>
      <c r="T208" s="24"/>
      <c r="U208" s="24"/>
      <c r="V208" s="24"/>
      <c r="W208" s="24"/>
      <c r="X208" s="24"/>
      <c r="Y208" s="24"/>
      <c r="Z208" s="23"/>
      <c r="AA208" s="23"/>
      <c r="AB208" s="23"/>
      <c r="AC208" s="23"/>
      <c r="AD208" s="23"/>
      <c r="AE208" s="23"/>
      <c r="AF208" s="23"/>
      <c r="AG208" s="23"/>
      <c r="AH208" s="22"/>
      <c r="AI208" s="22"/>
      <c r="AJ208" s="22"/>
      <c r="AK208" s="22"/>
      <c r="AL208" s="22"/>
      <c r="AM208" s="22"/>
      <c r="AN208" s="22"/>
      <c r="AO208" s="16"/>
      <c r="AP208" s="21"/>
      <c r="AQ208" s="21"/>
      <c r="AR208" s="21"/>
      <c r="AS208" s="21"/>
      <c r="AT208" s="18"/>
      <c r="AU208" s="18"/>
      <c r="AV208" s="18"/>
      <c r="AW208" s="20"/>
      <c r="AX208" s="20"/>
      <c r="AY208" s="30"/>
      <c r="AZ208" s="30"/>
      <c r="BA208" s="20"/>
      <c r="BB208" s="20"/>
      <c r="BC208" s="17"/>
      <c r="BD208" s="17"/>
      <c r="BE208" s="20"/>
      <c r="BF208" s="17"/>
      <c r="BG208" s="19"/>
      <c r="BH208" s="19"/>
      <c r="BI208" s="19"/>
      <c r="BJ208" s="19"/>
      <c r="BK208" s="19"/>
      <c r="BL208" s="19"/>
      <c r="BM208" s="19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</row>
    <row r="209" spans="1:78" ht="12" customHeight="1" x14ac:dyDescent="0.25">
      <c r="A209" s="26"/>
      <c r="B209" s="28"/>
      <c r="C209" s="28"/>
      <c r="D209" s="15" t="str">
        <f>IF(IF(ISNUMBER(B209),"",MAX(D$4:D208)+1)&lt;=D$3,IF(ISNUMBER(B209),"",MAX(D$4:D208)+1),"")</f>
        <v/>
      </c>
      <c r="E209" s="28"/>
      <c r="F209" s="28"/>
      <c r="G209" s="27"/>
      <c r="H209" s="15"/>
      <c r="I209" s="15" t="str">
        <f>IF(O209="","",IF(ISNUMBER(MATCH(O209,$G$5:$G$1000,0)),"",IF(D209=1,B$4,0)+MAX(I$4:I208)+1))</f>
        <v/>
      </c>
      <c r="J209" s="27"/>
      <c r="K209" s="27"/>
      <c r="L209" s="26"/>
      <c r="M209" s="14">
        <f>IF(ROW()-ROW(M$4)&lt;=1000,ROW()-ROW(M$4),"")</f>
        <v>205</v>
      </c>
      <c r="N209" s="29"/>
      <c r="O209" s="29"/>
      <c r="P209" s="17"/>
      <c r="Q209" s="16" t="s">
        <v>0</v>
      </c>
      <c r="R209" s="24"/>
      <c r="S209" s="24"/>
      <c r="T209" s="24"/>
      <c r="U209" s="24"/>
      <c r="V209" s="24"/>
      <c r="W209" s="24"/>
      <c r="X209" s="24"/>
      <c r="Y209" s="24"/>
      <c r="Z209" s="23"/>
      <c r="AA209" s="23"/>
      <c r="AB209" s="23"/>
      <c r="AC209" s="23"/>
      <c r="AD209" s="23"/>
      <c r="AE209" s="23"/>
      <c r="AF209" s="23"/>
      <c r="AG209" s="23"/>
      <c r="AH209" s="22"/>
      <c r="AI209" s="22"/>
      <c r="AJ209" s="22"/>
      <c r="AK209" s="22"/>
      <c r="AL209" s="22"/>
      <c r="AM209" s="22"/>
      <c r="AN209" s="22"/>
      <c r="AO209" s="16"/>
      <c r="AP209" s="21"/>
      <c r="AQ209" s="21"/>
      <c r="AR209" s="21"/>
      <c r="AS209" s="21"/>
      <c r="AT209" s="18"/>
      <c r="AU209" s="18"/>
      <c r="AV209" s="18"/>
      <c r="AW209" s="20"/>
      <c r="AX209" s="20"/>
      <c r="AY209" s="30"/>
      <c r="AZ209" s="30"/>
      <c r="BA209" s="20"/>
      <c r="BB209" s="20"/>
      <c r="BC209" s="17"/>
      <c r="BD209" s="17"/>
      <c r="BE209" s="20"/>
      <c r="BF209" s="17"/>
      <c r="BG209" s="19"/>
      <c r="BH209" s="19"/>
      <c r="BI209" s="19"/>
      <c r="BJ209" s="19"/>
      <c r="BK209" s="19"/>
      <c r="BL209" s="19"/>
      <c r="BM209" s="19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</row>
    <row r="210" spans="1:78" ht="12" customHeight="1" x14ac:dyDescent="0.25">
      <c r="A210" s="26"/>
      <c r="B210" s="28"/>
      <c r="C210" s="28"/>
      <c r="D210" s="15" t="str">
        <f>IF(IF(ISNUMBER(B210),"",MAX(D$4:D209)+1)&lt;=D$3,IF(ISNUMBER(B210),"",MAX(D$4:D209)+1),"")</f>
        <v/>
      </c>
      <c r="E210" s="28"/>
      <c r="F210" s="28"/>
      <c r="G210" s="27"/>
      <c r="H210" s="15"/>
      <c r="I210" s="15" t="str">
        <f>IF(O210="","",IF(ISNUMBER(MATCH(O210,$G$5:$G$1000,0)),"",IF(D210=1,B$4,0)+MAX(I$4:I209)+1))</f>
        <v/>
      </c>
      <c r="J210" s="27"/>
      <c r="K210" s="27"/>
      <c r="L210" s="26"/>
      <c r="M210" s="14">
        <f>IF(ROW()-ROW(M$4)&lt;=1000,ROW()-ROW(M$4),"")</f>
        <v>206</v>
      </c>
      <c r="N210" s="29"/>
      <c r="O210" s="29"/>
      <c r="P210" s="17"/>
      <c r="Q210" s="16" t="s">
        <v>0</v>
      </c>
      <c r="R210" s="24"/>
      <c r="S210" s="24"/>
      <c r="T210" s="24"/>
      <c r="U210" s="24"/>
      <c r="V210" s="24"/>
      <c r="W210" s="24"/>
      <c r="X210" s="24"/>
      <c r="Y210" s="24"/>
      <c r="Z210" s="23"/>
      <c r="AA210" s="23"/>
      <c r="AB210" s="23"/>
      <c r="AC210" s="23"/>
      <c r="AD210" s="23"/>
      <c r="AE210" s="23"/>
      <c r="AF210" s="23"/>
      <c r="AG210" s="23"/>
      <c r="AH210" s="22"/>
      <c r="AI210" s="22"/>
      <c r="AJ210" s="22"/>
      <c r="AK210" s="22"/>
      <c r="AL210" s="22"/>
      <c r="AM210" s="22"/>
      <c r="AN210" s="22"/>
      <c r="AO210" s="16"/>
      <c r="AP210" s="21"/>
      <c r="AQ210" s="21"/>
      <c r="AR210" s="21"/>
      <c r="AS210" s="21"/>
      <c r="AT210" s="18"/>
      <c r="AU210" s="18"/>
      <c r="AV210" s="18"/>
      <c r="AW210" s="20"/>
      <c r="AX210" s="20"/>
      <c r="AY210" s="30"/>
      <c r="AZ210" s="30"/>
      <c r="BA210" s="20"/>
      <c r="BB210" s="20"/>
      <c r="BC210" s="17"/>
      <c r="BD210" s="17"/>
      <c r="BE210" s="20"/>
      <c r="BF210" s="17"/>
      <c r="BG210" s="19"/>
      <c r="BH210" s="19"/>
      <c r="BI210" s="19"/>
      <c r="BJ210" s="19"/>
      <c r="BK210" s="19"/>
      <c r="BL210" s="19"/>
      <c r="BM210" s="19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</row>
    <row r="211" spans="1:78" ht="12" customHeight="1" x14ac:dyDescent="0.25">
      <c r="A211" s="26"/>
      <c r="B211" s="28"/>
      <c r="C211" s="28"/>
      <c r="D211" s="15" t="str">
        <f>IF(IF(ISNUMBER(B211),"",MAX(D$4:D210)+1)&lt;=D$3,IF(ISNUMBER(B211),"",MAX(D$4:D210)+1),"")</f>
        <v/>
      </c>
      <c r="E211" s="28"/>
      <c r="F211" s="28"/>
      <c r="G211" s="27"/>
      <c r="H211" s="15"/>
      <c r="I211" s="15" t="str">
        <f>IF(O211="","",IF(ISNUMBER(MATCH(O211,$G$5:$G$1000,0)),"",IF(D211=1,B$4,0)+MAX(I$4:I210)+1))</f>
        <v/>
      </c>
      <c r="J211" s="27"/>
      <c r="K211" s="27"/>
      <c r="L211" s="26"/>
      <c r="M211" s="14">
        <f>IF(ROW()-ROW(M$4)&lt;=1000,ROW()-ROW(M$4),"")</f>
        <v>207</v>
      </c>
      <c r="N211" s="29"/>
      <c r="O211" s="29"/>
      <c r="P211" s="17"/>
      <c r="Q211" s="16" t="s">
        <v>0</v>
      </c>
      <c r="R211" s="24"/>
      <c r="S211" s="24"/>
      <c r="T211" s="24"/>
      <c r="U211" s="24"/>
      <c r="V211" s="24"/>
      <c r="W211" s="24"/>
      <c r="X211" s="24"/>
      <c r="Y211" s="24"/>
      <c r="Z211" s="23"/>
      <c r="AA211" s="23"/>
      <c r="AB211" s="23"/>
      <c r="AC211" s="23"/>
      <c r="AD211" s="23"/>
      <c r="AE211" s="23"/>
      <c r="AF211" s="23"/>
      <c r="AG211" s="23"/>
      <c r="AH211" s="22"/>
      <c r="AI211" s="22"/>
      <c r="AJ211" s="22"/>
      <c r="AK211" s="22"/>
      <c r="AL211" s="22"/>
      <c r="AM211" s="22"/>
      <c r="AN211" s="22"/>
      <c r="AO211" s="16"/>
      <c r="AP211" s="21"/>
      <c r="AQ211" s="21"/>
      <c r="AR211" s="21"/>
      <c r="AS211" s="21"/>
      <c r="AT211" s="18"/>
      <c r="AU211" s="18"/>
      <c r="AV211" s="18"/>
      <c r="AW211" s="20"/>
      <c r="AX211" s="20"/>
      <c r="AY211" s="30"/>
      <c r="AZ211" s="30"/>
      <c r="BA211" s="20"/>
      <c r="BB211" s="20"/>
      <c r="BC211" s="17"/>
      <c r="BD211" s="17"/>
      <c r="BE211" s="20"/>
      <c r="BF211" s="17"/>
      <c r="BG211" s="19"/>
      <c r="BH211" s="19"/>
      <c r="BI211" s="19"/>
      <c r="BJ211" s="19"/>
      <c r="BK211" s="19"/>
      <c r="BL211" s="19"/>
      <c r="BM211" s="19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</row>
    <row r="212" spans="1:78" ht="12" customHeight="1" x14ac:dyDescent="0.25">
      <c r="A212" s="26"/>
      <c r="B212" s="28"/>
      <c r="C212" s="28"/>
      <c r="D212" s="15" t="str">
        <f>IF(IF(ISNUMBER(B212),"",MAX(D$4:D211)+1)&lt;=D$3,IF(ISNUMBER(B212),"",MAX(D$4:D211)+1),"")</f>
        <v/>
      </c>
      <c r="E212" s="28"/>
      <c r="F212" s="28"/>
      <c r="G212" s="27"/>
      <c r="H212" s="15"/>
      <c r="I212" s="15" t="str">
        <f>IF(O212="","",IF(ISNUMBER(MATCH(O212,$G$5:$G$1000,0)),"",IF(D212=1,B$4,0)+MAX(I$4:I211)+1))</f>
        <v/>
      </c>
      <c r="J212" s="27"/>
      <c r="K212" s="27"/>
      <c r="L212" s="26"/>
      <c r="M212" s="14">
        <f>IF(ROW()-ROW(M$4)&lt;=1000,ROW()-ROW(M$4),"")</f>
        <v>208</v>
      </c>
      <c r="N212" s="29"/>
      <c r="O212" s="29"/>
      <c r="P212" s="17"/>
      <c r="Q212" s="16" t="s">
        <v>0</v>
      </c>
      <c r="R212" s="24"/>
      <c r="S212" s="24"/>
      <c r="T212" s="24"/>
      <c r="U212" s="24"/>
      <c r="V212" s="24"/>
      <c r="W212" s="24"/>
      <c r="X212" s="24"/>
      <c r="Y212" s="24"/>
      <c r="Z212" s="23"/>
      <c r="AA212" s="23"/>
      <c r="AB212" s="23"/>
      <c r="AC212" s="23"/>
      <c r="AD212" s="23"/>
      <c r="AE212" s="23"/>
      <c r="AF212" s="23"/>
      <c r="AG212" s="23"/>
      <c r="AH212" s="22"/>
      <c r="AI212" s="22"/>
      <c r="AJ212" s="22"/>
      <c r="AK212" s="22"/>
      <c r="AL212" s="22"/>
      <c r="AM212" s="22"/>
      <c r="AN212" s="22"/>
      <c r="AO212" s="16"/>
      <c r="AP212" s="21"/>
      <c r="AQ212" s="21"/>
      <c r="AR212" s="21"/>
      <c r="AS212" s="21"/>
      <c r="AT212" s="18"/>
      <c r="AU212" s="18"/>
      <c r="AV212" s="18"/>
      <c r="AW212" s="20"/>
      <c r="AX212" s="20"/>
      <c r="AY212" s="30"/>
      <c r="AZ212" s="30"/>
      <c r="BA212" s="20"/>
      <c r="BB212" s="20"/>
      <c r="BC212" s="17"/>
      <c r="BD212" s="17"/>
      <c r="BE212" s="20"/>
      <c r="BF212" s="17"/>
      <c r="BG212" s="19"/>
      <c r="BH212" s="19"/>
      <c r="BI212" s="19"/>
      <c r="BJ212" s="19"/>
      <c r="BK212" s="19"/>
      <c r="BL212" s="19"/>
      <c r="BM212" s="19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</row>
    <row r="213" spans="1:78" ht="12" customHeight="1" x14ac:dyDescent="0.25">
      <c r="A213" s="26"/>
      <c r="B213" s="28"/>
      <c r="C213" s="28"/>
      <c r="D213" s="15" t="str">
        <f>IF(IF(ISNUMBER(B213),"",MAX(D$4:D212)+1)&lt;=D$3,IF(ISNUMBER(B213),"",MAX(D$4:D212)+1),"")</f>
        <v/>
      </c>
      <c r="E213" s="28"/>
      <c r="F213" s="28"/>
      <c r="G213" s="27"/>
      <c r="H213" s="15"/>
      <c r="I213" s="15" t="str">
        <f>IF(O213="","",IF(ISNUMBER(MATCH(O213,$G$5:$G$1000,0)),"",IF(D213=1,B$4,0)+MAX(I$4:I212)+1))</f>
        <v/>
      </c>
      <c r="J213" s="27"/>
      <c r="K213" s="27"/>
      <c r="L213" s="26"/>
      <c r="M213" s="14">
        <f>IF(ROW()-ROW(M$4)&lt;=1000,ROW()-ROW(M$4),"")</f>
        <v>209</v>
      </c>
      <c r="N213" s="29"/>
      <c r="O213" s="29"/>
      <c r="P213" s="17"/>
      <c r="Q213" s="16" t="s">
        <v>0</v>
      </c>
      <c r="R213" s="24"/>
      <c r="S213" s="24"/>
      <c r="T213" s="24"/>
      <c r="U213" s="24"/>
      <c r="V213" s="24"/>
      <c r="W213" s="24"/>
      <c r="X213" s="24"/>
      <c r="Y213" s="24"/>
      <c r="Z213" s="23"/>
      <c r="AA213" s="23"/>
      <c r="AB213" s="23"/>
      <c r="AC213" s="23"/>
      <c r="AD213" s="23"/>
      <c r="AE213" s="23"/>
      <c r="AF213" s="23"/>
      <c r="AG213" s="23"/>
      <c r="AH213" s="22"/>
      <c r="AI213" s="22"/>
      <c r="AJ213" s="22"/>
      <c r="AK213" s="22"/>
      <c r="AL213" s="22"/>
      <c r="AM213" s="22"/>
      <c r="AN213" s="22"/>
      <c r="AO213" s="16"/>
      <c r="AP213" s="21"/>
      <c r="AQ213" s="21"/>
      <c r="AR213" s="21"/>
      <c r="AS213" s="21"/>
      <c r="AT213" s="18"/>
      <c r="AU213" s="18"/>
      <c r="AV213" s="18"/>
      <c r="AW213" s="20"/>
      <c r="AX213" s="20"/>
      <c r="AY213" s="30"/>
      <c r="AZ213" s="30"/>
      <c r="BA213" s="20"/>
      <c r="BB213" s="20"/>
      <c r="BC213" s="17"/>
      <c r="BD213" s="17"/>
      <c r="BE213" s="20"/>
      <c r="BF213" s="17"/>
      <c r="BG213" s="19"/>
      <c r="BH213" s="19"/>
      <c r="BI213" s="19"/>
      <c r="BJ213" s="19"/>
      <c r="BK213" s="19"/>
      <c r="BL213" s="19"/>
      <c r="BM213" s="19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</row>
    <row r="214" spans="1:78" ht="12" customHeight="1" x14ac:dyDescent="0.25">
      <c r="A214" s="26"/>
      <c r="B214" s="28"/>
      <c r="C214" s="28"/>
      <c r="D214" s="15" t="str">
        <f>IF(IF(ISNUMBER(B214),"",MAX(D$4:D213)+1)&lt;=D$3,IF(ISNUMBER(B214),"",MAX(D$4:D213)+1),"")</f>
        <v/>
      </c>
      <c r="E214" s="28"/>
      <c r="F214" s="28"/>
      <c r="G214" s="27"/>
      <c r="H214" s="15"/>
      <c r="I214" s="15" t="str">
        <f>IF(O214="","",IF(ISNUMBER(MATCH(O214,$G$5:$G$1000,0)),"",IF(D214=1,B$4,0)+MAX(I$4:I213)+1))</f>
        <v/>
      </c>
      <c r="J214" s="27"/>
      <c r="K214" s="27"/>
      <c r="L214" s="26"/>
      <c r="M214" s="14">
        <f>IF(ROW()-ROW(M$4)&lt;=1000,ROW()-ROW(M$4),"")</f>
        <v>210</v>
      </c>
      <c r="N214" s="29"/>
      <c r="O214" s="29"/>
      <c r="P214" s="17"/>
      <c r="Q214" s="16" t="s">
        <v>0</v>
      </c>
      <c r="R214" s="24"/>
      <c r="S214" s="24"/>
      <c r="T214" s="24"/>
      <c r="U214" s="24"/>
      <c r="V214" s="24"/>
      <c r="W214" s="24"/>
      <c r="X214" s="24"/>
      <c r="Y214" s="24"/>
      <c r="Z214" s="23"/>
      <c r="AA214" s="23"/>
      <c r="AB214" s="23"/>
      <c r="AC214" s="23"/>
      <c r="AD214" s="23"/>
      <c r="AE214" s="23"/>
      <c r="AF214" s="23"/>
      <c r="AG214" s="23"/>
      <c r="AH214" s="22"/>
      <c r="AI214" s="22"/>
      <c r="AJ214" s="22"/>
      <c r="AK214" s="22"/>
      <c r="AL214" s="22"/>
      <c r="AM214" s="22"/>
      <c r="AN214" s="22"/>
      <c r="AO214" s="16"/>
      <c r="AP214" s="21"/>
      <c r="AQ214" s="21"/>
      <c r="AR214" s="21"/>
      <c r="AS214" s="21"/>
      <c r="AT214" s="18"/>
      <c r="AU214" s="18"/>
      <c r="AV214" s="18"/>
      <c r="AW214" s="20"/>
      <c r="AX214" s="20"/>
      <c r="AY214" s="30"/>
      <c r="AZ214" s="30"/>
      <c r="BA214" s="20"/>
      <c r="BB214" s="20"/>
      <c r="BC214" s="17"/>
      <c r="BD214" s="17"/>
      <c r="BE214" s="20"/>
      <c r="BF214" s="17"/>
      <c r="BG214" s="19"/>
      <c r="BH214" s="19"/>
      <c r="BI214" s="19"/>
      <c r="BJ214" s="19"/>
      <c r="BK214" s="19"/>
      <c r="BL214" s="19"/>
      <c r="BM214" s="19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</row>
    <row r="215" spans="1:78" ht="12" customHeight="1" x14ac:dyDescent="0.25">
      <c r="A215" s="26"/>
      <c r="B215" s="28"/>
      <c r="C215" s="28"/>
      <c r="D215" s="15" t="str">
        <f>IF(IF(ISNUMBER(B215),"",MAX(D$4:D214)+1)&lt;=D$3,IF(ISNUMBER(B215),"",MAX(D$4:D214)+1),"")</f>
        <v/>
      </c>
      <c r="E215" s="28"/>
      <c r="F215" s="28"/>
      <c r="G215" s="27"/>
      <c r="H215" s="15"/>
      <c r="I215" s="15" t="str">
        <f>IF(O215="","",IF(ISNUMBER(MATCH(O215,$G$5:$G$1000,0)),"",IF(D215=1,B$4,0)+MAX(I$4:I214)+1))</f>
        <v/>
      </c>
      <c r="J215" s="27"/>
      <c r="K215" s="27"/>
      <c r="L215" s="26"/>
      <c r="M215" s="14">
        <f>IF(ROW()-ROW(M$4)&lt;=1000,ROW()-ROW(M$4),"")</f>
        <v>211</v>
      </c>
      <c r="N215" s="29"/>
      <c r="O215" s="29"/>
      <c r="P215" s="17"/>
      <c r="Q215" s="16" t="s">
        <v>0</v>
      </c>
      <c r="R215" s="24"/>
      <c r="S215" s="24"/>
      <c r="T215" s="24"/>
      <c r="U215" s="24"/>
      <c r="V215" s="24"/>
      <c r="W215" s="24"/>
      <c r="X215" s="24"/>
      <c r="Y215" s="24"/>
      <c r="Z215" s="23"/>
      <c r="AA215" s="23"/>
      <c r="AB215" s="23"/>
      <c r="AC215" s="23"/>
      <c r="AD215" s="23"/>
      <c r="AE215" s="23"/>
      <c r="AF215" s="23"/>
      <c r="AG215" s="23"/>
      <c r="AH215" s="22"/>
      <c r="AI215" s="22"/>
      <c r="AJ215" s="22"/>
      <c r="AK215" s="22"/>
      <c r="AL215" s="22"/>
      <c r="AM215" s="22"/>
      <c r="AN215" s="22"/>
      <c r="AO215" s="16"/>
      <c r="AP215" s="21"/>
      <c r="AQ215" s="21"/>
      <c r="AR215" s="21"/>
      <c r="AS215" s="21"/>
      <c r="AT215" s="18"/>
      <c r="AU215" s="18"/>
      <c r="AV215" s="18"/>
      <c r="AW215" s="20"/>
      <c r="AX215" s="20"/>
      <c r="AY215" s="30"/>
      <c r="AZ215" s="30"/>
      <c r="BA215" s="20"/>
      <c r="BB215" s="20"/>
      <c r="BC215" s="17"/>
      <c r="BD215" s="17"/>
      <c r="BE215" s="20"/>
      <c r="BF215" s="17"/>
      <c r="BG215" s="19"/>
      <c r="BH215" s="19"/>
      <c r="BI215" s="19"/>
      <c r="BJ215" s="19"/>
      <c r="BK215" s="19"/>
      <c r="BL215" s="19"/>
      <c r="BM215" s="19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</row>
    <row r="216" spans="1:78" ht="12" customHeight="1" x14ac:dyDescent="0.25">
      <c r="A216" s="26"/>
      <c r="B216" s="28"/>
      <c r="C216" s="28"/>
      <c r="D216" s="15" t="str">
        <f>IF(IF(ISNUMBER(B216),"",MAX(D$4:D215)+1)&lt;=D$3,IF(ISNUMBER(B216),"",MAX(D$4:D215)+1),"")</f>
        <v/>
      </c>
      <c r="E216" s="28"/>
      <c r="F216" s="28"/>
      <c r="G216" s="27"/>
      <c r="H216" s="15"/>
      <c r="I216" s="15" t="str">
        <f>IF(O216="","",IF(ISNUMBER(MATCH(O216,$G$5:$G$1000,0)),"",IF(D216=1,B$4,0)+MAX(I$4:I215)+1))</f>
        <v/>
      </c>
      <c r="J216" s="27"/>
      <c r="K216" s="27"/>
      <c r="L216" s="26"/>
      <c r="M216" s="14">
        <f>IF(ROW()-ROW(M$4)&lt;=1000,ROW()-ROW(M$4),"")</f>
        <v>212</v>
      </c>
      <c r="N216" s="29"/>
      <c r="O216" s="29"/>
      <c r="P216" s="17"/>
      <c r="Q216" s="16" t="s">
        <v>0</v>
      </c>
      <c r="R216" s="24"/>
      <c r="S216" s="24"/>
      <c r="T216" s="24"/>
      <c r="U216" s="24"/>
      <c r="V216" s="24"/>
      <c r="W216" s="24"/>
      <c r="X216" s="24"/>
      <c r="Y216" s="24"/>
      <c r="Z216" s="23"/>
      <c r="AA216" s="23"/>
      <c r="AB216" s="23"/>
      <c r="AC216" s="23"/>
      <c r="AD216" s="23"/>
      <c r="AE216" s="23"/>
      <c r="AF216" s="23"/>
      <c r="AG216" s="23"/>
      <c r="AH216" s="22"/>
      <c r="AI216" s="22"/>
      <c r="AJ216" s="22"/>
      <c r="AK216" s="22"/>
      <c r="AL216" s="22"/>
      <c r="AM216" s="22"/>
      <c r="AN216" s="22"/>
      <c r="AO216" s="16"/>
      <c r="AP216" s="21"/>
      <c r="AQ216" s="21"/>
      <c r="AR216" s="21"/>
      <c r="AS216" s="21"/>
      <c r="AT216" s="18"/>
      <c r="AU216" s="18"/>
      <c r="AV216" s="18"/>
      <c r="AW216" s="20"/>
      <c r="AX216" s="20"/>
      <c r="AY216" s="30"/>
      <c r="AZ216" s="30"/>
      <c r="BA216" s="20"/>
      <c r="BB216" s="20"/>
      <c r="BC216" s="17"/>
      <c r="BD216" s="17"/>
      <c r="BE216" s="20"/>
      <c r="BF216" s="17"/>
      <c r="BG216" s="19"/>
      <c r="BH216" s="19"/>
      <c r="BI216" s="19"/>
      <c r="BJ216" s="19"/>
      <c r="BK216" s="19"/>
      <c r="BL216" s="19"/>
      <c r="BM216" s="19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</row>
    <row r="217" spans="1:78" ht="12" customHeight="1" x14ac:dyDescent="0.25">
      <c r="A217" s="26"/>
      <c r="B217" s="28"/>
      <c r="C217" s="28"/>
      <c r="D217" s="15" t="str">
        <f>IF(IF(ISNUMBER(B217),"",MAX(D$4:D216)+1)&lt;=D$3,IF(ISNUMBER(B217),"",MAX(D$4:D216)+1),"")</f>
        <v/>
      </c>
      <c r="E217" s="28"/>
      <c r="F217" s="28"/>
      <c r="G217" s="27"/>
      <c r="H217" s="15"/>
      <c r="I217" s="15" t="str">
        <f>IF(O217="","",IF(ISNUMBER(MATCH(O217,$G$5:$G$1000,0)),"",IF(D217=1,B$4,0)+MAX(I$4:I216)+1))</f>
        <v/>
      </c>
      <c r="J217" s="27"/>
      <c r="K217" s="27"/>
      <c r="L217" s="26"/>
      <c r="M217" s="14">
        <f>IF(ROW()-ROW(M$4)&lt;=1000,ROW()-ROW(M$4),"")</f>
        <v>213</v>
      </c>
      <c r="N217" s="29"/>
      <c r="O217" s="29"/>
      <c r="P217" s="17"/>
      <c r="Q217" s="16" t="s">
        <v>0</v>
      </c>
      <c r="R217" s="24"/>
      <c r="S217" s="24"/>
      <c r="T217" s="24"/>
      <c r="U217" s="24"/>
      <c r="V217" s="24"/>
      <c r="W217" s="24"/>
      <c r="X217" s="24"/>
      <c r="Y217" s="24"/>
      <c r="Z217" s="23"/>
      <c r="AA217" s="23"/>
      <c r="AB217" s="23"/>
      <c r="AC217" s="23"/>
      <c r="AD217" s="23"/>
      <c r="AE217" s="23"/>
      <c r="AF217" s="23"/>
      <c r="AG217" s="23"/>
      <c r="AH217" s="22"/>
      <c r="AI217" s="22"/>
      <c r="AJ217" s="22"/>
      <c r="AK217" s="22"/>
      <c r="AL217" s="22"/>
      <c r="AM217" s="22"/>
      <c r="AN217" s="22"/>
      <c r="AO217" s="16"/>
      <c r="AP217" s="21"/>
      <c r="AQ217" s="21"/>
      <c r="AR217" s="21"/>
      <c r="AS217" s="21"/>
      <c r="AT217" s="18"/>
      <c r="AU217" s="18"/>
      <c r="AV217" s="18"/>
      <c r="AW217" s="20"/>
      <c r="AX217" s="20"/>
      <c r="AY217" s="30"/>
      <c r="AZ217" s="30"/>
      <c r="BA217" s="20"/>
      <c r="BB217" s="20"/>
      <c r="BC217" s="17"/>
      <c r="BD217" s="17"/>
      <c r="BE217" s="20"/>
      <c r="BF217" s="17"/>
      <c r="BG217" s="19"/>
      <c r="BH217" s="19"/>
      <c r="BI217" s="19"/>
      <c r="BJ217" s="19"/>
      <c r="BK217" s="19"/>
      <c r="BL217" s="19"/>
      <c r="BM217" s="19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</row>
    <row r="218" spans="1:78" ht="12" customHeight="1" x14ac:dyDescent="0.25">
      <c r="A218" s="26"/>
      <c r="B218" s="28"/>
      <c r="C218" s="28"/>
      <c r="D218" s="15" t="str">
        <f>IF(IF(ISNUMBER(B218),"",MAX(D$4:D217)+1)&lt;=D$3,IF(ISNUMBER(B218),"",MAX(D$4:D217)+1),"")</f>
        <v/>
      </c>
      <c r="E218" s="28"/>
      <c r="F218" s="28"/>
      <c r="G218" s="27"/>
      <c r="H218" s="15"/>
      <c r="I218" s="15" t="str">
        <f>IF(O218="","",IF(ISNUMBER(MATCH(O218,$G$5:$G$1000,0)),"",IF(D218=1,B$4,0)+MAX(I$4:I217)+1))</f>
        <v/>
      </c>
      <c r="J218" s="27"/>
      <c r="K218" s="27"/>
      <c r="L218" s="26"/>
      <c r="M218" s="14">
        <f>IF(ROW()-ROW(M$4)&lt;=1000,ROW()-ROW(M$4),"")</f>
        <v>214</v>
      </c>
      <c r="N218" s="29"/>
      <c r="O218" s="29"/>
      <c r="P218" s="17"/>
      <c r="Q218" s="16" t="s">
        <v>0</v>
      </c>
      <c r="R218" s="24"/>
      <c r="S218" s="24"/>
      <c r="T218" s="24"/>
      <c r="U218" s="24"/>
      <c r="V218" s="24"/>
      <c r="W218" s="24"/>
      <c r="X218" s="24"/>
      <c r="Y218" s="24"/>
      <c r="Z218" s="23"/>
      <c r="AA218" s="23"/>
      <c r="AB218" s="23"/>
      <c r="AC218" s="23"/>
      <c r="AD218" s="23"/>
      <c r="AE218" s="23"/>
      <c r="AF218" s="23"/>
      <c r="AG218" s="23"/>
      <c r="AH218" s="22"/>
      <c r="AI218" s="22"/>
      <c r="AJ218" s="22"/>
      <c r="AK218" s="22"/>
      <c r="AL218" s="22"/>
      <c r="AM218" s="22"/>
      <c r="AN218" s="22"/>
      <c r="AO218" s="16"/>
      <c r="AP218" s="21"/>
      <c r="AQ218" s="21"/>
      <c r="AR218" s="21"/>
      <c r="AS218" s="21"/>
      <c r="AT218" s="18"/>
      <c r="AU218" s="18"/>
      <c r="AV218" s="18"/>
      <c r="AW218" s="20"/>
      <c r="AX218" s="20"/>
      <c r="AY218" s="30"/>
      <c r="AZ218" s="30"/>
      <c r="BA218" s="20"/>
      <c r="BB218" s="20"/>
      <c r="BC218" s="17"/>
      <c r="BD218" s="17"/>
      <c r="BE218" s="20"/>
      <c r="BF218" s="17"/>
      <c r="BG218" s="19"/>
      <c r="BH218" s="19"/>
      <c r="BI218" s="19"/>
      <c r="BJ218" s="19"/>
      <c r="BK218" s="19"/>
      <c r="BL218" s="19"/>
      <c r="BM218" s="19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</row>
    <row r="219" spans="1:78" ht="12" customHeight="1" x14ac:dyDescent="0.25">
      <c r="A219" s="26"/>
      <c r="B219" s="28"/>
      <c r="C219" s="28"/>
      <c r="D219" s="15" t="str">
        <f>IF(IF(ISNUMBER(B219),"",MAX(D$4:D218)+1)&lt;=D$3,IF(ISNUMBER(B219),"",MAX(D$4:D218)+1),"")</f>
        <v/>
      </c>
      <c r="E219" s="28"/>
      <c r="F219" s="28"/>
      <c r="G219" s="27"/>
      <c r="H219" s="15"/>
      <c r="I219" s="15" t="str">
        <f>IF(O219="","",IF(ISNUMBER(MATCH(O219,$G$5:$G$1000,0)),"",IF(D219=1,B$4,0)+MAX(I$4:I218)+1))</f>
        <v/>
      </c>
      <c r="J219" s="27"/>
      <c r="K219" s="27"/>
      <c r="L219" s="26"/>
      <c r="M219" s="14">
        <f>IF(ROW()-ROW(M$4)&lt;=1000,ROW()-ROW(M$4),"")</f>
        <v>215</v>
      </c>
      <c r="N219" s="29"/>
      <c r="O219" s="29"/>
      <c r="P219" s="17"/>
      <c r="Q219" s="16" t="s">
        <v>0</v>
      </c>
      <c r="R219" s="24"/>
      <c r="S219" s="24"/>
      <c r="T219" s="24"/>
      <c r="U219" s="24"/>
      <c r="V219" s="24"/>
      <c r="W219" s="24"/>
      <c r="X219" s="24"/>
      <c r="Y219" s="24"/>
      <c r="Z219" s="23"/>
      <c r="AA219" s="23"/>
      <c r="AB219" s="23"/>
      <c r="AC219" s="23"/>
      <c r="AD219" s="23"/>
      <c r="AE219" s="23"/>
      <c r="AF219" s="23"/>
      <c r="AG219" s="23"/>
      <c r="AH219" s="22"/>
      <c r="AI219" s="22"/>
      <c r="AJ219" s="22"/>
      <c r="AK219" s="22"/>
      <c r="AL219" s="22"/>
      <c r="AM219" s="22"/>
      <c r="AN219" s="22"/>
      <c r="AO219" s="16"/>
      <c r="AP219" s="21"/>
      <c r="AQ219" s="21"/>
      <c r="AR219" s="21"/>
      <c r="AS219" s="21"/>
      <c r="AT219" s="18"/>
      <c r="AU219" s="18"/>
      <c r="AV219" s="18"/>
      <c r="AW219" s="20"/>
      <c r="AX219" s="20"/>
      <c r="AY219" s="30"/>
      <c r="AZ219" s="30"/>
      <c r="BA219" s="20"/>
      <c r="BB219" s="20"/>
      <c r="BC219" s="17"/>
      <c r="BD219" s="17"/>
      <c r="BE219" s="20"/>
      <c r="BF219" s="17"/>
      <c r="BG219" s="19"/>
      <c r="BH219" s="19"/>
      <c r="BI219" s="19"/>
      <c r="BJ219" s="19"/>
      <c r="BK219" s="19"/>
      <c r="BL219" s="19"/>
      <c r="BM219" s="19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</row>
    <row r="220" spans="1:78" ht="12" customHeight="1" x14ac:dyDescent="0.25">
      <c r="A220" s="26"/>
      <c r="B220" s="28"/>
      <c r="C220" s="28"/>
      <c r="D220" s="15" t="str">
        <f>IF(IF(ISNUMBER(B220),"",MAX(D$4:D219)+1)&lt;=D$3,IF(ISNUMBER(B220),"",MAX(D$4:D219)+1),"")</f>
        <v/>
      </c>
      <c r="E220" s="28"/>
      <c r="F220" s="28"/>
      <c r="G220" s="27"/>
      <c r="H220" s="15"/>
      <c r="I220" s="15" t="str">
        <f>IF(O220="","",IF(ISNUMBER(MATCH(O220,$G$5:$G$1000,0)),"",IF(D220=1,B$4,0)+MAX(I$4:I219)+1))</f>
        <v/>
      </c>
      <c r="J220" s="27"/>
      <c r="K220" s="27"/>
      <c r="L220" s="26"/>
      <c r="M220" s="14">
        <f>IF(ROW()-ROW(M$4)&lt;=1000,ROW()-ROW(M$4),"")</f>
        <v>216</v>
      </c>
      <c r="N220" s="29"/>
      <c r="O220" s="29"/>
      <c r="P220" s="17"/>
      <c r="Q220" s="16" t="s">
        <v>0</v>
      </c>
      <c r="R220" s="24"/>
      <c r="S220" s="24"/>
      <c r="T220" s="24"/>
      <c r="U220" s="24"/>
      <c r="V220" s="24"/>
      <c r="W220" s="24"/>
      <c r="X220" s="24"/>
      <c r="Y220" s="24"/>
      <c r="Z220" s="23"/>
      <c r="AA220" s="23"/>
      <c r="AB220" s="23"/>
      <c r="AC220" s="23"/>
      <c r="AD220" s="23"/>
      <c r="AE220" s="23"/>
      <c r="AF220" s="23"/>
      <c r="AG220" s="23"/>
      <c r="AH220" s="22"/>
      <c r="AI220" s="22"/>
      <c r="AJ220" s="22"/>
      <c r="AK220" s="22"/>
      <c r="AL220" s="22"/>
      <c r="AM220" s="22"/>
      <c r="AN220" s="22"/>
      <c r="AO220" s="16"/>
      <c r="AP220" s="21"/>
      <c r="AQ220" s="21"/>
      <c r="AR220" s="21"/>
      <c r="AS220" s="21"/>
      <c r="AT220" s="18"/>
      <c r="AU220" s="18"/>
      <c r="AV220" s="18"/>
      <c r="AW220" s="20"/>
      <c r="AX220" s="20"/>
      <c r="AY220" s="30"/>
      <c r="AZ220" s="30"/>
      <c r="BA220" s="20"/>
      <c r="BB220" s="20"/>
      <c r="BC220" s="17"/>
      <c r="BD220" s="17"/>
      <c r="BE220" s="20"/>
      <c r="BF220" s="17"/>
      <c r="BG220" s="19"/>
      <c r="BH220" s="19"/>
      <c r="BI220" s="19"/>
      <c r="BJ220" s="19"/>
      <c r="BK220" s="19"/>
      <c r="BL220" s="19"/>
      <c r="BM220" s="19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</row>
    <row r="221" spans="1:78" ht="12" customHeight="1" x14ac:dyDescent="0.25">
      <c r="A221" s="26"/>
      <c r="B221" s="28"/>
      <c r="C221" s="28"/>
      <c r="D221" s="15" t="str">
        <f>IF(IF(ISNUMBER(B221),"",MAX(D$4:D220)+1)&lt;=D$3,IF(ISNUMBER(B221),"",MAX(D$4:D220)+1),"")</f>
        <v/>
      </c>
      <c r="E221" s="28"/>
      <c r="F221" s="28"/>
      <c r="G221" s="27"/>
      <c r="H221" s="15"/>
      <c r="I221" s="15" t="str">
        <f>IF(O221="","",IF(ISNUMBER(MATCH(O221,$G$5:$G$1000,0)),"",IF(D221=1,B$4,0)+MAX(I$4:I220)+1))</f>
        <v/>
      </c>
      <c r="J221" s="27"/>
      <c r="K221" s="27"/>
      <c r="L221" s="26"/>
      <c r="M221" s="14">
        <f>IF(ROW()-ROW(M$4)&lt;=1000,ROW()-ROW(M$4),"")</f>
        <v>217</v>
      </c>
      <c r="N221" s="29"/>
      <c r="O221" s="29"/>
      <c r="P221" s="17"/>
      <c r="Q221" s="16" t="s">
        <v>0</v>
      </c>
      <c r="R221" s="24"/>
      <c r="S221" s="24"/>
      <c r="T221" s="24"/>
      <c r="U221" s="24"/>
      <c r="V221" s="24"/>
      <c r="W221" s="24"/>
      <c r="X221" s="24"/>
      <c r="Y221" s="24"/>
      <c r="Z221" s="23"/>
      <c r="AA221" s="23"/>
      <c r="AB221" s="23"/>
      <c r="AC221" s="23"/>
      <c r="AD221" s="23"/>
      <c r="AE221" s="23"/>
      <c r="AF221" s="23"/>
      <c r="AG221" s="23"/>
      <c r="AH221" s="22"/>
      <c r="AI221" s="22"/>
      <c r="AJ221" s="22"/>
      <c r="AK221" s="22"/>
      <c r="AL221" s="22"/>
      <c r="AM221" s="22"/>
      <c r="AN221" s="22"/>
      <c r="AO221" s="16"/>
      <c r="AP221" s="21"/>
      <c r="AQ221" s="21"/>
      <c r="AR221" s="21"/>
      <c r="AS221" s="21"/>
      <c r="AT221" s="18"/>
      <c r="AU221" s="18"/>
      <c r="AV221" s="18"/>
      <c r="AW221" s="20"/>
      <c r="AX221" s="20"/>
      <c r="AY221" s="30"/>
      <c r="AZ221" s="30"/>
      <c r="BA221" s="20"/>
      <c r="BB221" s="20"/>
      <c r="BC221" s="17"/>
      <c r="BD221" s="17"/>
      <c r="BE221" s="20"/>
      <c r="BF221" s="17"/>
      <c r="BG221" s="19"/>
      <c r="BH221" s="19"/>
      <c r="BI221" s="19"/>
      <c r="BJ221" s="19"/>
      <c r="BK221" s="19"/>
      <c r="BL221" s="19"/>
      <c r="BM221" s="19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</row>
    <row r="222" spans="1:78" ht="12" customHeight="1" x14ac:dyDescent="0.25">
      <c r="A222" s="26"/>
      <c r="B222" s="28"/>
      <c r="C222" s="28"/>
      <c r="D222" s="15" t="str">
        <f>IF(IF(ISNUMBER(B222),"",MAX(D$4:D221)+1)&lt;=D$3,IF(ISNUMBER(B222),"",MAX(D$4:D221)+1),"")</f>
        <v/>
      </c>
      <c r="E222" s="28"/>
      <c r="F222" s="28"/>
      <c r="G222" s="27"/>
      <c r="H222" s="15"/>
      <c r="I222" s="15" t="str">
        <f>IF(O222="","",IF(ISNUMBER(MATCH(O222,$G$5:$G$1000,0)),"",IF(D222=1,B$4,0)+MAX(I$4:I221)+1))</f>
        <v/>
      </c>
      <c r="J222" s="27"/>
      <c r="K222" s="27"/>
      <c r="L222" s="26"/>
      <c r="M222" s="14">
        <f>IF(ROW()-ROW(M$4)&lt;=1000,ROW()-ROW(M$4),"")</f>
        <v>218</v>
      </c>
      <c r="N222" s="29"/>
      <c r="O222" s="29"/>
      <c r="P222" s="17"/>
      <c r="Q222" s="16" t="s">
        <v>0</v>
      </c>
      <c r="R222" s="24"/>
      <c r="S222" s="24"/>
      <c r="T222" s="24"/>
      <c r="U222" s="24"/>
      <c r="V222" s="24"/>
      <c r="W222" s="24"/>
      <c r="X222" s="24"/>
      <c r="Y222" s="24"/>
      <c r="Z222" s="23"/>
      <c r="AA222" s="23"/>
      <c r="AB222" s="23"/>
      <c r="AC222" s="23"/>
      <c r="AD222" s="23"/>
      <c r="AE222" s="23"/>
      <c r="AF222" s="23"/>
      <c r="AG222" s="23"/>
      <c r="AH222" s="22"/>
      <c r="AI222" s="22"/>
      <c r="AJ222" s="22"/>
      <c r="AK222" s="22"/>
      <c r="AL222" s="22"/>
      <c r="AM222" s="22"/>
      <c r="AN222" s="22"/>
      <c r="AO222" s="16"/>
      <c r="AP222" s="21"/>
      <c r="AQ222" s="21"/>
      <c r="AR222" s="21"/>
      <c r="AS222" s="21"/>
      <c r="AT222" s="18"/>
      <c r="AU222" s="18"/>
      <c r="AV222" s="18"/>
      <c r="AW222" s="20"/>
      <c r="AX222" s="20"/>
      <c r="AY222" s="30"/>
      <c r="AZ222" s="30"/>
      <c r="BA222" s="20"/>
      <c r="BB222" s="20"/>
      <c r="BC222" s="17"/>
      <c r="BD222" s="17"/>
      <c r="BE222" s="20"/>
      <c r="BF222" s="17"/>
      <c r="BG222" s="19"/>
      <c r="BH222" s="19"/>
      <c r="BI222" s="19"/>
      <c r="BJ222" s="19"/>
      <c r="BK222" s="19"/>
      <c r="BL222" s="19"/>
      <c r="BM222" s="19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</row>
    <row r="223" spans="1:78" ht="12" customHeight="1" x14ac:dyDescent="0.25">
      <c r="A223" s="26"/>
      <c r="B223" s="28"/>
      <c r="C223" s="28"/>
      <c r="D223" s="15" t="str">
        <f>IF(IF(ISNUMBER(B223),"",MAX(D$4:D222)+1)&lt;=D$3,IF(ISNUMBER(B223),"",MAX(D$4:D222)+1),"")</f>
        <v/>
      </c>
      <c r="E223" s="28"/>
      <c r="F223" s="28"/>
      <c r="G223" s="27"/>
      <c r="H223" s="15"/>
      <c r="I223" s="15" t="str">
        <f>IF(O223="","",IF(ISNUMBER(MATCH(O223,$G$5:$G$1000,0)),"",IF(D223=1,B$4,0)+MAX(I$4:I222)+1))</f>
        <v/>
      </c>
      <c r="J223" s="27"/>
      <c r="K223" s="27"/>
      <c r="L223" s="26"/>
      <c r="M223" s="14">
        <f>IF(ROW()-ROW(M$4)&lt;=1000,ROW()-ROW(M$4),"")</f>
        <v>219</v>
      </c>
      <c r="N223" s="29"/>
      <c r="O223" s="29"/>
      <c r="P223" s="17"/>
      <c r="Q223" s="16" t="s">
        <v>0</v>
      </c>
      <c r="R223" s="24"/>
      <c r="S223" s="24"/>
      <c r="T223" s="24"/>
      <c r="U223" s="24"/>
      <c r="V223" s="24"/>
      <c r="W223" s="24"/>
      <c r="X223" s="24"/>
      <c r="Y223" s="24"/>
      <c r="Z223" s="23"/>
      <c r="AA223" s="23"/>
      <c r="AB223" s="23"/>
      <c r="AC223" s="23"/>
      <c r="AD223" s="23"/>
      <c r="AE223" s="23"/>
      <c r="AF223" s="23"/>
      <c r="AG223" s="23"/>
      <c r="AH223" s="22"/>
      <c r="AI223" s="22"/>
      <c r="AJ223" s="22"/>
      <c r="AK223" s="22"/>
      <c r="AL223" s="22"/>
      <c r="AM223" s="22"/>
      <c r="AN223" s="22"/>
      <c r="AO223" s="16"/>
      <c r="AP223" s="21"/>
      <c r="AQ223" s="21"/>
      <c r="AR223" s="21"/>
      <c r="AS223" s="21"/>
      <c r="AT223" s="18"/>
      <c r="AU223" s="18"/>
      <c r="AV223" s="18"/>
      <c r="AW223" s="20"/>
      <c r="AX223" s="20"/>
      <c r="AY223" s="30"/>
      <c r="AZ223" s="30"/>
      <c r="BA223" s="20"/>
      <c r="BB223" s="20"/>
      <c r="BC223" s="17"/>
      <c r="BD223" s="17"/>
      <c r="BE223" s="20"/>
      <c r="BF223" s="17"/>
      <c r="BG223" s="19"/>
      <c r="BH223" s="19"/>
      <c r="BI223" s="19"/>
      <c r="BJ223" s="19"/>
      <c r="BK223" s="19"/>
      <c r="BL223" s="19"/>
      <c r="BM223" s="19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</row>
    <row r="224" spans="1:78" ht="12" customHeight="1" x14ac:dyDescent="0.25">
      <c r="A224" s="26"/>
      <c r="B224" s="28"/>
      <c r="C224" s="28"/>
      <c r="D224" s="15" t="str">
        <f>IF(IF(ISNUMBER(B224),"",MAX(D$4:D223)+1)&lt;=D$3,IF(ISNUMBER(B224),"",MAX(D$4:D223)+1),"")</f>
        <v/>
      </c>
      <c r="E224" s="28"/>
      <c r="F224" s="28"/>
      <c r="G224" s="27"/>
      <c r="H224" s="15"/>
      <c r="I224" s="15" t="str">
        <f>IF(O224="","",IF(ISNUMBER(MATCH(O224,$G$5:$G$1000,0)),"",IF(D224=1,B$4,0)+MAX(I$4:I223)+1))</f>
        <v/>
      </c>
      <c r="J224" s="27"/>
      <c r="K224" s="27"/>
      <c r="L224" s="26"/>
      <c r="M224" s="14">
        <f>IF(ROW()-ROW(M$4)&lt;=1000,ROW()-ROW(M$4),"")</f>
        <v>220</v>
      </c>
      <c r="N224" s="29"/>
      <c r="O224" s="29"/>
      <c r="P224" s="17"/>
      <c r="Q224" s="16" t="s">
        <v>0</v>
      </c>
      <c r="R224" s="24"/>
      <c r="S224" s="24"/>
      <c r="T224" s="24"/>
      <c r="U224" s="24"/>
      <c r="V224" s="24"/>
      <c r="W224" s="24"/>
      <c r="X224" s="24"/>
      <c r="Y224" s="24"/>
      <c r="Z224" s="23"/>
      <c r="AA224" s="23"/>
      <c r="AB224" s="23"/>
      <c r="AC224" s="23"/>
      <c r="AD224" s="23"/>
      <c r="AE224" s="23"/>
      <c r="AF224" s="23"/>
      <c r="AG224" s="23"/>
      <c r="AH224" s="22"/>
      <c r="AI224" s="22"/>
      <c r="AJ224" s="22"/>
      <c r="AK224" s="22"/>
      <c r="AL224" s="22"/>
      <c r="AM224" s="22"/>
      <c r="AN224" s="22"/>
      <c r="AO224" s="16"/>
      <c r="AP224" s="21"/>
      <c r="AQ224" s="21"/>
      <c r="AR224" s="21"/>
      <c r="AS224" s="21"/>
      <c r="AT224" s="18"/>
      <c r="AU224" s="18"/>
      <c r="AV224" s="18"/>
      <c r="AW224" s="20"/>
      <c r="AX224" s="20"/>
      <c r="AY224" s="30"/>
      <c r="AZ224" s="30"/>
      <c r="BA224" s="20"/>
      <c r="BB224" s="20"/>
      <c r="BC224" s="17"/>
      <c r="BD224" s="17"/>
      <c r="BE224" s="20"/>
      <c r="BF224" s="17"/>
      <c r="BG224" s="19"/>
      <c r="BH224" s="19"/>
      <c r="BI224" s="19"/>
      <c r="BJ224" s="19"/>
      <c r="BK224" s="19"/>
      <c r="BL224" s="19"/>
      <c r="BM224" s="19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</row>
    <row r="225" spans="1:78" ht="12" customHeight="1" x14ac:dyDescent="0.25">
      <c r="A225" s="26"/>
      <c r="B225" s="28"/>
      <c r="C225" s="28"/>
      <c r="D225" s="15" t="str">
        <f>IF(IF(ISNUMBER(B225),"",MAX(D$4:D224)+1)&lt;=D$3,IF(ISNUMBER(B225),"",MAX(D$4:D224)+1),"")</f>
        <v/>
      </c>
      <c r="E225" s="28"/>
      <c r="F225" s="28"/>
      <c r="G225" s="27"/>
      <c r="H225" s="15"/>
      <c r="I225" s="15" t="str">
        <f>IF(O225="","",IF(ISNUMBER(MATCH(O225,$G$5:$G$1000,0)),"",IF(D225=1,B$4,0)+MAX(I$4:I224)+1))</f>
        <v/>
      </c>
      <c r="J225" s="27"/>
      <c r="K225" s="27"/>
      <c r="L225" s="26"/>
      <c r="M225" s="14">
        <f>IF(ROW()-ROW(M$4)&lt;=1000,ROW()-ROW(M$4),"")</f>
        <v>221</v>
      </c>
      <c r="N225" s="29"/>
      <c r="O225" s="29"/>
      <c r="P225" s="17"/>
      <c r="Q225" s="16" t="s">
        <v>0</v>
      </c>
      <c r="R225" s="24"/>
      <c r="S225" s="24"/>
      <c r="T225" s="24"/>
      <c r="U225" s="24"/>
      <c r="V225" s="24"/>
      <c r="W225" s="24"/>
      <c r="X225" s="24"/>
      <c r="Y225" s="24"/>
      <c r="Z225" s="23"/>
      <c r="AA225" s="23"/>
      <c r="AB225" s="23"/>
      <c r="AC225" s="23"/>
      <c r="AD225" s="23"/>
      <c r="AE225" s="23"/>
      <c r="AF225" s="23"/>
      <c r="AG225" s="23"/>
      <c r="AH225" s="22"/>
      <c r="AI225" s="22"/>
      <c r="AJ225" s="22"/>
      <c r="AK225" s="22"/>
      <c r="AL225" s="22"/>
      <c r="AM225" s="22"/>
      <c r="AN225" s="22"/>
      <c r="AO225" s="16"/>
      <c r="AP225" s="21"/>
      <c r="AQ225" s="21"/>
      <c r="AR225" s="21"/>
      <c r="AS225" s="21"/>
      <c r="AT225" s="18"/>
      <c r="AU225" s="18"/>
      <c r="AV225" s="18"/>
      <c r="AW225" s="20"/>
      <c r="AX225" s="20"/>
      <c r="AY225" s="30"/>
      <c r="AZ225" s="30"/>
      <c r="BA225" s="20"/>
      <c r="BB225" s="20"/>
      <c r="BC225" s="17"/>
      <c r="BD225" s="17"/>
      <c r="BE225" s="20"/>
      <c r="BF225" s="17"/>
      <c r="BG225" s="19"/>
      <c r="BH225" s="19"/>
      <c r="BI225" s="19"/>
      <c r="BJ225" s="19"/>
      <c r="BK225" s="19"/>
      <c r="BL225" s="19"/>
      <c r="BM225" s="19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</row>
    <row r="226" spans="1:78" ht="12" customHeight="1" x14ac:dyDescent="0.25">
      <c r="A226" s="26"/>
      <c r="B226" s="28"/>
      <c r="C226" s="28"/>
      <c r="D226" s="15" t="str">
        <f>IF(IF(ISNUMBER(B226),"",MAX(D$4:D225)+1)&lt;=D$3,IF(ISNUMBER(B226),"",MAX(D$4:D225)+1),"")</f>
        <v/>
      </c>
      <c r="E226" s="28"/>
      <c r="F226" s="28"/>
      <c r="G226" s="27"/>
      <c r="H226" s="15"/>
      <c r="I226" s="15" t="str">
        <f>IF(O226="","",IF(ISNUMBER(MATCH(O226,$G$5:$G$1000,0)),"",IF(D226=1,B$4,0)+MAX(I$4:I225)+1))</f>
        <v/>
      </c>
      <c r="J226" s="27"/>
      <c r="K226" s="27"/>
      <c r="L226" s="26"/>
      <c r="M226" s="14">
        <f>IF(ROW()-ROW(M$4)&lt;=1000,ROW()-ROW(M$4),"")</f>
        <v>222</v>
      </c>
      <c r="N226" s="29"/>
      <c r="O226" s="29"/>
      <c r="P226" s="17"/>
      <c r="Q226" s="16" t="s">
        <v>0</v>
      </c>
      <c r="R226" s="24"/>
      <c r="S226" s="24"/>
      <c r="T226" s="24"/>
      <c r="U226" s="24"/>
      <c r="V226" s="24"/>
      <c r="W226" s="24"/>
      <c r="X226" s="24"/>
      <c r="Y226" s="24"/>
      <c r="Z226" s="23"/>
      <c r="AA226" s="23"/>
      <c r="AB226" s="23"/>
      <c r="AC226" s="23"/>
      <c r="AD226" s="23"/>
      <c r="AE226" s="23"/>
      <c r="AF226" s="23"/>
      <c r="AG226" s="23"/>
      <c r="AH226" s="22"/>
      <c r="AI226" s="22"/>
      <c r="AJ226" s="22"/>
      <c r="AK226" s="22"/>
      <c r="AL226" s="22"/>
      <c r="AM226" s="22"/>
      <c r="AN226" s="22"/>
      <c r="AO226" s="16"/>
      <c r="AP226" s="21"/>
      <c r="AQ226" s="21"/>
      <c r="AR226" s="21"/>
      <c r="AS226" s="21"/>
      <c r="AT226" s="18"/>
      <c r="AU226" s="18"/>
      <c r="AV226" s="18"/>
      <c r="AW226" s="20"/>
      <c r="AX226" s="20"/>
      <c r="AY226" s="30"/>
      <c r="AZ226" s="30"/>
      <c r="BA226" s="20"/>
      <c r="BB226" s="20"/>
      <c r="BC226" s="17"/>
      <c r="BD226" s="17"/>
      <c r="BE226" s="20"/>
      <c r="BF226" s="17"/>
      <c r="BG226" s="19"/>
      <c r="BH226" s="19"/>
      <c r="BI226" s="19"/>
      <c r="BJ226" s="19"/>
      <c r="BK226" s="19"/>
      <c r="BL226" s="19"/>
      <c r="BM226" s="19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</row>
    <row r="227" spans="1:78" ht="12" customHeight="1" x14ac:dyDescent="0.25">
      <c r="A227" s="26"/>
      <c r="B227" s="28"/>
      <c r="C227" s="28"/>
      <c r="D227" s="15" t="str">
        <f>IF(IF(ISNUMBER(B227),"",MAX(D$4:D226)+1)&lt;=D$3,IF(ISNUMBER(B227),"",MAX(D$4:D226)+1),"")</f>
        <v/>
      </c>
      <c r="E227" s="28"/>
      <c r="F227" s="28"/>
      <c r="G227" s="27"/>
      <c r="H227" s="15"/>
      <c r="I227" s="15" t="str">
        <f>IF(O227="","",IF(ISNUMBER(MATCH(O227,$G$5:$G$1000,0)),"",IF(D227=1,B$4,0)+MAX(I$4:I226)+1))</f>
        <v/>
      </c>
      <c r="J227" s="27"/>
      <c r="K227" s="27"/>
      <c r="L227" s="26"/>
      <c r="M227" s="14">
        <f>IF(ROW()-ROW(M$4)&lt;=1000,ROW()-ROW(M$4),"")</f>
        <v>223</v>
      </c>
      <c r="N227" s="29"/>
      <c r="O227" s="29"/>
      <c r="P227" s="17"/>
      <c r="Q227" s="16" t="s">
        <v>0</v>
      </c>
      <c r="R227" s="24"/>
      <c r="S227" s="24"/>
      <c r="T227" s="24"/>
      <c r="U227" s="24"/>
      <c r="V227" s="24"/>
      <c r="W227" s="24"/>
      <c r="X227" s="24"/>
      <c r="Y227" s="24"/>
      <c r="Z227" s="23"/>
      <c r="AA227" s="23"/>
      <c r="AB227" s="23"/>
      <c r="AC227" s="23"/>
      <c r="AD227" s="23"/>
      <c r="AE227" s="23"/>
      <c r="AF227" s="23"/>
      <c r="AG227" s="23"/>
      <c r="AH227" s="22"/>
      <c r="AI227" s="22"/>
      <c r="AJ227" s="22"/>
      <c r="AK227" s="22"/>
      <c r="AL227" s="22"/>
      <c r="AM227" s="22"/>
      <c r="AN227" s="22"/>
      <c r="AO227" s="16"/>
      <c r="AP227" s="21"/>
      <c r="AQ227" s="21"/>
      <c r="AR227" s="21"/>
      <c r="AS227" s="21"/>
      <c r="AT227" s="18"/>
      <c r="AU227" s="18"/>
      <c r="AV227" s="18"/>
      <c r="AW227" s="20"/>
      <c r="AX227" s="20"/>
      <c r="AY227" s="30"/>
      <c r="AZ227" s="30"/>
      <c r="BA227" s="20"/>
      <c r="BB227" s="20"/>
      <c r="BC227" s="17"/>
      <c r="BD227" s="17"/>
      <c r="BE227" s="20"/>
      <c r="BF227" s="17"/>
      <c r="BG227" s="19"/>
      <c r="BH227" s="19"/>
      <c r="BI227" s="19"/>
      <c r="BJ227" s="19"/>
      <c r="BK227" s="19"/>
      <c r="BL227" s="19"/>
      <c r="BM227" s="19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</row>
    <row r="228" spans="1:78" ht="12" customHeight="1" x14ac:dyDescent="0.25">
      <c r="A228" s="26"/>
      <c r="B228" s="28"/>
      <c r="C228" s="28"/>
      <c r="D228" s="15" t="str">
        <f>IF(IF(ISNUMBER(B228),"",MAX(D$4:D227)+1)&lt;=D$3,IF(ISNUMBER(B228),"",MAX(D$4:D227)+1),"")</f>
        <v/>
      </c>
      <c r="E228" s="28"/>
      <c r="F228" s="28"/>
      <c r="G228" s="27"/>
      <c r="H228" s="15"/>
      <c r="I228" s="15" t="str">
        <f>IF(O228="","",IF(ISNUMBER(MATCH(O228,$G$5:$G$1000,0)),"",IF(D228=1,B$4,0)+MAX(I$4:I227)+1))</f>
        <v/>
      </c>
      <c r="J228" s="27"/>
      <c r="K228" s="27"/>
      <c r="L228" s="26"/>
      <c r="M228" s="14">
        <f>IF(ROW()-ROW(M$4)&lt;=1000,ROW()-ROW(M$4),"")</f>
        <v>224</v>
      </c>
      <c r="N228" s="29"/>
      <c r="O228" s="29"/>
      <c r="P228" s="17"/>
      <c r="Q228" s="16" t="s">
        <v>0</v>
      </c>
      <c r="R228" s="24"/>
      <c r="S228" s="24"/>
      <c r="T228" s="24"/>
      <c r="U228" s="24"/>
      <c r="V228" s="24"/>
      <c r="W228" s="24"/>
      <c r="X228" s="24"/>
      <c r="Y228" s="24"/>
      <c r="Z228" s="23"/>
      <c r="AA228" s="23"/>
      <c r="AB228" s="23"/>
      <c r="AC228" s="23"/>
      <c r="AD228" s="23"/>
      <c r="AE228" s="23"/>
      <c r="AF228" s="23"/>
      <c r="AG228" s="23"/>
      <c r="AH228" s="22"/>
      <c r="AI228" s="22"/>
      <c r="AJ228" s="22"/>
      <c r="AK228" s="22"/>
      <c r="AL228" s="22"/>
      <c r="AM228" s="22"/>
      <c r="AN228" s="22"/>
      <c r="AO228" s="16"/>
      <c r="AP228" s="21"/>
      <c r="AQ228" s="21"/>
      <c r="AR228" s="21"/>
      <c r="AS228" s="21"/>
      <c r="AT228" s="18"/>
      <c r="AU228" s="18"/>
      <c r="AV228" s="18"/>
      <c r="AW228" s="20"/>
      <c r="AX228" s="20"/>
      <c r="AY228" s="30"/>
      <c r="AZ228" s="30"/>
      <c r="BA228" s="20"/>
      <c r="BB228" s="20"/>
      <c r="BC228" s="17"/>
      <c r="BD228" s="17"/>
      <c r="BE228" s="20"/>
      <c r="BF228" s="17"/>
      <c r="BG228" s="19"/>
      <c r="BH228" s="19"/>
      <c r="BI228" s="19"/>
      <c r="BJ228" s="19"/>
      <c r="BK228" s="19"/>
      <c r="BL228" s="19"/>
      <c r="BM228" s="19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</row>
    <row r="229" spans="1:78" ht="12" customHeight="1" x14ac:dyDescent="0.25">
      <c r="A229" s="26"/>
      <c r="B229" s="28"/>
      <c r="C229" s="28"/>
      <c r="D229" s="15" t="str">
        <f>IF(IF(ISNUMBER(B229),"",MAX(D$4:D228)+1)&lt;=D$3,IF(ISNUMBER(B229),"",MAX(D$4:D228)+1),"")</f>
        <v/>
      </c>
      <c r="E229" s="28"/>
      <c r="F229" s="28"/>
      <c r="G229" s="27"/>
      <c r="H229" s="15"/>
      <c r="I229" s="15" t="str">
        <f>IF(O229="","",IF(ISNUMBER(MATCH(O229,$G$5:$G$1000,0)),"",IF(D229=1,B$4,0)+MAX(I$4:I228)+1))</f>
        <v/>
      </c>
      <c r="J229" s="27"/>
      <c r="K229" s="27"/>
      <c r="L229" s="26"/>
      <c r="M229" s="14">
        <f>IF(ROW()-ROW(M$4)&lt;=1000,ROW()-ROW(M$4),"")</f>
        <v>225</v>
      </c>
      <c r="N229" s="29"/>
      <c r="O229" s="29"/>
      <c r="P229" s="17"/>
      <c r="Q229" s="16" t="s">
        <v>0</v>
      </c>
      <c r="R229" s="24"/>
      <c r="S229" s="24"/>
      <c r="T229" s="24"/>
      <c r="U229" s="24"/>
      <c r="V229" s="24"/>
      <c r="W229" s="24"/>
      <c r="X229" s="24"/>
      <c r="Y229" s="24"/>
      <c r="Z229" s="23"/>
      <c r="AA229" s="23"/>
      <c r="AB229" s="23"/>
      <c r="AC229" s="23"/>
      <c r="AD229" s="23"/>
      <c r="AE229" s="23"/>
      <c r="AF229" s="23"/>
      <c r="AG229" s="23"/>
      <c r="AH229" s="22"/>
      <c r="AI229" s="22"/>
      <c r="AJ229" s="22"/>
      <c r="AK229" s="22"/>
      <c r="AL229" s="22"/>
      <c r="AM229" s="22"/>
      <c r="AN229" s="22"/>
      <c r="AO229" s="16"/>
      <c r="AP229" s="21"/>
      <c r="AQ229" s="21"/>
      <c r="AR229" s="21"/>
      <c r="AS229" s="21"/>
      <c r="AT229" s="18"/>
      <c r="AU229" s="18"/>
      <c r="AV229" s="18"/>
      <c r="AW229" s="20"/>
      <c r="AX229" s="20"/>
      <c r="AY229" s="30"/>
      <c r="AZ229" s="30"/>
      <c r="BA229" s="20"/>
      <c r="BB229" s="20"/>
      <c r="BC229" s="17"/>
      <c r="BD229" s="17"/>
      <c r="BE229" s="20"/>
      <c r="BF229" s="17"/>
      <c r="BG229" s="19"/>
      <c r="BH229" s="19"/>
      <c r="BI229" s="19"/>
      <c r="BJ229" s="19"/>
      <c r="BK229" s="19"/>
      <c r="BL229" s="19"/>
      <c r="BM229" s="19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</row>
    <row r="230" spans="1:78" ht="12" customHeight="1" x14ac:dyDescent="0.25">
      <c r="A230" s="26"/>
      <c r="B230" s="28"/>
      <c r="C230" s="28"/>
      <c r="D230" s="15" t="str">
        <f>IF(IF(ISNUMBER(B230),"",MAX(D$4:D229)+1)&lt;=D$3,IF(ISNUMBER(B230),"",MAX(D$4:D229)+1),"")</f>
        <v/>
      </c>
      <c r="E230" s="28"/>
      <c r="F230" s="28"/>
      <c r="G230" s="27"/>
      <c r="H230" s="15"/>
      <c r="I230" s="15" t="str">
        <f>IF(O230="","",IF(ISNUMBER(MATCH(O230,$G$5:$G$1000,0)),"",IF(D230=1,B$4,0)+MAX(I$4:I229)+1))</f>
        <v/>
      </c>
      <c r="J230" s="27"/>
      <c r="K230" s="27"/>
      <c r="L230" s="26"/>
      <c r="M230" s="14">
        <f>IF(ROW()-ROW(M$4)&lt;=1000,ROW()-ROW(M$4),"")</f>
        <v>226</v>
      </c>
      <c r="N230" s="29"/>
      <c r="O230" s="29"/>
      <c r="P230" s="17"/>
      <c r="Q230" s="16" t="s">
        <v>0</v>
      </c>
      <c r="R230" s="24"/>
      <c r="S230" s="24"/>
      <c r="T230" s="24"/>
      <c r="U230" s="24"/>
      <c r="V230" s="24"/>
      <c r="W230" s="24"/>
      <c r="X230" s="24"/>
      <c r="Y230" s="24"/>
      <c r="Z230" s="23"/>
      <c r="AA230" s="23"/>
      <c r="AB230" s="23"/>
      <c r="AC230" s="23"/>
      <c r="AD230" s="23"/>
      <c r="AE230" s="23"/>
      <c r="AF230" s="23"/>
      <c r="AG230" s="23"/>
      <c r="AH230" s="22"/>
      <c r="AI230" s="22"/>
      <c r="AJ230" s="22"/>
      <c r="AK230" s="22"/>
      <c r="AL230" s="22"/>
      <c r="AM230" s="22"/>
      <c r="AN230" s="22"/>
      <c r="AO230" s="16"/>
      <c r="AP230" s="21"/>
      <c r="AQ230" s="21"/>
      <c r="AR230" s="21"/>
      <c r="AS230" s="21"/>
      <c r="AT230" s="18"/>
      <c r="AU230" s="18"/>
      <c r="AV230" s="18"/>
      <c r="AW230" s="20"/>
      <c r="AX230" s="20"/>
      <c r="AY230" s="30"/>
      <c r="AZ230" s="30"/>
      <c r="BA230" s="20"/>
      <c r="BB230" s="20"/>
      <c r="BC230" s="17"/>
      <c r="BD230" s="17"/>
      <c r="BE230" s="20"/>
      <c r="BF230" s="17"/>
      <c r="BG230" s="19"/>
      <c r="BH230" s="19"/>
      <c r="BI230" s="19"/>
      <c r="BJ230" s="19"/>
      <c r="BK230" s="19"/>
      <c r="BL230" s="19"/>
      <c r="BM230" s="19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</row>
    <row r="231" spans="1:78" ht="12" customHeight="1" x14ac:dyDescent="0.25">
      <c r="A231" s="26"/>
      <c r="B231" s="28"/>
      <c r="C231" s="28"/>
      <c r="D231" s="15" t="str">
        <f>IF(IF(ISNUMBER(B231),"",MAX(D$4:D230)+1)&lt;=D$3,IF(ISNUMBER(B231),"",MAX(D$4:D230)+1),"")</f>
        <v/>
      </c>
      <c r="E231" s="28"/>
      <c r="F231" s="28"/>
      <c r="G231" s="27"/>
      <c r="H231" s="15"/>
      <c r="I231" s="15" t="str">
        <f>IF(O231="","",IF(ISNUMBER(MATCH(O231,$G$5:$G$1000,0)),"",IF(D231=1,B$4,0)+MAX(I$4:I230)+1))</f>
        <v/>
      </c>
      <c r="J231" s="27"/>
      <c r="K231" s="27"/>
      <c r="L231" s="26"/>
      <c r="M231" s="14">
        <f>IF(ROW()-ROW(M$4)&lt;=1000,ROW()-ROW(M$4),"")</f>
        <v>227</v>
      </c>
      <c r="N231" s="29"/>
      <c r="O231" s="29"/>
      <c r="P231" s="17"/>
      <c r="Q231" s="16" t="s">
        <v>0</v>
      </c>
      <c r="R231" s="24"/>
      <c r="S231" s="24"/>
      <c r="T231" s="24"/>
      <c r="U231" s="24"/>
      <c r="V231" s="24"/>
      <c r="W231" s="24"/>
      <c r="X231" s="24"/>
      <c r="Y231" s="24"/>
      <c r="Z231" s="23"/>
      <c r="AA231" s="23"/>
      <c r="AB231" s="23"/>
      <c r="AC231" s="23"/>
      <c r="AD231" s="23"/>
      <c r="AE231" s="23"/>
      <c r="AF231" s="23"/>
      <c r="AG231" s="23"/>
      <c r="AH231" s="22"/>
      <c r="AI231" s="22"/>
      <c r="AJ231" s="22"/>
      <c r="AK231" s="22"/>
      <c r="AL231" s="22"/>
      <c r="AM231" s="22"/>
      <c r="AN231" s="22"/>
      <c r="AO231" s="16"/>
      <c r="AP231" s="21"/>
      <c r="AQ231" s="21"/>
      <c r="AR231" s="21"/>
      <c r="AS231" s="21"/>
      <c r="AT231" s="18"/>
      <c r="AU231" s="18"/>
      <c r="AV231" s="18"/>
      <c r="AW231" s="20"/>
      <c r="AX231" s="20"/>
      <c r="AY231" s="30"/>
      <c r="AZ231" s="30"/>
      <c r="BA231" s="20"/>
      <c r="BB231" s="20"/>
      <c r="BC231" s="17"/>
      <c r="BD231" s="17"/>
      <c r="BE231" s="20"/>
      <c r="BF231" s="17"/>
      <c r="BG231" s="19"/>
      <c r="BH231" s="19"/>
      <c r="BI231" s="19"/>
      <c r="BJ231" s="19"/>
      <c r="BK231" s="19"/>
      <c r="BL231" s="19"/>
      <c r="BM231" s="19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</row>
    <row r="232" spans="1:78" ht="12" customHeight="1" x14ac:dyDescent="0.25">
      <c r="A232" s="26"/>
      <c r="B232" s="28"/>
      <c r="C232" s="28"/>
      <c r="D232" s="15" t="str">
        <f>IF(IF(ISNUMBER(B232),"",MAX(D$4:D231)+1)&lt;=D$3,IF(ISNUMBER(B232),"",MAX(D$4:D231)+1),"")</f>
        <v/>
      </c>
      <c r="E232" s="28"/>
      <c r="F232" s="28"/>
      <c r="G232" s="27"/>
      <c r="H232" s="15"/>
      <c r="I232" s="15" t="str">
        <f>IF(O232="","",IF(ISNUMBER(MATCH(O232,$G$5:$G$1000,0)),"",IF(D232=1,B$4,0)+MAX(I$4:I231)+1))</f>
        <v/>
      </c>
      <c r="J232" s="27"/>
      <c r="K232" s="27"/>
      <c r="L232" s="26"/>
      <c r="M232" s="14">
        <f>IF(ROW()-ROW(M$4)&lt;=1000,ROW()-ROW(M$4),"")</f>
        <v>228</v>
      </c>
      <c r="N232" s="29"/>
      <c r="O232" s="29"/>
      <c r="P232" s="17"/>
      <c r="Q232" s="16" t="s">
        <v>0</v>
      </c>
      <c r="R232" s="24"/>
      <c r="S232" s="24"/>
      <c r="T232" s="24"/>
      <c r="U232" s="24"/>
      <c r="V232" s="24"/>
      <c r="W232" s="24"/>
      <c r="X232" s="24"/>
      <c r="Y232" s="24"/>
      <c r="Z232" s="23"/>
      <c r="AA232" s="23"/>
      <c r="AB232" s="23"/>
      <c r="AC232" s="23"/>
      <c r="AD232" s="23"/>
      <c r="AE232" s="23"/>
      <c r="AF232" s="23"/>
      <c r="AG232" s="23"/>
      <c r="AH232" s="22"/>
      <c r="AI232" s="22"/>
      <c r="AJ232" s="22"/>
      <c r="AK232" s="22"/>
      <c r="AL232" s="22"/>
      <c r="AM232" s="22"/>
      <c r="AN232" s="22"/>
      <c r="AO232" s="16"/>
      <c r="AP232" s="21"/>
      <c r="AQ232" s="21"/>
      <c r="AR232" s="21"/>
      <c r="AS232" s="21"/>
      <c r="AT232" s="18"/>
      <c r="AU232" s="18"/>
      <c r="AV232" s="18"/>
      <c r="AW232" s="20"/>
      <c r="AX232" s="20"/>
      <c r="AY232" s="30"/>
      <c r="AZ232" s="30"/>
      <c r="BA232" s="20"/>
      <c r="BB232" s="20"/>
      <c r="BC232" s="17"/>
      <c r="BD232" s="17"/>
      <c r="BE232" s="20"/>
      <c r="BF232" s="17"/>
      <c r="BG232" s="19"/>
      <c r="BH232" s="19"/>
      <c r="BI232" s="19"/>
      <c r="BJ232" s="19"/>
      <c r="BK232" s="19"/>
      <c r="BL232" s="19"/>
      <c r="BM232" s="19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</row>
    <row r="233" spans="1:78" ht="12" customHeight="1" x14ac:dyDescent="0.25">
      <c r="A233" s="26"/>
      <c r="B233" s="28"/>
      <c r="C233" s="28"/>
      <c r="D233" s="15" t="str">
        <f>IF(IF(ISNUMBER(B233),"",MAX(D$4:D232)+1)&lt;=D$3,IF(ISNUMBER(B233),"",MAX(D$4:D232)+1),"")</f>
        <v/>
      </c>
      <c r="E233" s="28"/>
      <c r="F233" s="28"/>
      <c r="G233" s="27"/>
      <c r="H233" s="15"/>
      <c r="I233" s="15" t="str">
        <f>IF(O233="","",IF(ISNUMBER(MATCH(O233,$G$5:$G$1000,0)),"",IF(D233=1,B$4,0)+MAX(I$4:I232)+1))</f>
        <v/>
      </c>
      <c r="J233" s="27"/>
      <c r="K233" s="27"/>
      <c r="L233" s="26"/>
      <c r="M233" s="14">
        <f>IF(ROW()-ROW(M$4)&lt;=1000,ROW()-ROW(M$4),"")</f>
        <v>229</v>
      </c>
      <c r="N233" s="29"/>
      <c r="O233" s="29"/>
      <c r="P233" s="17"/>
      <c r="Q233" s="16" t="s">
        <v>0</v>
      </c>
      <c r="R233" s="24"/>
      <c r="S233" s="24"/>
      <c r="T233" s="24"/>
      <c r="U233" s="24"/>
      <c r="V233" s="24"/>
      <c r="W233" s="24"/>
      <c r="X233" s="24"/>
      <c r="Y233" s="24"/>
      <c r="Z233" s="23"/>
      <c r="AA233" s="23"/>
      <c r="AB233" s="23"/>
      <c r="AC233" s="23"/>
      <c r="AD233" s="23"/>
      <c r="AE233" s="23"/>
      <c r="AF233" s="23"/>
      <c r="AG233" s="23"/>
      <c r="AH233" s="22"/>
      <c r="AI233" s="22"/>
      <c r="AJ233" s="22"/>
      <c r="AK233" s="22"/>
      <c r="AL233" s="22"/>
      <c r="AM233" s="22"/>
      <c r="AN233" s="22"/>
      <c r="AO233" s="16"/>
      <c r="AP233" s="21"/>
      <c r="AQ233" s="21"/>
      <c r="AR233" s="21"/>
      <c r="AS233" s="21"/>
      <c r="AT233" s="18"/>
      <c r="AU233" s="18"/>
      <c r="AV233" s="18"/>
      <c r="AW233" s="20"/>
      <c r="AX233" s="20"/>
      <c r="AY233" s="30"/>
      <c r="AZ233" s="30"/>
      <c r="BA233" s="20"/>
      <c r="BB233" s="20"/>
      <c r="BC233" s="17"/>
      <c r="BD233" s="17"/>
      <c r="BE233" s="20"/>
      <c r="BF233" s="17"/>
      <c r="BG233" s="19"/>
      <c r="BH233" s="19"/>
      <c r="BI233" s="19"/>
      <c r="BJ233" s="19"/>
      <c r="BK233" s="19"/>
      <c r="BL233" s="19"/>
      <c r="BM233" s="19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</row>
    <row r="234" spans="1:78" ht="12" customHeight="1" x14ac:dyDescent="0.25">
      <c r="A234" s="26"/>
      <c r="B234" s="28"/>
      <c r="C234" s="28"/>
      <c r="D234" s="15" t="str">
        <f>IF(IF(ISNUMBER(B234),"",MAX(D$4:D233)+1)&lt;=D$3,IF(ISNUMBER(B234),"",MAX(D$4:D233)+1),"")</f>
        <v/>
      </c>
      <c r="E234" s="28"/>
      <c r="F234" s="28"/>
      <c r="G234" s="27"/>
      <c r="H234" s="15"/>
      <c r="I234" s="15" t="str">
        <f>IF(O234="","",IF(ISNUMBER(MATCH(O234,$G$5:$G$1000,0)),"",IF(D234=1,B$4,0)+MAX(I$4:I233)+1))</f>
        <v/>
      </c>
      <c r="J234" s="27"/>
      <c r="K234" s="27"/>
      <c r="L234" s="26"/>
      <c r="M234" s="14">
        <f>IF(ROW()-ROW(M$4)&lt;=1000,ROW()-ROW(M$4),"")</f>
        <v>230</v>
      </c>
      <c r="N234" s="29"/>
      <c r="O234" s="29"/>
      <c r="P234" s="17"/>
      <c r="Q234" s="16" t="s">
        <v>0</v>
      </c>
      <c r="R234" s="24"/>
      <c r="S234" s="24"/>
      <c r="T234" s="24"/>
      <c r="U234" s="24"/>
      <c r="V234" s="24"/>
      <c r="W234" s="24"/>
      <c r="X234" s="24"/>
      <c r="Y234" s="24"/>
      <c r="Z234" s="23"/>
      <c r="AA234" s="23"/>
      <c r="AB234" s="23"/>
      <c r="AC234" s="23"/>
      <c r="AD234" s="23"/>
      <c r="AE234" s="23"/>
      <c r="AF234" s="23"/>
      <c r="AG234" s="23"/>
      <c r="AH234" s="22"/>
      <c r="AI234" s="22"/>
      <c r="AJ234" s="22"/>
      <c r="AK234" s="22"/>
      <c r="AL234" s="22"/>
      <c r="AM234" s="22"/>
      <c r="AN234" s="22"/>
      <c r="AO234" s="16"/>
      <c r="AP234" s="21"/>
      <c r="AQ234" s="21"/>
      <c r="AR234" s="21"/>
      <c r="AS234" s="21"/>
      <c r="AT234" s="18"/>
      <c r="AU234" s="18"/>
      <c r="AV234" s="18"/>
      <c r="AW234" s="20"/>
      <c r="AX234" s="20"/>
      <c r="AY234" s="30"/>
      <c r="AZ234" s="30"/>
      <c r="BA234" s="20"/>
      <c r="BB234" s="20"/>
      <c r="BC234" s="17"/>
      <c r="BD234" s="17"/>
      <c r="BE234" s="20"/>
      <c r="BF234" s="17"/>
      <c r="BG234" s="19"/>
      <c r="BH234" s="19"/>
      <c r="BI234" s="19"/>
      <c r="BJ234" s="19"/>
      <c r="BK234" s="19"/>
      <c r="BL234" s="19"/>
      <c r="BM234" s="19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</row>
    <row r="235" spans="1:78" ht="12" customHeight="1" x14ac:dyDescent="0.25">
      <c r="A235" s="26"/>
      <c r="B235" s="28"/>
      <c r="C235" s="28"/>
      <c r="D235" s="15" t="str">
        <f>IF(IF(ISNUMBER(B235),"",MAX(D$4:D234)+1)&lt;=D$3,IF(ISNUMBER(B235),"",MAX(D$4:D234)+1),"")</f>
        <v/>
      </c>
      <c r="E235" s="28"/>
      <c r="F235" s="28"/>
      <c r="G235" s="27"/>
      <c r="H235" s="15"/>
      <c r="I235" s="15" t="str">
        <f>IF(O235="","",IF(ISNUMBER(MATCH(O235,$G$5:$G$1000,0)),"",IF(D235=1,B$4,0)+MAX(I$4:I234)+1))</f>
        <v/>
      </c>
      <c r="J235" s="27"/>
      <c r="K235" s="27"/>
      <c r="L235" s="26"/>
      <c r="M235" s="14">
        <f>IF(ROW()-ROW(M$4)&lt;=1000,ROW()-ROW(M$4),"")</f>
        <v>231</v>
      </c>
      <c r="N235" s="29"/>
      <c r="O235" s="29"/>
      <c r="P235" s="17"/>
      <c r="Q235" s="16" t="s">
        <v>0</v>
      </c>
      <c r="R235" s="24"/>
      <c r="S235" s="24"/>
      <c r="T235" s="24"/>
      <c r="U235" s="24"/>
      <c r="V235" s="24"/>
      <c r="W235" s="24"/>
      <c r="X235" s="24"/>
      <c r="Y235" s="24"/>
      <c r="Z235" s="23"/>
      <c r="AA235" s="23"/>
      <c r="AB235" s="23"/>
      <c r="AC235" s="23"/>
      <c r="AD235" s="23"/>
      <c r="AE235" s="23"/>
      <c r="AF235" s="23"/>
      <c r="AG235" s="23"/>
      <c r="AH235" s="22"/>
      <c r="AI235" s="22"/>
      <c r="AJ235" s="22"/>
      <c r="AK235" s="22"/>
      <c r="AL235" s="22"/>
      <c r="AM235" s="22"/>
      <c r="AN235" s="22"/>
      <c r="AO235" s="16"/>
      <c r="AP235" s="21"/>
      <c r="AQ235" s="21"/>
      <c r="AR235" s="21"/>
      <c r="AS235" s="21"/>
      <c r="AT235" s="18"/>
      <c r="AU235" s="18"/>
      <c r="AV235" s="18"/>
      <c r="AW235" s="20"/>
      <c r="AX235" s="20"/>
      <c r="AY235" s="30"/>
      <c r="AZ235" s="30"/>
      <c r="BA235" s="20"/>
      <c r="BB235" s="20"/>
      <c r="BC235" s="17"/>
      <c r="BD235" s="17"/>
      <c r="BE235" s="20"/>
      <c r="BF235" s="17"/>
      <c r="BG235" s="19"/>
      <c r="BH235" s="19"/>
      <c r="BI235" s="19"/>
      <c r="BJ235" s="19"/>
      <c r="BK235" s="19"/>
      <c r="BL235" s="19"/>
      <c r="BM235" s="19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</row>
    <row r="236" spans="1:78" ht="12" customHeight="1" x14ac:dyDescent="0.25">
      <c r="A236" s="26"/>
      <c r="B236" s="28"/>
      <c r="C236" s="28"/>
      <c r="D236" s="15" t="str">
        <f>IF(IF(ISNUMBER(B236),"",MAX(D$4:D235)+1)&lt;=D$3,IF(ISNUMBER(B236),"",MAX(D$4:D235)+1),"")</f>
        <v/>
      </c>
      <c r="E236" s="28"/>
      <c r="F236" s="28"/>
      <c r="G236" s="27"/>
      <c r="H236" s="15"/>
      <c r="I236" s="15" t="str">
        <f>IF(O236="","",IF(ISNUMBER(MATCH(O236,$G$5:$G$1000,0)),"",IF(D236=1,B$4,0)+MAX(I$4:I235)+1))</f>
        <v/>
      </c>
      <c r="J236" s="27"/>
      <c r="K236" s="27"/>
      <c r="L236" s="26"/>
      <c r="M236" s="14">
        <f>IF(ROW()-ROW(M$4)&lt;=1000,ROW()-ROW(M$4),"")</f>
        <v>232</v>
      </c>
      <c r="N236" s="29"/>
      <c r="O236" s="29"/>
      <c r="P236" s="17"/>
      <c r="Q236" s="16" t="s">
        <v>0</v>
      </c>
      <c r="R236" s="24"/>
      <c r="S236" s="24"/>
      <c r="T236" s="24"/>
      <c r="U236" s="24"/>
      <c r="V236" s="24"/>
      <c r="W236" s="24"/>
      <c r="X236" s="24"/>
      <c r="Y236" s="24"/>
      <c r="Z236" s="23"/>
      <c r="AA236" s="23"/>
      <c r="AB236" s="23"/>
      <c r="AC236" s="23"/>
      <c r="AD236" s="23"/>
      <c r="AE236" s="23"/>
      <c r="AF236" s="23"/>
      <c r="AG236" s="23"/>
      <c r="AH236" s="22"/>
      <c r="AI236" s="22"/>
      <c r="AJ236" s="22"/>
      <c r="AK236" s="22"/>
      <c r="AL236" s="22"/>
      <c r="AM236" s="22"/>
      <c r="AN236" s="22"/>
      <c r="AO236" s="16"/>
      <c r="AP236" s="21"/>
      <c r="AQ236" s="21"/>
      <c r="AR236" s="21"/>
      <c r="AS236" s="21"/>
      <c r="AT236" s="18"/>
      <c r="AU236" s="18"/>
      <c r="AV236" s="18"/>
      <c r="AW236" s="20"/>
      <c r="AX236" s="20"/>
      <c r="AY236" s="30"/>
      <c r="AZ236" s="30"/>
      <c r="BA236" s="20"/>
      <c r="BB236" s="20"/>
      <c r="BC236" s="17"/>
      <c r="BD236" s="17"/>
      <c r="BE236" s="20"/>
      <c r="BF236" s="17"/>
      <c r="BG236" s="19"/>
      <c r="BH236" s="19"/>
      <c r="BI236" s="19"/>
      <c r="BJ236" s="19"/>
      <c r="BK236" s="19"/>
      <c r="BL236" s="19"/>
      <c r="BM236" s="19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</row>
    <row r="237" spans="1:78" ht="12" customHeight="1" x14ac:dyDescent="0.25">
      <c r="A237" s="26"/>
      <c r="B237" s="28"/>
      <c r="C237" s="28"/>
      <c r="D237" s="15" t="str">
        <f>IF(IF(ISNUMBER(B237),"",MAX(D$4:D236)+1)&lt;=D$3,IF(ISNUMBER(B237),"",MAX(D$4:D236)+1),"")</f>
        <v/>
      </c>
      <c r="E237" s="28"/>
      <c r="F237" s="28"/>
      <c r="G237" s="27"/>
      <c r="H237" s="15"/>
      <c r="I237" s="15" t="str">
        <f>IF(O237="","",IF(ISNUMBER(MATCH(O237,$G$5:$G$1000,0)),"",IF(D237=1,B$4,0)+MAX(I$4:I236)+1))</f>
        <v/>
      </c>
      <c r="J237" s="27"/>
      <c r="K237" s="27"/>
      <c r="L237" s="26"/>
      <c r="M237" s="14">
        <f>IF(ROW()-ROW(M$4)&lt;=1000,ROW()-ROW(M$4),"")</f>
        <v>233</v>
      </c>
      <c r="N237" s="29"/>
      <c r="O237" s="29"/>
      <c r="P237" s="17"/>
      <c r="Q237" s="16" t="s">
        <v>0</v>
      </c>
      <c r="R237" s="24"/>
      <c r="S237" s="24"/>
      <c r="T237" s="24"/>
      <c r="U237" s="24"/>
      <c r="V237" s="24"/>
      <c r="W237" s="24"/>
      <c r="X237" s="24"/>
      <c r="Y237" s="24"/>
      <c r="Z237" s="23"/>
      <c r="AA237" s="23"/>
      <c r="AB237" s="23"/>
      <c r="AC237" s="23"/>
      <c r="AD237" s="23"/>
      <c r="AE237" s="23"/>
      <c r="AF237" s="23"/>
      <c r="AG237" s="23"/>
      <c r="AH237" s="22"/>
      <c r="AI237" s="22"/>
      <c r="AJ237" s="22"/>
      <c r="AK237" s="22"/>
      <c r="AL237" s="22"/>
      <c r="AM237" s="22"/>
      <c r="AN237" s="22"/>
      <c r="AO237" s="16"/>
      <c r="AP237" s="21"/>
      <c r="AQ237" s="21"/>
      <c r="AR237" s="21"/>
      <c r="AS237" s="21"/>
      <c r="AT237" s="18"/>
      <c r="AU237" s="18"/>
      <c r="AV237" s="18"/>
      <c r="AW237" s="20"/>
      <c r="AX237" s="20"/>
      <c r="AY237" s="30"/>
      <c r="AZ237" s="30"/>
      <c r="BA237" s="20"/>
      <c r="BB237" s="20"/>
      <c r="BC237" s="17"/>
      <c r="BD237" s="17"/>
      <c r="BE237" s="20"/>
      <c r="BF237" s="17"/>
      <c r="BG237" s="19"/>
      <c r="BH237" s="19"/>
      <c r="BI237" s="19"/>
      <c r="BJ237" s="19"/>
      <c r="BK237" s="19"/>
      <c r="BL237" s="19"/>
      <c r="BM237" s="19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</row>
    <row r="238" spans="1:78" ht="12" customHeight="1" x14ac:dyDescent="0.25">
      <c r="A238" s="26"/>
      <c r="B238" s="28"/>
      <c r="C238" s="28"/>
      <c r="D238" s="15" t="str">
        <f>IF(IF(ISNUMBER(B238),"",MAX(D$4:D237)+1)&lt;=D$3,IF(ISNUMBER(B238),"",MAX(D$4:D237)+1),"")</f>
        <v/>
      </c>
      <c r="E238" s="28"/>
      <c r="F238" s="28"/>
      <c r="G238" s="27"/>
      <c r="H238" s="15"/>
      <c r="I238" s="15" t="str">
        <f>IF(O238="","",IF(ISNUMBER(MATCH(O238,$G$5:$G$1000,0)),"",IF(D238=1,B$4,0)+MAX(I$4:I237)+1))</f>
        <v/>
      </c>
      <c r="J238" s="27"/>
      <c r="K238" s="27"/>
      <c r="L238" s="26"/>
      <c r="M238" s="14">
        <f>IF(ROW()-ROW(M$4)&lt;=1000,ROW()-ROW(M$4),"")</f>
        <v>234</v>
      </c>
      <c r="N238" s="29"/>
      <c r="O238" s="29"/>
      <c r="P238" s="17"/>
      <c r="Q238" s="16" t="s">
        <v>0</v>
      </c>
      <c r="R238" s="24"/>
      <c r="S238" s="24"/>
      <c r="T238" s="24"/>
      <c r="U238" s="24"/>
      <c r="V238" s="24"/>
      <c r="W238" s="24"/>
      <c r="X238" s="24"/>
      <c r="Y238" s="24"/>
      <c r="Z238" s="23"/>
      <c r="AA238" s="23"/>
      <c r="AB238" s="23"/>
      <c r="AC238" s="23"/>
      <c r="AD238" s="23"/>
      <c r="AE238" s="23"/>
      <c r="AF238" s="23"/>
      <c r="AG238" s="23"/>
      <c r="AH238" s="22"/>
      <c r="AI238" s="22"/>
      <c r="AJ238" s="22"/>
      <c r="AK238" s="22"/>
      <c r="AL238" s="22"/>
      <c r="AM238" s="22"/>
      <c r="AN238" s="22"/>
      <c r="AO238" s="16"/>
      <c r="AP238" s="21"/>
      <c r="AQ238" s="21"/>
      <c r="AR238" s="21"/>
      <c r="AS238" s="21"/>
      <c r="AT238" s="18"/>
      <c r="AU238" s="18"/>
      <c r="AV238" s="18"/>
      <c r="AW238" s="20"/>
      <c r="AX238" s="20"/>
      <c r="AY238" s="30"/>
      <c r="AZ238" s="30"/>
      <c r="BA238" s="20"/>
      <c r="BB238" s="20"/>
      <c r="BC238" s="17"/>
      <c r="BD238" s="17"/>
      <c r="BE238" s="20"/>
      <c r="BF238" s="17"/>
      <c r="BG238" s="19"/>
      <c r="BH238" s="19"/>
      <c r="BI238" s="19"/>
      <c r="BJ238" s="19"/>
      <c r="BK238" s="19"/>
      <c r="BL238" s="19"/>
      <c r="BM238" s="19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</row>
    <row r="239" spans="1:78" ht="12" customHeight="1" x14ac:dyDescent="0.25">
      <c r="A239" s="26"/>
      <c r="B239" s="28"/>
      <c r="C239" s="28"/>
      <c r="D239" s="15" t="str">
        <f>IF(IF(ISNUMBER(B239),"",MAX(D$4:D238)+1)&lt;=D$3,IF(ISNUMBER(B239),"",MAX(D$4:D238)+1),"")</f>
        <v/>
      </c>
      <c r="E239" s="28"/>
      <c r="F239" s="28"/>
      <c r="G239" s="27"/>
      <c r="H239" s="15"/>
      <c r="I239" s="15" t="str">
        <f>IF(O239="","",IF(ISNUMBER(MATCH(O239,$G$5:$G$1000,0)),"",IF(D239=1,B$4,0)+MAX(I$4:I238)+1))</f>
        <v/>
      </c>
      <c r="J239" s="27"/>
      <c r="K239" s="27"/>
      <c r="L239" s="26"/>
      <c r="M239" s="14">
        <f>IF(ROW()-ROW(M$4)&lt;=1000,ROW()-ROW(M$4),"")</f>
        <v>235</v>
      </c>
      <c r="N239" s="29"/>
      <c r="O239" s="29"/>
      <c r="P239" s="17"/>
      <c r="Q239" s="16" t="s">
        <v>0</v>
      </c>
      <c r="R239" s="24"/>
      <c r="S239" s="24"/>
      <c r="T239" s="24"/>
      <c r="U239" s="24"/>
      <c r="V239" s="24"/>
      <c r="W239" s="24"/>
      <c r="X239" s="24"/>
      <c r="Y239" s="24"/>
      <c r="Z239" s="23"/>
      <c r="AA239" s="23"/>
      <c r="AB239" s="23"/>
      <c r="AC239" s="23"/>
      <c r="AD239" s="23"/>
      <c r="AE239" s="23"/>
      <c r="AF239" s="23"/>
      <c r="AG239" s="23"/>
      <c r="AH239" s="22"/>
      <c r="AI239" s="22"/>
      <c r="AJ239" s="22"/>
      <c r="AK239" s="22"/>
      <c r="AL239" s="22"/>
      <c r="AM239" s="22"/>
      <c r="AN239" s="22"/>
      <c r="AO239" s="16"/>
      <c r="AP239" s="21"/>
      <c r="AQ239" s="21"/>
      <c r="AR239" s="21"/>
      <c r="AS239" s="21"/>
      <c r="AT239" s="18"/>
      <c r="AU239" s="18"/>
      <c r="AV239" s="18"/>
      <c r="AW239" s="20"/>
      <c r="AX239" s="20"/>
      <c r="AY239" s="30"/>
      <c r="AZ239" s="30"/>
      <c r="BA239" s="20"/>
      <c r="BB239" s="20"/>
      <c r="BC239" s="17"/>
      <c r="BD239" s="17"/>
      <c r="BE239" s="20"/>
      <c r="BF239" s="17"/>
      <c r="BG239" s="19"/>
      <c r="BH239" s="19"/>
      <c r="BI239" s="19"/>
      <c r="BJ239" s="19"/>
      <c r="BK239" s="19"/>
      <c r="BL239" s="19"/>
      <c r="BM239" s="19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</row>
    <row r="240" spans="1:78" ht="12" customHeight="1" x14ac:dyDescent="0.25">
      <c r="A240" s="26"/>
      <c r="B240" s="28"/>
      <c r="C240" s="28"/>
      <c r="D240" s="15" t="str">
        <f>IF(IF(ISNUMBER(B240),"",MAX(D$4:D239)+1)&lt;=D$3,IF(ISNUMBER(B240),"",MAX(D$4:D239)+1),"")</f>
        <v/>
      </c>
      <c r="E240" s="28"/>
      <c r="F240" s="28"/>
      <c r="G240" s="27"/>
      <c r="H240" s="15"/>
      <c r="I240" s="15" t="str">
        <f>IF(O240="","",IF(ISNUMBER(MATCH(O240,$G$5:$G$1000,0)),"",IF(D240=1,B$4,0)+MAX(I$4:I239)+1))</f>
        <v/>
      </c>
      <c r="J240" s="27"/>
      <c r="K240" s="27"/>
      <c r="L240" s="26"/>
      <c r="M240" s="14">
        <f>IF(ROW()-ROW(M$4)&lt;=1000,ROW()-ROW(M$4),"")</f>
        <v>236</v>
      </c>
      <c r="N240" s="29"/>
      <c r="O240" s="29"/>
      <c r="P240" s="17"/>
      <c r="Q240" s="16" t="s">
        <v>0</v>
      </c>
      <c r="R240" s="24"/>
      <c r="S240" s="24"/>
      <c r="T240" s="24"/>
      <c r="U240" s="24"/>
      <c r="V240" s="24"/>
      <c r="W240" s="24"/>
      <c r="X240" s="24"/>
      <c r="Y240" s="24"/>
      <c r="Z240" s="23"/>
      <c r="AA240" s="23"/>
      <c r="AB240" s="23"/>
      <c r="AC240" s="23"/>
      <c r="AD240" s="23"/>
      <c r="AE240" s="23"/>
      <c r="AF240" s="23"/>
      <c r="AG240" s="23"/>
      <c r="AH240" s="22"/>
      <c r="AI240" s="22"/>
      <c r="AJ240" s="22"/>
      <c r="AK240" s="22"/>
      <c r="AL240" s="22"/>
      <c r="AM240" s="22"/>
      <c r="AN240" s="22"/>
      <c r="AO240" s="16"/>
      <c r="AP240" s="21"/>
      <c r="AQ240" s="21"/>
      <c r="AR240" s="21"/>
      <c r="AS240" s="21"/>
      <c r="AT240" s="18"/>
      <c r="AU240" s="18"/>
      <c r="AV240" s="18"/>
      <c r="AW240" s="20"/>
      <c r="AX240" s="20"/>
      <c r="AY240" s="30"/>
      <c r="AZ240" s="30"/>
      <c r="BA240" s="20"/>
      <c r="BB240" s="20"/>
      <c r="BC240" s="17"/>
      <c r="BD240" s="17"/>
      <c r="BE240" s="20"/>
      <c r="BF240" s="17"/>
      <c r="BG240" s="19"/>
      <c r="BH240" s="19"/>
      <c r="BI240" s="19"/>
      <c r="BJ240" s="19"/>
      <c r="BK240" s="19"/>
      <c r="BL240" s="19"/>
      <c r="BM240" s="19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</row>
    <row r="241" spans="1:78" ht="12" customHeight="1" x14ac:dyDescent="0.25">
      <c r="A241" s="26"/>
      <c r="B241" s="28"/>
      <c r="C241" s="28"/>
      <c r="D241" s="15" t="str">
        <f>IF(IF(ISNUMBER(B241),"",MAX(D$4:D240)+1)&lt;=D$3,IF(ISNUMBER(B241),"",MAX(D$4:D240)+1),"")</f>
        <v/>
      </c>
      <c r="E241" s="28"/>
      <c r="F241" s="28"/>
      <c r="G241" s="27"/>
      <c r="H241" s="15"/>
      <c r="I241" s="15" t="str">
        <f>IF(O241="","",IF(ISNUMBER(MATCH(O241,$G$5:$G$1000,0)),"",IF(D241=1,B$4,0)+MAX(I$4:I240)+1))</f>
        <v/>
      </c>
      <c r="J241" s="27"/>
      <c r="K241" s="27"/>
      <c r="L241" s="26"/>
      <c r="M241" s="14">
        <f>IF(ROW()-ROW(M$4)&lt;=1000,ROW()-ROW(M$4),"")</f>
        <v>237</v>
      </c>
      <c r="N241" s="29"/>
      <c r="O241" s="29"/>
      <c r="P241" s="17"/>
      <c r="Q241" s="16" t="s">
        <v>0</v>
      </c>
      <c r="R241" s="24"/>
      <c r="S241" s="24"/>
      <c r="T241" s="24"/>
      <c r="U241" s="24"/>
      <c r="V241" s="24"/>
      <c r="W241" s="24"/>
      <c r="X241" s="24"/>
      <c r="Y241" s="24"/>
      <c r="Z241" s="23"/>
      <c r="AA241" s="23"/>
      <c r="AB241" s="23"/>
      <c r="AC241" s="23"/>
      <c r="AD241" s="23"/>
      <c r="AE241" s="23"/>
      <c r="AF241" s="23"/>
      <c r="AG241" s="23"/>
      <c r="AH241" s="22"/>
      <c r="AI241" s="22"/>
      <c r="AJ241" s="22"/>
      <c r="AK241" s="22"/>
      <c r="AL241" s="22"/>
      <c r="AM241" s="22"/>
      <c r="AN241" s="22"/>
      <c r="AO241" s="16"/>
      <c r="AP241" s="21"/>
      <c r="AQ241" s="21"/>
      <c r="AR241" s="21"/>
      <c r="AS241" s="21"/>
      <c r="AT241" s="18"/>
      <c r="AU241" s="18"/>
      <c r="AV241" s="18"/>
      <c r="AW241" s="20"/>
      <c r="AX241" s="20"/>
      <c r="AY241" s="30"/>
      <c r="AZ241" s="30"/>
      <c r="BA241" s="20"/>
      <c r="BB241" s="20"/>
      <c r="BC241" s="17"/>
      <c r="BD241" s="17"/>
      <c r="BE241" s="20"/>
      <c r="BF241" s="17"/>
      <c r="BG241" s="19"/>
      <c r="BH241" s="19"/>
      <c r="BI241" s="19"/>
      <c r="BJ241" s="19"/>
      <c r="BK241" s="19"/>
      <c r="BL241" s="19"/>
      <c r="BM241" s="19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</row>
    <row r="242" spans="1:78" ht="12" customHeight="1" x14ac:dyDescent="0.25">
      <c r="A242" s="26"/>
      <c r="B242" s="28"/>
      <c r="C242" s="28"/>
      <c r="D242" s="15" t="str">
        <f>IF(IF(ISNUMBER(B242),"",MAX(D$4:D241)+1)&lt;=D$3,IF(ISNUMBER(B242),"",MAX(D$4:D241)+1),"")</f>
        <v/>
      </c>
      <c r="E242" s="28"/>
      <c r="F242" s="28"/>
      <c r="G242" s="27"/>
      <c r="H242" s="15"/>
      <c r="I242" s="15" t="str">
        <f>IF(O242="","",IF(ISNUMBER(MATCH(O242,$G$5:$G$1000,0)),"",IF(D242=1,B$4,0)+MAX(I$4:I241)+1))</f>
        <v/>
      </c>
      <c r="J242" s="27"/>
      <c r="K242" s="27"/>
      <c r="L242" s="26"/>
      <c r="M242" s="14">
        <f>IF(ROW()-ROW(M$4)&lt;=1000,ROW()-ROW(M$4),"")</f>
        <v>238</v>
      </c>
      <c r="N242" s="29"/>
      <c r="O242" s="29"/>
      <c r="P242" s="17"/>
      <c r="Q242" s="16" t="s">
        <v>0</v>
      </c>
      <c r="R242" s="24"/>
      <c r="S242" s="24"/>
      <c r="T242" s="24"/>
      <c r="U242" s="24"/>
      <c r="V242" s="24"/>
      <c r="W242" s="24"/>
      <c r="X242" s="24"/>
      <c r="Y242" s="24"/>
      <c r="Z242" s="23"/>
      <c r="AA242" s="23"/>
      <c r="AB242" s="23"/>
      <c r="AC242" s="23"/>
      <c r="AD242" s="23"/>
      <c r="AE242" s="23"/>
      <c r="AF242" s="23"/>
      <c r="AG242" s="23"/>
      <c r="AH242" s="22"/>
      <c r="AI242" s="22"/>
      <c r="AJ242" s="22"/>
      <c r="AK242" s="22"/>
      <c r="AL242" s="22"/>
      <c r="AM242" s="22"/>
      <c r="AN242" s="22"/>
      <c r="AO242" s="16"/>
      <c r="AP242" s="21"/>
      <c r="AQ242" s="21"/>
      <c r="AR242" s="21"/>
      <c r="AS242" s="21"/>
      <c r="AT242" s="18"/>
      <c r="AU242" s="18"/>
      <c r="AV242" s="18"/>
      <c r="AW242" s="20"/>
      <c r="AX242" s="20"/>
      <c r="AY242" s="30"/>
      <c r="AZ242" s="30"/>
      <c r="BA242" s="20"/>
      <c r="BB242" s="20"/>
      <c r="BC242" s="17"/>
      <c r="BD242" s="17"/>
      <c r="BE242" s="20"/>
      <c r="BF242" s="17"/>
      <c r="BG242" s="19"/>
      <c r="BH242" s="19"/>
      <c r="BI242" s="19"/>
      <c r="BJ242" s="19"/>
      <c r="BK242" s="19"/>
      <c r="BL242" s="19"/>
      <c r="BM242" s="19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</row>
    <row r="243" spans="1:78" ht="12" customHeight="1" x14ac:dyDescent="0.25">
      <c r="A243" s="26"/>
      <c r="B243" s="28"/>
      <c r="C243" s="28"/>
      <c r="D243" s="15" t="str">
        <f>IF(IF(ISNUMBER(B243),"",MAX(D$4:D242)+1)&lt;=D$3,IF(ISNUMBER(B243),"",MAX(D$4:D242)+1),"")</f>
        <v/>
      </c>
      <c r="E243" s="28"/>
      <c r="F243" s="28"/>
      <c r="G243" s="27"/>
      <c r="H243" s="15"/>
      <c r="I243" s="15" t="str">
        <f>IF(O243="","",IF(ISNUMBER(MATCH(O243,$G$5:$G$1000,0)),"",IF(D243=1,B$4,0)+MAX(I$4:I242)+1))</f>
        <v/>
      </c>
      <c r="J243" s="27"/>
      <c r="K243" s="27"/>
      <c r="L243" s="26"/>
      <c r="M243" s="14">
        <f>IF(ROW()-ROW(M$4)&lt;=1000,ROW()-ROW(M$4),"")</f>
        <v>239</v>
      </c>
      <c r="N243" s="29"/>
      <c r="O243" s="29"/>
      <c r="P243" s="17"/>
      <c r="Q243" s="16" t="s">
        <v>0</v>
      </c>
      <c r="R243" s="24"/>
      <c r="S243" s="24"/>
      <c r="T243" s="24"/>
      <c r="U243" s="24"/>
      <c r="V243" s="24"/>
      <c r="W243" s="24"/>
      <c r="X243" s="24"/>
      <c r="Y243" s="24"/>
      <c r="Z243" s="23"/>
      <c r="AA243" s="23"/>
      <c r="AB243" s="23"/>
      <c r="AC243" s="23"/>
      <c r="AD243" s="23"/>
      <c r="AE243" s="23"/>
      <c r="AF243" s="23"/>
      <c r="AG243" s="23"/>
      <c r="AH243" s="22"/>
      <c r="AI243" s="22"/>
      <c r="AJ243" s="22"/>
      <c r="AK243" s="22"/>
      <c r="AL243" s="22"/>
      <c r="AM243" s="22"/>
      <c r="AN243" s="22"/>
      <c r="AO243" s="16"/>
      <c r="AP243" s="21"/>
      <c r="AQ243" s="21"/>
      <c r="AR243" s="21"/>
      <c r="AS243" s="21"/>
      <c r="AT243" s="18"/>
      <c r="AU243" s="18"/>
      <c r="AV243" s="18"/>
      <c r="AW243" s="20"/>
      <c r="AX243" s="20"/>
      <c r="AY243" s="30"/>
      <c r="AZ243" s="30"/>
      <c r="BA243" s="20"/>
      <c r="BB243" s="20"/>
      <c r="BC243" s="17"/>
      <c r="BD243" s="17"/>
      <c r="BE243" s="20"/>
      <c r="BF243" s="17"/>
      <c r="BG243" s="19"/>
      <c r="BH243" s="19"/>
      <c r="BI243" s="19"/>
      <c r="BJ243" s="19"/>
      <c r="BK243" s="19"/>
      <c r="BL243" s="19"/>
      <c r="BM243" s="19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</row>
    <row r="244" spans="1:78" ht="12" customHeight="1" x14ac:dyDescent="0.25">
      <c r="A244" s="26"/>
      <c r="B244" s="28"/>
      <c r="C244" s="28"/>
      <c r="D244" s="15" t="str">
        <f>IF(IF(ISNUMBER(B244),"",MAX(D$4:D243)+1)&lt;=D$3,IF(ISNUMBER(B244),"",MAX(D$4:D243)+1),"")</f>
        <v/>
      </c>
      <c r="E244" s="28"/>
      <c r="F244" s="28"/>
      <c r="G244" s="27"/>
      <c r="H244" s="15"/>
      <c r="I244" s="15" t="str">
        <f>IF(O244="","",IF(ISNUMBER(MATCH(O244,$G$5:$G$1000,0)),"",IF(D244=1,B$4,0)+MAX(I$4:I243)+1))</f>
        <v/>
      </c>
      <c r="J244" s="27"/>
      <c r="K244" s="27"/>
      <c r="L244" s="26"/>
      <c r="M244" s="14">
        <f>IF(ROW()-ROW(M$4)&lt;=1000,ROW()-ROW(M$4),"")</f>
        <v>240</v>
      </c>
      <c r="N244" s="29"/>
      <c r="O244" s="29"/>
      <c r="P244" s="17"/>
      <c r="Q244" s="16" t="s">
        <v>0</v>
      </c>
      <c r="R244" s="24"/>
      <c r="S244" s="24"/>
      <c r="T244" s="24"/>
      <c r="U244" s="24"/>
      <c r="V244" s="24"/>
      <c r="W244" s="24"/>
      <c r="X244" s="24"/>
      <c r="Y244" s="24"/>
      <c r="Z244" s="23"/>
      <c r="AA244" s="23"/>
      <c r="AB244" s="23"/>
      <c r="AC244" s="23"/>
      <c r="AD244" s="23"/>
      <c r="AE244" s="23"/>
      <c r="AF244" s="23"/>
      <c r="AG244" s="23"/>
      <c r="AH244" s="22"/>
      <c r="AI244" s="22"/>
      <c r="AJ244" s="22"/>
      <c r="AK244" s="22"/>
      <c r="AL244" s="22"/>
      <c r="AM244" s="22"/>
      <c r="AN244" s="22"/>
      <c r="AO244" s="16"/>
      <c r="AP244" s="21"/>
      <c r="AQ244" s="21"/>
      <c r="AR244" s="21"/>
      <c r="AS244" s="21"/>
      <c r="AT244" s="18"/>
      <c r="AU244" s="18"/>
      <c r="AV244" s="18"/>
      <c r="AW244" s="20"/>
      <c r="AX244" s="20"/>
      <c r="AY244" s="30"/>
      <c r="AZ244" s="30"/>
      <c r="BA244" s="20"/>
      <c r="BB244" s="20"/>
      <c r="BC244" s="17"/>
      <c r="BD244" s="17"/>
      <c r="BE244" s="20"/>
      <c r="BF244" s="17"/>
      <c r="BG244" s="19"/>
      <c r="BH244" s="19"/>
      <c r="BI244" s="19"/>
      <c r="BJ244" s="19"/>
      <c r="BK244" s="19"/>
      <c r="BL244" s="19"/>
      <c r="BM244" s="19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</row>
    <row r="245" spans="1:78" ht="12" customHeight="1" x14ac:dyDescent="0.25">
      <c r="A245" s="26"/>
      <c r="B245" s="28"/>
      <c r="C245" s="28"/>
      <c r="D245" s="15" t="str">
        <f>IF(IF(ISNUMBER(B245),"",MAX(D$4:D244)+1)&lt;=D$3,IF(ISNUMBER(B245),"",MAX(D$4:D244)+1),"")</f>
        <v/>
      </c>
      <c r="E245" s="28"/>
      <c r="F245" s="28"/>
      <c r="G245" s="27"/>
      <c r="H245" s="15"/>
      <c r="I245" s="15" t="str">
        <f>IF(O245="","",IF(ISNUMBER(MATCH(O245,$G$5:$G$1000,0)),"",IF(D245=1,B$4,0)+MAX(I$4:I244)+1))</f>
        <v/>
      </c>
      <c r="J245" s="27"/>
      <c r="K245" s="27"/>
      <c r="L245" s="26"/>
      <c r="M245" s="14">
        <f>IF(ROW()-ROW(M$4)&lt;=1000,ROW()-ROW(M$4),"")</f>
        <v>241</v>
      </c>
      <c r="N245" s="29"/>
      <c r="O245" s="29"/>
      <c r="P245" s="17"/>
      <c r="Q245" s="16" t="s">
        <v>0</v>
      </c>
      <c r="R245" s="24"/>
      <c r="S245" s="24"/>
      <c r="T245" s="24"/>
      <c r="U245" s="24"/>
      <c r="V245" s="24"/>
      <c r="W245" s="24"/>
      <c r="X245" s="24"/>
      <c r="Y245" s="24"/>
      <c r="Z245" s="23"/>
      <c r="AA245" s="23"/>
      <c r="AB245" s="23"/>
      <c r="AC245" s="23"/>
      <c r="AD245" s="23"/>
      <c r="AE245" s="23"/>
      <c r="AF245" s="23"/>
      <c r="AG245" s="23"/>
      <c r="AH245" s="22"/>
      <c r="AI245" s="22"/>
      <c r="AJ245" s="22"/>
      <c r="AK245" s="22"/>
      <c r="AL245" s="22"/>
      <c r="AM245" s="22"/>
      <c r="AN245" s="22"/>
      <c r="AO245" s="16"/>
      <c r="AP245" s="21"/>
      <c r="AQ245" s="21"/>
      <c r="AR245" s="21"/>
      <c r="AS245" s="21"/>
      <c r="AT245" s="18"/>
      <c r="AU245" s="18"/>
      <c r="AV245" s="18"/>
      <c r="AW245" s="20"/>
      <c r="AX245" s="20"/>
      <c r="AY245" s="30"/>
      <c r="AZ245" s="30"/>
      <c r="BA245" s="20"/>
      <c r="BB245" s="20"/>
      <c r="BC245" s="17"/>
      <c r="BD245" s="17"/>
      <c r="BE245" s="20"/>
      <c r="BF245" s="17"/>
      <c r="BG245" s="19"/>
      <c r="BH245" s="19"/>
      <c r="BI245" s="19"/>
      <c r="BJ245" s="19"/>
      <c r="BK245" s="19"/>
      <c r="BL245" s="19"/>
      <c r="BM245" s="19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</row>
    <row r="246" spans="1:78" ht="12" customHeight="1" x14ac:dyDescent="0.25">
      <c r="A246" s="26"/>
      <c r="B246" s="28"/>
      <c r="C246" s="28"/>
      <c r="D246" s="15" t="str">
        <f>IF(IF(ISNUMBER(B246),"",MAX(D$4:D245)+1)&lt;=D$3,IF(ISNUMBER(B246),"",MAX(D$4:D245)+1),"")</f>
        <v/>
      </c>
      <c r="E246" s="28"/>
      <c r="F246" s="28"/>
      <c r="G246" s="27"/>
      <c r="H246" s="15"/>
      <c r="I246" s="15" t="str">
        <f>IF(O246="","",IF(ISNUMBER(MATCH(O246,$G$5:$G$1000,0)),"",IF(D246=1,B$4,0)+MAX(I$4:I245)+1))</f>
        <v/>
      </c>
      <c r="J246" s="27"/>
      <c r="K246" s="27"/>
      <c r="L246" s="26"/>
      <c r="M246" s="14">
        <f>IF(ROW()-ROW(M$4)&lt;=1000,ROW()-ROW(M$4),"")</f>
        <v>242</v>
      </c>
      <c r="N246" s="29"/>
      <c r="O246" s="29"/>
      <c r="P246" s="17"/>
      <c r="Q246" s="16" t="s">
        <v>0</v>
      </c>
      <c r="R246" s="24"/>
      <c r="S246" s="24"/>
      <c r="T246" s="24"/>
      <c r="U246" s="24"/>
      <c r="V246" s="24"/>
      <c r="W246" s="24"/>
      <c r="X246" s="24"/>
      <c r="Y246" s="24"/>
      <c r="Z246" s="23"/>
      <c r="AA246" s="23"/>
      <c r="AB246" s="23"/>
      <c r="AC246" s="23"/>
      <c r="AD246" s="23"/>
      <c r="AE246" s="23"/>
      <c r="AF246" s="23"/>
      <c r="AG246" s="23"/>
      <c r="AH246" s="22"/>
      <c r="AI246" s="22"/>
      <c r="AJ246" s="22"/>
      <c r="AK246" s="22"/>
      <c r="AL246" s="22"/>
      <c r="AM246" s="22"/>
      <c r="AN246" s="22"/>
      <c r="AO246" s="16"/>
      <c r="AP246" s="21"/>
      <c r="AQ246" s="21"/>
      <c r="AR246" s="21"/>
      <c r="AS246" s="21"/>
      <c r="AT246" s="18"/>
      <c r="AU246" s="18"/>
      <c r="AV246" s="18"/>
      <c r="AW246" s="20"/>
      <c r="AX246" s="20"/>
      <c r="AY246" s="30"/>
      <c r="AZ246" s="30"/>
      <c r="BA246" s="20"/>
      <c r="BB246" s="20"/>
      <c r="BC246" s="17"/>
      <c r="BD246" s="17"/>
      <c r="BE246" s="20"/>
      <c r="BF246" s="17"/>
      <c r="BG246" s="19"/>
      <c r="BH246" s="19"/>
      <c r="BI246" s="19"/>
      <c r="BJ246" s="19"/>
      <c r="BK246" s="19"/>
      <c r="BL246" s="19"/>
      <c r="BM246" s="19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</row>
    <row r="247" spans="1:78" ht="12" customHeight="1" x14ac:dyDescent="0.25">
      <c r="A247" s="26"/>
      <c r="B247" s="28"/>
      <c r="C247" s="28"/>
      <c r="D247" s="15" t="str">
        <f>IF(IF(ISNUMBER(B247),"",MAX(D$4:D246)+1)&lt;=D$3,IF(ISNUMBER(B247),"",MAX(D$4:D246)+1),"")</f>
        <v/>
      </c>
      <c r="E247" s="28"/>
      <c r="F247" s="28"/>
      <c r="G247" s="27"/>
      <c r="H247" s="15"/>
      <c r="I247" s="15" t="str">
        <f>IF(O247="","",IF(ISNUMBER(MATCH(O247,$G$5:$G$1000,0)),"",IF(D247=1,B$4,0)+MAX(I$4:I246)+1))</f>
        <v/>
      </c>
      <c r="J247" s="27"/>
      <c r="K247" s="27"/>
      <c r="L247" s="26"/>
      <c r="M247" s="14">
        <f>IF(ROW()-ROW(M$4)&lt;=1000,ROW()-ROW(M$4),"")</f>
        <v>243</v>
      </c>
      <c r="N247" s="29"/>
      <c r="O247" s="29"/>
      <c r="P247" s="17"/>
      <c r="Q247" s="16" t="s">
        <v>0</v>
      </c>
      <c r="R247" s="24"/>
      <c r="S247" s="24"/>
      <c r="T247" s="24"/>
      <c r="U247" s="24"/>
      <c r="V247" s="24"/>
      <c r="W247" s="24"/>
      <c r="X247" s="24"/>
      <c r="Y247" s="24"/>
      <c r="Z247" s="23"/>
      <c r="AA247" s="23"/>
      <c r="AB247" s="23"/>
      <c r="AC247" s="23"/>
      <c r="AD247" s="23"/>
      <c r="AE247" s="23"/>
      <c r="AF247" s="23"/>
      <c r="AG247" s="23"/>
      <c r="AH247" s="22"/>
      <c r="AI247" s="22"/>
      <c r="AJ247" s="22"/>
      <c r="AK247" s="22"/>
      <c r="AL247" s="22"/>
      <c r="AM247" s="22"/>
      <c r="AN247" s="22"/>
      <c r="AO247" s="16"/>
      <c r="AP247" s="21"/>
      <c r="AQ247" s="21"/>
      <c r="AR247" s="21"/>
      <c r="AS247" s="21"/>
      <c r="AT247" s="18"/>
      <c r="AU247" s="18"/>
      <c r="AV247" s="18"/>
      <c r="AW247" s="20"/>
      <c r="AX247" s="20"/>
      <c r="AY247" s="30"/>
      <c r="AZ247" s="30"/>
      <c r="BA247" s="20"/>
      <c r="BB247" s="20"/>
      <c r="BC247" s="17"/>
      <c r="BD247" s="17"/>
      <c r="BE247" s="20"/>
      <c r="BF247" s="17"/>
      <c r="BG247" s="19"/>
      <c r="BH247" s="19"/>
      <c r="BI247" s="19"/>
      <c r="BJ247" s="19"/>
      <c r="BK247" s="19"/>
      <c r="BL247" s="19"/>
      <c r="BM247" s="19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</row>
    <row r="248" spans="1:78" ht="12" customHeight="1" x14ac:dyDescent="0.25">
      <c r="A248" s="26"/>
      <c r="B248" s="28"/>
      <c r="C248" s="28"/>
      <c r="D248" s="15" t="str">
        <f>IF(IF(ISNUMBER(B248),"",MAX(D$4:D247)+1)&lt;=D$3,IF(ISNUMBER(B248),"",MAX(D$4:D247)+1),"")</f>
        <v/>
      </c>
      <c r="E248" s="28"/>
      <c r="F248" s="28"/>
      <c r="G248" s="27"/>
      <c r="H248" s="15"/>
      <c r="I248" s="15" t="str">
        <f>IF(O248="","",IF(ISNUMBER(MATCH(O248,$G$5:$G$1000,0)),"",IF(D248=1,B$4,0)+MAX(I$4:I247)+1))</f>
        <v/>
      </c>
      <c r="J248" s="27"/>
      <c r="K248" s="27"/>
      <c r="L248" s="26"/>
      <c r="M248" s="14">
        <f>IF(ROW()-ROW(M$4)&lt;=1000,ROW()-ROW(M$4),"")</f>
        <v>244</v>
      </c>
      <c r="N248" s="29"/>
      <c r="O248" s="29"/>
      <c r="P248" s="17"/>
      <c r="Q248" s="16" t="s">
        <v>0</v>
      </c>
      <c r="R248" s="24"/>
      <c r="S248" s="24"/>
      <c r="T248" s="24"/>
      <c r="U248" s="24"/>
      <c r="V248" s="24"/>
      <c r="W248" s="24"/>
      <c r="X248" s="24"/>
      <c r="Y248" s="24"/>
      <c r="Z248" s="23"/>
      <c r="AA248" s="23"/>
      <c r="AB248" s="23"/>
      <c r="AC248" s="23"/>
      <c r="AD248" s="23"/>
      <c r="AE248" s="23"/>
      <c r="AF248" s="23"/>
      <c r="AG248" s="23"/>
      <c r="AH248" s="22"/>
      <c r="AI248" s="22"/>
      <c r="AJ248" s="22"/>
      <c r="AK248" s="22"/>
      <c r="AL248" s="22"/>
      <c r="AM248" s="22"/>
      <c r="AN248" s="22"/>
      <c r="AO248" s="16"/>
      <c r="AP248" s="21"/>
      <c r="AQ248" s="21"/>
      <c r="AR248" s="21"/>
      <c r="AS248" s="21"/>
      <c r="AT248" s="18"/>
      <c r="AU248" s="18"/>
      <c r="AV248" s="18"/>
      <c r="AW248" s="20"/>
      <c r="AX248" s="20"/>
      <c r="AY248" s="30"/>
      <c r="AZ248" s="30"/>
      <c r="BA248" s="20"/>
      <c r="BB248" s="20"/>
      <c r="BC248" s="17"/>
      <c r="BD248" s="17"/>
      <c r="BE248" s="20"/>
      <c r="BF248" s="17"/>
      <c r="BG248" s="19"/>
      <c r="BH248" s="19"/>
      <c r="BI248" s="19"/>
      <c r="BJ248" s="19"/>
      <c r="BK248" s="19"/>
      <c r="BL248" s="19"/>
      <c r="BM248" s="19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</row>
    <row r="249" spans="1:78" ht="12" customHeight="1" x14ac:dyDescent="0.25">
      <c r="A249" s="26"/>
      <c r="B249" s="28"/>
      <c r="C249" s="28"/>
      <c r="D249" s="15" t="str">
        <f>IF(IF(ISNUMBER(B249),"",MAX(D$4:D248)+1)&lt;=D$3,IF(ISNUMBER(B249),"",MAX(D$4:D248)+1),"")</f>
        <v/>
      </c>
      <c r="E249" s="28"/>
      <c r="F249" s="28"/>
      <c r="G249" s="27"/>
      <c r="H249" s="15"/>
      <c r="I249" s="15" t="str">
        <f>IF(O249="","",IF(ISNUMBER(MATCH(O249,$G$5:$G$1000,0)),"",IF(D249=1,B$4,0)+MAX(I$4:I248)+1))</f>
        <v/>
      </c>
      <c r="J249" s="27"/>
      <c r="K249" s="27"/>
      <c r="L249" s="26"/>
      <c r="M249" s="14">
        <f>IF(ROW()-ROW(M$4)&lt;=1000,ROW()-ROW(M$4),"")</f>
        <v>245</v>
      </c>
      <c r="N249" s="29"/>
      <c r="O249" s="29"/>
      <c r="P249" s="17"/>
      <c r="Q249" s="16" t="s">
        <v>0</v>
      </c>
      <c r="R249" s="24"/>
      <c r="S249" s="24"/>
      <c r="T249" s="24"/>
      <c r="U249" s="24"/>
      <c r="V249" s="24"/>
      <c r="W249" s="24"/>
      <c r="X249" s="24"/>
      <c r="Y249" s="24"/>
      <c r="Z249" s="23"/>
      <c r="AA249" s="23"/>
      <c r="AB249" s="23"/>
      <c r="AC249" s="23"/>
      <c r="AD249" s="23"/>
      <c r="AE249" s="23"/>
      <c r="AF249" s="23"/>
      <c r="AG249" s="23"/>
      <c r="AH249" s="22"/>
      <c r="AI249" s="22"/>
      <c r="AJ249" s="22"/>
      <c r="AK249" s="22"/>
      <c r="AL249" s="22"/>
      <c r="AM249" s="22"/>
      <c r="AN249" s="22"/>
      <c r="AO249" s="16"/>
      <c r="AP249" s="21"/>
      <c r="AQ249" s="21"/>
      <c r="AR249" s="21"/>
      <c r="AS249" s="21"/>
      <c r="AT249" s="18"/>
      <c r="AU249" s="18"/>
      <c r="AV249" s="18"/>
      <c r="AW249" s="20"/>
      <c r="AX249" s="20"/>
      <c r="AY249" s="30"/>
      <c r="AZ249" s="30"/>
      <c r="BA249" s="20"/>
      <c r="BB249" s="20"/>
      <c r="BC249" s="17"/>
      <c r="BD249" s="17"/>
      <c r="BE249" s="20"/>
      <c r="BF249" s="17"/>
      <c r="BG249" s="19"/>
      <c r="BH249" s="19"/>
      <c r="BI249" s="19"/>
      <c r="BJ249" s="19"/>
      <c r="BK249" s="19"/>
      <c r="BL249" s="19"/>
      <c r="BM249" s="19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</row>
    <row r="250" spans="1:78" ht="12" customHeight="1" x14ac:dyDescent="0.25">
      <c r="A250" s="26"/>
      <c r="B250" s="28"/>
      <c r="C250" s="28"/>
      <c r="D250" s="15" t="str">
        <f>IF(IF(ISNUMBER(B250),"",MAX(D$4:D249)+1)&lt;=D$3,IF(ISNUMBER(B250),"",MAX(D$4:D249)+1),"")</f>
        <v/>
      </c>
      <c r="E250" s="28"/>
      <c r="F250" s="28"/>
      <c r="G250" s="27"/>
      <c r="H250" s="15"/>
      <c r="I250" s="15" t="str">
        <f>IF(O250="","",IF(ISNUMBER(MATCH(O250,$G$5:$G$1000,0)),"",IF(D250=1,B$4,0)+MAX(I$4:I249)+1))</f>
        <v/>
      </c>
      <c r="J250" s="27"/>
      <c r="K250" s="27"/>
      <c r="L250" s="26"/>
      <c r="M250" s="14">
        <f>IF(ROW()-ROW(M$4)&lt;=1000,ROW()-ROW(M$4),"")</f>
        <v>246</v>
      </c>
      <c r="N250" s="29"/>
      <c r="O250" s="29"/>
      <c r="P250" s="17"/>
      <c r="Q250" s="16" t="s">
        <v>0</v>
      </c>
      <c r="R250" s="24"/>
      <c r="S250" s="24"/>
      <c r="T250" s="24"/>
      <c r="U250" s="24"/>
      <c r="V250" s="24"/>
      <c r="W250" s="24"/>
      <c r="X250" s="24"/>
      <c r="Y250" s="24"/>
      <c r="Z250" s="23"/>
      <c r="AA250" s="23"/>
      <c r="AB250" s="23"/>
      <c r="AC250" s="23"/>
      <c r="AD250" s="23"/>
      <c r="AE250" s="23"/>
      <c r="AF250" s="23"/>
      <c r="AG250" s="23"/>
      <c r="AH250" s="22"/>
      <c r="AI250" s="22"/>
      <c r="AJ250" s="22"/>
      <c r="AK250" s="22"/>
      <c r="AL250" s="22"/>
      <c r="AM250" s="22"/>
      <c r="AN250" s="22"/>
      <c r="AO250" s="16"/>
      <c r="AP250" s="21"/>
      <c r="AQ250" s="21"/>
      <c r="AR250" s="21"/>
      <c r="AS250" s="21"/>
      <c r="AT250" s="18"/>
      <c r="AU250" s="18"/>
      <c r="AV250" s="18"/>
      <c r="AW250" s="20"/>
      <c r="AX250" s="20"/>
      <c r="AY250" s="30"/>
      <c r="AZ250" s="30"/>
      <c r="BA250" s="20"/>
      <c r="BB250" s="20"/>
      <c r="BC250" s="17"/>
      <c r="BD250" s="17"/>
      <c r="BE250" s="20"/>
      <c r="BF250" s="17"/>
      <c r="BG250" s="19"/>
      <c r="BH250" s="19"/>
      <c r="BI250" s="19"/>
      <c r="BJ250" s="19"/>
      <c r="BK250" s="19"/>
      <c r="BL250" s="19"/>
      <c r="BM250" s="19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</row>
    <row r="251" spans="1:78" ht="12" customHeight="1" x14ac:dyDescent="0.25">
      <c r="A251" s="26"/>
      <c r="B251" s="28"/>
      <c r="C251" s="28"/>
      <c r="D251" s="15" t="str">
        <f>IF(IF(ISNUMBER(B251),"",MAX(D$4:D250)+1)&lt;=D$3,IF(ISNUMBER(B251),"",MAX(D$4:D250)+1),"")</f>
        <v/>
      </c>
      <c r="E251" s="28"/>
      <c r="F251" s="28"/>
      <c r="G251" s="27"/>
      <c r="H251" s="15"/>
      <c r="I251" s="15" t="str">
        <f>IF(O251="","",IF(ISNUMBER(MATCH(O251,$G$5:$G$1000,0)),"",IF(D251=1,B$4,0)+MAX(I$4:I250)+1))</f>
        <v/>
      </c>
      <c r="J251" s="27"/>
      <c r="K251" s="27"/>
      <c r="L251" s="26"/>
      <c r="M251" s="14">
        <f>IF(ROW()-ROW(M$4)&lt;=1000,ROW()-ROW(M$4),"")</f>
        <v>247</v>
      </c>
      <c r="N251" s="29"/>
      <c r="O251" s="29"/>
      <c r="P251" s="17"/>
      <c r="Q251" s="16" t="s">
        <v>0</v>
      </c>
      <c r="R251" s="24"/>
      <c r="S251" s="24"/>
      <c r="T251" s="24"/>
      <c r="U251" s="24"/>
      <c r="V251" s="24"/>
      <c r="W251" s="24"/>
      <c r="X251" s="24"/>
      <c r="Y251" s="24"/>
      <c r="Z251" s="23"/>
      <c r="AA251" s="23"/>
      <c r="AB251" s="23"/>
      <c r="AC251" s="23"/>
      <c r="AD251" s="23"/>
      <c r="AE251" s="23"/>
      <c r="AF251" s="23"/>
      <c r="AG251" s="23"/>
      <c r="AH251" s="22"/>
      <c r="AI251" s="22"/>
      <c r="AJ251" s="22"/>
      <c r="AK251" s="22"/>
      <c r="AL251" s="22"/>
      <c r="AM251" s="22"/>
      <c r="AN251" s="22"/>
      <c r="AO251" s="16"/>
      <c r="AP251" s="21"/>
      <c r="AQ251" s="21"/>
      <c r="AR251" s="21"/>
      <c r="AS251" s="21"/>
      <c r="AT251" s="18"/>
      <c r="AU251" s="18"/>
      <c r="AV251" s="18"/>
      <c r="AW251" s="20"/>
      <c r="AX251" s="20"/>
      <c r="AY251" s="30"/>
      <c r="AZ251" s="30"/>
      <c r="BA251" s="20"/>
      <c r="BB251" s="20"/>
      <c r="BC251" s="17"/>
      <c r="BD251" s="17"/>
      <c r="BE251" s="20"/>
      <c r="BF251" s="17"/>
      <c r="BG251" s="19"/>
      <c r="BH251" s="19"/>
      <c r="BI251" s="19"/>
      <c r="BJ251" s="19"/>
      <c r="BK251" s="19"/>
      <c r="BL251" s="19"/>
      <c r="BM251" s="19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</row>
    <row r="252" spans="1:78" ht="12" customHeight="1" x14ac:dyDescent="0.25">
      <c r="A252" s="26"/>
      <c r="B252" s="28"/>
      <c r="C252" s="28"/>
      <c r="D252" s="15" t="str">
        <f>IF(IF(ISNUMBER(B252),"",MAX(D$4:D251)+1)&lt;=D$3,IF(ISNUMBER(B252),"",MAX(D$4:D251)+1),"")</f>
        <v/>
      </c>
      <c r="E252" s="28"/>
      <c r="F252" s="28"/>
      <c r="G252" s="27"/>
      <c r="H252" s="15"/>
      <c r="I252" s="15" t="str">
        <f>IF(O252="","",IF(ISNUMBER(MATCH(O252,$G$5:$G$1000,0)),"",IF(D252=1,B$4,0)+MAX(I$4:I251)+1))</f>
        <v/>
      </c>
      <c r="J252" s="27"/>
      <c r="K252" s="27"/>
      <c r="L252" s="26"/>
      <c r="M252" s="14">
        <f>IF(ROW()-ROW(M$4)&lt;=1000,ROW()-ROW(M$4),"")</f>
        <v>248</v>
      </c>
      <c r="N252" s="29"/>
      <c r="O252" s="29"/>
      <c r="P252" s="17"/>
      <c r="Q252" s="16" t="s">
        <v>0</v>
      </c>
      <c r="R252" s="24"/>
      <c r="S252" s="24"/>
      <c r="T252" s="24"/>
      <c r="U252" s="24"/>
      <c r="V252" s="24"/>
      <c r="W252" s="24"/>
      <c r="X252" s="24"/>
      <c r="Y252" s="24"/>
      <c r="Z252" s="23"/>
      <c r="AA252" s="23"/>
      <c r="AB252" s="23"/>
      <c r="AC252" s="23"/>
      <c r="AD252" s="23"/>
      <c r="AE252" s="23"/>
      <c r="AF252" s="23"/>
      <c r="AG252" s="23"/>
      <c r="AH252" s="22"/>
      <c r="AI252" s="22"/>
      <c r="AJ252" s="22"/>
      <c r="AK252" s="22"/>
      <c r="AL252" s="22"/>
      <c r="AM252" s="22"/>
      <c r="AN252" s="22"/>
      <c r="AO252" s="16"/>
      <c r="AP252" s="21"/>
      <c r="AQ252" s="21"/>
      <c r="AR252" s="21"/>
      <c r="AS252" s="21"/>
      <c r="AT252" s="18"/>
      <c r="AU252" s="18"/>
      <c r="AV252" s="18"/>
      <c r="AW252" s="20"/>
      <c r="AX252" s="20"/>
      <c r="AY252" s="17"/>
      <c r="AZ252" s="30"/>
      <c r="BA252" s="20"/>
      <c r="BB252" s="20"/>
      <c r="BC252" s="17"/>
      <c r="BD252" s="17"/>
      <c r="BE252" s="20"/>
      <c r="BF252" s="17"/>
      <c r="BG252" s="19"/>
      <c r="BH252" s="19"/>
      <c r="BI252" s="19"/>
      <c r="BJ252" s="19"/>
      <c r="BK252" s="19"/>
      <c r="BL252" s="19"/>
      <c r="BM252" s="19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</row>
    <row r="253" spans="1:78" ht="12" customHeight="1" x14ac:dyDescent="0.25">
      <c r="A253" s="26"/>
      <c r="B253" s="28"/>
      <c r="C253" s="28"/>
      <c r="D253" s="15" t="str">
        <f>IF(IF(ISNUMBER(B253),"",MAX(D$4:D252)+1)&lt;=D$3,IF(ISNUMBER(B253),"",MAX(D$4:D252)+1),"")</f>
        <v/>
      </c>
      <c r="E253" s="28"/>
      <c r="F253" s="28"/>
      <c r="G253" s="27"/>
      <c r="H253" s="15"/>
      <c r="I253" s="15" t="str">
        <f>IF(O253="","",IF(ISNUMBER(MATCH(O253,$G$5:$G$1000,0)),"",IF(D253=1,B$4,0)+MAX(I$4:I252)+1))</f>
        <v/>
      </c>
      <c r="J253" s="27"/>
      <c r="K253" s="27"/>
      <c r="L253" s="26"/>
      <c r="M253" s="14">
        <f>IF(ROW()-ROW(M$4)&lt;=1000,ROW()-ROW(M$4),"")</f>
        <v>249</v>
      </c>
      <c r="N253" s="29"/>
      <c r="O253" s="29"/>
      <c r="P253" s="17"/>
      <c r="Q253" s="16" t="s">
        <v>0</v>
      </c>
      <c r="R253" s="24"/>
      <c r="S253" s="24"/>
      <c r="T253" s="24"/>
      <c r="U253" s="24"/>
      <c r="V253" s="24"/>
      <c r="W253" s="24"/>
      <c r="X253" s="24"/>
      <c r="Y253" s="24"/>
      <c r="Z253" s="23"/>
      <c r="AA253" s="23"/>
      <c r="AB253" s="23"/>
      <c r="AC253" s="23"/>
      <c r="AD253" s="23"/>
      <c r="AE253" s="23"/>
      <c r="AF253" s="23"/>
      <c r="AG253" s="23"/>
      <c r="AH253" s="22"/>
      <c r="AI253" s="22"/>
      <c r="AJ253" s="22"/>
      <c r="AK253" s="22"/>
      <c r="AL253" s="22"/>
      <c r="AM253" s="22"/>
      <c r="AN253" s="22"/>
      <c r="AO253" s="16"/>
      <c r="AP253" s="21"/>
      <c r="AQ253" s="21"/>
      <c r="AR253" s="21"/>
      <c r="AS253" s="21"/>
      <c r="AT253" s="18"/>
      <c r="AU253" s="18"/>
      <c r="AV253" s="18"/>
      <c r="AW253" s="20"/>
      <c r="AX253" s="20"/>
      <c r="AY253" s="17"/>
      <c r="AZ253" s="30"/>
      <c r="BA253" s="20"/>
      <c r="BB253" s="20"/>
      <c r="BC253" s="17"/>
      <c r="BD253" s="17"/>
      <c r="BE253" s="20"/>
      <c r="BF253" s="17"/>
      <c r="BG253" s="19"/>
      <c r="BH253" s="19"/>
      <c r="BI253" s="19"/>
      <c r="BJ253" s="19"/>
      <c r="BK253" s="19"/>
      <c r="BL253" s="19"/>
      <c r="BM253" s="19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</row>
    <row r="254" spans="1:78" ht="12" customHeight="1" x14ac:dyDescent="0.25">
      <c r="A254" s="26"/>
      <c r="B254" s="28"/>
      <c r="C254" s="28"/>
      <c r="D254" s="15" t="str">
        <f>IF(IF(ISNUMBER(B254),"",MAX(D$4:D253)+1)&lt;=D$3,IF(ISNUMBER(B254),"",MAX(D$4:D253)+1),"")</f>
        <v/>
      </c>
      <c r="E254" s="28"/>
      <c r="F254" s="28"/>
      <c r="G254" s="27"/>
      <c r="H254" s="15"/>
      <c r="I254" s="15" t="str">
        <f>IF(O254="","",IF(ISNUMBER(MATCH(O254,$G$5:$G$1000,0)),"",IF(D254=1,B$4,0)+MAX(I$4:I253)+1))</f>
        <v/>
      </c>
      <c r="J254" s="27"/>
      <c r="K254" s="27"/>
      <c r="L254" s="26"/>
      <c r="M254" s="14">
        <f>IF(ROW()-ROW(M$4)&lt;=1000,ROW()-ROW(M$4),"")</f>
        <v>250</v>
      </c>
      <c r="N254" s="29"/>
      <c r="O254" s="29"/>
      <c r="P254" s="17"/>
      <c r="Q254" s="16" t="s">
        <v>0</v>
      </c>
      <c r="R254" s="24"/>
      <c r="S254" s="24"/>
      <c r="T254" s="24"/>
      <c r="U254" s="24"/>
      <c r="V254" s="24"/>
      <c r="W254" s="24"/>
      <c r="X254" s="24"/>
      <c r="Y254" s="24"/>
      <c r="Z254" s="23"/>
      <c r="AA254" s="23"/>
      <c r="AB254" s="23"/>
      <c r="AC254" s="23"/>
      <c r="AD254" s="23"/>
      <c r="AE254" s="23"/>
      <c r="AF254" s="23"/>
      <c r="AG254" s="23"/>
      <c r="AH254" s="22"/>
      <c r="AI254" s="22"/>
      <c r="AJ254" s="22"/>
      <c r="AK254" s="22"/>
      <c r="AL254" s="22"/>
      <c r="AM254" s="22"/>
      <c r="AN254" s="22"/>
      <c r="AO254" s="16"/>
      <c r="AP254" s="21"/>
      <c r="AQ254" s="21"/>
      <c r="AR254" s="21"/>
      <c r="AS254" s="21"/>
      <c r="AT254" s="18"/>
      <c r="AU254" s="18"/>
      <c r="AV254" s="18"/>
      <c r="AW254" s="20"/>
      <c r="AX254" s="20"/>
      <c r="AY254" s="17"/>
      <c r="AZ254" s="30"/>
      <c r="BA254" s="20"/>
      <c r="BB254" s="20"/>
      <c r="BC254" s="17"/>
      <c r="BD254" s="17"/>
      <c r="BE254" s="20"/>
      <c r="BF254" s="17"/>
      <c r="BG254" s="19"/>
      <c r="BH254" s="19"/>
      <c r="BI254" s="19"/>
      <c r="BJ254" s="19"/>
      <c r="BK254" s="19"/>
      <c r="BL254" s="19"/>
      <c r="BM254" s="19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</row>
    <row r="255" spans="1:78" ht="12" customHeight="1" x14ac:dyDescent="0.25">
      <c r="A255" s="26"/>
      <c r="B255" s="28"/>
      <c r="C255" s="28"/>
      <c r="D255" s="15" t="str">
        <f>IF(IF(ISNUMBER(B255),"",MAX(D$4:D254)+1)&lt;=D$3,IF(ISNUMBER(B255),"",MAX(D$4:D254)+1),"")</f>
        <v/>
      </c>
      <c r="E255" s="28"/>
      <c r="F255" s="28"/>
      <c r="G255" s="27"/>
      <c r="H255" s="15"/>
      <c r="I255" s="15" t="str">
        <f>IF(O255="","",IF(ISNUMBER(MATCH(O255,$G$5:$G$1000,0)),"",IF(D255=1,B$4,0)+MAX(I$4:I254)+1))</f>
        <v/>
      </c>
      <c r="J255" s="27"/>
      <c r="K255" s="27"/>
      <c r="L255" s="26"/>
      <c r="M255" s="14">
        <f>IF(ROW()-ROW(M$4)&lt;=1000,ROW()-ROW(M$4),"")</f>
        <v>251</v>
      </c>
      <c r="N255" s="29"/>
      <c r="O255" s="29"/>
      <c r="P255" s="17"/>
      <c r="Q255" s="16" t="s">
        <v>0</v>
      </c>
      <c r="R255" s="24"/>
      <c r="S255" s="24"/>
      <c r="T255" s="24"/>
      <c r="U255" s="24"/>
      <c r="V255" s="24"/>
      <c r="W255" s="24"/>
      <c r="X255" s="24"/>
      <c r="Y255" s="24"/>
      <c r="Z255" s="23"/>
      <c r="AA255" s="23"/>
      <c r="AB255" s="23"/>
      <c r="AC255" s="23"/>
      <c r="AD255" s="23"/>
      <c r="AE255" s="23"/>
      <c r="AF255" s="23"/>
      <c r="AG255" s="23"/>
      <c r="AH255" s="22"/>
      <c r="AI255" s="22"/>
      <c r="AJ255" s="22"/>
      <c r="AK255" s="22"/>
      <c r="AL255" s="22"/>
      <c r="AM255" s="22"/>
      <c r="AN255" s="22"/>
      <c r="AO255" s="16"/>
      <c r="AP255" s="21"/>
      <c r="AQ255" s="21"/>
      <c r="AR255" s="21"/>
      <c r="AS255" s="21"/>
      <c r="AT255" s="18"/>
      <c r="AU255" s="18"/>
      <c r="AV255" s="18"/>
      <c r="AW255" s="20"/>
      <c r="AX255" s="20"/>
      <c r="AY255" s="17"/>
      <c r="AZ255" s="30"/>
      <c r="BA255" s="20"/>
      <c r="BB255" s="20"/>
      <c r="BC255" s="17"/>
      <c r="BD255" s="17"/>
      <c r="BE255" s="20"/>
      <c r="BF255" s="17"/>
      <c r="BG255" s="19"/>
      <c r="BH255" s="19"/>
      <c r="BI255" s="19"/>
      <c r="BJ255" s="19"/>
      <c r="BK255" s="19"/>
      <c r="BL255" s="19"/>
      <c r="BM255" s="19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</row>
    <row r="256" spans="1:78" ht="12" customHeight="1" x14ac:dyDescent="0.25">
      <c r="A256" s="26"/>
      <c r="B256" s="28"/>
      <c r="C256" s="28"/>
      <c r="D256" s="15" t="str">
        <f>IF(IF(ISNUMBER(B256),"",MAX(D$4:D255)+1)&lt;=D$3,IF(ISNUMBER(B256),"",MAX(D$4:D255)+1),"")</f>
        <v/>
      </c>
      <c r="E256" s="28"/>
      <c r="F256" s="28"/>
      <c r="G256" s="27"/>
      <c r="H256" s="15"/>
      <c r="I256" s="15" t="str">
        <f>IF(O256="","",IF(ISNUMBER(MATCH(O256,$G$5:$G$1000,0)),"",IF(D256=1,B$4,0)+MAX(I$4:I255)+1))</f>
        <v/>
      </c>
      <c r="J256" s="27"/>
      <c r="K256" s="27"/>
      <c r="L256" s="26"/>
      <c r="M256" s="14">
        <f>IF(ROW()-ROW(M$4)&lt;=1000,ROW()-ROW(M$4),"")</f>
        <v>252</v>
      </c>
      <c r="N256" s="29"/>
      <c r="O256" s="29"/>
      <c r="P256" s="17"/>
      <c r="Q256" s="16" t="s">
        <v>0</v>
      </c>
      <c r="R256" s="24"/>
      <c r="S256" s="24"/>
      <c r="T256" s="24"/>
      <c r="U256" s="24"/>
      <c r="V256" s="24"/>
      <c r="W256" s="24"/>
      <c r="X256" s="24"/>
      <c r="Y256" s="24"/>
      <c r="Z256" s="23"/>
      <c r="AA256" s="23"/>
      <c r="AB256" s="23"/>
      <c r="AC256" s="23"/>
      <c r="AD256" s="23"/>
      <c r="AE256" s="23"/>
      <c r="AF256" s="23"/>
      <c r="AG256" s="23"/>
      <c r="AH256" s="22"/>
      <c r="AI256" s="22"/>
      <c r="AJ256" s="22"/>
      <c r="AK256" s="22"/>
      <c r="AL256" s="22"/>
      <c r="AM256" s="22"/>
      <c r="AN256" s="22"/>
      <c r="AO256" s="16"/>
      <c r="AP256" s="21"/>
      <c r="AQ256" s="21"/>
      <c r="AR256" s="21"/>
      <c r="AS256" s="21"/>
      <c r="AT256" s="18"/>
      <c r="AU256" s="18"/>
      <c r="AV256" s="18"/>
      <c r="AW256" s="20"/>
      <c r="AX256" s="20"/>
      <c r="AY256" s="17"/>
      <c r="AZ256" s="30"/>
      <c r="BA256" s="20"/>
      <c r="BB256" s="20"/>
      <c r="BC256" s="17"/>
      <c r="BD256" s="17"/>
      <c r="BE256" s="20"/>
      <c r="BF256" s="17"/>
      <c r="BG256" s="19"/>
      <c r="BH256" s="19"/>
      <c r="BI256" s="19"/>
      <c r="BJ256" s="19"/>
      <c r="BK256" s="19"/>
      <c r="BL256" s="19"/>
      <c r="BM256" s="19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</row>
    <row r="257" spans="1:78" ht="12" customHeight="1" x14ac:dyDescent="0.25">
      <c r="A257" s="26"/>
      <c r="B257" s="28"/>
      <c r="C257" s="28"/>
      <c r="D257" s="15" t="str">
        <f>IF(IF(ISNUMBER(B257),"",MAX(D$4:D256)+1)&lt;=D$3,IF(ISNUMBER(B257),"",MAX(D$4:D256)+1),"")</f>
        <v/>
      </c>
      <c r="E257" s="28"/>
      <c r="F257" s="28"/>
      <c r="G257" s="27"/>
      <c r="H257" s="15"/>
      <c r="I257" s="15" t="str">
        <f>IF(O257="","",IF(ISNUMBER(MATCH(O257,$G$5:$G$1000,0)),"",IF(D257=1,B$4,0)+MAX(I$4:I256)+1))</f>
        <v/>
      </c>
      <c r="J257" s="27"/>
      <c r="K257" s="27"/>
      <c r="L257" s="26"/>
      <c r="M257" s="14">
        <f>IF(ROW()-ROW(M$4)&lt;=1000,ROW()-ROW(M$4),"")</f>
        <v>253</v>
      </c>
      <c r="N257" s="29"/>
      <c r="O257" s="29"/>
      <c r="P257" s="17"/>
      <c r="Q257" s="16" t="s">
        <v>0</v>
      </c>
      <c r="R257" s="24"/>
      <c r="S257" s="24"/>
      <c r="T257" s="24"/>
      <c r="U257" s="24"/>
      <c r="V257" s="24"/>
      <c r="W257" s="24"/>
      <c r="X257" s="24"/>
      <c r="Y257" s="24"/>
      <c r="Z257" s="23"/>
      <c r="AA257" s="23"/>
      <c r="AB257" s="23"/>
      <c r="AC257" s="23"/>
      <c r="AD257" s="23"/>
      <c r="AE257" s="23"/>
      <c r="AF257" s="23"/>
      <c r="AG257" s="23"/>
      <c r="AH257" s="22"/>
      <c r="AI257" s="22"/>
      <c r="AJ257" s="22"/>
      <c r="AK257" s="22"/>
      <c r="AL257" s="22"/>
      <c r="AM257" s="22"/>
      <c r="AN257" s="22"/>
      <c r="AO257" s="16"/>
      <c r="AP257" s="21"/>
      <c r="AQ257" s="21"/>
      <c r="AR257" s="21"/>
      <c r="AS257" s="21"/>
      <c r="AT257" s="18"/>
      <c r="AU257" s="18"/>
      <c r="AV257" s="18"/>
      <c r="AW257" s="20"/>
      <c r="AX257" s="20"/>
      <c r="AY257" s="17"/>
      <c r="AZ257" s="30"/>
      <c r="BA257" s="20"/>
      <c r="BB257" s="20"/>
      <c r="BC257" s="17"/>
      <c r="BD257" s="17"/>
      <c r="BE257" s="20"/>
      <c r="BF257" s="17"/>
      <c r="BG257" s="19"/>
      <c r="BH257" s="19"/>
      <c r="BI257" s="19"/>
      <c r="BJ257" s="19"/>
      <c r="BK257" s="19"/>
      <c r="BL257" s="19"/>
      <c r="BM257" s="19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</row>
    <row r="258" spans="1:78" ht="12" customHeight="1" x14ac:dyDescent="0.25">
      <c r="A258" s="26"/>
      <c r="B258" s="28"/>
      <c r="C258" s="28"/>
      <c r="D258" s="15" t="str">
        <f>IF(IF(ISNUMBER(B258),"",MAX(D$4:D257)+1)&lt;=D$3,IF(ISNUMBER(B258),"",MAX(D$4:D257)+1),"")</f>
        <v/>
      </c>
      <c r="E258" s="28"/>
      <c r="F258" s="28"/>
      <c r="G258" s="27"/>
      <c r="H258" s="15"/>
      <c r="I258" s="15" t="str">
        <f>IF(O258="","",IF(ISNUMBER(MATCH(O258,$G$5:$G$1000,0)),"",IF(D258=1,B$4,0)+MAX(I$4:I257)+1))</f>
        <v/>
      </c>
      <c r="J258" s="27"/>
      <c r="K258" s="27"/>
      <c r="L258" s="26"/>
      <c r="M258" s="14">
        <f>IF(ROW()-ROW(M$4)&lt;=1000,ROW()-ROW(M$4),"")</f>
        <v>254</v>
      </c>
      <c r="N258" s="29"/>
      <c r="O258" s="29"/>
      <c r="P258" s="17"/>
      <c r="Q258" s="16" t="s">
        <v>0</v>
      </c>
      <c r="R258" s="24"/>
      <c r="S258" s="24"/>
      <c r="T258" s="24"/>
      <c r="U258" s="24"/>
      <c r="V258" s="24"/>
      <c r="W258" s="24"/>
      <c r="X258" s="24"/>
      <c r="Y258" s="24"/>
      <c r="Z258" s="23"/>
      <c r="AA258" s="23"/>
      <c r="AB258" s="23"/>
      <c r="AC258" s="23"/>
      <c r="AD258" s="23"/>
      <c r="AE258" s="23"/>
      <c r="AF258" s="23"/>
      <c r="AG258" s="23"/>
      <c r="AH258" s="22"/>
      <c r="AI258" s="22"/>
      <c r="AJ258" s="22"/>
      <c r="AK258" s="22"/>
      <c r="AL258" s="22"/>
      <c r="AM258" s="22"/>
      <c r="AN258" s="22"/>
      <c r="AO258" s="16"/>
      <c r="AP258" s="21"/>
      <c r="AQ258" s="21"/>
      <c r="AR258" s="21"/>
      <c r="AS258" s="21"/>
      <c r="AT258" s="18"/>
      <c r="AU258" s="18"/>
      <c r="AV258" s="18"/>
      <c r="AW258" s="20"/>
      <c r="AX258" s="20"/>
      <c r="AY258" s="17"/>
      <c r="AZ258" s="17"/>
      <c r="BA258" s="20"/>
      <c r="BB258" s="20"/>
      <c r="BC258" s="17"/>
      <c r="BD258" s="17"/>
      <c r="BE258" s="20"/>
      <c r="BF258" s="17"/>
      <c r="BG258" s="19"/>
      <c r="BH258" s="19"/>
      <c r="BI258" s="19"/>
      <c r="BJ258" s="19"/>
      <c r="BK258" s="19"/>
      <c r="BL258" s="19"/>
      <c r="BM258" s="19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</row>
    <row r="259" spans="1:78" ht="12" customHeight="1" x14ac:dyDescent="0.25">
      <c r="A259" s="26"/>
      <c r="B259" s="28"/>
      <c r="C259" s="28"/>
      <c r="D259" s="15" t="str">
        <f>IF(IF(ISNUMBER(B259),"",MAX(D$4:D258)+1)&lt;=D$3,IF(ISNUMBER(B259),"",MAX(D$4:D258)+1),"")</f>
        <v/>
      </c>
      <c r="E259" s="28"/>
      <c r="F259" s="28"/>
      <c r="G259" s="27"/>
      <c r="H259" s="15"/>
      <c r="I259" s="15" t="str">
        <f>IF(O259="","",IF(ISNUMBER(MATCH(O259,$G$5:$G$1000,0)),"",IF(D259=1,B$4,0)+MAX(I$4:I258)+1))</f>
        <v/>
      </c>
      <c r="J259" s="27"/>
      <c r="K259" s="27"/>
      <c r="L259" s="26"/>
      <c r="M259" s="14">
        <f>IF(ROW()-ROW(M$4)&lt;=1000,ROW()-ROW(M$4),"")</f>
        <v>255</v>
      </c>
      <c r="N259" s="29"/>
      <c r="O259" s="29"/>
      <c r="P259" s="17"/>
      <c r="Q259" s="16" t="s">
        <v>0</v>
      </c>
      <c r="R259" s="24"/>
      <c r="S259" s="24"/>
      <c r="T259" s="24"/>
      <c r="U259" s="24"/>
      <c r="V259" s="24"/>
      <c r="W259" s="24"/>
      <c r="X259" s="24"/>
      <c r="Y259" s="24"/>
      <c r="Z259" s="23"/>
      <c r="AA259" s="23"/>
      <c r="AB259" s="23"/>
      <c r="AC259" s="23"/>
      <c r="AD259" s="23"/>
      <c r="AE259" s="23"/>
      <c r="AF259" s="23"/>
      <c r="AG259" s="23"/>
      <c r="AH259" s="22"/>
      <c r="AI259" s="22"/>
      <c r="AJ259" s="22"/>
      <c r="AK259" s="22"/>
      <c r="AL259" s="22"/>
      <c r="AM259" s="22"/>
      <c r="AN259" s="22"/>
      <c r="AO259" s="16"/>
      <c r="AP259" s="21"/>
      <c r="AQ259" s="21"/>
      <c r="AR259" s="21"/>
      <c r="AS259" s="21"/>
      <c r="AT259" s="18"/>
      <c r="AU259" s="18"/>
      <c r="AV259" s="18"/>
      <c r="AW259" s="20"/>
      <c r="AX259" s="20"/>
      <c r="AY259" s="17"/>
      <c r="AZ259" s="17"/>
      <c r="BA259" s="20"/>
      <c r="BB259" s="20"/>
      <c r="BC259" s="17"/>
      <c r="BD259" s="17"/>
      <c r="BE259" s="20"/>
      <c r="BF259" s="17"/>
      <c r="BG259" s="19"/>
      <c r="BH259" s="19"/>
      <c r="BI259" s="19"/>
      <c r="BJ259" s="19"/>
      <c r="BK259" s="19"/>
      <c r="BL259" s="19"/>
      <c r="BM259" s="19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</row>
    <row r="260" spans="1:78" ht="12" customHeight="1" x14ac:dyDescent="0.25">
      <c r="A260" s="26"/>
      <c r="B260" s="28"/>
      <c r="C260" s="28"/>
      <c r="D260" s="15" t="str">
        <f>IF(IF(ISNUMBER(B260),"",MAX(D$4:D259)+1)&lt;=D$3,IF(ISNUMBER(B260),"",MAX(D$4:D259)+1),"")</f>
        <v/>
      </c>
      <c r="E260" s="28"/>
      <c r="F260" s="28"/>
      <c r="G260" s="27"/>
      <c r="H260" s="15"/>
      <c r="I260" s="15" t="str">
        <f>IF(O260="","",IF(ISNUMBER(MATCH(O260,$G$5:$G$1000,0)),"",IF(D260=1,B$4,0)+MAX(I$4:I259)+1))</f>
        <v/>
      </c>
      <c r="J260" s="27"/>
      <c r="K260" s="27"/>
      <c r="L260" s="26"/>
      <c r="M260" s="14">
        <f>IF(ROW()-ROW(M$4)&lt;=1000,ROW()-ROW(M$4),"")</f>
        <v>256</v>
      </c>
      <c r="N260" s="29"/>
      <c r="O260" s="29"/>
      <c r="P260" s="17"/>
      <c r="Q260" s="16" t="s">
        <v>0</v>
      </c>
      <c r="R260" s="24"/>
      <c r="S260" s="24"/>
      <c r="T260" s="24"/>
      <c r="U260" s="24"/>
      <c r="V260" s="24"/>
      <c r="W260" s="24"/>
      <c r="X260" s="24"/>
      <c r="Y260" s="24"/>
      <c r="Z260" s="23"/>
      <c r="AA260" s="23"/>
      <c r="AB260" s="23"/>
      <c r="AC260" s="23"/>
      <c r="AD260" s="23"/>
      <c r="AE260" s="23"/>
      <c r="AF260" s="23"/>
      <c r="AG260" s="23"/>
      <c r="AH260" s="22"/>
      <c r="AI260" s="22"/>
      <c r="AJ260" s="22"/>
      <c r="AK260" s="22"/>
      <c r="AL260" s="22"/>
      <c r="AM260" s="22"/>
      <c r="AN260" s="22"/>
      <c r="AO260" s="16"/>
      <c r="AP260" s="21"/>
      <c r="AQ260" s="21"/>
      <c r="AR260" s="21"/>
      <c r="AS260" s="21"/>
      <c r="AT260" s="18"/>
      <c r="AU260" s="18"/>
      <c r="AV260" s="18"/>
      <c r="AW260" s="20"/>
      <c r="AX260" s="20"/>
      <c r="AY260" s="17"/>
      <c r="AZ260" s="17"/>
      <c r="BA260" s="20"/>
      <c r="BB260" s="20"/>
      <c r="BC260" s="17"/>
      <c r="BD260" s="17"/>
      <c r="BE260" s="20"/>
      <c r="BF260" s="17"/>
      <c r="BG260" s="19"/>
      <c r="BH260" s="19"/>
      <c r="BI260" s="19"/>
      <c r="BJ260" s="19"/>
      <c r="BK260" s="19"/>
      <c r="BL260" s="19"/>
      <c r="BM260" s="19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</row>
    <row r="261" spans="1:78" ht="12" customHeight="1" x14ac:dyDescent="0.25">
      <c r="A261" s="26"/>
      <c r="B261" s="28"/>
      <c r="C261" s="28"/>
      <c r="D261" s="15" t="str">
        <f>IF(IF(ISNUMBER(B261),"",MAX(D$4:D260)+1)&lt;=D$3,IF(ISNUMBER(B261),"",MAX(D$4:D260)+1),"")</f>
        <v/>
      </c>
      <c r="E261" s="28"/>
      <c r="F261" s="28"/>
      <c r="G261" s="27"/>
      <c r="H261" s="15"/>
      <c r="I261" s="15" t="str">
        <f>IF(O261="","",IF(ISNUMBER(MATCH(O261,$G$5:$G$1000,0)),"",IF(D261=1,B$4,0)+MAX(I$4:I260)+1))</f>
        <v/>
      </c>
      <c r="J261" s="27"/>
      <c r="K261" s="27"/>
      <c r="L261" s="26"/>
      <c r="M261" s="14">
        <f>IF(ROW()-ROW(M$4)&lt;=1000,ROW()-ROW(M$4),"")</f>
        <v>257</v>
      </c>
      <c r="N261" s="29"/>
      <c r="O261" s="29"/>
      <c r="P261" s="17"/>
      <c r="Q261" s="16" t="s">
        <v>0</v>
      </c>
      <c r="R261" s="24"/>
      <c r="S261" s="24"/>
      <c r="T261" s="24"/>
      <c r="U261" s="24"/>
      <c r="V261" s="24"/>
      <c r="W261" s="24"/>
      <c r="X261" s="24"/>
      <c r="Y261" s="24"/>
      <c r="Z261" s="23"/>
      <c r="AA261" s="23"/>
      <c r="AB261" s="23"/>
      <c r="AC261" s="23"/>
      <c r="AD261" s="23"/>
      <c r="AE261" s="23"/>
      <c r="AF261" s="23"/>
      <c r="AG261" s="23"/>
      <c r="AH261" s="22"/>
      <c r="AI261" s="22"/>
      <c r="AJ261" s="22"/>
      <c r="AK261" s="22"/>
      <c r="AL261" s="22"/>
      <c r="AM261" s="22"/>
      <c r="AN261" s="22"/>
      <c r="AO261" s="16"/>
      <c r="AP261" s="21"/>
      <c r="AQ261" s="21"/>
      <c r="AR261" s="21"/>
      <c r="AS261" s="21"/>
      <c r="AT261" s="18"/>
      <c r="AU261" s="18"/>
      <c r="AV261" s="18"/>
      <c r="AW261" s="20"/>
      <c r="AX261" s="20"/>
      <c r="AY261" s="17"/>
      <c r="AZ261" s="17"/>
      <c r="BA261" s="20"/>
      <c r="BB261" s="20"/>
      <c r="BC261" s="17"/>
      <c r="BD261" s="17"/>
      <c r="BE261" s="20"/>
      <c r="BF261" s="17"/>
      <c r="BG261" s="19"/>
      <c r="BH261" s="19"/>
      <c r="BI261" s="19"/>
      <c r="BJ261" s="19"/>
      <c r="BK261" s="19"/>
      <c r="BL261" s="19"/>
      <c r="BM261" s="19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</row>
    <row r="262" spans="1:78" ht="12" customHeight="1" x14ac:dyDescent="0.25">
      <c r="A262" s="26"/>
      <c r="B262" s="28"/>
      <c r="C262" s="28"/>
      <c r="D262" s="15" t="str">
        <f>IF(IF(ISNUMBER(B262),"",MAX(D$4:D261)+1)&lt;=D$3,IF(ISNUMBER(B262),"",MAX(D$4:D261)+1),"")</f>
        <v/>
      </c>
      <c r="E262" s="28"/>
      <c r="F262" s="28"/>
      <c r="G262" s="27"/>
      <c r="H262" s="15"/>
      <c r="I262" s="15" t="str">
        <f>IF(O262="","",IF(ISNUMBER(MATCH(O262,$G$5:$G$1000,0)),"",IF(D262=1,B$4,0)+MAX(I$4:I261)+1))</f>
        <v/>
      </c>
      <c r="J262" s="27"/>
      <c r="K262" s="27"/>
      <c r="L262" s="26"/>
      <c r="M262" s="14">
        <f>IF(ROW()-ROW(M$4)&lt;=1000,ROW()-ROW(M$4),"")</f>
        <v>258</v>
      </c>
      <c r="N262" s="29"/>
      <c r="O262" s="29"/>
      <c r="P262" s="17"/>
      <c r="Q262" s="16" t="s">
        <v>0</v>
      </c>
      <c r="R262" s="24"/>
      <c r="S262" s="24"/>
      <c r="T262" s="24"/>
      <c r="U262" s="24"/>
      <c r="V262" s="24"/>
      <c r="W262" s="24"/>
      <c r="X262" s="24"/>
      <c r="Y262" s="24"/>
      <c r="Z262" s="23"/>
      <c r="AA262" s="23"/>
      <c r="AB262" s="23"/>
      <c r="AC262" s="23"/>
      <c r="AD262" s="23"/>
      <c r="AE262" s="23"/>
      <c r="AF262" s="23"/>
      <c r="AG262" s="23"/>
      <c r="AH262" s="22"/>
      <c r="AI262" s="22"/>
      <c r="AJ262" s="22"/>
      <c r="AK262" s="22"/>
      <c r="AL262" s="22"/>
      <c r="AM262" s="22"/>
      <c r="AN262" s="22"/>
      <c r="AO262" s="16"/>
      <c r="AP262" s="21"/>
      <c r="AQ262" s="21"/>
      <c r="AR262" s="21"/>
      <c r="AS262" s="21"/>
      <c r="AT262" s="18"/>
      <c r="AU262" s="18"/>
      <c r="AV262" s="18"/>
      <c r="AW262" s="20"/>
      <c r="AX262" s="20"/>
      <c r="AY262" s="17"/>
      <c r="AZ262" s="17"/>
      <c r="BA262" s="20"/>
      <c r="BB262" s="20"/>
      <c r="BC262" s="17"/>
      <c r="BD262" s="17"/>
      <c r="BE262" s="20"/>
      <c r="BF262" s="17"/>
      <c r="BG262" s="19"/>
      <c r="BH262" s="19"/>
      <c r="BI262" s="19"/>
      <c r="BJ262" s="19"/>
      <c r="BK262" s="19"/>
      <c r="BL262" s="19"/>
      <c r="BM262" s="19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</row>
    <row r="263" spans="1:78" ht="12" customHeight="1" x14ac:dyDescent="0.25">
      <c r="A263" s="26"/>
      <c r="B263" s="28"/>
      <c r="C263" s="28"/>
      <c r="D263" s="15" t="str">
        <f>IF(IF(ISNUMBER(B263),"",MAX(D$4:D262)+1)&lt;=D$3,IF(ISNUMBER(B263),"",MAX(D$4:D262)+1),"")</f>
        <v/>
      </c>
      <c r="E263" s="28"/>
      <c r="F263" s="28"/>
      <c r="G263" s="27"/>
      <c r="H263" s="15"/>
      <c r="I263" s="15" t="str">
        <f>IF(O263="","",IF(ISNUMBER(MATCH(O263,$G$5:$G$1000,0)),"",IF(D263=1,B$4,0)+MAX(I$4:I262)+1))</f>
        <v/>
      </c>
      <c r="J263" s="27"/>
      <c r="K263" s="27"/>
      <c r="L263" s="26"/>
      <c r="M263" s="14">
        <f>IF(ROW()-ROW(M$4)&lt;=1000,ROW()-ROW(M$4),"")</f>
        <v>259</v>
      </c>
      <c r="N263" s="29"/>
      <c r="O263" s="29"/>
      <c r="P263" s="17"/>
      <c r="Q263" s="16" t="s">
        <v>0</v>
      </c>
      <c r="R263" s="24"/>
      <c r="S263" s="24"/>
      <c r="T263" s="24"/>
      <c r="U263" s="24"/>
      <c r="V263" s="24"/>
      <c r="W263" s="24"/>
      <c r="X263" s="24"/>
      <c r="Y263" s="24"/>
      <c r="Z263" s="23"/>
      <c r="AA263" s="23"/>
      <c r="AB263" s="23"/>
      <c r="AC263" s="23"/>
      <c r="AD263" s="23"/>
      <c r="AE263" s="23"/>
      <c r="AF263" s="23"/>
      <c r="AG263" s="23"/>
      <c r="AH263" s="22"/>
      <c r="AI263" s="22"/>
      <c r="AJ263" s="22"/>
      <c r="AK263" s="22"/>
      <c r="AL263" s="22"/>
      <c r="AM263" s="22"/>
      <c r="AN263" s="22"/>
      <c r="AO263" s="16"/>
      <c r="AP263" s="21"/>
      <c r="AQ263" s="21"/>
      <c r="AR263" s="21"/>
      <c r="AS263" s="21"/>
      <c r="AT263" s="18"/>
      <c r="AU263" s="18"/>
      <c r="AV263" s="18"/>
      <c r="AW263" s="20"/>
      <c r="AX263" s="20"/>
      <c r="AY263" s="17"/>
      <c r="AZ263" s="17"/>
      <c r="BA263" s="20"/>
      <c r="BB263" s="20"/>
      <c r="BC263" s="17"/>
      <c r="BD263" s="17"/>
      <c r="BE263" s="20"/>
      <c r="BF263" s="17"/>
      <c r="BG263" s="19"/>
      <c r="BH263" s="19"/>
      <c r="BI263" s="19"/>
      <c r="BJ263" s="19"/>
      <c r="BK263" s="19"/>
      <c r="BL263" s="19"/>
      <c r="BM263" s="19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</row>
    <row r="264" spans="1:78" ht="12" customHeight="1" x14ac:dyDescent="0.25">
      <c r="A264" s="26"/>
      <c r="B264" s="28"/>
      <c r="C264" s="28"/>
      <c r="D264" s="15" t="str">
        <f>IF(IF(ISNUMBER(B264),"",MAX(D$4:D263)+1)&lt;=D$3,IF(ISNUMBER(B264),"",MAX(D$4:D263)+1),"")</f>
        <v/>
      </c>
      <c r="E264" s="28"/>
      <c r="F264" s="28"/>
      <c r="G264" s="27"/>
      <c r="H264" s="15"/>
      <c r="I264" s="15" t="str">
        <f>IF(O264="","",IF(ISNUMBER(MATCH(O264,$G$5:$G$1000,0)),"",IF(D264=1,B$4,0)+MAX(I$4:I263)+1))</f>
        <v/>
      </c>
      <c r="J264" s="27"/>
      <c r="K264" s="27"/>
      <c r="L264" s="26"/>
      <c r="M264" s="14">
        <f>IF(ROW()-ROW(M$4)&lt;=1000,ROW()-ROW(M$4),"")</f>
        <v>260</v>
      </c>
      <c r="N264" s="29"/>
      <c r="O264" s="29"/>
      <c r="P264" s="17"/>
      <c r="Q264" s="16" t="s">
        <v>0</v>
      </c>
      <c r="R264" s="24"/>
      <c r="S264" s="24"/>
      <c r="T264" s="24"/>
      <c r="U264" s="24"/>
      <c r="V264" s="24"/>
      <c r="W264" s="24"/>
      <c r="X264" s="24"/>
      <c r="Y264" s="24"/>
      <c r="Z264" s="23"/>
      <c r="AA264" s="23"/>
      <c r="AB264" s="23"/>
      <c r="AC264" s="23"/>
      <c r="AD264" s="23"/>
      <c r="AE264" s="23"/>
      <c r="AF264" s="23"/>
      <c r="AG264" s="23"/>
      <c r="AH264" s="22"/>
      <c r="AI264" s="22"/>
      <c r="AJ264" s="22"/>
      <c r="AK264" s="22"/>
      <c r="AL264" s="22"/>
      <c r="AM264" s="22"/>
      <c r="AN264" s="22"/>
      <c r="AO264" s="16"/>
      <c r="AP264" s="21"/>
      <c r="AQ264" s="21"/>
      <c r="AR264" s="21"/>
      <c r="AS264" s="21"/>
      <c r="AT264" s="18"/>
      <c r="AU264" s="18"/>
      <c r="AV264" s="18"/>
      <c r="AW264" s="20"/>
      <c r="AX264" s="20"/>
      <c r="AY264" s="17"/>
      <c r="AZ264" s="17"/>
      <c r="BA264" s="20"/>
      <c r="BB264" s="20"/>
      <c r="BC264" s="17"/>
      <c r="BD264" s="17"/>
      <c r="BE264" s="20"/>
      <c r="BF264" s="17"/>
      <c r="BG264" s="19"/>
      <c r="BH264" s="19"/>
      <c r="BI264" s="19"/>
      <c r="BJ264" s="19"/>
      <c r="BK264" s="19"/>
      <c r="BL264" s="19"/>
      <c r="BM264" s="19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</row>
    <row r="265" spans="1:78" ht="12" customHeight="1" x14ac:dyDescent="0.25">
      <c r="A265" s="26"/>
      <c r="B265" s="28"/>
      <c r="C265" s="28"/>
      <c r="D265" s="15" t="str">
        <f>IF(IF(ISNUMBER(B265),"",MAX(D$4:D264)+1)&lt;=D$3,IF(ISNUMBER(B265),"",MAX(D$4:D264)+1),"")</f>
        <v/>
      </c>
      <c r="E265" s="28"/>
      <c r="F265" s="28"/>
      <c r="G265" s="27"/>
      <c r="H265" s="15"/>
      <c r="I265" s="15" t="str">
        <f>IF(O265="","",IF(ISNUMBER(MATCH(O265,$G$5:$G$1000,0)),"",IF(D265=1,B$4,0)+MAX(I$4:I264)+1))</f>
        <v/>
      </c>
      <c r="J265" s="27"/>
      <c r="K265" s="27"/>
      <c r="L265" s="26"/>
      <c r="M265" s="14">
        <f>IF(ROW()-ROW(M$4)&lt;=1000,ROW()-ROW(M$4),"")</f>
        <v>261</v>
      </c>
      <c r="N265" s="29"/>
      <c r="O265" s="29"/>
      <c r="P265" s="17"/>
      <c r="Q265" s="16" t="s">
        <v>0</v>
      </c>
      <c r="R265" s="24"/>
      <c r="S265" s="24"/>
      <c r="T265" s="24"/>
      <c r="U265" s="24"/>
      <c r="V265" s="24"/>
      <c r="W265" s="24"/>
      <c r="X265" s="24"/>
      <c r="Y265" s="24"/>
      <c r="Z265" s="23"/>
      <c r="AA265" s="23"/>
      <c r="AB265" s="23"/>
      <c r="AC265" s="23"/>
      <c r="AD265" s="23"/>
      <c r="AE265" s="23"/>
      <c r="AF265" s="23"/>
      <c r="AG265" s="23"/>
      <c r="AH265" s="22"/>
      <c r="AI265" s="22"/>
      <c r="AJ265" s="22"/>
      <c r="AK265" s="22"/>
      <c r="AL265" s="22"/>
      <c r="AM265" s="22"/>
      <c r="AN265" s="22"/>
      <c r="AO265" s="16"/>
      <c r="AP265" s="21"/>
      <c r="AQ265" s="21"/>
      <c r="AR265" s="21"/>
      <c r="AS265" s="21"/>
      <c r="AT265" s="18"/>
      <c r="AU265" s="18"/>
      <c r="AV265" s="18"/>
      <c r="AW265" s="20"/>
      <c r="AX265" s="20"/>
      <c r="AY265" s="17"/>
      <c r="AZ265" s="17"/>
      <c r="BA265" s="20"/>
      <c r="BB265" s="20"/>
      <c r="BC265" s="17"/>
      <c r="BD265" s="17"/>
      <c r="BE265" s="20"/>
      <c r="BF265" s="17"/>
      <c r="BG265" s="19"/>
      <c r="BH265" s="19"/>
      <c r="BI265" s="19"/>
      <c r="BJ265" s="19"/>
      <c r="BK265" s="19"/>
      <c r="BL265" s="19"/>
      <c r="BM265" s="19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</row>
    <row r="266" spans="1:78" ht="12" customHeight="1" x14ac:dyDescent="0.25">
      <c r="A266" s="26"/>
      <c r="B266" s="28"/>
      <c r="C266" s="28"/>
      <c r="D266" s="15" t="str">
        <f>IF(IF(ISNUMBER(B266),"",MAX(D$4:D265)+1)&lt;=D$3,IF(ISNUMBER(B266),"",MAX(D$4:D265)+1),"")</f>
        <v/>
      </c>
      <c r="E266" s="28"/>
      <c r="F266" s="28"/>
      <c r="G266" s="27"/>
      <c r="H266" s="15"/>
      <c r="I266" s="15" t="str">
        <f>IF(O266="","",IF(ISNUMBER(MATCH(O266,$G$5:$G$1000,0)),"",IF(D266=1,B$4,0)+MAX(I$4:I265)+1))</f>
        <v/>
      </c>
      <c r="J266" s="27"/>
      <c r="K266" s="27"/>
      <c r="L266" s="26"/>
      <c r="M266" s="14">
        <f>IF(ROW()-ROW(M$4)&lt;=1000,ROW()-ROW(M$4),"")</f>
        <v>262</v>
      </c>
      <c r="N266" s="29"/>
      <c r="O266" s="29"/>
      <c r="P266" s="17"/>
      <c r="Q266" s="16" t="s">
        <v>0</v>
      </c>
      <c r="R266" s="24"/>
      <c r="S266" s="24"/>
      <c r="T266" s="24"/>
      <c r="U266" s="24"/>
      <c r="V266" s="24"/>
      <c r="W266" s="24"/>
      <c r="X266" s="24"/>
      <c r="Y266" s="24"/>
      <c r="Z266" s="23"/>
      <c r="AA266" s="23"/>
      <c r="AB266" s="23"/>
      <c r="AC266" s="23"/>
      <c r="AD266" s="23"/>
      <c r="AE266" s="23"/>
      <c r="AF266" s="23"/>
      <c r="AG266" s="23"/>
      <c r="AH266" s="22"/>
      <c r="AI266" s="22"/>
      <c r="AJ266" s="22"/>
      <c r="AK266" s="22"/>
      <c r="AL266" s="22"/>
      <c r="AM266" s="22"/>
      <c r="AN266" s="22"/>
      <c r="AO266" s="16"/>
      <c r="AP266" s="21"/>
      <c r="AQ266" s="21"/>
      <c r="AR266" s="21"/>
      <c r="AS266" s="21"/>
      <c r="AT266" s="18"/>
      <c r="AU266" s="18"/>
      <c r="AV266" s="18"/>
      <c r="AW266" s="20"/>
      <c r="AX266" s="20"/>
      <c r="AY266" s="17"/>
      <c r="AZ266" s="17"/>
      <c r="BA266" s="20"/>
      <c r="BB266" s="20"/>
      <c r="BC266" s="17"/>
      <c r="BD266" s="17"/>
      <c r="BE266" s="20"/>
      <c r="BF266" s="17"/>
      <c r="BG266" s="19"/>
      <c r="BH266" s="19"/>
      <c r="BI266" s="19"/>
      <c r="BJ266" s="19"/>
      <c r="BK266" s="19"/>
      <c r="BL266" s="19"/>
      <c r="BM266" s="19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</row>
    <row r="267" spans="1:78" ht="12" customHeight="1" x14ac:dyDescent="0.25">
      <c r="A267" s="26"/>
      <c r="B267" s="28"/>
      <c r="C267" s="28"/>
      <c r="D267" s="15" t="str">
        <f>IF(IF(ISNUMBER(B267),"",MAX(D$4:D266)+1)&lt;=D$3,IF(ISNUMBER(B267),"",MAX(D$4:D266)+1),"")</f>
        <v/>
      </c>
      <c r="E267" s="28"/>
      <c r="F267" s="28"/>
      <c r="G267" s="27"/>
      <c r="H267" s="15"/>
      <c r="I267" s="15" t="str">
        <f>IF(O267="","",IF(ISNUMBER(MATCH(O267,$G$5:$G$1000,0)),"",IF(D267=1,B$4,0)+MAX(I$4:I266)+1))</f>
        <v/>
      </c>
      <c r="J267" s="27"/>
      <c r="K267" s="27"/>
      <c r="L267" s="26"/>
      <c r="M267" s="14">
        <f>IF(ROW()-ROW(M$4)&lt;=1000,ROW()-ROW(M$4),"")</f>
        <v>263</v>
      </c>
      <c r="N267" s="29"/>
      <c r="O267" s="29"/>
      <c r="P267" s="17"/>
      <c r="Q267" s="16" t="s">
        <v>0</v>
      </c>
      <c r="R267" s="24"/>
      <c r="S267" s="24"/>
      <c r="T267" s="24"/>
      <c r="U267" s="24"/>
      <c r="V267" s="24"/>
      <c r="W267" s="24"/>
      <c r="X267" s="24"/>
      <c r="Y267" s="24"/>
      <c r="Z267" s="23"/>
      <c r="AA267" s="23"/>
      <c r="AB267" s="23"/>
      <c r="AC267" s="23"/>
      <c r="AD267" s="23"/>
      <c r="AE267" s="23"/>
      <c r="AF267" s="23"/>
      <c r="AG267" s="23"/>
      <c r="AH267" s="22"/>
      <c r="AI267" s="22"/>
      <c r="AJ267" s="22"/>
      <c r="AK267" s="22"/>
      <c r="AL267" s="22"/>
      <c r="AM267" s="22"/>
      <c r="AN267" s="22"/>
      <c r="AO267" s="16"/>
      <c r="AP267" s="21"/>
      <c r="AQ267" s="21"/>
      <c r="AR267" s="21"/>
      <c r="AS267" s="21"/>
      <c r="AT267" s="18"/>
      <c r="AU267" s="18"/>
      <c r="AV267" s="18"/>
      <c r="AW267" s="20"/>
      <c r="AX267" s="20"/>
      <c r="AY267" s="17"/>
      <c r="AZ267" s="17"/>
      <c r="BA267" s="20"/>
      <c r="BB267" s="20"/>
      <c r="BC267" s="17"/>
      <c r="BD267" s="17"/>
      <c r="BE267" s="20"/>
      <c r="BF267" s="17"/>
      <c r="BG267" s="19"/>
      <c r="BH267" s="19"/>
      <c r="BI267" s="19"/>
      <c r="BJ267" s="19"/>
      <c r="BK267" s="19"/>
      <c r="BL267" s="19"/>
      <c r="BM267" s="19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</row>
    <row r="268" spans="1:78" ht="12" customHeight="1" x14ac:dyDescent="0.25">
      <c r="A268" s="26"/>
      <c r="B268" s="28"/>
      <c r="C268" s="28"/>
      <c r="D268" s="15" t="str">
        <f>IF(IF(ISNUMBER(B268),"",MAX(D$4:D267)+1)&lt;=D$3,IF(ISNUMBER(B268),"",MAX(D$4:D267)+1),"")</f>
        <v/>
      </c>
      <c r="E268" s="28"/>
      <c r="F268" s="28"/>
      <c r="G268" s="27"/>
      <c r="H268" s="15"/>
      <c r="I268" s="15" t="str">
        <f>IF(O268="","",IF(ISNUMBER(MATCH(O268,$G$5:$G$1000,0)),"",IF(D268=1,B$4,0)+MAX(I$4:I267)+1))</f>
        <v/>
      </c>
      <c r="J268" s="27"/>
      <c r="K268" s="27"/>
      <c r="L268" s="26"/>
      <c r="M268" s="14">
        <f>IF(ROW()-ROW(M$4)&lt;=1000,ROW()-ROW(M$4),"")</f>
        <v>264</v>
      </c>
      <c r="N268" s="29"/>
      <c r="O268" s="29"/>
      <c r="P268" s="17"/>
      <c r="Q268" s="16" t="s">
        <v>0</v>
      </c>
      <c r="R268" s="24"/>
      <c r="S268" s="24"/>
      <c r="T268" s="24"/>
      <c r="U268" s="24"/>
      <c r="V268" s="24"/>
      <c r="W268" s="24"/>
      <c r="X268" s="24"/>
      <c r="Y268" s="24"/>
      <c r="Z268" s="23"/>
      <c r="AA268" s="23"/>
      <c r="AB268" s="23"/>
      <c r="AC268" s="23"/>
      <c r="AD268" s="23"/>
      <c r="AE268" s="23"/>
      <c r="AF268" s="23"/>
      <c r="AG268" s="23"/>
      <c r="AH268" s="22"/>
      <c r="AI268" s="22"/>
      <c r="AJ268" s="22"/>
      <c r="AK268" s="22"/>
      <c r="AL268" s="22"/>
      <c r="AM268" s="22"/>
      <c r="AN268" s="22"/>
      <c r="AO268" s="16"/>
      <c r="AP268" s="21"/>
      <c r="AQ268" s="21"/>
      <c r="AR268" s="21"/>
      <c r="AS268" s="21"/>
      <c r="AT268" s="18"/>
      <c r="AU268" s="18"/>
      <c r="AV268" s="18"/>
      <c r="AW268" s="20"/>
      <c r="AX268" s="20"/>
      <c r="AY268" s="17"/>
      <c r="AZ268" s="17"/>
      <c r="BA268" s="20"/>
      <c r="BB268" s="20"/>
      <c r="BC268" s="17"/>
      <c r="BD268" s="17"/>
      <c r="BE268" s="20"/>
      <c r="BF268" s="17"/>
      <c r="BG268" s="19"/>
      <c r="BH268" s="19"/>
      <c r="BI268" s="19"/>
      <c r="BJ268" s="19"/>
      <c r="BK268" s="19"/>
      <c r="BL268" s="19"/>
      <c r="BM268" s="19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</row>
    <row r="269" spans="1:78" ht="12" customHeight="1" x14ac:dyDescent="0.25">
      <c r="A269" s="26"/>
      <c r="B269" s="28"/>
      <c r="C269" s="28"/>
      <c r="D269" s="15" t="str">
        <f>IF(IF(ISNUMBER(B269),"",MAX(D$4:D268)+1)&lt;=D$3,IF(ISNUMBER(B269),"",MAX(D$4:D268)+1),"")</f>
        <v/>
      </c>
      <c r="E269" s="28"/>
      <c r="F269" s="28"/>
      <c r="G269" s="27"/>
      <c r="H269" s="15"/>
      <c r="I269" s="15" t="str">
        <f>IF(O269="","",IF(ISNUMBER(MATCH(O269,$G$5:$G$1000,0)),"",IF(D269=1,B$4,0)+MAX(I$4:I268)+1))</f>
        <v/>
      </c>
      <c r="J269" s="27"/>
      <c r="K269" s="27"/>
      <c r="L269" s="26"/>
      <c r="M269" s="14">
        <f>IF(ROW()-ROW(M$4)&lt;=1000,ROW()-ROW(M$4),"")</f>
        <v>265</v>
      </c>
      <c r="N269" s="29"/>
      <c r="O269" s="29"/>
      <c r="P269" s="17"/>
      <c r="Q269" s="16" t="s">
        <v>0</v>
      </c>
      <c r="R269" s="24"/>
      <c r="S269" s="24"/>
      <c r="T269" s="24"/>
      <c r="U269" s="24"/>
      <c r="V269" s="24"/>
      <c r="W269" s="24"/>
      <c r="X269" s="24"/>
      <c r="Y269" s="24"/>
      <c r="Z269" s="23"/>
      <c r="AA269" s="23"/>
      <c r="AB269" s="23"/>
      <c r="AC269" s="23"/>
      <c r="AD269" s="23"/>
      <c r="AE269" s="23"/>
      <c r="AF269" s="23"/>
      <c r="AG269" s="23"/>
      <c r="AH269" s="22"/>
      <c r="AI269" s="22"/>
      <c r="AJ269" s="22"/>
      <c r="AK269" s="22"/>
      <c r="AL269" s="22"/>
      <c r="AM269" s="22"/>
      <c r="AN269" s="22"/>
      <c r="AO269" s="16"/>
      <c r="AP269" s="21"/>
      <c r="AQ269" s="21"/>
      <c r="AR269" s="21"/>
      <c r="AS269" s="21"/>
      <c r="AT269" s="18"/>
      <c r="AU269" s="18"/>
      <c r="AV269" s="18"/>
      <c r="AW269" s="20"/>
      <c r="AX269" s="20"/>
      <c r="AY269" s="17"/>
      <c r="AZ269" s="17"/>
      <c r="BA269" s="20"/>
      <c r="BB269" s="20"/>
      <c r="BC269" s="17"/>
      <c r="BD269" s="17"/>
      <c r="BE269" s="20"/>
      <c r="BF269" s="17"/>
      <c r="BG269" s="19"/>
      <c r="BH269" s="19"/>
      <c r="BI269" s="19"/>
      <c r="BJ269" s="19"/>
      <c r="BK269" s="19"/>
      <c r="BL269" s="19"/>
      <c r="BM269" s="19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</row>
    <row r="270" spans="1:78" ht="12" customHeight="1" x14ac:dyDescent="0.25">
      <c r="A270" s="26"/>
      <c r="B270" s="28"/>
      <c r="C270" s="28"/>
      <c r="D270" s="15" t="str">
        <f>IF(IF(ISNUMBER(B270),"",MAX(D$4:D269)+1)&lt;=D$3,IF(ISNUMBER(B270),"",MAX(D$4:D269)+1),"")</f>
        <v/>
      </c>
      <c r="E270" s="28"/>
      <c r="F270" s="28"/>
      <c r="G270" s="27"/>
      <c r="H270" s="15"/>
      <c r="I270" s="15" t="str">
        <f>IF(O270="","",IF(ISNUMBER(MATCH(O270,$G$5:$G$1000,0)),"",IF(D270=1,B$4,0)+MAX(I$4:I269)+1))</f>
        <v/>
      </c>
      <c r="J270" s="27"/>
      <c r="K270" s="27"/>
      <c r="L270" s="26"/>
      <c r="M270" s="14">
        <f>IF(ROW()-ROW(M$4)&lt;=1000,ROW()-ROW(M$4),"")</f>
        <v>266</v>
      </c>
      <c r="N270" s="29"/>
      <c r="O270" s="29"/>
      <c r="P270" s="17"/>
      <c r="Q270" s="16" t="s">
        <v>0</v>
      </c>
      <c r="R270" s="24"/>
      <c r="S270" s="24"/>
      <c r="T270" s="24"/>
      <c r="U270" s="24"/>
      <c r="V270" s="24"/>
      <c r="W270" s="24"/>
      <c r="X270" s="24"/>
      <c r="Y270" s="24"/>
      <c r="Z270" s="23"/>
      <c r="AA270" s="23"/>
      <c r="AB270" s="23"/>
      <c r="AC270" s="23"/>
      <c r="AD270" s="23"/>
      <c r="AE270" s="23"/>
      <c r="AF270" s="23"/>
      <c r="AG270" s="23"/>
      <c r="AH270" s="22"/>
      <c r="AI270" s="22"/>
      <c r="AJ270" s="22"/>
      <c r="AK270" s="22"/>
      <c r="AL270" s="22"/>
      <c r="AM270" s="22"/>
      <c r="AN270" s="22"/>
      <c r="AO270" s="16"/>
      <c r="AP270" s="21"/>
      <c r="AQ270" s="21"/>
      <c r="AR270" s="21"/>
      <c r="AS270" s="21"/>
      <c r="AT270" s="18"/>
      <c r="AU270" s="18"/>
      <c r="AV270" s="18"/>
      <c r="AW270" s="20"/>
      <c r="AX270" s="20"/>
      <c r="AY270" s="17"/>
      <c r="AZ270" s="17"/>
      <c r="BA270" s="20"/>
      <c r="BB270" s="20"/>
      <c r="BC270" s="17"/>
      <c r="BD270" s="17"/>
      <c r="BE270" s="20"/>
      <c r="BF270" s="17"/>
      <c r="BG270" s="19"/>
      <c r="BH270" s="19"/>
      <c r="BI270" s="19"/>
      <c r="BJ270" s="19"/>
      <c r="BK270" s="19"/>
      <c r="BL270" s="19"/>
      <c r="BM270" s="19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</row>
    <row r="271" spans="1:78" ht="12" customHeight="1" x14ac:dyDescent="0.25">
      <c r="A271" s="26"/>
      <c r="B271" s="28"/>
      <c r="C271" s="28"/>
      <c r="D271" s="15" t="str">
        <f>IF(IF(ISNUMBER(B271),"",MAX(D$4:D270)+1)&lt;=D$3,IF(ISNUMBER(B271),"",MAX(D$4:D270)+1),"")</f>
        <v/>
      </c>
      <c r="E271" s="28"/>
      <c r="F271" s="28"/>
      <c r="G271" s="27"/>
      <c r="H271" s="15"/>
      <c r="I271" s="15" t="str">
        <f>IF(O271="","",IF(ISNUMBER(MATCH(O271,$G$5:$G$1000,0)),"",IF(D271=1,B$4,0)+MAX(I$4:I270)+1))</f>
        <v/>
      </c>
      <c r="J271" s="27"/>
      <c r="K271" s="27"/>
      <c r="L271" s="26"/>
      <c r="M271" s="14">
        <f>IF(ROW()-ROW(M$4)&lt;=1000,ROW()-ROW(M$4),"")</f>
        <v>267</v>
      </c>
      <c r="N271" s="29"/>
      <c r="O271" s="29"/>
      <c r="P271" s="17"/>
      <c r="Q271" s="16" t="s">
        <v>0</v>
      </c>
      <c r="R271" s="24"/>
      <c r="S271" s="24"/>
      <c r="T271" s="24"/>
      <c r="U271" s="24"/>
      <c r="V271" s="24"/>
      <c r="W271" s="24"/>
      <c r="X271" s="24"/>
      <c r="Y271" s="24"/>
      <c r="Z271" s="23"/>
      <c r="AA271" s="23"/>
      <c r="AB271" s="23"/>
      <c r="AC271" s="23"/>
      <c r="AD271" s="23"/>
      <c r="AE271" s="23"/>
      <c r="AF271" s="23"/>
      <c r="AG271" s="23"/>
      <c r="AH271" s="22"/>
      <c r="AI271" s="22"/>
      <c r="AJ271" s="22"/>
      <c r="AK271" s="22"/>
      <c r="AL271" s="22"/>
      <c r="AM271" s="22"/>
      <c r="AN271" s="22"/>
      <c r="AO271" s="16"/>
      <c r="AP271" s="21"/>
      <c r="AQ271" s="21"/>
      <c r="AR271" s="21"/>
      <c r="AS271" s="21"/>
      <c r="AT271" s="18"/>
      <c r="AU271" s="18"/>
      <c r="AV271" s="18"/>
      <c r="AW271" s="20"/>
      <c r="AX271" s="20"/>
      <c r="AY271" s="17"/>
      <c r="AZ271" s="17"/>
      <c r="BA271" s="20"/>
      <c r="BB271" s="20"/>
      <c r="BC271" s="17"/>
      <c r="BD271" s="17"/>
      <c r="BE271" s="20"/>
      <c r="BF271" s="17"/>
      <c r="BG271" s="19"/>
      <c r="BH271" s="19"/>
      <c r="BI271" s="19"/>
      <c r="BJ271" s="19"/>
      <c r="BK271" s="19"/>
      <c r="BL271" s="19"/>
      <c r="BM271" s="19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</row>
    <row r="272" spans="1:78" ht="12" customHeight="1" x14ac:dyDescent="0.25">
      <c r="A272" s="26"/>
      <c r="B272" s="28"/>
      <c r="C272" s="28"/>
      <c r="D272" s="15" t="str">
        <f>IF(IF(ISNUMBER(B272),"",MAX(D$4:D271)+1)&lt;=D$3,IF(ISNUMBER(B272),"",MAX(D$4:D271)+1),"")</f>
        <v/>
      </c>
      <c r="E272" s="28"/>
      <c r="F272" s="28"/>
      <c r="G272" s="27"/>
      <c r="H272" s="15"/>
      <c r="I272" s="15" t="str">
        <f>IF(O272="","",IF(ISNUMBER(MATCH(O272,$G$5:$G$1000,0)),"",IF(D272=1,B$4,0)+MAX(I$4:I271)+1))</f>
        <v/>
      </c>
      <c r="J272" s="27"/>
      <c r="K272" s="27"/>
      <c r="L272" s="26"/>
      <c r="M272" s="14">
        <f>IF(ROW()-ROW(M$4)&lt;=1000,ROW()-ROW(M$4),"")</f>
        <v>268</v>
      </c>
      <c r="N272" s="29"/>
      <c r="O272" s="29"/>
      <c r="P272" s="17"/>
      <c r="Q272" s="16" t="s">
        <v>0</v>
      </c>
      <c r="R272" s="24"/>
      <c r="S272" s="24"/>
      <c r="T272" s="24"/>
      <c r="U272" s="24"/>
      <c r="V272" s="24"/>
      <c r="W272" s="24"/>
      <c r="X272" s="24"/>
      <c r="Y272" s="24"/>
      <c r="Z272" s="23"/>
      <c r="AA272" s="23"/>
      <c r="AB272" s="23"/>
      <c r="AC272" s="23"/>
      <c r="AD272" s="23"/>
      <c r="AE272" s="23"/>
      <c r="AF272" s="23"/>
      <c r="AG272" s="23"/>
      <c r="AH272" s="22"/>
      <c r="AI272" s="22"/>
      <c r="AJ272" s="22"/>
      <c r="AK272" s="22"/>
      <c r="AL272" s="22"/>
      <c r="AM272" s="22"/>
      <c r="AN272" s="22"/>
      <c r="AO272" s="16"/>
      <c r="AP272" s="21"/>
      <c r="AQ272" s="21"/>
      <c r="AR272" s="21"/>
      <c r="AS272" s="21"/>
      <c r="AT272" s="18"/>
      <c r="AU272" s="18"/>
      <c r="AV272" s="18"/>
      <c r="AW272" s="20"/>
      <c r="AX272" s="20"/>
      <c r="AY272" s="17"/>
      <c r="AZ272" s="17"/>
      <c r="BA272" s="20"/>
      <c r="BB272" s="20"/>
      <c r="BC272" s="17"/>
      <c r="BD272" s="17"/>
      <c r="BE272" s="20"/>
      <c r="BF272" s="17"/>
      <c r="BG272" s="19"/>
      <c r="BH272" s="19"/>
      <c r="BI272" s="19"/>
      <c r="BJ272" s="19"/>
      <c r="BK272" s="19"/>
      <c r="BL272" s="19"/>
      <c r="BM272" s="19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</row>
    <row r="273" spans="1:78" ht="12" customHeight="1" x14ac:dyDescent="0.25">
      <c r="A273" s="26"/>
      <c r="B273" s="28"/>
      <c r="C273" s="28"/>
      <c r="D273" s="15" t="str">
        <f>IF(IF(ISNUMBER(B273),"",MAX(D$4:D272)+1)&lt;=D$3,IF(ISNUMBER(B273),"",MAX(D$4:D272)+1),"")</f>
        <v/>
      </c>
      <c r="E273" s="28"/>
      <c r="F273" s="28"/>
      <c r="G273" s="27"/>
      <c r="H273" s="15"/>
      <c r="I273" s="15" t="str">
        <f>IF(O273="","",IF(ISNUMBER(MATCH(O273,$G$5:$G$1000,0)),"",IF(D273=1,B$4,0)+MAX(I$4:I272)+1))</f>
        <v/>
      </c>
      <c r="J273" s="27"/>
      <c r="K273" s="27"/>
      <c r="L273" s="26"/>
      <c r="M273" s="14">
        <f>IF(ROW()-ROW(M$4)&lt;=1000,ROW()-ROW(M$4),"")</f>
        <v>269</v>
      </c>
      <c r="N273" s="29"/>
      <c r="O273" s="29"/>
      <c r="P273" s="17"/>
      <c r="Q273" s="16" t="s">
        <v>0</v>
      </c>
      <c r="R273" s="24"/>
      <c r="S273" s="24"/>
      <c r="T273" s="24"/>
      <c r="U273" s="24"/>
      <c r="V273" s="24"/>
      <c r="W273" s="24"/>
      <c r="X273" s="24"/>
      <c r="Y273" s="24"/>
      <c r="Z273" s="23"/>
      <c r="AA273" s="23"/>
      <c r="AB273" s="23"/>
      <c r="AC273" s="23"/>
      <c r="AD273" s="23"/>
      <c r="AE273" s="23"/>
      <c r="AF273" s="23"/>
      <c r="AG273" s="23"/>
      <c r="AH273" s="22"/>
      <c r="AI273" s="22"/>
      <c r="AJ273" s="22"/>
      <c r="AK273" s="22"/>
      <c r="AL273" s="22"/>
      <c r="AM273" s="22"/>
      <c r="AN273" s="22"/>
      <c r="AO273" s="16"/>
      <c r="AP273" s="21"/>
      <c r="AQ273" s="21"/>
      <c r="AR273" s="21"/>
      <c r="AS273" s="21"/>
      <c r="AT273" s="18"/>
      <c r="AU273" s="18"/>
      <c r="AV273" s="18"/>
      <c r="AW273" s="20"/>
      <c r="AX273" s="20"/>
      <c r="AY273" s="17"/>
      <c r="AZ273" s="17"/>
      <c r="BA273" s="20"/>
      <c r="BB273" s="20"/>
      <c r="BC273" s="17"/>
      <c r="BD273" s="17"/>
      <c r="BE273" s="20"/>
      <c r="BF273" s="17"/>
      <c r="BG273" s="19"/>
      <c r="BH273" s="19"/>
      <c r="BI273" s="19"/>
      <c r="BJ273" s="19"/>
      <c r="BK273" s="19"/>
      <c r="BL273" s="19"/>
      <c r="BM273" s="19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</row>
    <row r="274" spans="1:78" ht="12" customHeight="1" x14ac:dyDescent="0.25">
      <c r="A274" s="26"/>
      <c r="B274" s="28"/>
      <c r="C274" s="28"/>
      <c r="D274" s="15" t="str">
        <f>IF(IF(ISNUMBER(B274),"",MAX(D$4:D273)+1)&lt;=D$3,IF(ISNUMBER(B274),"",MAX(D$4:D273)+1),"")</f>
        <v/>
      </c>
      <c r="E274" s="28"/>
      <c r="F274" s="28"/>
      <c r="G274" s="27"/>
      <c r="H274" s="15"/>
      <c r="I274" s="15" t="str">
        <f>IF(O274="","",IF(ISNUMBER(MATCH(O274,$G$5:$G$1000,0)),"",IF(D274=1,B$4,0)+MAX(I$4:I273)+1))</f>
        <v/>
      </c>
      <c r="J274" s="27"/>
      <c r="K274" s="27"/>
      <c r="L274" s="26"/>
      <c r="M274" s="14">
        <f>IF(ROW()-ROW(M$4)&lt;=1000,ROW()-ROW(M$4),"")</f>
        <v>270</v>
      </c>
      <c r="N274" s="29"/>
      <c r="O274" s="29"/>
      <c r="P274" s="17"/>
      <c r="Q274" s="16" t="s">
        <v>0</v>
      </c>
      <c r="R274" s="24"/>
      <c r="S274" s="24"/>
      <c r="T274" s="24"/>
      <c r="U274" s="24"/>
      <c r="V274" s="24"/>
      <c r="W274" s="24"/>
      <c r="X274" s="24"/>
      <c r="Y274" s="24"/>
      <c r="Z274" s="23"/>
      <c r="AA274" s="23"/>
      <c r="AB274" s="23"/>
      <c r="AC274" s="23"/>
      <c r="AD274" s="23"/>
      <c r="AE274" s="23"/>
      <c r="AF274" s="23"/>
      <c r="AG274" s="23"/>
      <c r="AH274" s="22"/>
      <c r="AI274" s="22"/>
      <c r="AJ274" s="22"/>
      <c r="AK274" s="22"/>
      <c r="AL274" s="22"/>
      <c r="AM274" s="22"/>
      <c r="AN274" s="22"/>
      <c r="AO274" s="16"/>
      <c r="AP274" s="21"/>
      <c r="AQ274" s="21"/>
      <c r="AR274" s="21"/>
      <c r="AS274" s="21"/>
      <c r="AT274" s="18"/>
      <c r="AU274" s="18"/>
      <c r="AV274" s="18"/>
      <c r="AW274" s="20"/>
      <c r="AX274" s="20"/>
      <c r="AY274" s="17"/>
      <c r="AZ274" s="17"/>
      <c r="BA274" s="20"/>
      <c r="BB274" s="20"/>
      <c r="BC274" s="17"/>
      <c r="BD274" s="17"/>
      <c r="BE274" s="20"/>
      <c r="BF274" s="17"/>
      <c r="BG274" s="19"/>
      <c r="BH274" s="19"/>
      <c r="BI274" s="19"/>
      <c r="BJ274" s="19"/>
      <c r="BK274" s="19"/>
      <c r="BL274" s="19"/>
      <c r="BM274" s="19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</row>
    <row r="275" spans="1:78" ht="12" customHeight="1" x14ac:dyDescent="0.25">
      <c r="A275" s="26"/>
      <c r="B275" s="28"/>
      <c r="C275" s="28"/>
      <c r="D275" s="15" t="str">
        <f>IF(IF(ISNUMBER(B275),"",MAX(D$4:D274)+1)&lt;=D$3,IF(ISNUMBER(B275),"",MAX(D$4:D274)+1),"")</f>
        <v/>
      </c>
      <c r="E275" s="28"/>
      <c r="F275" s="28"/>
      <c r="G275" s="27"/>
      <c r="H275" s="15"/>
      <c r="I275" s="15" t="str">
        <f>IF(O275="","",IF(ISNUMBER(MATCH(O275,$G$5:$G$1000,0)),"",IF(D275=1,B$4,0)+MAX(I$4:I274)+1))</f>
        <v/>
      </c>
      <c r="J275" s="27"/>
      <c r="K275" s="27"/>
      <c r="L275" s="26"/>
      <c r="M275" s="14">
        <f>IF(ROW()-ROW(M$4)&lt;=1000,ROW()-ROW(M$4),"")</f>
        <v>271</v>
      </c>
      <c r="N275" s="29"/>
      <c r="O275" s="29"/>
      <c r="P275" s="17"/>
      <c r="Q275" s="16" t="s">
        <v>0</v>
      </c>
      <c r="R275" s="24"/>
      <c r="S275" s="24"/>
      <c r="T275" s="24"/>
      <c r="U275" s="24"/>
      <c r="V275" s="24"/>
      <c r="W275" s="24"/>
      <c r="X275" s="24"/>
      <c r="Y275" s="24"/>
      <c r="Z275" s="23"/>
      <c r="AA275" s="23"/>
      <c r="AB275" s="23"/>
      <c r="AC275" s="23"/>
      <c r="AD275" s="23"/>
      <c r="AE275" s="23"/>
      <c r="AF275" s="23"/>
      <c r="AG275" s="23"/>
      <c r="AH275" s="22"/>
      <c r="AI275" s="22"/>
      <c r="AJ275" s="22"/>
      <c r="AK275" s="22"/>
      <c r="AL275" s="22"/>
      <c r="AM275" s="22"/>
      <c r="AN275" s="22"/>
      <c r="AO275" s="16"/>
      <c r="AP275" s="21"/>
      <c r="AQ275" s="21"/>
      <c r="AR275" s="21"/>
      <c r="AS275" s="21"/>
      <c r="AT275" s="18"/>
      <c r="AU275" s="18"/>
      <c r="AV275" s="18"/>
      <c r="AW275" s="20"/>
      <c r="AX275" s="20"/>
      <c r="AY275" s="17"/>
      <c r="AZ275" s="17"/>
      <c r="BA275" s="20"/>
      <c r="BB275" s="20"/>
      <c r="BC275" s="17"/>
      <c r="BD275" s="17"/>
      <c r="BE275" s="20"/>
      <c r="BF275" s="17"/>
      <c r="BG275" s="19"/>
      <c r="BH275" s="19"/>
      <c r="BI275" s="19"/>
      <c r="BJ275" s="19"/>
      <c r="BK275" s="19"/>
      <c r="BL275" s="19"/>
      <c r="BM275" s="19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</row>
    <row r="276" spans="1:78" ht="12" customHeight="1" x14ac:dyDescent="0.25">
      <c r="A276" s="26"/>
      <c r="B276" s="28"/>
      <c r="C276" s="28"/>
      <c r="D276" s="15" t="str">
        <f>IF(IF(ISNUMBER(B276),"",MAX(D$4:D275)+1)&lt;=D$3,IF(ISNUMBER(B276),"",MAX(D$4:D275)+1),"")</f>
        <v/>
      </c>
      <c r="E276" s="28"/>
      <c r="F276" s="28"/>
      <c r="G276" s="27"/>
      <c r="H276" s="15"/>
      <c r="I276" s="15" t="str">
        <f>IF(O276="","",IF(ISNUMBER(MATCH(O276,$G$5:$G$1000,0)),"",IF(D276=1,B$4,0)+MAX(I$4:I275)+1))</f>
        <v/>
      </c>
      <c r="J276" s="27"/>
      <c r="K276" s="27"/>
      <c r="L276" s="26"/>
      <c r="M276" s="14">
        <f>IF(ROW()-ROW(M$4)&lt;=1000,ROW()-ROW(M$4),"")</f>
        <v>272</v>
      </c>
      <c r="N276" s="29"/>
      <c r="O276" s="29"/>
      <c r="P276" s="17"/>
      <c r="Q276" s="16" t="s">
        <v>0</v>
      </c>
      <c r="R276" s="24"/>
      <c r="S276" s="24"/>
      <c r="T276" s="24"/>
      <c r="U276" s="24"/>
      <c r="V276" s="24"/>
      <c r="W276" s="24"/>
      <c r="X276" s="24"/>
      <c r="Y276" s="24"/>
      <c r="Z276" s="23"/>
      <c r="AA276" s="23"/>
      <c r="AB276" s="23"/>
      <c r="AC276" s="23"/>
      <c r="AD276" s="23"/>
      <c r="AE276" s="23"/>
      <c r="AF276" s="23"/>
      <c r="AG276" s="23"/>
      <c r="AH276" s="22"/>
      <c r="AI276" s="22"/>
      <c r="AJ276" s="22"/>
      <c r="AK276" s="22"/>
      <c r="AL276" s="22"/>
      <c r="AM276" s="22"/>
      <c r="AN276" s="22"/>
      <c r="AO276" s="16"/>
      <c r="AP276" s="21"/>
      <c r="AQ276" s="21"/>
      <c r="AR276" s="21"/>
      <c r="AS276" s="21"/>
      <c r="AT276" s="18"/>
      <c r="AU276" s="18"/>
      <c r="AV276" s="18"/>
      <c r="AW276" s="20"/>
      <c r="AX276" s="20"/>
      <c r="AY276" s="17"/>
      <c r="AZ276" s="17"/>
      <c r="BA276" s="20"/>
      <c r="BB276" s="20"/>
      <c r="BC276" s="17"/>
      <c r="BD276" s="17"/>
      <c r="BE276" s="20"/>
      <c r="BF276" s="17"/>
      <c r="BG276" s="19"/>
      <c r="BH276" s="19"/>
      <c r="BI276" s="19"/>
      <c r="BJ276" s="19"/>
      <c r="BK276" s="19"/>
      <c r="BL276" s="19"/>
      <c r="BM276" s="19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</row>
    <row r="277" spans="1:78" ht="12" customHeight="1" x14ac:dyDescent="0.25">
      <c r="A277" s="26"/>
      <c r="B277" s="28"/>
      <c r="C277" s="28"/>
      <c r="D277" s="15" t="str">
        <f>IF(IF(ISNUMBER(B277),"",MAX(D$4:D276)+1)&lt;=D$3,IF(ISNUMBER(B277),"",MAX(D$4:D276)+1),"")</f>
        <v/>
      </c>
      <c r="E277" s="28"/>
      <c r="F277" s="28"/>
      <c r="G277" s="27"/>
      <c r="H277" s="15"/>
      <c r="I277" s="15" t="str">
        <f>IF(O277="","",IF(ISNUMBER(MATCH(O277,$G$5:$G$1000,0)),"",IF(D277=1,B$4,0)+MAX(I$4:I276)+1))</f>
        <v/>
      </c>
      <c r="J277" s="27"/>
      <c r="K277" s="27"/>
      <c r="L277" s="26"/>
      <c r="M277" s="14">
        <f>IF(ROW()-ROW(M$4)&lt;=1000,ROW()-ROW(M$4),"")</f>
        <v>273</v>
      </c>
      <c r="N277" s="29"/>
      <c r="O277" s="29"/>
      <c r="P277" s="17"/>
      <c r="Q277" s="16" t="s">
        <v>0</v>
      </c>
      <c r="R277" s="24"/>
      <c r="S277" s="24"/>
      <c r="T277" s="24"/>
      <c r="U277" s="24"/>
      <c r="V277" s="24"/>
      <c r="W277" s="24"/>
      <c r="X277" s="24"/>
      <c r="Y277" s="24"/>
      <c r="Z277" s="23"/>
      <c r="AA277" s="23"/>
      <c r="AB277" s="23"/>
      <c r="AC277" s="23"/>
      <c r="AD277" s="23"/>
      <c r="AE277" s="23"/>
      <c r="AF277" s="23"/>
      <c r="AG277" s="23"/>
      <c r="AH277" s="22"/>
      <c r="AI277" s="22"/>
      <c r="AJ277" s="22"/>
      <c r="AK277" s="22"/>
      <c r="AL277" s="22"/>
      <c r="AM277" s="22"/>
      <c r="AN277" s="22"/>
      <c r="AO277" s="16"/>
      <c r="AP277" s="21"/>
      <c r="AQ277" s="21"/>
      <c r="AR277" s="21"/>
      <c r="AS277" s="21"/>
      <c r="AT277" s="18"/>
      <c r="AU277" s="18"/>
      <c r="AV277" s="18"/>
      <c r="AW277" s="20"/>
      <c r="AX277" s="20"/>
      <c r="AY277" s="17"/>
      <c r="AZ277" s="17"/>
      <c r="BA277" s="20"/>
      <c r="BB277" s="20"/>
      <c r="BC277" s="17"/>
      <c r="BD277" s="17"/>
      <c r="BE277" s="20"/>
      <c r="BF277" s="17"/>
      <c r="BG277" s="19"/>
      <c r="BH277" s="19"/>
      <c r="BI277" s="19"/>
      <c r="BJ277" s="19"/>
      <c r="BK277" s="19"/>
      <c r="BL277" s="19"/>
      <c r="BM277" s="19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</row>
    <row r="278" spans="1:78" ht="12" customHeight="1" x14ac:dyDescent="0.25">
      <c r="A278" s="26"/>
      <c r="B278" s="28"/>
      <c r="C278" s="28"/>
      <c r="D278" s="15" t="str">
        <f>IF(IF(ISNUMBER(B278),"",MAX(D$4:D277)+1)&lt;=D$3,IF(ISNUMBER(B278),"",MAX(D$4:D277)+1),"")</f>
        <v/>
      </c>
      <c r="E278" s="28"/>
      <c r="F278" s="28"/>
      <c r="G278" s="27"/>
      <c r="H278" s="15"/>
      <c r="I278" s="15" t="str">
        <f>IF(O278="","",IF(ISNUMBER(MATCH(O278,$G$5:$G$1000,0)),"",IF(D278=1,B$4,0)+MAX(I$4:I277)+1))</f>
        <v/>
      </c>
      <c r="J278" s="27"/>
      <c r="K278" s="27"/>
      <c r="L278" s="26"/>
      <c r="M278" s="14">
        <f>IF(ROW()-ROW(M$4)&lt;=1000,ROW()-ROW(M$4),"")</f>
        <v>274</v>
      </c>
      <c r="N278" s="29"/>
      <c r="O278" s="29"/>
      <c r="P278" s="17"/>
      <c r="Q278" s="16" t="s">
        <v>0</v>
      </c>
      <c r="R278" s="24"/>
      <c r="S278" s="24"/>
      <c r="T278" s="24"/>
      <c r="U278" s="24"/>
      <c r="V278" s="24"/>
      <c r="W278" s="24"/>
      <c r="X278" s="24"/>
      <c r="Y278" s="24"/>
      <c r="Z278" s="23"/>
      <c r="AA278" s="23"/>
      <c r="AB278" s="23"/>
      <c r="AC278" s="23"/>
      <c r="AD278" s="23"/>
      <c r="AE278" s="23"/>
      <c r="AF278" s="23"/>
      <c r="AG278" s="23"/>
      <c r="AH278" s="22"/>
      <c r="AI278" s="22"/>
      <c r="AJ278" s="22"/>
      <c r="AK278" s="22"/>
      <c r="AL278" s="22"/>
      <c r="AM278" s="22"/>
      <c r="AN278" s="22"/>
      <c r="AO278" s="16"/>
      <c r="AP278" s="21"/>
      <c r="AQ278" s="21"/>
      <c r="AR278" s="21"/>
      <c r="AS278" s="21"/>
      <c r="AT278" s="18"/>
      <c r="AU278" s="18"/>
      <c r="AV278" s="18"/>
      <c r="AW278" s="20"/>
      <c r="AX278" s="20"/>
      <c r="AY278" s="17"/>
      <c r="AZ278" s="17"/>
      <c r="BA278" s="20"/>
      <c r="BB278" s="20"/>
      <c r="BC278" s="17"/>
      <c r="BD278" s="17"/>
      <c r="BE278" s="20"/>
      <c r="BF278" s="17"/>
      <c r="BG278" s="19"/>
      <c r="BH278" s="19"/>
      <c r="BI278" s="19"/>
      <c r="BJ278" s="19"/>
      <c r="BK278" s="19"/>
      <c r="BL278" s="19"/>
      <c r="BM278" s="19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</row>
    <row r="279" spans="1:78" ht="12" customHeight="1" x14ac:dyDescent="0.25">
      <c r="A279" s="26"/>
      <c r="B279" s="28"/>
      <c r="C279" s="28"/>
      <c r="D279" s="15" t="str">
        <f>IF(IF(ISNUMBER(B279),"",MAX(D$4:D278)+1)&lt;=D$3,IF(ISNUMBER(B279),"",MAX(D$4:D278)+1),"")</f>
        <v/>
      </c>
      <c r="E279" s="28"/>
      <c r="F279" s="28"/>
      <c r="G279" s="27"/>
      <c r="H279" s="15"/>
      <c r="I279" s="15" t="str">
        <f>IF(O279="","",IF(ISNUMBER(MATCH(O279,$G$5:$G$1000,0)),"",IF(D279=1,B$4,0)+MAX(I$4:I278)+1))</f>
        <v/>
      </c>
      <c r="J279" s="27"/>
      <c r="K279" s="27"/>
      <c r="L279" s="26"/>
      <c r="M279" s="14">
        <f>IF(ROW()-ROW(M$4)&lt;=1000,ROW()-ROW(M$4),"")</f>
        <v>275</v>
      </c>
      <c r="N279" s="29"/>
      <c r="O279" s="29"/>
      <c r="P279" s="17"/>
      <c r="Q279" s="16" t="s">
        <v>0</v>
      </c>
      <c r="R279" s="24"/>
      <c r="S279" s="24"/>
      <c r="T279" s="24"/>
      <c r="U279" s="24"/>
      <c r="V279" s="24"/>
      <c r="W279" s="24"/>
      <c r="X279" s="24"/>
      <c r="Y279" s="24"/>
      <c r="Z279" s="23"/>
      <c r="AA279" s="23"/>
      <c r="AB279" s="23"/>
      <c r="AC279" s="23"/>
      <c r="AD279" s="23"/>
      <c r="AE279" s="23"/>
      <c r="AF279" s="23"/>
      <c r="AG279" s="23"/>
      <c r="AH279" s="22"/>
      <c r="AI279" s="22"/>
      <c r="AJ279" s="22"/>
      <c r="AK279" s="22"/>
      <c r="AL279" s="22"/>
      <c r="AM279" s="22"/>
      <c r="AN279" s="22"/>
      <c r="AO279" s="16"/>
      <c r="AP279" s="21"/>
      <c r="AQ279" s="21"/>
      <c r="AR279" s="21"/>
      <c r="AS279" s="21"/>
      <c r="AT279" s="18"/>
      <c r="AU279" s="18"/>
      <c r="AV279" s="18"/>
      <c r="AW279" s="20"/>
      <c r="AX279" s="20"/>
      <c r="AY279" s="17"/>
      <c r="AZ279" s="17"/>
      <c r="BA279" s="20"/>
      <c r="BB279" s="20"/>
      <c r="BC279" s="17"/>
      <c r="BD279" s="17"/>
      <c r="BE279" s="20"/>
      <c r="BF279" s="17"/>
      <c r="BG279" s="19"/>
      <c r="BH279" s="19"/>
      <c r="BI279" s="19"/>
      <c r="BJ279" s="19"/>
      <c r="BK279" s="19"/>
      <c r="BL279" s="19"/>
      <c r="BM279" s="19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</row>
    <row r="280" spans="1:78" ht="12" customHeight="1" x14ac:dyDescent="0.25">
      <c r="A280" s="26"/>
      <c r="B280" s="28"/>
      <c r="C280" s="28"/>
      <c r="D280" s="15" t="str">
        <f>IF(IF(ISNUMBER(B280),"",MAX(D$4:D279)+1)&lt;=D$3,IF(ISNUMBER(B280),"",MAX(D$4:D279)+1),"")</f>
        <v/>
      </c>
      <c r="E280" s="28"/>
      <c r="F280" s="28"/>
      <c r="G280" s="27"/>
      <c r="H280" s="15"/>
      <c r="I280" s="15" t="str">
        <f>IF(O280="","",IF(ISNUMBER(MATCH(O280,$G$5:$G$1000,0)),"",IF(D280=1,B$4,0)+MAX(I$4:I279)+1))</f>
        <v/>
      </c>
      <c r="J280" s="27"/>
      <c r="K280" s="27"/>
      <c r="L280" s="26"/>
      <c r="M280" s="14">
        <f>IF(ROW()-ROW(M$4)&lt;=1000,ROW()-ROW(M$4),"")</f>
        <v>276</v>
      </c>
      <c r="N280" s="29"/>
      <c r="O280" s="29"/>
      <c r="P280" s="17"/>
      <c r="Q280" s="16" t="s">
        <v>0</v>
      </c>
      <c r="R280" s="24"/>
      <c r="S280" s="24"/>
      <c r="T280" s="24"/>
      <c r="U280" s="24"/>
      <c r="V280" s="24"/>
      <c r="W280" s="24"/>
      <c r="X280" s="24"/>
      <c r="Y280" s="24"/>
      <c r="Z280" s="23"/>
      <c r="AA280" s="23"/>
      <c r="AB280" s="23"/>
      <c r="AC280" s="23"/>
      <c r="AD280" s="23"/>
      <c r="AE280" s="23"/>
      <c r="AF280" s="23"/>
      <c r="AG280" s="23"/>
      <c r="AH280" s="22"/>
      <c r="AI280" s="22"/>
      <c r="AJ280" s="22"/>
      <c r="AK280" s="22"/>
      <c r="AL280" s="22"/>
      <c r="AM280" s="22"/>
      <c r="AN280" s="22"/>
      <c r="AO280" s="16"/>
      <c r="AP280" s="21"/>
      <c r="AQ280" s="21"/>
      <c r="AR280" s="21"/>
      <c r="AS280" s="21"/>
      <c r="AT280" s="18"/>
      <c r="AU280" s="18"/>
      <c r="AV280" s="18"/>
      <c r="AW280" s="20"/>
      <c r="AX280" s="20"/>
      <c r="AY280" s="17"/>
      <c r="AZ280" s="17"/>
      <c r="BA280" s="20"/>
      <c r="BB280" s="20"/>
      <c r="BC280" s="17"/>
      <c r="BD280" s="17"/>
      <c r="BE280" s="20"/>
      <c r="BF280" s="17"/>
      <c r="BG280" s="19"/>
      <c r="BH280" s="19"/>
      <c r="BI280" s="19"/>
      <c r="BJ280" s="19"/>
      <c r="BK280" s="19"/>
      <c r="BL280" s="19"/>
      <c r="BM280" s="19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</row>
    <row r="281" spans="1:78" ht="12" customHeight="1" x14ac:dyDescent="0.25">
      <c r="A281" s="26"/>
      <c r="B281" s="28"/>
      <c r="C281" s="28"/>
      <c r="D281" s="15" t="str">
        <f>IF(IF(ISNUMBER(B281),"",MAX(D$4:D280)+1)&lt;=D$3,IF(ISNUMBER(B281),"",MAX(D$4:D280)+1),"")</f>
        <v/>
      </c>
      <c r="E281" s="28"/>
      <c r="F281" s="28"/>
      <c r="G281" s="27"/>
      <c r="H281" s="15"/>
      <c r="I281" s="15" t="str">
        <f>IF(O281="","",IF(ISNUMBER(MATCH(O281,$G$5:$G$1000,0)),"",IF(D281=1,B$4,0)+MAX(I$4:I280)+1))</f>
        <v/>
      </c>
      <c r="J281" s="27"/>
      <c r="K281" s="27"/>
      <c r="L281" s="26"/>
      <c r="M281" s="14">
        <f>IF(ROW()-ROW(M$4)&lt;=1000,ROW()-ROW(M$4),"")</f>
        <v>277</v>
      </c>
      <c r="N281" s="29"/>
      <c r="O281" s="29"/>
      <c r="P281" s="17"/>
      <c r="Q281" s="16" t="s">
        <v>0</v>
      </c>
      <c r="R281" s="24"/>
      <c r="S281" s="24"/>
      <c r="T281" s="24"/>
      <c r="U281" s="24"/>
      <c r="V281" s="24"/>
      <c r="W281" s="24"/>
      <c r="X281" s="24"/>
      <c r="Y281" s="24"/>
      <c r="Z281" s="23"/>
      <c r="AA281" s="23"/>
      <c r="AB281" s="23"/>
      <c r="AC281" s="23"/>
      <c r="AD281" s="23"/>
      <c r="AE281" s="23"/>
      <c r="AF281" s="23"/>
      <c r="AG281" s="23"/>
      <c r="AH281" s="22"/>
      <c r="AI281" s="22"/>
      <c r="AJ281" s="22"/>
      <c r="AK281" s="22"/>
      <c r="AL281" s="22"/>
      <c r="AM281" s="22"/>
      <c r="AN281" s="22"/>
      <c r="AO281" s="16"/>
      <c r="AP281" s="21"/>
      <c r="AQ281" s="21"/>
      <c r="AR281" s="21"/>
      <c r="AS281" s="21"/>
      <c r="AT281" s="18"/>
      <c r="AU281" s="18"/>
      <c r="AV281" s="18"/>
      <c r="AW281" s="20"/>
      <c r="AX281" s="20"/>
      <c r="AY281" s="17"/>
      <c r="AZ281" s="17"/>
      <c r="BA281" s="20"/>
      <c r="BB281" s="20"/>
      <c r="BC281" s="17"/>
      <c r="BD281" s="17"/>
      <c r="BE281" s="20"/>
      <c r="BF281" s="17"/>
      <c r="BG281" s="19"/>
      <c r="BH281" s="19"/>
      <c r="BI281" s="19"/>
      <c r="BJ281" s="19"/>
      <c r="BK281" s="19"/>
      <c r="BL281" s="19"/>
      <c r="BM281" s="19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</row>
    <row r="282" spans="1:78" ht="12" customHeight="1" x14ac:dyDescent="0.25">
      <c r="A282" s="26"/>
      <c r="B282" s="28"/>
      <c r="C282" s="28"/>
      <c r="D282" s="15" t="str">
        <f>IF(IF(ISNUMBER(B282),"",MAX(D$4:D281)+1)&lt;=D$3,IF(ISNUMBER(B282),"",MAX(D$4:D281)+1),"")</f>
        <v/>
      </c>
      <c r="E282" s="28"/>
      <c r="F282" s="28"/>
      <c r="G282" s="27"/>
      <c r="H282" s="15"/>
      <c r="I282" s="15" t="str">
        <f>IF(O282="","",IF(ISNUMBER(MATCH(O282,$G$5:$G$1000,0)),"",IF(D282=1,B$4,0)+MAX(I$4:I281)+1))</f>
        <v/>
      </c>
      <c r="J282" s="27"/>
      <c r="K282" s="27"/>
      <c r="L282" s="26"/>
      <c r="M282" s="14">
        <f>IF(ROW()-ROW(M$4)&lt;=1000,ROW()-ROW(M$4),"")</f>
        <v>278</v>
      </c>
      <c r="N282" s="29"/>
      <c r="O282" s="29"/>
      <c r="P282" s="17"/>
      <c r="Q282" s="16" t="s">
        <v>0</v>
      </c>
      <c r="R282" s="24"/>
      <c r="S282" s="24"/>
      <c r="T282" s="24"/>
      <c r="U282" s="24"/>
      <c r="V282" s="24"/>
      <c r="W282" s="24"/>
      <c r="X282" s="24"/>
      <c r="Y282" s="24"/>
      <c r="Z282" s="23"/>
      <c r="AA282" s="23"/>
      <c r="AB282" s="23"/>
      <c r="AC282" s="23"/>
      <c r="AD282" s="23"/>
      <c r="AE282" s="23"/>
      <c r="AF282" s="23"/>
      <c r="AG282" s="23"/>
      <c r="AH282" s="22"/>
      <c r="AI282" s="22"/>
      <c r="AJ282" s="22"/>
      <c r="AK282" s="22"/>
      <c r="AL282" s="22"/>
      <c r="AM282" s="22"/>
      <c r="AN282" s="22"/>
      <c r="AO282" s="16"/>
      <c r="AP282" s="21"/>
      <c r="AQ282" s="21"/>
      <c r="AR282" s="21"/>
      <c r="AS282" s="21"/>
      <c r="AT282" s="18"/>
      <c r="AU282" s="18"/>
      <c r="AV282" s="18"/>
      <c r="AW282" s="20"/>
      <c r="AX282" s="20"/>
      <c r="AY282" s="17"/>
      <c r="AZ282" s="17"/>
      <c r="BA282" s="20"/>
      <c r="BB282" s="20"/>
      <c r="BC282" s="17"/>
      <c r="BD282" s="17"/>
      <c r="BE282" s="20"/>
      <c r="BF282" s="17"/>
      <c r="BG282" s="19"/>
      <c r="BH282" s="19"/>
      <c r="BI282" s="19"/>
      <c r="BJ282" s="19"/>
      <c r="BK282" s="19"/>
      <c r="BL282" s="19"/>
      <c r="BM282" s="19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</row>
    <row r="283" spans="1:78" ht="12" customHeight="1" x14ac:dyDescent="0.25">
      <c r="A283" s="26"/>
      <c r="B283" s="28"/>
      <c r="C283" s="28"/>
      <c r="D283" s="15" t="str">
        <f>IF(IF(ISNUMBER(B283),"",MAX(D$4:D282)+1)&lt;=D$3,IF(ISNUMBER(B283),"",MAX(D$4:D282)+1),"")</f>
        <v/>
      </c>
      <c r="E283" s="28"/>
      <c r="F283" s="28"/>
      <c r="G283" s="27"/>
      <c r="H283" s="15"/>
      <c r="I283" s="15" t="str">
        <f>IF(O283="","",IF(ISNUMBER(MATCH(O283,$G$5:$G$1000,0)),"",IF(D283=1,B$4,0)+MAX(I$4:I282)+1))</f>
        <v/>
      </c>
      <c r="J283" s="27"/>
      <c r="K283" s="27"/>
      <c r="L283" s="26"/>
      <c r="M283" s="14">
        <f>IF(ROW()-ROW(M$4)&lt;=1000,ROW()-ROW(M$4),"")</f>
        <v>279</v>
      </c>
      <c r="N283" s="29"/>
      <c r="O283" s="29"/>
      <c r="P283" s="17"/>
      <c r="Q283" s="16" t="s">
        <v>0</v>
      </c>
      <c r="R283" s="24"/>
      <c r="S283" s="24"/>
      <c r="T283" s="24"/>
      <c r="U283" s="24"/>
      <c r="V283" s="24"/>
      <c r="W283" s="24"/>
      <c r="X283" s="24"/>
      <c r="Y283" s="24"/>
      <c r="Z283" s="23"/>
      <c r="AA283" s="23"/>
      <c r="AB283" s="23"/>
      <c r="AC283" s="23"/>
      <c r="AD283" s="23"/>
      <c r="AE283" s="23"/>
      <c r="AF283" s="23"/>
      <c r="AG283" s="23"/>
      <c r="AH283" s="22"/>
      <c r="AI283" s="22"/>
      <c r="AJ283" s="22"/>
      <c r="AK283" s="22"/>
      <c r="AL283" s="22"/>
      <c r="AM283" s="22"/>
      <c r="AN283" s="22"/>
      <c r="AO283" s="16"/>
      <c r="AP283" s="21"/>
      <c r="AQ283" s="21"/>
      <c r="AR283" s="21"/>
      <c r="AS283" s="21"/>
      <c r="AT283" s="18"/>
      <c r="AU283" s="18"/>
      <c r="AV283" s="18"/>
      <c r="AW283" s="20"/>
      <c r="AX283" s="20"/>
      <c r="AY283" s="17"/>
      <c r="AZ283" s="17"/>
      <c r="BA283" s="20"/>
      <c r="BB283" s="20"/>
      <c r="BC283" s="17"/>
      <c r="BD283" s="17"/>
      <c r="BE283" s="20"/>
      <c r="BF283" s="17"/>
      <c r="BG283" s="19"/>
      <c r="BH283" s="19"/>
      <c r="BI283" s="19"/>
      <c r="BJ283" s="19"/>
      <c r="BK283" s="19"/>
      <c r="BL283" s="19"/>
      <c r="BM283" s="19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</row>
    <row r="284" spans="1:78" ht="12" customHeight="1" x14ac:dyDescent="0.25">
      <c r="A284" s="26"/>
      <c r="B284" s="28"/>
      <c r="C284" s="28"/>
      <c r="D284" s="15" t="str">
        <f>IF(IF(ISNUMBER(B284),"",MAX(D$4:D283)+1)&lt;=D$3,IF(ISNUMBER(B284),"",MAX(D$4:D283)+1),"")</f>
        <v/>
      </c>
      <c r="E284" s="28"/>
      <c r="F284" s="28"/>
      <c r="G284" s="27"/>
      <c r="H284" s="15"/>
      <c r="I284" s="15" t="str">
        <f>IF(O284="","",IF(ISNUMBER(MATCH(O284,$G$5:$G$1000,0)),"",IF(D284=1,B$4,0)+MAX(I$4:I283)+1))</f>
        <v/>
      </c>
      <c r="J284" s="27"/>
      <c r="K284" s="27"/>
      <c r="L284" s="26"/>
      <c r="M284" s="14">
        <f>IF(ROW()-ROW(M$4)&lt;=1000,ROW()-ROW(M$4),"")</f>
        <v>280</v>
      </c>
      <c r="N284" s="29"/>
      <c r="O284" s="29"/>
      <c r="P284" s="17"/>
      <c r="Q284" s="16" t="s">
        <v>0</v>
      </c>
      <c r="R284" s="24"/>
      <c r="S284" s="24"/>
      <c r="T284" s="24"/>
      <c r="U284" s="24"/>
      <c r="V284" s="24"/>
      <c r="W284" s="24"/>
      <c r="X284" s="24"/>
      <c r="Y284" s="24"/>
      <c r="Z284" s="23"/>
      <c r="AA284" s="23"/>
      <c r="AB284" s="23"/>
      <c r="AC284" s="23"/>
      <c r="AD284" s="23"/>
      <c r="AE284" s="23"/>
      <c r="AF284" s="23"/>
      <c r="AG284" s="23"/>
      <c r="AH284" s="22"/>
      <c r="AI284" s="22"/>
      <c r="AJ284" s="22"/>
      <c r="AK284" s="22"/>
      <c r="AL284" s="22"/>
      <c r="AM284" s="22"/>
      <c r="AN284" s="22"/>
      <c r="AO284" s="16"/>
      <c r="AP284" s="21"/>
      <c r="AQ284" s="21"/>
      <c r="AR284" s="21"/>
      <c r="AS284" s="21"/>
      <c r="AT284" s="18"/>
      <c r="AU284" s="18"/>
      <c r="AV284" s="18"/>
      <c r="AW284" s="20"/>
      <c r="AX284" s="20"/>
      <c r="AY284" s="17"/>
      <c r="AZ284" s="17"/>
      <c r="BA284" s="20"/>
      <c r="BB284" s="20"/>
      <c r="BC284" s="17"/>
      <c r="BD284" s="17"/>
      <c r="BE284" s="20"/>
      <c r="BF284" s="17"/>
      <c r="BG284" s="19"/>
      <c r="BH284" s="19"/>
      <c r="BI284" s="19"/>
      <c r="BJ284" s="19"/>
      <c r="BK284" s="19"/>
      <c r="BL284" s="19"/>
      <c r="BM284" s="19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</row>
    <row r="285" spans="1:78" ht="12" customHeight="1" x14ac:dyDescent="0.25">
      <c r="A285" s="26"/>
      <c r="B285" s="28"/>
      <c r="C285" s="28"/>
      <c r="D285" s="15" t="str">
        <f>IF(IF(ISNUMBER(B285),"",MAX(D$4:D284)+1)&lt;=D$3,IF(ISNUMBER(B285),"",MAX(D$4:D284)+1),"")</f>
        <v/>
      </c>
      <c r="E285" s="28"/>
      <c r="F285" s="28"/>
      <c r="G285" s="27"/>
      <c r="H285" s="15"/>
      <c r="I285" s="15" t="str">
        <f>IF(O285="","",IF(ISNUMBER(MATCH(O285,$G$5:$G$1000,0)),"",IF(D285=1,B$4,0)+MAX(I$4:I284)+1))</f>
        <v/>
      </c>
      <c r="J285" s="27"/>
      <c r="K285" s="27"/>
      <c r="L285" s="26"/>
      <c r="M285" s="14">
        <f>IF(ROW()-ROW(M$4)&lt;=1000,ROW()-ROW(M$4),"")</f>
        <v>281</v>
      </c>
      <c r="N285" s="29"/>
      <c r="O285" s="29"/>
      <c r="P285" s="17"/>
      <c r="Q285" s="16" t="s">
        <v>0</v>
      </c>
      <c r="R285" s="24"/>
      <c r="S285" s="24"/>
      <c r="T285" s="24"/>
      <c r="U285" s="24"/>
      <c r="V285" s="24"/>
      <c r="W285" s="24"/>
      <c r="X285" s="24"/>
      <c r="Y285" s="24"/>
      <c r="Z285" s="23"/>
      <c r="AA285" s="23"/>
      <c r="AB285" s="23"/>
      <c r="AC285" s="23"/>
      <c r="AD285" s="23"/>
      <c r="AE285" s="23"/>
      <c r="AF285" s="23"/>
      <c r="AG285" s="23"/>
      <c r="AH285" s="22"/>
      <c r="AI285" s="22"/>
      <c r="AJ285" s="22"/>
      <c r="AK285" s="22"/>
      <c r="AL285" s="22"/>
      <c r="AM285" s="22"/>
      <c r="AN285" s="22"/>
      <c r="AO285" s="16"/>
      <c r="AP285" s="21"/>
      <c r="AQ285" s="21"/>
      <c r="AR285" s="21"/>
      <c r="AS285" s="21"/>
      <c r="AT285" s="18"/>
      <c r="AU285" s="18"/>
      <c r="AV285" s="18"/>
      <c r="AW285" s="20"/>
      <c r="AX285" s="20"/>
      <c r="AY285" s="17"/>
      <c r="AZ285" s="17"/>
      <c r="BA285" s="20"/>
      <c r="BB285" s="20"/>
      <c r="BC285" s="17"/>
      <c r="BD285" s="17"/>
      <c r="BE285" s="20"/>
      <c r="BF285" s="17"/>
      <c r="BG285" s="19"/>
      <c r="BH285" s="19"/>
      <c r="BI285" s="19"/>
      <c r="BJ285" s="19"/>
      <c r="BK285" s="19"/>
      <c r="BL285" s="19"/>
      <c r="BM285" s="19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</row>
    <row r="286" spans="1:78" ht="12" customHeight="1" x14ac:dyDescent="0.25">
      <c r="A286" s="26"/>
      <c r="B286" s="28"/>
      <c r="C286" s="28"/>
      <c r="D286" s="15" t="str">
        <f>IF(IF(ISNUMBER(B286),"",MAX(D$4:D285)+1)&lt;=D$3,IF(ISNUMBER(B286),"",MAX(D$4:D285)+1),"")</f>
        <v/>
      </c>
      <c r="E286" s="28"/>
      <c r="F286" s="28"/>
      <c r="G286" s="27"/>
      <c r="H286" s="15"/>
      <c r="I286" s="15" t="str">
        <f>IF(O286="","",IF(ISNUMBER(MATCH(O286,$G$5:$G$1000,0)),"",IF(D286=1,B$4,0)+MAX(I$4:I285)+1))</f>
        <v/>
      </c>
      <c r="J286" s="27"/>
      <c r="K286" s="27"/>
      <c r="L286" s="26"/>
      <c r="M286" s="14">
        <f>IF(ROW()-ROW(M$4)&lt;=1000,ROW()-ROW(M$4),"")</f>
        <v>282</v>
      </c>
      <c r="N286" s="29"/>
      <c r="O286" s="29"/>
      <c r="P286" s="17"/>
      <c r="Q286" s="16" t="s">
        <v>0</v>
      </c>
      <c r="R286" s="24"/>
      <c r="S286" s="24"/>
      <c r="T286" s="24"/>
      <c r="U286" s="24"/>
      <c r="V286" s="24"/>
      <c r="W286" s="24"/>
      <c r="X286" s="24"/>
      <c r="Y286" s="24"/>
      <c r="Z286" s="23"/>
      <c r="AA286" s="23"/>
      <c r="AB286" s="23"/>
      <c r="AC286" s="23"/>
      <c r="AD286" s="23"/>
      <c r="AE286" s="23"/>
      <c r="AF286" s="23"/>
      <c r="AG286" s="23"/>
      <c r="AH286" s="22"/>
      <c r="AI286" s="22"/>
      <c r="AJ286" s="22"/>
      <c r="AK286" s="22"/>
      <c r="AL286" s="22"/>
      <c r="AM286" s="22"/>
      <c r="AN286" s="22"/>
      <c r="AO286" s="16"/>
      <c r="AP286" s="21"/>
      <c r="AQ286" s="21"/>
      <c r="AR286" s="21"/>
      <c r="AS286" s="21"/>
      <c r="AT286" s="18"/>
      <c r="AU286" s="18"/>
      <c r="AV286" s="18"/>
      <c r="AW286" s="20"/>
      <c r="AX286" s="20"/>
      <c r="AY286" s="17"/>
      <c r="AZ286" s="17"/>
      <c r="BA286" s="20"/>
      <c r="BB286" s="20"/>
      <c r="BC286" s="17"/>
      <c r="BD286" s="17"/>
      <c r="BE286" s="20"/>
      <c r="BF286" s="17"/>
      <c r="BG286" s="19"/>
      <c r="BH286" s="19"/>
      <c r="BI286" s="19"/>
      <c r="BJ286" s="19"/>
      <c r="BK286" s="19"/>
      <c r="BL286" s="19"/>
      <c r="BM286" s="19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</row>
    <row r="287" spans="1:78" ht="12" customHeight="1" x14ac:dyDescent="0.25">
      <c r="A287" s="26"/>
      <c r="B287" s="28"/>
      <c r="C287" s="28"/>
      <c r="D287" s="15" t="str">
        <f>IF(IF(ISNUMBER(B287),"",MAX(D$4:D286)+1)&lt;=D$3,IF(ISNUMBER(B287),"",MAX(D$4:D286)+1),"")</f>
        <v/>
      </c>
      <c r="E287" s="28"/>
      <c r="F287" s="28"/>
      <c r="G287" s="27"/>
      <c r="H287" s="15"/>
      <c r="I287" s="15" t="str">
        <f>IF(O287="","",IF(ISNUMBER(MATCH(O287,$G$5:$G$1000,0)),"",IF(D287=1,B$4,0)+MAX(I$4:I286)+1))</f>
        <v/>
      </c>
      <c r="J287" s="27"/>
      <c r="K287" s="27"/>
      <c r="L287" s="26"/>
      <c r="M287" s="14">
        <f>IF(ROW()-ROW(M$4)&lt;=1000,ROW()-ROW(M$4),"")</f>
        <v>283</v>
      </c>
      <c r="N287" s="29"/>
      <c r="O287" s="29"/>
      <c r="P287" s="17"/>
      <c r="Q287" s="16" t="s">
        <v>0</v>
      </c>
      <c r="R287" s="24"/>
      <c r="S287" s="24"/>
      <c r="T287" s="24"/>
      <c r="U287" s="24"/>
      <c r="V287" s="24"/>
      <c r="W287" s="24"/>
      <c r="X287" s="24"/>
      <c r="Y287" s="24"/>
      <c r="Z287" s="23"/>
      <c r="AA287" s="23"/>
      <c r="AB287" s="23"/>
      <c r="AC287" s="23"/>
      <c r="AD287" s="23"/>
      <c r="AE287" s="23"/>
      <c r="AF287" s="23"/>
      <c r="AG287" s="23"/>
      <c r="AH287" s="22"/>
      <c r="AI287" s="22"/>
      <c r="AJ287" s="22"/>
      <c r="AK287" s="22"/>
      <c r="AL287" s="22"/>
      <c r="AM287" s="22"/>
      <c r="AN287" s="22"/>
      <c r="AO287" s="16"/>
      <c r="AP287" s="21"/>
      <c r="AQ287" s="21"/>
      <c r="AR287" s="21"/>
      <c r="AS287" s="21"/>
      <c r="AT287" s="18"/>
      <c r="AU287" s="18"/>
      <c r="AV287" s="18"/>
      <c r="AW287" s="20"/>
      <c r="AX287" s="20"/>
      <c r="AY287" s="17"/>
      <c r="AZ287" s="17"/>
      <c r="BA287" s="20"/>
      <c r="BB287" s="20"/>
      <c r="BC287" s="17"/>
      <c r="BD287" s="17"/>
      <c r="BE287" s="20"/>
      <c r="BF287" s="17"/>
      <c r="BG287" s="19"/>
      <c r="BH287" s="19"/>
      <c r="BI287" s="19"/>
      <c r="BJ287" s="19"/>
      <c r="BK287" s="19"/>
      <c r="BL287" s="19"/>
      <c r="BM287" s="19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</row>
    <row r="288" spans="1:78" ht="12" customHeight="1" x14ac:dyDescent="0.25">
      <c r="A288" s="26"/>
      <c r="B288" s="28"/>
      <c r="C288" s="28"/>
      <c r="D288" s="15" t="str">
        <f>IF(IF(ISNUMBER(B288),"",MAX(D$4:D287)+1)&lt;=D$3,IF(ISNUMBER(B288),"",MAX(D$4:D287)+1),"")</f>
        <v/>
      </c>
      <c r="E288" s="28"/>
      <c r="F288" s="28"/>
      <c r="G288" s="27"/>
      <c r="H288" s="15"/>
      <c r="I288" s="15" t="str">
        <f>IF(O288="","",IF(ISNUMBER(MATCH(O288,$G$5:$G$1000,0)),"",IF(D288=1,B$4,0)+MAX(I$4:I287)+1))</f>
        <v/>
      </c>
      <c r="J288" s="27"/>
      <c r="K288" s="27"/>
      <c r="L288" s="26"/>
      <c r="M288" s="14">
        <f>IF(ROW()-ROW(M$4)&lt;=1000,ROW()-ROW(M$4),"")</f>
        <v>284</v>
      </c>
      <c r="N288" s="29"/>
      <c r="O288" s="29"/>
      <c r="P288" s="17"/>
      <c r="Q288" s="16" t="s">
        <v>0</v>
      </c>
      <c r="R288" s="24"/>
      <c r="S288" s="24"/>
      <c r="T288" s="24"/>
      <c r="U288" s="24"/>
      <c r="V288" s="24"/>
      <c r="W288" s="24"/>
      <c r="X288" s="24"/>
      <c r="Y288" s="24"/>
      <c r="Z288" s="23"/>
      <c r="AA288" s="23"/>
      <c r="AB288" s="23"/>
      <c r="AC288" s="23"/>
      <c r="AD288" s="23"/>
      <c r="AE288" s="23"/>
      <c r="AF288" s="23"/>
      <c r="AG288" s="23"/>
      <c r="AH288" s="22"/>
      <c r="AI288" s="22"/>
      <c r="AJ288" s="22"/>
      <c r="AK288" s="22"/>
      <c r="AL288" s="22"/>
      <c r="AM288" s="22"/>
      <c r="AN288" s="22"/>
      <c r="AO288" s="16"/>
      <c r="AP288" s="21"/>
      <c r="AQ288" s="21"/>
      <c r="AR288" s="21"/>
      <c r="AS288" s="21"/>
      <c r="AT288" s="18"/>
      <c r="AU288" s="18"/>
      <c r="AV288" s="18"/>
      <c r="AW288" s="20"/>
      <c r="AX288" s="20"/>
      <c r="AY288" s="17"/>
      <c r="AZ288" s="17"/>
      <c r="BA288" s="20"/>
      <c r="BB288" s="20"/>
      <c r="BC288" s="17"/>
      <c r="BD288" s="17"/>
      <c r="BE288" s="20"/>
      <c r="BF288" s="17"/>
      <c r="BG288" s="19"/>
      <c r="BH288" s="19"/>
      <c r="BI288" s="19"/>
      <c r="BJ288" s="19"/>
      <c r="BK288" s="19"/>
      <c r="BL288" s="19"/>
      <c r="BM288" s="19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</row>
    <row r="289" spans="1:78" ht="12" customHeight="1" x14ac:dyDescent="0.25">
      <c r="A289" s="26"/>
      <c r="B289" s="28"/>
      <c r="C289" s="28"/>
      <c r="D289" s="15" t="str">
        <f>IF(IF(ISNUMBER(B289),"",MAX(D$4:D288)+1)&lt;=D$3,IF(ISNUMBER(B289),"",MAX(D$4:D288)+1),"")</f>
        <v/>
      </c>
      <c r="E289" s="28"/>
      <c r="F289" s="28"/>
      <c r="G289" s="27"/>
      <c r="H289" s="15"/>
      <c r="I289" s="15" t="str">
        <f>IF(O289="","",IF(ISNUMBER(MATCH(O289,$G$5:$G$1000,0)),"",IF(D289=1,B$4,0)+MAX(I$4:I288)+1))</f>
        <v/>
      </c>
      <c r="J289" s="27"/>
      <c r="K289" s="27"/>
      <c r="L289" s="26"/>
      <c r="M289" s="14">
        <f>IF(ROW()-ROW(M$4)&lt;=1000,ROW()-ROW(M$4),"")</f>
        <v>285</v>
      </c>
      <c r="N289" s="29"/>
      <c r="O289" s="29"/>
      <c r="P289" s="17"/>
      <c r="Q289" s="16" t="s">
        <v>0</v>
      </c>
      <c r="R289" s="24"/>
      <c r="S289" s="24"/>
      <c r="T289" s="24"/>
      <c r="U289" s="24"/>
      <c r="V289" s="24"/>
      <c r="W289" s="24"/>
      <c r="X289" s="24"/>
      <c r="Y289" s="24"/>
      <c r="Z289" s="23"/>
      <c r="AA289" s="23"/>
      <c r="AB289" s="23"/>
      <c r="AC289" s="23"/>
      <c r="AD289" s="23"/>
      <c r="AE289" s="23"/>
      <c r="AF289" s="23"/>
      <c r="AG289" s="23"/>
      <c r="AH289" s="22"/>
      <c r="AI289" s="22"/>
      <c r="AJ289" s="22"/>
      <c r="AK289" s="22"/>
      <c r="AL289" s="22"/>
      <c r="AM289" s="22"/>
      <c r="AN289" s="22"/>
      <c r="AO289" s="16"/>
      <c r="AP289" s="21"/>
      <c r="AQ289" s="21"/>
      <c r="AR289" s="21"/>
      <c r="AS289" s="21"/>
      <c r="AT289" s="18"/>
      <c r="AU289" s="18"/>
      <c r="AV289" s="18"/>
      <c r="AW289" s="20"/>
      <c r="AX289" s="20"/>
      <c r="AY289" s="17"/>
      <c r="AZ289" s="17"/>
      <c r="BA289" s="20"/>
      <c r="BB289" s="20"/>
      <c r="BC289" s="17"/>
      <c r="BD289" s="17"/>
      <c r="BE289" s="20"/>
      <c r="BF289" s="17"/>
      <c r="BG289" s="19"/>
      <c r="BH289" s="19"/>
      <c r="BI289" s="19"/>
      <c r="BJ289" s="19"/>
      <c r="BK289" s="19"/>
      <c r="BL289" s="19"/>
      <c r="BM289" s="19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</row>
    <row r="290" spans="1:78" ht="12" customHeight="1" x14ac:dyDescent="0.25">
      <c r="A290" s="26"/>
      <c r="B290" s="28"/>
      <c r="C290" s="28"/>
      <c r="D290" s="15" t="str">
        <f>IF(IF(ISNUMBER(B290),"",MAX(D$4:D289)+1)&lt;=D$3,IF(ISNUMBER(B290),"",MAX(D$4:D289)+1),"")</f>
        <v/>
      </c>
      <c r="E290" s="28"/>
      <c r="F290" s="28"/>
      <c r="G290" s="27"/>
      <c r="H290" s="15"/>
      <c r="I290" s="15" t="str">
        <f>IF(O290="","",IF(ISNUMBER(MATCH(O290,$G$5:$G$1000,0)),"",IF(D290=1,B$4,0)+MAX(I$4:I289)+1))</f>
        <v/>
      </c>
      <c r="J290" s="27"/>
      <c r="K290" s="27"/>
      <c r="L290" s="26"/>
      <c r="M290" s="14">
        <f>IF(ROW()-ROW(M$4)&lt;=1000,ROW()-ROW(M$4),"")</f>
        <v>286</v>
      </c>
      <c r="N290" s="29"/>
      <c r="O290" s="29"/>
      <c r="P290" s="17"/>
      <c r="Q290" s="16" t="s">
        <v>0</v>
      </c>
      <c r="R290" s="24"/>
      <c r="S290" s="24"/>
      <c r="T290" s="24"/>
      <c r="U290" s="24"/>
      <c r="V290" s="24"/>
      <c r="W290" s="24"/>
      <c r="X290" s="24"/>
      <c r="Y290" s="24"/>
      <c r="Z290" s="23"/>
      <c r="AA290" s="23"/>
      <c r="AB290" s="23"/>
      <c r="AC290" s="23"/>
      <c r="AD290" s="23"/>
      <c r="AE290" s="23"/>
      <c r="AF290" s="23"/>
      <c r="AG290" s="23"/>
      <c r="AH290" s="22"/>
      <c r="AI290" s="22"/>
      <c r="AJ290" s="22"/>
      <c r="AK290" s="22"/>
      <c r="AL290" s="22"/>
      <c r="AM290" s="22"/>
      <c r="AN290" s="22"/>
      <c r="AO290" s="16"/>
      <c r="AP290" s="21"/>
      <c r="AQ290" s="21"/>
      <c r="AR290" s="21"/>
      <c r="AS290" s="21"/>
      <c r="AT290" s="18"/>
      <c r="AU290" s="18"/>
      <c r="AV290" s="18"/>
      <c r="AW290" s="20"/>
      <c r="AX290" s="20"/>
      <c r="AY290" s="17"/>
      <c r="AZ290" s="17"/>
      <c r="BA290" s="20"/>
      <c r="BB290" s="20"/>
      <c r="BC290" s="17"/>
      <c r="BD290" s="17"/>
      <c r="BE290" s="20"/>
      <c r="BF290" s="17"/>
      <c r="BG290" s="19"/>
      <c r="BH290" s="19"/>
      <c r="BI290" s="19"/>
      <c r="BJ290" s="19"/>
      <c r="BK290" s="19"/>
      <c r="BL290" s="19"/>
      <c r="BM290" s="19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</row>
    <row r="291" spans="1:78" ht="12" customHeight="1" x14ac:dyDescent="0.25">
      <c r="A291" s="26"/>
      <c r="B291" s="28"/>
      <c r="C291" s="28"/>
      <c r="D291" s="15" t="str">
        <f>IF(IF(ISNUMBER(B291),"",MAX(D$4:D290)+1)&lt;=D$3,IF(ISNUMBER(B291),"",MAX(D$4:D290)+1),"")</f>
        <v/>
      </c>
      <c r="E291" s="28"/>
      <c r="F291" s="28"/>
      <c r="G291" s="27"/>
      <c r="H291" s="15"/>
      <c r="I291" s="15" t="str">
        <f>IF(O291="","",IF(ISNUMBER(MATCH(O291,$G$5:$G$1000,0)),"",IF(D291=1,B$4,0)+MAX(I$4:I290)+1))</f>
        <v/>
      </c>
      <c r="J291" s="27"/>
      <c r="K291" s="27"/>
      <c r="L291" s="26"/>
      <c r="M291" s="14">
        <f>IF(ROW()-ROW(M$4)&lt;=1000,ROW()-ROW(M$4),"")</f>
        <v>287</v>
      </c>
      <c r="N291" s="29"/>
      <c r="O291" s="29"/>
      <c r="P291" s="17"/>
      <c r="Q291" s="16" t="s">
        <v>0</v>
      </c>
      <c r="R291" s="24"/>
      <c r="S291" s="24"/>
      <c r="T291" s="24"/>
      <c r="U291" s="24"/>
      <c r="V291" s="24"/>
      <c r="W291" s="24"/>
      <c r="X291" s="24"/>
      <c r="Y291" s="24"/>
      <c r="Z291" s="23"/>
      <c r="AA291" s="23"/>
      <c r="AB291" s="23"/>
      <c r="AC291" s="23"/>
      <c r="AD291" s="23"/>
      <c r="AE291" s="23"/>
      <c r="AF291" s="23"/>
      <c r="AG291" s="23"/>
      <c r="AH291" s="22"/>
      <c r="AI291" s="22"/>
      <c r="AJ291" s="22"/>
      <c r="AK291" s="22"/>
      <c r="AL291" s="22"/>
      <c r="AM291" s="22"/>
      <c r="AN291" s="22"/>
      <c r="AO291" s="16"/>
      <c r="AP291" s="21"/>
      <c r="AQ291" s="21"/>
      <c r="AR291" s="21"/>
      <c r="AS291" s="21"/>
      <c r="AT291" s="18"/>
      <c r="AU291" s="18"/>
      <c r="AV291" s="18"/>
      <c r="AW291" s="20"/>
      <c r="AX291" s="20"/>
      <c r="AY291" s="17"/>
      <c r="AZ291" s="17"/>
      <c r="BA291" s="20"/>
      <c r="BB291" s="20"/>
      <c r="BC291" s="17"/>
      <c r="BD291" s="17"/>
      <c r="BE291" s="20"/>
      <c r="BF291" s="17"/>
      <c r="BG291" s="19"/>
      <c r="BH291" s="19"/>
      <c r="BI291" s="19"/>
      <c r="BJ291" s="19"/>
      <c r="BK291" s="19"/>
      <c r="BL291" s="19"/>
      <c r="BM291" s="19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</row>
    <row r="292" spans="1:78" ht="12" customHeight="1" x14ac:dyDescent="0.25">
      <c r="A292" s="26"/>
      <c r="B292" s="28"/>
      <c r="C292" s="28"/>
      <c r="D292" s="15" t="str">
        <f>IF(IF(ISNUMBER(B292),"",MAX(D$4:D291)+1)&lt;=D$3,IF(ISNUMBER(B292),"",MAX(D$4:D291)+1),"")</f>
        <v/>
      </c>
      <c r="E292" s="28"/>
      <c r="F292" s="28"/>
      <c r="G292" s="27"/>
      <c r="H292" s="15"/>
      <c r="I292" s="15" t="str">
        <f>IF(O292="","",IF(ISNUMBER(MATCH(O292,$G$5:$G$1000,0)),"",IF(D292=1,B$4,0)+MAX(I$4:I291)+1))</f>
        <v/>
      </c>
      <c r="J292" s="27"/>
      <c r="K292" s="27"/>
      <c r="L292" s="26"/>
      <c r="M292" s="14">
        <f>IF(ROW()-ROW(M$4)&lt;=1000,ROW()-ROW(M$4),"")</f>
        <v>288</v>
      </c>
      <c r="N292" s="29"/>
      <c r="O292" s="29"/>
      <c r="P292" s="17"/>
      <c r="Q292" s="16" t="s">
        <v>0</v>
      </c>
      <c r="R292" s="24"/>
      <c r="S292" s="24"/>
      <c r="T292" s="24"/>
      <c r="U292" s="24"/>
      <c r="V292" s="24"/>
      <c r="W292" s="24"/>
      <c r="X292" s="24"/>
      <c r="Y292" s="24"/>
      <c r="Z292" s="23"/>
      <c r="AA292" s="23"/>
      <c r="AB292" s="23"/>
      <c r="AC292" s="23"/>
      <c r="AD292" s="23"/>
      <c r="AE292" s="23"/>
      <c r="AF292" s="23"/>
      <c r="AG292" s="23"/>
      <c r="AH292" s="22"/>
      <c r="AI292" s="22"/>
      <c r="AJ292" s="22"/>
      <c r="AK292" s="22"/>
      <c r="AL292" s="22"/>
      <c r="AM292" s="22"/>
      <c r="AN292" s="22"/>
      <c r="AO292" s="16"/>
      <c r="AP292" s="21"/>
      <c r="AQ292" s="21"/>
      <c r="AR292" s="21"/>
      <c r="AS292" s="21"/>
      <c r="AT292" s="18"/>
      <c r="AU292" s="18"/>
      <c r="AV292" s="18"/>
      <c r="AW292" s="20"/>
      <c r="AX292" s="20"/>
      <c r="AY292" s="17"/>
      <c r="AZ292" s="17"/>
      <c r="BA292" s="20"/>
      <c r="BB292" s="20"/>
      <c r="BC292" s="17"/>
      <c r="BD292" s="17"/>
      <c r="BE292" s="20"/>
      <c r="BF292" s="17"/>
      <c r="BG292" s="19"/>
      <c r="BH292" s="19"/>
      <c r="BI292" s="19"/>
      <c r="BJ292" s="19"/>
      <c r="BK292" s="19"/>
      <c r="BL292" s="19"/>
      <c r="BM292" s="19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</row>
    <row r="293" spans="1:78" ht="12" customHeight="1" x14ac:dyDescent="0.25">
      <c r="A293" s="26"/>
      <c r="B293" s="28"/>
      <c r="C293" s="28"/>
      <c r="D293" s="15" t="str">
        <f>IF(IF(ISNUMBER(B293),"",MAX(D$4:D292)+1)&lt;=D$3,IF(ISNUMBER(B293),"",MAX(D$4:D292)+1),"")</f>
        <v/>
      </c>
      <c r="E293" s="28"/>
      <c r="F293" s="28"/>
      <c r="G293" s="27"/>
      <c r="H293" s="15"/>
      <c r="I293" s="15" t="str">
        <f>IF(O293="","",IF(ISNUMBER(MATCH(O293,$G$5:$G$1000,0)),"",IF(D293=1,B$4,0)+MAX(I$4:I292)+1))</f>
        <v/>
      </c>
      <c r="J293" s="27"/>
      <c r="K293" s="27"/>
      <c r="L293" s="26"/>
      <c r="M293" s="14">
        <f>IF(ROW()-ROW(M$4)&lt;=1000,ROW()-ROW(M$4),"")</f>
        <v>289</v>
      </c>
      <c r="N293" s="29"/>
      <c r="O293" s="29"/>
      <c r="P293" s="17"/>
      <c r="Q293" s="16" t="s">
        <v>0</v>
      </c>
      <c r="R293" s="24"/>
      <c r="S293" s="24"/>
      <c r="T293" s="24"/>
      <c r="U293" s="24"/>
      <c r="V293" s="24"/>
      <c r="W293" s="24"/>
      <c r="X293" s="24"/>
      <c r="Y293" s="24"/>
      <c r="Z293" s="23"/>
      <c r="AA293" s="23"/>
      <c r="AB293" s="23"/>
      <c r="AC293" s="23"/>
      <c r="AD293" s="23"/>
      <c r="AE293" s="23"/>
      <c r="AF293" s="23"/>
      <c r="AG293" s="23"/>
      <c r="AH293" s="22"/>
      <c r="AI293" s="22"/>
      <c r="AJ293" s="22"/>
      <c r="AK293" s="22"/>
      <c r="AL293" s="22"/>
      <c r="AM293" s="22"/>
      <c r="AN293" s="22"/>
      <c r="AO293" s="16"/>
      <c r="AP293" s="21"/>
      <c r="AQ293" s="21"/>
      <c r="AR293" s="21"/>
      <c r="AS293" s="21"/>
      <c r="AT293" s="18"/>
      <c r="AU293" s="18"/>
      <c r="AV293" s="18"/>
      <c r="AW293" s="20"/>
      <c r="AX293" s="20"/>
      <c r="AY293" s="17"/>
      <c r="AZ293" s="17"/>
      <c r="BA293" s="20"/>
      <c r="BB293" s="20"/>
      <c r="BC293" s="17"/>
      <c r="BD293" s="17"/>
      <c r="BE293" s="20"/>
      <c r="BF293" s="17"/>
      <c r="BG293" s="19"/>
      <c r="BH293" s="19"/>
      <c r="BI293" s="19"/>
      <c r="BJ293" s="19"/>
      <c r="BK293" s="19"/>
      <c r="BL293" s="19"/>
      <c r="BM293" s="19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</row>
    <row r="294" spans="1:78" ht="12" customHeight="1" x14ac:dyDescent="0.25">
      <c r="A294" s="26"/>
      <c r="B294" s="28"/>
      <c r="C294" s="28"/>
      <c r="D294" s="15" t="str">
        <f>IF(IF(ISNUMBER(B294),"",MAX(D$4:D293)+1)&lt;=D$3,IF(ISNUMBER(B294),"",MAX(D$4:D293)+1),"")</f>
        <v/>
      </c>
      <c r="E294" s="28"/>
      <c r="F294" s="28"/>
      <c r="G294" s="27"/>
      <c r="H294" s="15"/>
      <c r="I294" s="15" t="str">
        <f>IF(O294="","",IF(ISNUMBER(MATCH(O294,$G$5:$G$1000,0)),"",IF(D294=1,B$4,0)+MAX(I$4:I293)+1))</f>
        <v/>
      </c>
      <c r="J294" s="27"/>
      <c r="K294" s="27"/>
      <c r="L294" s="26"/>
      <c r="M294" s="14">
        <f>IF(ROW()-ROW(M$4)&lt;=1000,ROW()-ROW(M$4),"")</f>
        <v>290</v>
      </c>
      <c r="N294" s="29"/>
      <c r="O294" s="29"/>
      <c r="P294" s="17"/>
      <c r="Q294" s="16" t="s">
        <v>0</v>
      </c>
      <c r="R294" s="24"/>
      <c r="S294" s="24"/>
      <c r="T294" s="24"/>
      <c r="U294" s="24"/>
      <c r="V294" s="24"/>
      <c r="W294" s="24"/>
      <c r="X294" s="24"/>
      <c r="Y294" s="24"/>
      <c r="Z294" s="23"/>
      <c r="AA294" s="23"/>
      <c r="AB294" s="23"/>
      <c r="AC294" s="23"/>
      <c r="AD294" s="23"/>
      <c r="AE294" s="23"/>
      <c r="AF294" s="23"/>
      <c r="AG294" s="23"/>
      <c r="AH294" s="22"/>
      <c r="AI294" s="22"/>
      <c r="AJ294" s="22"/>
      <c r="AK294" s="22"/>
      <c r="AL294" s="22"/>
      <c r="AM294" s="22"/>
      <c r="AN294" s="22"/>
      <c r="AO294" s="16"/>
      <c r="AP294" s="21"/>
      <c r="AQ294" s="21"/>
      <c r="AR294" s="21"/>
      <c r="AS294" s="21"/>
      <c r="AT294" s="18"/>
      <c r="AU294" s="18"/>
      <c r="AV294" s="18"/>
      <c r="AW294" s="20"/>
      <c r="AX294" s="20"/>
      <c r="AY294" s="17"/>
      <c r="AZ294" s="17"/>
      <c r="BA294" s="20"/>
      <c r="BB294" s="20"/>
      <c r="BC294" s="17"/>
      <c r="BD294" s="17"/>
      <c r="BE294" s="20"/>
      <c r="BF294" s="17"/>
      <c r="BG294" s="19"/>
      <c r="BH294" s="19"/>
      <c r="BI294" s="19"/>
      <c r="BJ294" s="19"/>
      <c r="BK294" s="19"/>
      <c r="BL294" s="19"/>
      <c r="BM294" s="19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</row>
    <row r="295" spans="1:78" ht="12" customHeight="1" x14ac:dyDescent="0.25">
      <c r="A295" s="26"/>
      <c r="B295" s="28"/>
      <c r="C295" s="28"/>
      <c r="D295" s="15" t="str">
        <f>IF(IF(ISNUMBER(B295),"",MAX(D$4:D294)+1)&lt;=D$3,IF(ISNUMBER(B295),"",MAX(D$4:D294)+1),"")</f>
        <v/>
      </c>
      <c r="E295" s="28"/>
      <c r="F295" s="28"/>
      <c r="G295" s="27"/>
      <c r="H295" s="15"/>
      <c r="I295" s="15" t="str">
        <f>IF(O295="","",IF(ISNUMBER(MATCH(O295,$G$5:$G$1000,0)),"",IF(D295=1,B$4,0)+MAX(I$4:I294)+1))</f>
        <v/>
      </c>
      <c r="J295" s="27"/>
      <c r="K295" s="27"/>
      <c r="L295" s="26"/>
      <c r="M295" s="14">
        <f>IF(ROW()-ROW(M$4)&lt;=1000,ROW()-ROW(M$4),"")</f>
        <v>291</v>
      </c>
      <c r="N295" s="29"/>
      <c r="O295" s="29"/>
      <c r="P295" s="17"/>
      <c r="Q295" s="16" t="s">
        <v>0</v>
      </c>
      <c r="R295" s="24"/>
      <c r="S295" s="24"/>
      <c r="T295" s="24"/>
      <c r="U295" s="24"/>
      <c r="V295" s="24"/>
      <c r="W295" s="24"/>
      <c r="X295" s="24"/>
      <c r="Y295" s="24"/>
      <c r="Z295" s="23"/>
      <c r="AA295" s="23"/>
      <c r="AB295" s="23"/>
      <c r="AC295" s="23"/>
      <c r="AD295" s="23"/>
      <c r="AE295" s="23"/>
      <c r="AF295" s="23"/>
      <c r="AG295" s="23"/>
      <c r="AH295" s="22"/>
      <c r="AI295" s="22"/>
      <c r="AJ295" s="22"/>
      <c r="AK295" s="22"/>
      <c r="AL295" s="22"/>
      <c r="AM295" s="22"/>
      <c r="AN295" s="22"/>
      <c r="AO295" s="16"/>
      <c r="AP295" s="21"/>
      <c r="AQ295" s="21"/>
      <c r="AR295" s="21"/>
      <c r="AS295" s="21"/>
      <c r="AT295" s="18"/>
      <c r="AU295" s="18"/>
      <c r="AV295" s="18"/>
      <c r="AW295" s="20"/>
      <c r="AX295" s="20"/>
      <c r="AY295" s="17"/>
      <c r="AZ295" s="17"/>
      <c r="BA295" s="20"/>
      <c r="BB295" s="20"/>
      <c r="BC295" s="17"/>
      <c r="BD295" s="17"/>
      <c r="BE295" s="20"/>
      <c r="BF295" s="17"/>
      <c r="BG295" s="19"/>
      <c r="BH295" s="19"/>
      <c r="BI295" s="19"/>
      <c r="BJ295" s="19"/>
      <c r="BK295" s="19"/>
      <c r="BL295" s="19"/>
      <c r="BM295" s="19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</row>
    <row r="296" spans="1:78" ht="12" customHeight="1" x14ac:dyDescent="0.25">
      <c r="A296" s="26"/>
      <c r="B296" s="28"/>
      <c r="C296" s="28"/>
      <c r="D296" s="15" t="str">
        <f>IF(IF(ISNUMBER(B296),"",MAX(D$4:D295)+1)&lt;=D$3,IF(ISNUMBER(B296),"",MAX(D$4:D295)+1),"")</f>
        <v/>
      </c>
      <c r="E296" s="28"/>
      <c r="F296" s="28"/>
      <c r="G296" s="27"/>
      <c r="H296" s="15"/>
      <c r="I296" s="15" t="str">
        <f>IF(O296="","",IF(ISNUMBER(MATCH(O296,$G$5:$G$1000,0)),"",IF(D296=1,B$4,0)+MAX(I$4:I295)+1))</f>
        <v/>
      </c>
      <c r="J296" s="27"/>
      <c r="K296" s="27"/>
      <c r="L296" s="26"/>
      <c r="M296" s="14">
        <f>IF(ROW()-ROW(M$4)&lt;=1000,ROW()-ROW(M$4),"")</f>
        <v>292</v>
      </c>
      <c r="N296" s="25"/>
      <c r="O296" s="25"/>
      <c r="P296" s="17"/>
      <c r="Q296" s="16" t="s">
        <v>0</v>
      </c>
      <c r="R296" s="24"/>
      <c r="S296" s="24"/>
      <c r="T296" s="24"/>
      <c r="U296" s="24"/>
      <c r="V296" s="24"/>
      <c r="W296" s="24"/>
      <c r="X296" s="24"/>
      <c r="Y296" s="24"/>
      <c r="Z296" s="23"/>
      <c r="AA296" s="23"/>
      <c r="AB296" s="23"/>
      <c r="AC296" s="23"/>
      <c r="AD296" s="23"/>
      <c r="AE296" s="23"/>
      <c r="AF296" s="23"/>
      <c r="AG296" s="23"/>
      <c r="AH296" s="22"/>
      <c r="AI296" s="22"/>
      <c r="AJ296" s="22"/>
      <c r="AK296" s="22"/>
      <c r="AL296" s="22"/>
      <c r="AM296" s="22"/>
      <c r="AN296" s="22"/>
      <c r="AO296" s="16"/>
      <c r="AP296" s="21"/>
      <c r="AQ296" s="21"/>
      <c r="AR296" s="21"/>
      <c r="AS296" s="21"/>
      <c r="AT296" s="18"/>
      <c r="AU296" s="18"/>
      <c r="AV296" s="18"/>
      <c r="AW296" s="20"/>
      <c r="AX296" s="20"/>
      <c r="AY296" s="17"/>
      <c r="AZ296" s="17"/>
      <c r="BA296" s="20"/>
      <c r="BB296" s="20"/>
      <c r="BC296" s="17"/>
      <c r="BD296" s="17"/>
      <c r="BE296" s="20"/>
      <c r="BF296" s="17"/>
      <c r="BG296" s="19"/>
      <c r="BH296" s="19"/>
      <c r="BI296" s="19"/>
      <c r="BJ296" s="19"/>
      <c r="BK296" s="19"/>
      <c r="BL296" s="19"/>
      <c r="BM296" s="19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</row>
    <row r="297" spans="1:78" ht="12" customHeight="1" x14ac:dyDescent="0.25">
      <c r="A297" s="26"/>
      <c r="B297" s="28"/>
      <c r="C297" s="28"/>
      <c r="D297" s="15" t="str">
        <f>IF(IF(ISNUMBER(B297),"",MAX(D$4:D296)+1)&lt;=D$3,IF(ISNUMBER(B297),"",MAX(D$4:D296)+1),"")</f>
        <v/>
      </c>
      <c r="E297" s="28"/>
      <c r="F297" s="28"/>
      <c r="G297" s="27"/>
      <c r="H297" s="15"/>
      <c r="I297" s="15" t="str">
        <f>IF(O297="","",IF(ISNUMBER(MATCH(O297,$G$5:$G$1000,0)),"",IF(D297=1,B$4,0)+MAX(I$4:I296)+1))</f>
        <v/>
      </c>
      <c r="J297" s="27"/>
      <c r="K297" s="27"/>
      <c r="L297" s="26"/>
      <c r="M297" s="14">
        <f>IF(ROW()-ROW(M$4)&lt;=1000,ROW()-ROW(M$4),"")</f>
        <v>293</v>
      </c>
      <c r="N297" s="25"/>
      <c r="O297" s="25"/>
      <c r="P297" s="17"/>
      <c r="Q297" s="16" t="s">
        <v>0</v>
      </c>
      <c r="R297" s="24"/>
      <c r="S297" s="24"/>
      <c r="T297" s="24"/>
      <c r="U297" s="24"/>
      <c r="V297" s="24"/>
      <c r="W297" s="24"/>
      <c r="X297" s="24"/>
      <c r="Y297" s="24"/>
      <c r="Z297" s="23"/>
      <c r="AA297" s="23"/>
      <c r="AB297" s="23"/>
      <c r="AC297" s="23"/>
      <c r="AD297" s="23"/>
      <c r="AE297" s="23"/>
      <c r="AF297" s="23"/>
      <c r="AG297" s="23"/>
      <c r="AH297" s="22"/>
      <c r="AI297" s="22"/>
      <c r="AJ297" s="22"/>
      <c r="AK297" s="22"/>
      <c r="AL297" s="22"/>
      <c r="AM297" s="22"/>
      <c r="AN297" s="22"/>
      <c r="AO297" s="16"/>
      <c r="AP297" s="21"/>
      <c r="AQ297" s="21"/>
      <c r="AR297" s="21"/>
      <c r="AS297" s="21"/>
      <c r="AT297" s="18"/>
      <c r="AU297" s="18"/>
      <c r="AV297" s="18"/>
      <c r="AW297" s="20"/>
      <c r="AX297" s="20"/>
      <c r="AY297" s="17"/>
      <c r="AZ297" s="17"/>
      <c r="BA297" s="20"/>
      <c r="BB297" s="20"/>
      <c r="BC297" s="17"/>
      <c r="BD297" s="17"/>
      <c r="BE297" s="20"/>
      <c r="BF297" s="17"/>
      <c r="BG297" s="19"/>
      <c r="BH297" s="19"/>
      <c r="BI297" s="19"/>
      <c r="BJ297" s="19"/>
      <c r="BK297" s="19"/>
      <c r="BL297" s="19"/>
      <c r="BM297" s="19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</row>
    <row r="298" spans="1:78" ht="12" customHeight="1" x14ac:dyDescent="0.25">
      <c r="A298" s="26"/>
      <c r="B298" s="28"/>
      <c r="C298" s="28"/>
      <c r="D298" s="15" t="str">
        <f>IF(IF(ISNUMBER(B298),"",MAX(D$4:D297)+1)&lt;=D$3,IF(ISNUMBER(B298),"",MAX(D$4:D297)+1),"")</f>
        <v/>
      </c>
      <c r="E298" s="28"/>
      <c r="F298" s="28"/>
      <c r="G298" s="27"/>
      <c r="H298" s="15"/>
      <c r="I298" s="15" t="str">
        <f>IF(O298="","",IF(ISNUMBER(MATCH(O298,$G$5:$G$1000,0)),"",IF(D298=1,B$4,0)+MAX(I$4:I297)+1))</f>
        <v/>
      </c>
      <c r="J298" s="27"/>
      <c r="K298" s="27"/>
      <c r="L298" s="26"/>
      <c r="M298" s="14">
        <f>IF(ROW()-ROW(M$4)&lt;=1000,ROW()-ROW(M$4),"")</f>
        <v>294</v>
      </c>
      <c r="N298" s="25"/>
      <c r="O298" s="25"/>
      <c r="P298" s="17"/>
      <c r="Q298" s="16" t="s">
        <v>0</v>
      </c>
      <c r="R298" s="24"/>
      <c r="S298" s="24"/>
      <c r="T298" s="24"/>
      <c r="U298" s="24"/>
      <c r="V298" s="24"/>
      <c r="W298" s="24"/>
      <c r="X298" s="24"/>
      <c r="Y298" s="24"/>
      <c r="Z298" s="23"/>
      <c r="AA298" s="23"/>
      <c r="AB298" s="23"/>
      <c r="AC298" s="23"/>
      <c r="AD298" s="23"/>
      <c r="AE298" s="23"/>
      <c r="AF298" s="23"/>
      <c r="AG298" s="23"/>
      <c r="AH298" s="22"/>
      <c r="AI298" s="22"/>
      <c r="AJ298" s="22"/>
      <c r="AK298" s="22"/>
      <c r="AL298" s="22"/>
      <c r="AM298" s="22"/>
      <c r="AN298" s="22"/>
      <c r="AO298" s="16"/>
      <c r="AP298" s="21"/>
      <c r="AQ298" s="21"/>
      <c r="AR298" s="21"/>
      <c r="AS298" s="21"/>
      <c r="AT298" s="18"/>
      <c r="AU298" s="18"/>
      <c r="AV298" s="18"/>
      <c r="AW298" s="20"/>
      <c r="AX298" s="20"/>
      <c r="AY298" s="17"/>
      <c r="AZ298" s="17"/>
      <c r="BA298" s="20"/>
      <c r="BB298" s="20"/>
      <c r="BC298" s="17"/>
      <c r="BD298" s="17"/>
      <c r="BE298" s="20"/>
      <c r="BF298" s="17"/>
      <c r="BG298" s="19"/>
      <c r="BH298" s="19"/>
      <c r="BI298" s="19"/>
      <c r="BJ298" s="19"/>
      <c r="BK298" s="19"/>
      <c r="BL298" s="19"/>
      <c r="BM298" s="19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</row>
    <row r="299" spans="1:78" ht="12" customHeight="1" x14ac:dyDescent="0.25">
      <c r="A299" s="26"/>
      <c r="B299" s="28"/>
      <c r="C299" s="28"/>
      <c r="D299" s="15" t="str">
        <f>IF(IF(ISNUMBER(B299),"",MAX(D$4:D298)+1)&lt;=D$3,IF(ISNUMBER(B299),"",MAX(D$4:D298)+1),"")</f>
        <v/>
      </c>
      <c r="E299" s="28"/>
      <c r="F299" s="28"/>
      <c r="G299" s="27"/>
      <c r="H299" s="15"/>
      <c r="I299" s="15" t="str">
        <f>IF(O299="","",IF(ISNUMBER(MATCH(O299,$G$5:$G$1000,0)),"",IF(D299=1,B$4,0)+MAX(I$4:I298)+1))</f>
        <v/>
      </c>
      <c r="J299" s="27"/>
      <c r="K299" s="27"/>
      <c r="L299" s="26"/>
      <c r="M299" s="14">
        <f>IF(ROW()-ROW(M$4)&lt;=1000,ROW()-ROW(M$4),"")</f>
        <v>295</v>
      </c>
      <c r="N299" s="25"/>
      <c r="O299" s="25"/>
      <c r="P299" s="17"/>
      <c r="Q299" s="16" t="s">
        <v>0</v>
      </c>
      <c r="R299" s="24"/>
      <c r="S299" s="24"/>
      <c r="T299" s="24"/>
      <c r="U299" s="24"/>
      <c r="V299" s="24"/>
      <c r="W299" s="24"/>
      <c r="X299" s="24"/>
      <c r="Y299" s="24"/>
      <c r="Z299" s="23"/>
      <c r="AA299" s="23"/>
      <c r="AB299" s="23"/>
      <c r="AC299" s="23"/>
      <c r="AD299" s="23"/>
      <c r="AE299" s="23"/>
      <c r="AF299" s="23"/>
      <c r="AG299" s="23"/>
      <c r="AH299" s="22"/>
      <c r="AI299" s="22"/>
      <c r="AJ299" s="22"/>
      <c r="AK299" s="22"/>
      <c r="AL299" s="22"/>
      <c r="AM299" s="22"/>
      <c r="AN299" s="22"/>
      <c r="AO299" s="16"/>
      <c r="AP299" s="21"/>
      <c r="AQ299" s="21"/>
      <c r="AR299" s="21"/>
      <c r="AS299" s="21"/>
      <c r="AT299" s="18"/>
      <c r="AU299" s="18"/>
      <c r="AV299" s="18"/>
      <c r="AW299" s="20"/>
      <c r="AX299" s="20"/>
      <c r="AY299" s="17"/>
      <c r="AZ299" s="17"/>
      <c r="BA299" s="20"/>
      <c r="BB299" s="20"/>
      <c r="BC299" s="17"/>
      <c r="BD299" s="17"/>
      <c r="BE299" s="20"/>
      <c r="BF299" s="17"/>
      <c r="BG299" s="19"/>
      <c r="BH299" s="19"/>
      <c r="BI299" s="19"/>
      <c r="BJ299" s="19"/>
      <c r="BK299" s="19"/>
      <c r="BL299" s="19"/>
      <c r="BM299" s="19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</row>
    <row r="300" spans="1:78" ht="12" customHeight="1" x14ac:dyDescent="0.25">
      <c r="A300" s="26"/>
      <c r="B300" s="28"/>
      <c r="C300" s="28"/>
      <c r="D300" s="15" t="str">
        <f>IF(IF(ISNUMBER(B300),"",MAX(D$4:D299)+1)&lt;=D$3,IF(ISNUMBER(B300),"",MAX(D$4:D299)+1),"")</f>
        <v/>
      </c>
      <c r="E300" s="28"/>
      <c r="F300" s="28"/>
      <c r="G300" s="27"/>
      <c r="H300" s="15"/>
      <c r="I300" s="15" t="str">
        <f>IF(O300="","",IF(ISNUMBER(MATCH(O300,$G$5:$G$1000,0)),"",IF(D300=1,B$4,0)+MAX(I$4:I299)+1))</f>
        <v/>
      </c>
      <c r="J300" s="27"/>
      <c r="K300" s="27"/>
      <c r="L300" s="26"/>
      <c r="M300" s="14">
        <f>IF(ROW()-ROW(M$4)&lt;=1000,ROW()-ROW(M$4),"")</f>
        <v>296</v>
      </c>
      <c r="N300" s="25"/>
      <c r="O300" s="25"/>
      <c r="P300" s="17"/>
      <c r="Q300" s="16" t="s">
        <v>0</v>
      </c>
      <c r="R300" s="24"/>
      <c r="S300" s="24"/>
      <c r="T300" s="24"/>
      <c r="U300" s="24"/>
      <c r="V300" s="24"/>
      <c r="W300" s="24"/>
      <c r="X300" s="24"/>
      <c r="Y300" s="24"/>
      <c r="Z300" s="23"/>
      <c r="AA300" s="23"/>
      <c r="AB300" s="23"/>
      <c r="AC300" s="23"/>
      <c r="AD300" s="23"/>
      <c r="AE300" s="23"/>
      <c r="AF300" s="23"/>
      <c r="AG300" s="23"/>
      <c r="AH300" s="22"/>
      <c r="AI300" s="22"/>
      <c r="AJ300" s="22"/>
      <c r="AK300" s="22"/>
      <c r="AL300" s="22"/>
      <c r="AM300" s="22"/>
      <c r="AN300" s="22"/>
      <c r="AO300" s="16"/>
      <c r="AP300" s="21"/>
      <c r="AQ300" s="21"/>
      <c r="AR300" s="21"/>
      <c r="AS300" s="21"/>
      <c r="AT300" s="18"/>
      <c r="AU300" s="18"/>
      <c r="AV300" s="18"/>
      <c r="AW300" s="20"/>
      <c r="AX300" s="20"/>
      <c r="AY300" s="17"/>
      <c r="AZ300" s="17"/>
      <c r="BA300" s="20"/>
      <c r="BB300" s="20"/>
      <c r="BC300" s="17"/>
      <c r="BD300" s="17"/>
      <c r="BE300" s="20"/>
      <c r="BF300" s="17"/>
      <c r="BG300" s="19"/>
      <c r="BH300" s="19"/>
      <c r="BI300" s="19"/>
      <c r="BJ300" s="19"/>
      <c r="BK300" s="19"/>
      <c r="BL300" s="19"/>
      <c r="BM300" s="19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</row>
    <row r="301" spans="1:78" ht="12" customHeight="1" x14ac:dyDescent="0.25">
      <c r="A301" s="26"/>
      <c r="B301" s="28"/>
      <c r="C301" s="28"/>
      <c r="D301" s="15" t="str">
        <f>IF(IF(ISNUMBER(B301),"",MAX(D$4:D300)+1)&lt;=D$3,IF(ISNUMBER(B301),"",MAX(D$4:D300)+1),"")</f>
        <v/>
      </c>
      <c r="E301" s="28"/>
      <c r="F301" s="28"/>
      <c r="G301" s="27"/>
      <c r="H301" s="15"/>
      <c r="I301" s="15" t="str">
        <f>IF(O301="","",IF(ISNUMBER(MATCH(O301,$G$5:$G$1000,0)),"",IF(D301=1,B$4,0)+MAX(I$4:I300)+1))</f>
        <v/>
      </c>
      <c r="J301" s="27"/>
      <c r="K301" s="27"/>
      <c r="L301" s="26"/>
      <c r="M301" s="14">
        <f>IF(ROW()-ROW(M$4)&lt;=1000,ROW()-ROW(M$4),"")</f>
        <v>297</v>
      </c>
      <c r="N301" s="25"/>
      <c r="O301" s="25"/>
      <c r="P301" s="17"/>
      <c r="Q301" s="16" t="s">
        <v>0</v>
      </c>
      <c r="R301" s="24"/>
      <c r="S301" s="24"/>
      <c r="T301" s="24"/>
      <c r="U301" s="24"/>
      <c r="V301" s="24"/>
      <c r="W301" s="24"/>
      <c r="X301" s="24"/>
      <c r="Y301" s="24"/>
      <c r="Z301" s="23"/>
      <c r="AA301" s="23"/>
      <c r="AB301" s="23"/>
      <c r="AC301" s="23"/>
      <c r="AD301" s="23"/>
      <c r="AE301" s="23"/>
      <c r="AF301" s="23"/>
      <c r="AG301" s="23"/>
      <c r="AH301" s="22"/>
      <c r="AI301" s="22"/>
      <c r="AJ301" s="22"/>
      <c r="AK301" s="22"/>
      <c r="AL301" s="22"/>
      <c r="AM301" s="22"/>
      <c r="AN301" s="22"/>
      <c r="AO301" s="16"/>
      <c r="AP301" s="21"/>
      <c r="AQ301" s="21"/>
      <c r="AR301" s="21"/>
      <c r="AS301" s="21"/>
      <c r="AT301" s="18"/>
      <c r="AU301" s="18"/>
      <c r="AV301" s="18"/>
      <c r="AW301" s="20"/>
      <c r="AX301" s="20"/>
      <c r="AY301" s="17"/>
      <c r="AZ301" s="17"/>
      <c r="BA301" s="20"/>
      <c r="BB301" s="20"/>
      <c r="BC301" s="17"/>
      <c r="BD301" s="17"/>
      <c r="BE301" s="20"/>
      <c r="BF301" s="17"/>
      <c r="BG301" s="19"/>
      <c r="BH301" s="19"/>
      <c r="BI301" s="19"/>
      <c r="BJ301" s="19"/>
      <c r="BK301" s="19"/>
      <c r="BL301" s="19"/>
      <c r="BM301" s="19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</row>
    <row r="302" spans="1:78" ht="12" customHeight="1" x14ac:dyDescent="0.25">
      <c r="A302" s="26"/>
      <c r="B302" s="28"/>
      <c r="C302" s="28"/>
      <c r="D302" s="15" t="str">
        <f>IF(IF(ISNUMBER(B302),"",MAX(D$4:D301)+1)&lt;=D$3,IF(ISNUMBER(B302),"",MAX(D$4:D301)+1),"")</f>
        <v/>
      </c>
      <c r="E302" s="28"/>
      <c r="F302" s="28"/>
      <c r="G302" s="27"/>
      <c r="H302" s="15"/>
      <c r="I302" s="15" t="str">
        <f>IF(O302="","",IF(ISNUMBER(MATCH(O302,$G$5:$G$1000,0)),"",IF(D302=1,B$4,0)+MAX(I$4:I301)+1))</f>
        <v/>
      </c>
      <c r="J302" s="27"/>
      <c r="K302" s="27"/>
      <c r="L302" s="26"/>
      <c r="M302" s="14">
        <f>IF(ROW()-ROW(M$4)&lt;=1000,ROW()-ROW(M$4),"")</f>
        <v>298</v>
      </c>
      <c r="N302" s="25"/>
      <c r="O302" s="25"/>
      <c r="P302" s="17"/>
      <c r="Q302" s="16" t="s">
        <v>0</v>
      </c>
      <c r="R302" s="24"/>
      <c r="S302" s="24"/>
      <c r="T302" s="24"/>
      <c r="U302" s="24"/>
      <c r="V302" s="24"/>
      <c r="W302" s="24"/>
      <c r="X302" s="24"/>
      <c r="Y302" s="24"/>
      <c r="Z302" s="23"/>
      <c r="AA302" s="23"/>
      <c r="AB302" s="23"/>
      <c r="AC302" s="23"/>
      <c r="AD302" s="23"/>
      <c r="AE302" s="23"/>
      <c r="AF302" s="23"/>
      <c r="AG302" s="23"/>
      <c r="AH302" s="22"/>
      <c r="AI302" s="22"/>
      <c r="AJ302" s="22"/>
      <c r="AK302" s="22"/>
      <c r="AL302" s="22"/>
      <c r="AM302" s="22"/>
      <c r="AN302" s="22"/>
      <c r="AO302" s="16"/>
      <c r="AP302" s="21"/>
      <c r="AQ302" s="21"/>
      <c r="AR302" s="21"/>
      <c r="AS302" s="21"/>
      <c r="AT302" s="18"/>
      <c r="AU302" s="18"/>
      <c r="AV302" s="18"/>
      <c r="AW302" s="20"/>
      <c r="AX302" s="20"/>
      <c r="AY302" s="17"/>
      <c r="AZ302" s="17"/>
      <c r="BA302" s="20"/>
      <c r="BB302" s="20"/>
      <c r="BC302" s="17"/>
      <c r="BD302" s="17"/>
      <c r="BE302" s="20"/>
      <c r="BF302" s="17"/>
      <c r="BG302" s="19"/>
      <c r="BH302" s="19"/>
      <c r="BI302" s="19"/>
      <c r="BJ302" s="19"/>
      <c r="BK302" s="19"/>
      <c r="BL302" s="19"/>
      <c r="BM302" s="19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</row>
    <row r="303" spans="1:78" ht="12" customHeight="1" x14ac:dyDescent="0.25">
      <c r="A303" s="26"/>
      <c r="B303" s="28"/>
      <c r="C303" s="28"/>
      <c r="D303" s="15" t="str">
        <f>IF(IF(ISNUMBER(B303),"",MAX(D$4:D302)+1)&lt;=D$3,IF(ISNUMBER(B303),"",MAX(D$4:D302)+1),"")</f>
        <v/>
      </c>
      <c r="E303" s="28"/>
      <c r="F303" s="28"/>
      <c r="G303" s="27"/>
      <c r="H303" s="15"/>
      <c r="I303" s="15" t="str">
        <f>IF(O303="","",IF(ISNUMBER(MATCH(O303,$G$5:$G$1000,0)),"",IF(D303=1,B$4,0)+MAX(I$4:I302)+1))</f>
        <v/>
      </c>
      <c r="J303" s="27"/>
      <c r="K303" s="27"/>
      <c r="L303" s="26"/>
      <c r="M303" s="14">
        <f>IF(ROW()-ROW(M$4)&lt;=1000,ROW()-ROW(M$4),"")</f>
        <v>299</v>
      </c>
      <c r="N303" s="25"/>
      <c r="O303" s="25"/>
      <c r="P303" s="17"/>
      <c r="Q303" s="16" t="s">
        <v>0</v>
      </c>
      <c r="R303" s="24"/>
      <c r="S303" s="24"/>
      <c r="T303" s="24"/>
      <c r="U303" s="24"/>
      <c r="V303" s="24"/>
      <c r="W303" s="24"/>
      <c r="X303" s="24"/>
      <c r="Y303" s="24"/>
      <c r="Z303" s="23"/>
      <c r="AA303" s="23"/>
      <c r="AB303" s="23"/>
      <c r="AC303" s="23"/>
      <c r="AD303" s="23"/>
      <c r="AE303" s="23"/>
      <c r="AF303" s="23"/>
      <c r="AG303" s="23"/>
      <c r="AH303" s="22"/>
      <c r="AI303" s="22"/>
      <c r="AJ303" s="22"/>
      <c r="AK303" s="22"/>
      <c r="AL303" s="22"/>
      <c r="AM303" s="22"/>
      <c r="AN303" s="22"/>
      <c r="AO303" s="16"/>
      <c r="AP303" s="21"/>
      <c r="AQ303" s="21"/>
      <c r="AR303" s="21"/>
      <c r="AS303" s="21"/>
      <c r="AT303" s="18"/>
      <c r="AU303" s="18"/>
      <c r="AV303" s="18"/>
      <c r="AW303" s="20"/>
      <c r="AX303" s="20"/>
      <c r="AY303" s="17"/>
      <c r="AZ303" s="17"/>
      <c r="BA303" s="20"/>
      <c r="BB303" s="20"/>
      <c r="BC303" s="17"/>
      <c r="BD303" s="17"/>
      <c r="BE303" s="20"/>
      <c r="BF303" s="17"/>
      <c r="BG303" s="19"/>
      <c r="BH303" s="19"/>
      <c r="BI303" s="19"/>
      <c r="BJ303" s="19"/>
      <c r="BK303" s="19"/>
      <c r="BL303" s="19"/>
      <c r="BM303" s="19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</row>
    <row r="304" spans="1:78" ht="12" customHeight="1" x14ac:dyDescent="0.25">
      <c r="A304" s="26"/>
      <c r="B304" s="28"/>
      <c r="C304" s="28"/>
      <c r="D304" s="15" t="str">
        <f>IF(IF(ISNUMBER(B304),"",MAX(D$4:D303)+1)&lt;=D$3,IF(ISNUMBER(B304),"",MAX(D$4:D303)+1),"")</f>
        <v/>
      </c>
      <c r="E304" s="28"/>
      <c r="F304" s="28"/>
      <c r="G304" s="27"/>
      <c r="H304" s="15"/>
      <c r="I304" s="15" t="str">
        <f>IF(O304="","",IF(ISNUMBER(MATCH(O304,$G$5:$G$1000,0)),"",IF(D304=1,B$4,0)+MAX(I$4:I303)+1))</f>
        <v/>
      </c>
      <c r="J304" s="27"/>
      <c r="K304" s="27"/>
      <c r="L304" s="26"/>
      <c r="M304" s="14">
        <f>IF(ROW()-ROW(M$4)&lt;=1000,ROW()-ROW(M$4),"")</f>
        <v>300</v>
      </c>
      <c r="N304" s="25"/>
      <c r="O304" s="25"/>
      <c r="P304" s="17"/>
      <c r="Q304" s="16" t="s">
        <v>0</v>
      </c>
      <c r="R304" s="24"/>
      <c r="S304" s="24"/>
      <c r="T304" s="24"/>
      <c r="U304" s="24"/>
      <c r="V304" s="24"/>
      <c r="W304" s="24"/>
      <c r="X304" s="24"/>
      <c r="Y304" s="24"/>
      <c r="Z304" s="23"/>
      <c r="AA304" s="23"/>
      <c r="AB304" s="23"/>
      <c r="AC304" s="23"/>
      <c r="AD304" s="23"/>
      <c r="AE304" s="23"/>
      <c r="AF304" s="23"/>
      <c r="AG304" s="23"/>
      <c r="AH304" s="22"/>
      <c r="AI304" s="22"/>
      <c r="AJ304" s="22"/>
      <c r="AK304" s="22"/>
      <c r="AL304" s="22"/>
      <c r="AM304" s="22"/>
      <c r="AN304" s="22"/>
      <c r="AO304" s="16"/>
      <c r="AP304" s="21"/>
      <c r="AQ304" s="21"/>
      <c r="AR304" s="21"/>
      <c r="AS304" s="21"/>
      <c r="AT304" s="18"/>
      <c r="AU304" s="18"/>
      <c r="AV304" s="18"/>
      <c r="AW304" s="20"/>
      <c r="AX304" s="20"/>
      <c r="AY304" s="17"/>
      <c r="AZ304" s="17"/>
      <c r="BA304" s="20"/>
      <c r="BB304" s="20"/>
      <c r="BC304" s="17"/>
      <c r="BD304" s="17"/>
      <c r="BE304" s="20"/>
      <c r="BF304" s="17"/>
      <c r="BG304" s="19"/>
      <c r="BH304" s="19"/>
      <c r="BI304" s="19"/>
      <c r="BJ304" s="19"/>
      <c r="BK304" s="19"/>
      <c r="BL304" s="19"/>
      <c r="BM304" s="19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</row>
    <row r="305" spans="1:78" ht="12" customHeight="1" x14ac:dyDescent="0.25">
      <c r="A305" s="26"/>
      <c r="B305" s="28"/>
      <c r="C305" s="28"/>
      <c r="D305" s="15" t="str">
        <f>IF(IF(ISNUMBER(B305),"",MAX(D$4:D304)+1)&lt;=D$3,IF(ISNUMBER(B305),"",MAX(D$4:D304)+1),"")</f>
        <v/>
      </c>
      <c r="E305" s="28"/>
      <c r="F305" s="28"/>
      <c r="G305" s="27"/>
      <c r="H305" s="15"/>
      <c r="I305" s="15" t="str">
        <f>IF(O305="","",IF(ISNUMBER(MATCH(O305,$G$5:$G$1000,0)),"",IF(D305=1,B$4,0)+MAX(I$4:I304)+1))</f>
        <v/>
      </c>
      <c r="J305" s="27"/>
      <c r="K305" s="27"/>
      <c r="L305" s="26"/>
      <c r="M305" s="14">
        <f>IF(ROW()-ROW(M$4)&lt;=1000,ROW()-ROW(M$4),"")</f>
        <v>301</v>
      </c>
      <c r="N305" s="25"/>
      <c r="O305" s="25"/>
      <c r="P305" s="17"/>
      <c r="Q305" s="16" t="s">
        <v>0</v>
      </c>
      <c r="R305" s="24"/>
      <c r="S305" s="24"/>
      <c r="T305" s="24"/>
      <c r="U305" s="24"/>
      <c r="V305" s="24"/>
      <c r="W305" s="24"/>
      <c r="X305" s="24"/>
      <c r="Y305" s="24"/>
      <c r="Z305" s="23"/>
      <c r="AA305" s="23"/>
      <c r="AB305" s="23"/>
      <c r="AC305" s="23"/>
      <c r="AD305" s="23"/>
      <c r="AE305" s="23"/>
      <c r="AF305" s="23"/>
      <c r="AG305" s="23"/>
      <c r="AH305" s="22"/>
      <c r="AI305" s="22"/>
      <c r="AJ305" s="22"/>
      <c r="AK305" s="22"/>
      <c r="AL305" s="22"/>
      <c r="AM305" s="22"/>
      <c r="AN305" s="22"/>
      <c r="AO305" s="16"/>
      <c r="AP305" s="21"/>
      <c r="AQ305" s="21"/>
      <c r="AR305" s="21"/>
      <c r="AS305" s="21"/>
      <c r="AT305" s="18"/>
      <c r="AU305" s="18"/>
      <c r="AV305" s="18"/>
      <c r="AW305" s="20"/>
      <c r="AX305" s="20"/>
      <c r="AY305" s="17"/>
      <c r="AZ305" s="17"/>
      <c r="BA305" s="20"/>
      <c r="BB305" s="20"/>
      <c r="BC305" s="17"/>
      <c r="BD305" s="17"/>
      <c r="BE305" s="20"/>
      <c r="BF305" s="17"/>
      <c r="BG305" s="19"/>
      <c r="BH305" s="19"/>
      <c r="BI305" s="19"/>
      <c r="BJ305" s="19"/>
      <c r="BK305" s="19"/>
      <c r="BL305" s="19"/>
      <c r="BM305" s="19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</row>
    <row r="306" spans="1:78" ht="12" customHeight="1" x14ac:dyDescent="0.25">
      <c r="A306" s="26"/>
      <c r="B306" s="28"/>
      <c r="C306" s="28"/>
      <c r="D306" s="15" t="str">
        <f>IF(IF(ISNUMBER(B306),"",MAX(D$4:D305)+1)&lt;=D$3,IF(ISNUMBER(B306),"",MAX(D$4:D305)+1),"")</f>
        <v/>
      </c>
      <c r="E306" s="28"/>
      <c r="F306" s="28"/>
      <c r="G306" s="27"/>
      <c r="H306" s="15"/>
      <c r="I306" s="15" t="str">
        <f>IF(O306="","",IF(ISNUMBER(MATCH(O306,$G$5:$G$1000,0)),"",IF(D306=1,B$4,0)+MAX(I$4:I305)+1))</f>
        <v/>
      </c>
      <c r="J306" s="27"/>
      <c r="K306" s="27"/>
      <c r="L306" s="26"/>
      <c r="M306" s="14">
        <f>IF(ROW()-ROW(M$4)&lt;=1000,ROW()-ROW(M$4),"")</f>
        <v>302</v>
      </c>
      <c r="N306" s="25"/>
      <c r="O306" s="25"/>
      <c r="P306" s="17"/>
      <c r="Q306" s="16" t="s">
        <v>0</v>
      </c>
      <c r="R306" s="24"/>
      <c r="S306" s="24"/>
      <c r="T306" s="24"/>
      <c r="U306" s="24"/>
      <c r="V306" s="24"/>
      <c r="W306" s="24"/>
      <c r="X306" s="24"/>
      <c r="Y306" s="24"/>
      <c r="Z306" s="23"/>
      <c r="AA306" s="23"/>
      <c r="AB306" s="23"/>
      <c r="AC306" s="23"/>
      <c r="AD306" s="23"/>
      <c r="AE306" s="23"/>
      <c r="AF306" s="23"/>
      <c r="AG306" s="23"/>
      <c r="AH306" s="22"/>
      <c r="AI306" s="22"/>
      <c r="AJ306" s="22"/>
      <c r="AK306" s="22"/>
      <c r="AL306" s="22"/>
      <c r="AM306" s="22"/>
      <c r="AN306" s="22"/>
      <c r="AO306" s="16"/>
      <c r="AP306" s="21"/>
      <c r="AQ306" s="21"/>
      <c r="AR306" s="21"/>
      <c r="AS306" s="21"/>
      <c r="AT306" s="18"/>
      <c r="AU306" s="18"/>
      <c r="AV306" s="18"/>
      <c r="AW306" s="20"/>
      <c r="AX306" s="20"/>
      <c r="AY306" s="17"/>
      <c r="AZ306" s="17"/>
      <c r="BA306" s="20"/>
      <c r="BB306" s="20"/>
      <c r="BC306" s="17"/>
      <c r="BD306" s="17"/>
      <c r="BE306" s="20"/>
      <c r="BF306" s="17"/>
      <c r="BG306" s="19"/>
      <c r="BH306" s="19"/>
      <c r="BI306" s="19"/>
      <c r="BJ306" s="19"/>
      <c r="BK306" s="19"/>
      <c r="BL306" s="19"/>
      <c r="BM306" s="19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</row>
    <row r="307" spans="1:78" ht="12" customHeight="1" x14ac:dyDescent="0.25">
      <c r="A307" s="26"/>
      <c r="B307" s="28"/>
      <c r="C307" s="28"/>
      <c r="D307" s="15" t="str">
        <f>IF(IF(ISNUMBER(B307),"",MAX(D$4:D306)+1)&lt;=D$3,IF(ISNUMBER(B307),"",MAX(D$4:D306)+1),"")</f>
        <v/>
      </c>
      <c r="E307" s="28"/>
      <c r="F307" s="28"/>
      <c r="G307" s="27"/>
      <c r="H307" s="15"/>
      <c r="I307" s="15" t="str">
        <f>IF(O307="","",IF(ISNUMBER(MATCH(O307,$G$5:$G$1000,0)),"",IF(D307=1,B$4,0)+MAX(I$4:I306)+1))</f>
        <v/>
      </c>
      <c r="J307" s="27"/>
      <c r="K307" s="27"/>
      <c r="L307" s="26"/>
      <c r="M307" s="14">
        <f>IF(ROW()-ROW(M$4)&lt;=1000,ROW()-ROW(M$4),"")</f>
        <v>303</v>
      </c>
      <c r="N307" s="25"/>
      <c r="O307" s="25"/>
      <c r="P307" s="17"/>
      <c r="Q307" s="16" t="s">
        <v>0</v>
      </c>
      <c r="R307" s="24"/>
      <c r="S307" s="24"/>
      <c r="T307" s="24"/>
      <c r="U307" s="24"/>
      <c r="V307" s="24"/>
      <c r="W307" s="24"/>
      <c r="X307" s="24"/>
      <c r="Y307" s="24"/>
      <c r="Z307" s="23"/>
      <c r="AA307" s="23"/>
      <c r="AB307" s="23"/>
      <c r="AC307" s="23"/>
      <c r="AD307" s="23"/>
      <c r="AE307" s="23"/>
      <c r="AF307" s="23"/>
      <c r="AG307" s="23"/>
      <c r="AH307" s="22"/>
      <c r="AI307" s="22"/>
      <c r="AJ307" s="22"/>
      <c r="AK307" s="22"/>
      <c r="AL307" s="22"/>
      <c r="AM307" s="22"/>
      <c r="AN307" s="22"/>
      <c r="AO307" s="16"/>
      <c r="AP307" s="21"/>
      <c r="AQ307" s="21"/>
      <c r="AR307" s="21"/>
      <c r="AS307" s="21"/>
      <c r="AT307" s="18"/>
      <c r="AU307" s="18"/>
      <c r="AV307" s="18"/>
      <c r="AW307" s="20"/>
      <c r="AX307" s="20"/>
      <c r="AY307" s="17"/>
      <c r="AZ307" s="17"/>
      <c r="BA307" s="20"/>
      <c r="BB307" s="20"/>
      <c r="BC307" s="17"/>
      <c r="BD307" s="17"/>
      <c r="BE307" s="20"/>
      <c r="BF307" s="17"/>
      <c r="BG307" s="19"/>
      <c r="BH307" s="19"/>
      <c r="BI307" s="19"/>
      <c r="BJ307" s="19"/>
      <c r="BK307" s="19"/>
      <c r="BL307" s="19"/>
      <c r="BM307" s="19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</row>
    <row r="308" spans="1:78" ht="12" customHeight="1" x14ac:dyDescent="0.25">
      <c r="A308" s="26"/>
      <c r="B308" s="28"/>
      <c r="C308" s="28"/>
      <c r="D308" s="15" t="str">
        <f>IF(IF(ISNUMBER(B308),"",MAX(D$4:D307)+1)&lt;=D$3,IF(ISNUMBER(B308),"",MAX(D$4:D307)+1),"")</f>
        <v/>
      </c>
      <c r="E308" s="28"/>
      <c r="F308" s="28"/>
      <c r="G308" s="27"/>
      <c r="H308" s="15"/>
      <c r="I308" s="15" t="str">
        <f>IF(O308="","",IF(ISNUMBER(MATCH(O308,$G$5:$G$1000,0)),"",IF(D308=1,B$4,0)+MAX(I$4:I307)+1))</f>
        <v/>
      </c>
      <c r="J308" s="27"/>
      <c r="K308" s="27"/>
      <c r="L308" s="26"/>
      <c r="M308" s="14">
        <f>IF(ROW()-ROW(M$4)&lt;=1000,ROW()-ROW(M$4),"")</f>
        <v>304</v>
      </c>
      <c r="N308" s="25"/>
      <c r="O308" s="25"/>
      <c r="P308" s="17"/>
      <c r="Q308" s="16" t="s">
        <v>0</v>
      </c>
      <c r="R308" s="24"/>
      <c r="S308" s="24"/>
      <c r="T308" s="24"/>
      <c r="U308" s="24"/>
      <c r="V308" s="24"/>
      <c r="W308" s="24"/>
      <c r="X308" s="24"/>
      <c r="Y308" s="24"/>
      <c r="Z308" s="23"/>
      <c r="AA308" s="23"/>
      <c r="AB308" s="23"/>
      <c r="AC308" s="23"/>
      <c r="AD308" s="23"/>
      <c r="AE308" s="23"/>
      <c r="AF308" s="23"/>
      <c r="AG308" s="23"/>
      <c r="AH308" s="22"/>
      <c r="AI308" s="22"/>
      <c r="AJ308" s="22"/>
      <c r="AK308" s="22"/>
      <c r="AL308" s="22"/>
      <c r="AM308" s="22"/>
      <c r="AN308" s="22"/>
      <c r="AO308" s="16"/>
      <c r="AP308" s="21"/>
      <c r="AQ308" s="21"/>
      <c r="AR308" s="21"/>
      <c r="AS308" s="21"/>
      <c r="AT308" s="18"/>
      <c r="AU308" s="18"/>
      <c r="AV308" s="18"/>
      <c r="AW308" s="20"/>
      <c r="AX308" s="20"/>
      <c r="AY308" s="17"/>
      <c r="AZ308" s="17"/>
      <c r="BA308" s="20"/>
      <c r="BB308" s="20"/>
      <c r="BC308" s="17"/>
      <c r="BD308" s="17"/>
      <c r="BE308" s="20"/>
      <c r="BF308" s="17"/>
      <c r="BG308" s="19"/>
      <c r="BH308" s="19"/>
      <c r="BI308" s="19"/>
      <c r="BJ308" s="19"/>
      <c r="BK308" s="19"/>
      <c r="BL308" s="19"/>
      <c r="BM308" s="19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</row>
    <row r="309" spans="1:78" ht="12" customHeight="1" x14ac:dyDescent="0.25">
      <c r="A309" s="26"/>
      <c r="B309" s="28"/>
      <c r="C309" s="28"/>
      <c r="D309" s="15" t="str">
        <f>IF(IF(ISNUMBER(B309),"",MAX(D$4:D308)+1)&lt;=D$3,IF(ISNUMBER(B309),"",MAX(D$4:D308)+1),"")</f>
        <v/>
      </c>
      <c r="E309" s="28"/>
      <c r="F309" s="28"/>
      <c r="G309" s="27"/>
      <c r="H309" s="15"/>
      <c r="I309" s="15" t="str">
        <f>IF(O309="","",IF(ISNUMBER(MATCH(O309,$G$5:$G$1000,0)),"",IF(D309=1,B$4,0)+MAX(I$4:I308)+1))</f>
        <v/>
      </c>
      <c r="J309" s="27"/>
      <c r="K309" s="27"/>
      <c r="L309" s="26"/>
      <c r="M309" s="14">
        <f>IF(ROW()-ROW(M$4)&lt;=1000,ROW()-ROW(M$4),"")</f>
        <v>305</v>
      </c>
      <c r="N309" s="25"/>
      <c r="O309" s="25"/>
      <c r="P309" s="17"/>
      <c r="Q309" s="16" t="s">
        <v>0</v>
      </c>
      <c r="R309" s="24"/>
      <c r="S309" s="24"/>
      <c r="T309" s="24"/>
      <c r="U309" s="24"/>
      <c r="V309" s="24"/>
      <c r="W309" s="24"/>
      <c r="X309" s="24"/>
      <c r="Y309" s="24"/>
      <c r="Z309" s="23"/>
      <c r="AA309" s="23"/>
      <c r="AB309" s="23"/>
      <c r="AC309" s="23"/>
      <c r="AD309" s="23"/>
      <c r="AE309" s="23"/>
      <c r="AF309" s="23"/>
      <c r="AG309" s="23"/>
      <c r="AH309" s="22"/>
      <c r="AI309" s="22"/>
      <c r="AJ309" s="22"/>
      <c r="AK309" s="22"/>
      <c r="AL309" s="22"/>
      <c r="AM309" s="22"/>
      <c r="AN309" s="22"/>
      <c r="AO309" s="16"/>
      <c r="AP309" s="21"/>
      <c r="AQ309" s="21"/>
      <c r="AR309" s="21"/>
      <c r="AS309" s="21"/>
      <c r="AT309" s="18"/>
      <c r="AU309" s="18"/>
      <c r="AV309" s="18"/>
      <c r="AW309" s="20"/>
      <c r="AX309" s="20"/>
      <c r="AY309" s="17"/>
      <c r="AZ309" s="17"/>
      <c r="BA309" s="20"/>
      <c r="BB309" s="20"/>
      <c r="BC309" s="17"/>
      <c r="BD309" s="17"/>
      <c r="BE309" s="20"/>
      <c r="BF309" s="17"/>
      <c r="BG309" s="19"/>
      <c r="BH309" s="19"/>
      <c r="BI309" s="19"/>
      <c r="BJ309" s="19"/>
      <c r="BK309" s="19"/>
      <c r="BL309" s="19"/>
      <c r="BM309" s="19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</row>
    <row r="310" spans="1:78" ht="12" customHeight="1" x14ac:dyDescent="0.25">
      <c r="A310" s="26"/>
      <c r="B310" s="28"/>
      <c r="C310" s="28"/>
      <c r="D310" s="15" t="str">
        <f>IF(IF(ISNUMBER(B310),"",MAX(D$4:D309)+1)&lt;=D$3,IF(ISNUMBER(B310),"",MAX(D$4:D309)+1),"")</f>
        <v/>
      </c>
      <c r="E310" s="28"/>
      <c r="F310" s="28"/>
      <c r="G310" s="27"/>
      <c r="H310" s="15"/>
      <c r="I310" s="15" t="str">
        <f>IF(O310="","",IF(ISNUMBER(MATCH(O310,$G$5:$G$1000,0)),"",IF(D310=1,B$4,0)+MAX(I$4:I309)+1))</f>
        <v/>
      </c>
      <c r="J310" s="27"/>
      <c r="K310" s="27"/>
      <c r="L310" s="26"/>
      <c r="M310" s="14">
        <f>IF(ROW()-ROW(M$4)&lt;=1000,ROW()-ROW(M$4),"")</f>
        <v>306</v>
      </c>
      <c r="N310" s="25"/>
      <c r="O310" s="25"/>
      <c r="P310" s="17"/>
      <c r="Q310" s="16" t="s">
        <v>0</v>
      </c>
      <c r="R310" s="24"/>
      <c r="S310" s="24"/>
      <c r="T310" s="24"/>
      <c r="U310" s="24"/>
      <c r="V310" s="24"/>
      <c r="W310" s="24"/>
      <c r="X310" s="24"/>
      <c r="Y310" s="24"/>
      <c r="Z310" s="23"/>
      <c r="AA310" s="23"/>
      <c r="AB310" s="23"/>
      <c r="AC310" s="23"/>
      <c r="AD310" s="23"/>
      <c r="AE310" s="23"/>
      <c r="AF310" s="23"/>
      <c r="AG310" s="23"/>
      <c r="AH310" s="22"/>
      <c r="AI310" s="22"/>
      <c r="AJ310" s="22"/>
      <c r="AK310" s="22"/>
      <c r="AL310" s="22"/>
      <c r="AM310" s="22"/>
      <c r="AN310" s="22"/>
      <c r="AO310" s="16"/>
      <c r="AP310" s="21"/>
      <c r="AQ310" s="21"/>
      <c r="AR310" s="21"/>
      <c r="AS310" s="21"/>
      <c r="AT310" s="18"/>
      <c r="AU310" s="18"/>
      <c r="AV310" s="18"/>
      <c r="AW310" s="20"/>
      <c r="AX310" s="20"/>
      <c r="AY310" s="17"/>
      <c r="AZ310" s="17"/>
      <c r="BA310" s="20"/>
      <c r="BB310" s="20"/>
      <c r="BC310" s="17"/>
      <c r="BD310" s="17"/>
      <c r="BE310" s="20"/>
      <c r="BF310" s="17"/>
      <c r="BG310" s="19"/>
      <c r="BH310" s="19"/>
      <c r="BI310" s="19"/>
      <c r="BJ310" s="19"/>
      <c r="BK310" s="19"/>
      <c r="BL310" s="19"/>
      <c r="BM310" s="19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</row>
    <row r="311" spans="1:78" ht="12" customHeight="1" x14ac:dyDescent="0.25">
      <c r="A311" s="26"/>
      <c r="B311" s="28"/>
      <c r="C311" s="28"/>
      <c r="D311" s="15" t="str">
        <f>IF(IF(ISNUMBER(B311),"",MAX(D$4:D310)+1)&lt;=D$3,IF(ISNUMBER(B311),"",MAX(D$4:D310)+1),"")</f>
        <v/>
      </c>
      <c r="E311" s="28"/>
      <c r="F311" s="28"/>
      <c r="G311" s="27"/>
      <c r="H311" s="15"/>
      <c r="I311" s="15" t="str">
        <f>IF(O311="","",IF(ISNUMBER(MATCH(O311,$G$5:$G$1000,0)),"",IF(D311=1,B$4,0)+MAX(I$4:I310)+1))</f>
        <v/>
      </c>
      <c r="J311" s="27"/>
      <c r="K311" s="27"/>
      <c r="L311" s="26"/>
      <c r="M311" s="14">
        <f>IF(ROW()-ROW(M$4)&lt;=1000,ROW()-ROW(M$4),"")</f>
        <v>307</v>
      </c>
      <c r="N311" s="25"/>
      <c r="O311" s="25"/>
      <c r="P311" s="17"/>
      <c r="Q311" s="16" t="s">
        <v>0</v>
      </c>
      <c r="R311" s="24"/>
      <c r="S311" s="24"/>
      <c r="T311" s="24"/>
      <c r="U311" s="24"/>
      <c r="V311" s="24"/>
      <c r="W311" s="24"/>
      <c r="X311" s="24"/>
      <c r="Y311" s="24"/>
      <c r="Z311" s="23"/>
      <c r="AA311" s="23"/>
      <c r="AB311" s="23"/>
      <c r="AC311" s="23"/>
      <c r="AD311" s="23"/>
      <c r="AE311" s="23"/>
      <c r="AF311" s="23"/>
      <c r="AG311" s="23"/>
      <c r="AH311" s="22"/>
      <c r="AI311" s="22"/>
      <c r="AJ311" s="22"/>
      <c r="AK311" s="22"/>
      <c r="AL311" s="22"/>
      <c r="AM311" s="22"/>
      <c r="AN311" s="22"/>
      <c r="AO311" s="16"/>
      <c r="AP311" s="21"/>
      <c r="AQ311" s="21"/>
      <c r="AR311" s="21"/>
      <c r="AS311" s="21"/>
      <c r="AT311" s="18"/>
      <c r="AU311" s="18"/>
      <c r="AV311" s="18"/>
      <c r="AW311" s="20"/>
      <c r="AX311" s="20"/>
      <c r="AY311" s="17"/>
      <c r="AZ311" s="17"/>
      <c r="BA311" s="20"/>
      <c r="BB311" s="20"/>
      <c r="BC311" s="17"/>
      <c r="BD311" s="17"/>
      <c r="BE311" s="20"/>
      <c r="BF311" s="17"/>
      <c r="BG311" s="19"/>
      <c r="BH311" s="19"/>
      <c r="BI311" s="19"/>
      <c r="BJ311" s="19"/>
      <c r="BK311" s="19"/>
      <c r="BL311" s="19"/>
      <c r="BM311" s="19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</row>
    <row r="312" spans="1:78" ht="12" customHeight="1" x14ac:dyDescent="0.25">
      <c r="A312" s="26"/>
      <c r="B312" s="28"/>
      <c r="C312" s="28"/>
      <c r="D312" s="15" t="str">
        <f>IF(IF(ISNUMBER(B312),"",MAX(D$4:D311)+1)&lt;=D$3,IF(ISNUMBER(B312),"",MAX(D$4:D311)+1),"")</f>
        <v/>
      </c>
      <c r="E312" s="28"/>
      <c r="F312" s="28"/>
      <c r="G312" s="27"/>
      <c r="H312" s="15"/>
      <c r="I312" s="15" t="str">
        <f>IF(O312="","",IF(ISNUMBER(MATCH(O312,$G$5:$G$1000,0)),"",IF(D312=1,B$4,0)+MAX(I$4:I311)+1))</f>
        <v/>
      </c>
      <c r="J312" s="27"/>
      <c r="K312" s="27"/>
      <c r="L312" s="26"/>
      <c r="M312" s="14">
        <f>IF(ROW()-ROW(M$4)&lt;=1000,ROW()-ROW(M$4),"")</f>
        <v>308</v>
      </c>
      <c r="N312" s="25"/>
      <c r="O312" s="25"/>
      <c r="P312" s="17"/>
      <c r="Q312" s="16" t="s">
        <v>0</v>
      </c>
      <c r="R312" s="24"/>
      <c r="S312" s="24"/>
      <c r="T312" s="24"/>
      <c r="U312" s="24"/>
      <c r="V312" s="24"/>
      <c r="W312" s="24"/>
      <c r="X312" s="24"/>
      <c r="Y312" s="24"/>
      <c r="Z312" s="23"/>
      <c r="AA312" s="23"/>
      <c r="AB312" s="23"/>
      <c r="AC312" s="23"/>
      <c r="AD312" s="23"/>
      <c r="AE312" s="23"/>
      <c r="AF312" s="23"/>
      <c r="AG312" s="23"/>
      <c r="AH312" s="22"/>
      <c r="AI312" s="22"/>
      <c r="AJ312" s="22"/>
      <c r="AK312" s="22"/>
      <c r="AL312" s="22"/>
      <c r="AM312" s="22"/>
      <c r="AN312" s="22"/>
      <c r="AO312" s="16"/>
      <c r="AP312" s="21"/>
      <c r="AQ312" s="21"/>
      <c r="AR312" s="21"/>
      <c r="AS312" s="21"/>
      <c r="AT312" s="18"/>
      <c r="AU312" s="18"/>
      <c r="AV312" s="18"/>
      <c r="AW312" s="20"/>
      <c r="AX312" s="20"/>
      <c r="AY312" s="17"/>
      <c r="AZ312" s="17"/>
      <c r="BA312" s="20"/>
      <c r="BB312" s="20"/>
      <c r="BC312" s="17"/>
      <c r="BD312" s="17"/>
      <c r="BE312" s="20"/>
      <c r="BF312" s="17"/>
      <c r="BG312" s="19"/>
      <c r="BH312" s="19"/>
      <c r="BI312" s="19"/>
      <c r="BJ312" s="19"/>
      <c r="BK312" s="19"/>
      <c r="BL312" s="19"/>
      <c r="BM312" s="19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</row>
    <row r="313" spans="1:78" ht="12" customHeight="1" x14ac:dyDescent="0.25">
      <c r="A313" s="26"/>
      <c r="B313" s="28"/>
      <c r="C313" s="28"/>
      <c r="D313" s="15" t="str">
        <f>IF(IF(ISNUMBER(B313),"",MAX(D$4:D312)+1)&lt;=D$3,IF(ISNUMBER(B313),"",MAX(D$4:D312)+1),"")</f>
        <v/>
      </c>
      <c r="E313" s="28"/>
      <c r="F313" s="28"/>
      <c r="G313" s="27"/>
      <c r="H313" s="15"/>
      <c r="I313" s="15" t="str">
        <f>IF(O313="","",IF(ISNUMBER(MATCH(O313,$G$5:$G$1000,0)),"",IF(D313=1,B$4,0)+MAX(I$4:I312)+1))</f>
        <v/>
      </c>
      <c r="J313" s="27"/>
      <c r="K313" s="27"/>
      <c r="L313" s="26"/>
      <c r="M313" s="14">
        <f>IF(ROW()-ROW(M$4)&lt;=1000,ROW()-ROW(M$4),"")</f>
        <v>309</v>
      </c>
      <c r="N313" s="25"/>
      <c r="O313" s="25"/>
      <c r="P313" s="17"/>
      <c r="Q313" s="16" t="s">
        <v>0</v>
      </c>
      <c r="R313" s="24"/>
      <c r="S313" s="24"/>
      <c r="T313" s="24"/>
      <c r="U313" s="24"/>
      <c r="V313" s="24"/>
      <c r="W313" s="24"/>
      <c r="X313" s="24"/>
      <c r="Y313" s="24"/>
      <c r="Z313" s="23"/>
      <c r="AA313" s="23"/>
      <c r="AB313" s="23"/>
      <c r="AC313" s="23"/>
      <c r="AD313" s="23"/>
      <c r="AE313" s="23"/>
      <c r="AF313" s="23"/>
      <c r="AG313" s="23"/>
      <c r="AH313" s="22"/>
      <c r="AI313" s="22"/>
      <c r="AJ313" s="22"/>
      <c r="AK313" s="22"/>
      <c r="AL313" s="22"/>
      <c r="AM313" s="22"/>
      <c r="AN313" s="22"/>
      <c r="AO313" s="16"/>
      <c r="AP313" s="21"/>
      <c r="AQ313" s="21"/>
      <c r="AR313" s="21"/>
      <c r="AS313" s="21"/>
      <c r="AT313" s="18"/>
      <c r="AU313" s="18"/>
      <c r="AV313" s="18"/>
      <c r="AW313" s="20"/>
      <c r="AX313" s="20"/>
      <c r="AY313" s="17"/>
      <c r="AZ313" s="17"/>
      <c r="BA313" s="20"/>
      <c r="BB313" s="20"/>
      <c r="BC313" s="17"/>
      <c r="BD313" s="17"/>
      <c r="BE313" s="20"/>
      <c r="BF313" s="17"/>
      <c r="BG313" s="19"/>
      <c r="BH313" s="19"/>
      <c r="BI313" s="19"/>
      <c r="BJ313" s="19"/>
      <c r="BK313" s="19"/>
      <c r="BL313" s="19"/>
      <c r="BM313" s="19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</row>
    <row r="314" spans="1:78" ht="12" customHeight="1" x14ac:dyDescent="0.25">
      <c r="A314" s="26"/>
      <c r="B314" s="28"/>
      <c r="C314" s="28"/>
      <c r="D314" s="15" t="str">
        <f>IF(IF(ISNUMBER(B314),"",MAX(D$4:D313)+1)&lt;=D$3,IF(ISNUMBER(B314),"",MAX(D$4:D313)+1),"")</f>
        <v/>
      </c>
      <c r="E314" s="28"/>
      <c r="F314" s="28"/>
      <c r="G314" s="27"/>
      <c r="H314" s="15"/>
      <c r="I314" s="15" t="str">
        <f>IF(O314="","",IF(ISNUMBER(MATCH(O314,$G$5:$G$1000,0)),"",IF(D314=1,B$4,0)+MAX(I$4:I313)+1))</f>
        <v/>
      </c>
      <c r="J314" s="27"/>
      <c r="K314" s="27"/>
      <c r="L314" s="26"/>
      <c r="M314" s="14">
        <f>IF(ROW()-ROW(M$4)&lt;=1000,ROW()-ROW(M$4),"")</f>
        <v>310</v>
      </c>
      <c r="N314" s="25"/>
      <c r="O314" s="25"/>
      <c r="P314" s="17"/>
      <c r="Q314" s="16" t="s">
        <v>0</v>
      </c>
      <c r="R314" s="24"/>
      <c r="S314" s="24"/>
      <c r="T314" s="24"/>
      <c r="U314" s="24"/>
      <c r="V314" s="24"/>
      <c r="W314" s="24"/>
      <c r="X314" s="24"/>
      <c r="Y314" s="24"/>
      <c r="Z314" s="23"/>
      <c r="AA314" s="23"/>
      <c r="AB314" s="23"/>
      <c r="AC314" s="23"/>
      <c r="AD314" s="23"/>
      <c r="AE314" s="23"/>
      <c r="AF314" s="23"/>
      <c r="AG314" s="23"/>
      <c r="AH314" s="22"/>
      <c r="AI314" s="22"/>
      <c r="AJ314" s="22"/>
      <c r="AK314" s="22"/>
      <c r="AL314" s="22"/>
      <c r="AM314" s="22"/>
      <c r="AN314" s="22"/>
      <c r="AO314" s="16"/>
      <c r="AP314" s="21"/>
      <c r="AQ314" s="21"/>
      <c r="AR314" s="21"/>
      <c r="AS314" s="21"/>
      <c r="AT314" s="18"/>
      <c r="AU314" s="18"/>
      <c r="AV314" s="18"/>
      <c r="AW314" s="20"/>
      <c r="AX314" s="20"/>
      <c r="AY314" s="17"/>
      <c r="AZ314" s="17"/>
      <c r="BA314" s="20"/>
      <c r="BB314" s="20"/>
      <c r="BC314" s="17"/>
      <c r="BD314" s="17"/>
      <c r="BE314" s="20"/>
      <c r="BF314" s="17"/>
      <c r="BG314" s="19"/>
      <c r="BH314" s="19"/>
      <c r="BI314" s="19"/>
      <c r="BJ314" s="19"/>
      <c r="BK314" s="19"/>
      <c r="BL314" s="19"/>
      <c r="BM314" s="19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</row>
    <row r="315" spans="1:78" ht="12" customHeight="1" x14ac:dyDescent="0.25">
      <c r="A315" s="26"/>
      <c r="B315" s="28"/>
      <c r="C315" s="28"/>
      <c r="D315" s="15" t="str">
        <f>IF(IF(ISNUMBER(B315),"",MAX(D$4:D314)+1)&lt;=D$3,IF(ISNUMBER(B315),"",MAX(D$4:D314)+1),"")</f>
        <v/>
      </c>
      <c r="E315" s="28"/>
      <c r="F315" s="28"/>
      <c r="G315" s="27"/>
      <c r="H315" s="15"/>
      <c r="I315" s="15" t="str">
        <f>IF(O315="","",IF(ISNUMBER(MATCH(O315,$G$5:$G$1000,0)),"",IF(D315=1,B$4,0)+MAX(I$4:I314)+1))</f>
        <v/>
      </c>
      <c r="J315" s="27"/>
      <c r="K315" s="27"/>
      <c r="L315" s="26"/>
      <c r="M315" s="14">
        <f>IF(ROW()-ROW(M$4)&lt;=1000,ROW()-ROW(M$4),"")</f>
        <v>311</v>
      </c>
      <c r="N315" s="25"/>
      <c r="O315" s="25"/>
      <c r="P315" s="17"/>
      <c r="Q315" s="16" t="s">
        <v>0</v>
      </c>
      <c r="R315" s="24"/>
      <c r="S315" s="24"/>
      <c r="T315" s="24"/>
      <c r="U315" s="24"/>
      <c r="V315" s="24"/>
      <c r="W315" s="24"/>
      <c r="X315" s="24"/>
      <c r="Y315" s="24"/>
      <c r="Z315" s="23"/>
      <c r="AA315" s="23"/>
      <c r="AB315" s="23"/>
      <c r="AC315" s="23"/>
      <c r="AD315" s="23"/>
      <c r="AE315" s="23"/>
      <c r="AF315" s="23"/>
      <c r="AG315" s="23"/>
      <c r="AH315" s="22"/>
      <c r="AI315" s="22"/>
      <c r="AJ315" s="22"/>
      <c r="AK315" s="22"/>
      <c r="AL315" s="22"/>
      <c r="AM315" s="22"/>
      <c r="AN315" s="22"/>
      <c r="AO315" s="16"/>
      <c r="AP315" s="21"/>
      <c r="AQ315" s="21"/>
      <c r="AR315" s="21"/>
      <c r="AS315" s="21"/>
      <c r="AT315" s="18"/>
      <c r="AU315" s="18"/>
      <c r="AV315" s="18"/>
      <c r="AW315" s="20"/>
      <c r="AX315" s="20"/>
      <c r="AY315" s="17"/>
      <c r="AZ315" s="17"/>
      <c r="BA315" s="20"/>
      <c r="BB315" s="20"/>
      <c r="BC315" s="17"/>
      <c r="BD315" s="17"/>
      <c r="BE315" s="20"/>
      <c r="BF315" s="17"/>
      <c r="BG315" s="19"/>
      <c r="BH315" s="19"/>
      <c r="BI315" s="19"/>
      <c r="BJ315" s="19"/>
      <c r="BK315" s="19"/>
      <c r="BL315" s="19"/>
      <c r="BM315" s="19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</row>
    <row r="316" spans="1:78" ht="12" customHeight="1" x14ac:dyDescent="0.25">
      <c r="D316" s="15" t="str">
        <f>IF(IF(ISNUMBER(B316),"",MAX(D$4:D315)+1)&lt;=D$3,IF(ISNUMBER(B316),"",MAX(D$4:D315)+1),"")</f>
        <v/>
      </c>
      <c r="H316" s="15"/>
      <c r="I316" s="15" t="str">
        <f>IF(O316="","",IF(ISNUMBER(MATCH(O316,$G$5:$G$1000,0)),"",IF(D316=1,B$4,0)+MAX(I$4:I315)+1))</f>
        <v/>
      </c>
      <c r="M316" s="14">
        <f>IF(ROW()-ROW(M$4)&lt;=1000,ROW()-ROW(M$4),"")</f>
        <v>312</v>
      </c>
      <c r="Q316" s="16" t="s">
        <v>0</v>
      </c>
      <c r="AO316" s="16"/>
      <c r="AZ316" s="17"/>
    </row>
    <row r="317" spans="1:78" ht="12" customHeight="1" x14ac:dyDescent="0.25">
      <c r="D317" s="15" t="str">
        <f>IF(IF(ISNUMBER(B317),"",MAX(D$4:D316)+1)&lt;=D$3,IF(ISNUMBER(B317),"",MAX(D$4:D316)+1),"")</f>
        <v/>
      </c>
      <c r="H317" s="15"/>
      <c r="I317" s="15" t="str">
        <f>IF(O317="","",IF(ISNUMBER(MATCH(O317,$G$5:$G$1000,0)),"",IF(D317=1,B$4,0)+MAX(I$4:I316)+1))</f>
        <v/>
      </c>
      <c r="M317" s="14">
        <f>IF(ROW()-ROW(M$4)&lt;=1000,ROW()-ROW(M$4),"")</f>
        <v>313</v>
      </c>
      <c r="Q317" s="16" t="s">
        <v>0</v>
      </c>
      <c r="AO317" s="16"/>
      <c r="AZ317" s="17"/>
    </row>
    <row r="318" spans="1:78" ht="12" customHeight="1" x14ac:dyDescent="0.25">
      <c r="D318" s="15" t="str">
        <f>IF(IF(ISNUMBER(B318),"",MAX(D$4:D317)+1)&lt;=D$3,IF(ISNUMBER(B318),"",MAX(D$4:D317)+1),"")</f>
        <v/>
      </c>
      <c r="H318" s="15"/>
      <c r="I318" s="15" t="str">
        <f>IF(O318="","",IF(ISNUMBER(MATCH(O318,$G$5:$G$1000,0)),"",IF(D318=1,B$4,0)+MAX(I$4:I317)+1))</f>
        <v/>
      </c>
      <c r="M318" s="14">
        <f>IF(ROW()-ROW(M$4)&lt;=1000,ROW()-ROW(M$4),"")</f>
        <v>314</v>
      </c>
      <c r="Q318" s="16" t="s">
        <v>0</v>
      </c>
      <c r="AO318" s="16"/>
      <c r="AZ318" s="17"/>
    </row>
    <row r="319" spans="1:78" ht="12" customHeight="1" x14ac:dyDescent="0.25">
      <c r="D319" s="15" t="str">
        <f>IF(IF(ISNUMBER(B319),"",MAX(D$4:D318)+1)&lt;=D$3,IF(ISNUMBER(B319),"",MAX(D$4:D318)+1),"")</f>
        <v/>
      </c>
      <c r="H319" s="15"/>
      <c r="I319" s="15" t="str">
        <f>IF(O319="","",IF(ISNUMBER(MATCH(O319,$G$5:$G$1000,0)),"",IF(D319=1,B$4,0)+MAX(I$4:I318)+1))</f>
        <v/>
      </c>
      <c r="M319" s="14">
        <f>IF(ROW()-ROW(M$4)&lt;=1000,ROW()-ROW(M$4),"")</f>
        <v>315</v>
      </c>
      <c r="Q319" s="16" t="s">
        <v>0</v>
      </c>
      <c r="AO319" s="16"/>
      <c r="AZ319" s="17"/>
    </row>
    <row r="320" spans="1:78" ht="12" customHeight="1" x14ac:dyDescent="0.25">
      <c r="D320" s="15" t="str">
        <f>IF(IF(ISNUMBER(B320),"",MAX(D$4:D319)+1)&lt;=D$3,IF(ISNUMBER(B320),"",MAX(D$4:D319)+1),"")</f>
        <v/>
      </c>
      <c r="H320" s="15"/>
      <c r="I320" s="15" t="str">
        <f>IF(O320="","",IF(ISNUMBER(MATCH(O320,$G$5:$G$1000,0)),"",IF(D320=1,B$4,0)+MAX(I$4:I319)+1))</f>
        <v/>
      </c>
      <c r="M320" s="14">
        <f>IF(ROW()-ROW(M$4)&lt;=1000,ROW()-ROW(M$4),"")</f>
        <v>316</v>
      </c>
      <c r="Q320" s="16" t="s">
        <v>0</v>
      </c>
      <c r="AO320" s="16"/>
      <c r="AZ320" s="17"/>
    </row>
    <row r="321" spans="4:52" ht="12" customHeight="1" x14ac:dyDescent="0.25">
      <c r="D321" s="15" t="str">
        <f>IF(IF(ISNUMBER(B321),"",MAX(D$4:D320)+1)&lt;=D$3,IF(ISNUMBER(B321),"",MAX(D$4:D320)+1),"")</f>
        <v/>
      </c>
      <c r="H321" s="15"/>
      <c r="I321" s="15" t="str">
        <f>IF(O321="","",IF(ISNUMBER(MATCH(O321,$G$5:$G$1000,0)),"",IF(D321=1,B$4,0)+MAX(I$4:I320)+1))</f>
        <v/>
      </c>
      <c r="M321" s="14">
        <f>IF(ROW()-ROW(M$4)&lt;=1000,ROW()-ROW(M$4),"")</f>
        <v>317</v>
      </c>
      <c r="Q321" s="16" t="s">
        <v>0</v>
      </c>
      <c r="AO321" s="16"/>
      <c r="AZ321" s="17"/>
    </row>
    <row r="322" spans="4:52" ht="12" customHeight="1" x14ac:dyDescent="0.25">
      <c r="D322" s="15" t="str">
        <f>IF(IF(ISNUMBER(B322),"",MAX(D$4:D321)+1)&lt;=D$3,IF(ISNUMBER(B322),"",MAX(D$4:D321)+1),"")</f>
        <v/>
      </c>
      <c r="H322" s="15"/>
      <c r="I322" s="15" t="str">
        <f>IF(O322="","",IF(ISNUMBER(MATCH(O322,$G$5:$G$1000,0)),"",IF(D322=1,B$4,0)+MAX(I$4:I321)+1))</f>
        <v/>
      </c>
      <c r="M322" s="14">
        <f>IF(ROW()-ROW(M$4)&lt;=1000,ROW()-ROW(M$4),"")</f>
        <v>318</v>
      </c>
      <c r="Q322" s="16" t="s">
        <v>0</v>
      </c>
      <c r="AO322" s="16"/>
    </row>
    <row r="323" spans="4:52" ht="12" customHeight="1" x14ac:dyDescent="0.25">
      <c r="D323" s="15" t="str">
        <f>IF(IF(ISNUMBER(B323),"",MAX(D$4:D322)+1)&lt;=D$3,IF(ISNUMBER(B323),"",MAX(D$4:D322)+1),"")</f>
        <v/>
      </c>
      <c r="H323" s="15"/>
      <c r="I323" s="15" t="str">
        <f>IF(O323="","",IF(ISNUMBER(MATCH(O323,$G$5:$G$1000,0)),"",IF(D323=1,B$4,0)+MAX(I$4:I322)+1))</f>
        <v/>
      </c>
      <c r="M323" s="14">
        <f>IF(ROW()-ROW(M$4)&lt;=1000,ROW()-ROW(M$4),"")</f>
        <v>319</v>
      </c>
      <c r="Q323" s="16" t="s">
        <v>0</v>
      </c>
      <c r="AO323" s="16"/>
    </row>
    <row r="324" spans="4:52" ht="12" customHeight="1" x14ac:dyDescent="0.25">
      <c r="D324" s="15" t="str">
        <f>IF(IF(ISNUMBER(B324),"",MAX(D$4:D323)+1)&lt;=D$3,IF(ISNUMBER(B324),"",MAX(D$4:D323)+1),"")</f>
        <v/>
      </c>
      <c r="H324" s="15"/>
      <c r="I324" s="15" t="str">
        <f>IF(O324="","",IF(ISNUMBER(MATCH(O324,$G$5:$G$1000,0)),"",IF(D324=1,B$4,0)+MAX(I$4:I323)+1))</f>
        <v/>
      </c>
      <c r="M324" s="14">
        <f>IF(ROW()-ROW(M$4)&lt;=1000,ROW()-ROW(M$4),"")</f>
        <v>320</v>
      </c>
      <c r="Q324" s="16" t="s">
        <v>0</v>
      </c>
      <c r="AO324" s="16"/>
    </row>
    <row r="325" spans="4:52" ht="12" customHeight="1" x14ac:dyDescent="0.25">
      <c r="D325" s="15" t="str">
        <f>IF(IF(ISNUMBER(B325),"",MAX(D$4:D324)+1)&lt;=D$3,IF(ISNUMBER(B325),"",MAX(D$4:D324)+1),"")</f>
        <v/>
      </c>
      <c r="H325" s="15"/>
      <c r="I325" s="15" t="str">
        <f>IF(O325="","",IF(ISNUMBER(MATCH(O325,$G$5:$G$1000,0)),"",IF(D325=1,B$4,0)+MAX(I$4:I324)+1))</f>
        <v/>
      </c>
      <c r="M325" s="14">
        <f>IF(ROW()-ROW(M$4)&lt;=1000,ROW()-ROW(M$4),"")</f>
        <v>321</v>
      </c>
      <c r="Q325" s="16" t="s">
        <v>0</v>
      </c>
      <c r="AO325" s="16"/>
    </row>
    <row r="326" spans="4:52" ht="12" customHeight="1" x14ac:dyDescent="0.25">
      <c r="D326" s="15" t="str">
        <f>IF(IF(ISNUMBER(B326),"",MAX(D$4:D325)+1)&lt;=D$3,IF(ISNUMBER(B326),"",MAX(D$4:D325)+1),"")</f>
        <v/>
      </c>
      <c r="H326" s="15"/>
      <c r="I326" s="15" t="str">
        <f>IF(O326="","",IF(ISNUMBER(MATCH(O326,$G$5:$G$1000,0)),"",IF(D326=1,B$4,0)+MAX(I$4:I325)+1))</f>
        <v/>
      </c>
      <c r="M326" s="14">
        <f>IF(ROW()-ROW(M$4)&lt;=1000,ROW()-ROW(M$4),"")</f>
        <v>322</v>
      </c>
      <c r="Q326" s="16" t="s">
        <v>0</v>
      </c>
      <c r="AO326" s="16"/>
    </row>
    <row r="327" spans="4:52" ht="12" customHeight="1" x14ac:dyDescent="0.25">
      <c r="D327" s="15" t="str">
        <f>IF(IF(ISNUMBER(B327),"",MAX(D$4:D326)+1)&lt;=D$3,IF(ISNUMBER(B327),"",MAX(D$4:D326)+1),"")</f>
        <v/>
      </c>
      <c r="H327" s="15"/>
      <c r="I327" s="15" t="str">
        <f>IF(O327="","",IF(ISNUMBER(MATCH(O327,$G$5:$G$1000,0)),"",IF(D327=1,B$4,0)+MAX(I$4:I326)+1))</f>
        <v/>
      </c>
      <c r="M327" s="14">
        <f>IF(ROW()-ROW(M$4)&lt;=1000,ROW()-ROW(M$4),"")</f>
        <v>323</v>
      </c>
      <c r="Q327" s="16" t="s">
        <v>0</v>
      </c>
      <c r="AO327" s="16"/>
    </row>
    <row r="328" spans="4:52" ht="12" customHeight="1" x14ac:dyDescent="0.25">
      <c r="D328" s="15" t="str">
        <f>IF(IF(ISNUMBER(B328),"",MAX(D$4:D327)+1)&lt;=D$3,IF(ISNUMBER(B328),"",MAX(D$4:D327)+1),"")</f>
        <v/>
      </c>
      <c r="H328" s="15"/>
      <c r="I328" s="15" t="str">
        <f>IF(O328="","",IF(ISNUMBER(MATCH(O328,$G$5:$G$1000,0)),"",IF(D328=1,B$4,0)+MAX(I$4:I327)+1))</f>
        <v/>
      </c>
      <c r="M328" s="14">
        <f>IF(ROW()-ROW(M$4)&lt;=1000,ROW()-ROW(M$4),"")</f>
        <v>324</v>
      </c>
      <c r="Q328" s="16" t="s">
        <v>0</v>
      </c>
      <c r="AO328" s="16"/>
    </row>
    <row r="329" spans="4:52" ht="12" customHeight="1" x14ac:dyDescent="0.25">
      <c r="D329" s="15" t="str">
        <f>IF(IF(ISNUMBER(B329),"",MAX(D$4:D328)+1)&lt;=D$3,IF(ISNUMBER(B329),"",MAX(D$4:D328)+1),"")</f>
        <v/>
      </c>
      <c r="H329" s="15"/>
      <c r="I329" s="15" t="str">
        <f>IF(O329="","",IF(ISNUMBER(MATCH(O329,$G$5:$G$1000,0)),"",IF(D329=1,B$4,0)+MAX(I$4:I328)+1))</f>
        <v/>
      </c>
      <c r="M329" s="14">
        <f>IF(ROW()-ROW(M$4)&lt;=1000,ROW()-ROW(M$4),"")</f>
        <v>325</v>
      </c>
      <c r="Q329" s="16" t="s">
        <v>0</v>
      </c>
      <c r="AO329" s="16"/>
    </row>
    <row r="330" spans="4:52" ht="12" customHeight="1" x14ac:dyDescent="0.25">
      <c r="D330" s="15" t="str">
        <f>IF(IF(ISNUMBER(B330),"",MAX(D$4:D329)+1)&lt;=D$3,IF(ISNUMBER(B330),"",MAX(D$4:D329)+1),"")</f>
        <v/>
      </c>
      <c r="H330" s="15"/>
      <c r="I330" s="15" t="str">
        <f>IF(O330="","",IF(ISNUMBER(MATCH(O330,$G$5:$G$1000,0)),"",IF(D330=1,B$4,0)+MAX(I$4:I329)+1))</f>
        <v/>
      </c>
      <c r="M330" s="14">
        <f>IF(ROW()-ROW(M$4)&lt;=1000,ROW()-ROW(M$4),"")</f>
        <v>326</v>
      </c>
      <c r="Q330" s="16" t="s">
        <v>0</v>
      </c>
      <c r="AO330" s="16"/>
    </row>
    <row r="331" spans="4:52" ht="12" customHeight="1" x14ac:dyDescent="0.25">
      <c r="D331" s="15" t="str">
        <f>IF(IF(ISNUMBER(B331),"",MAX(D$4:D330)+1)&lt;=D$3,IF(ISNUMBER(B331),"",MAX(D$4:D330)+1),"")</f>
        <v/>
      </c>
      <c r="H331" s="15"/>
      <c r="I331" s="15" t="str">
        <f>IF(O331="","",IF(ISNUMBER(MATCH(O331,$G$5:$G$1000,0)),"",IF(D331=1,B$4,0)+MAX(I$4:I330)+1))</f>
        <v/>
      </c>
      <c r="M331" s="14">
        <f>IF(ROW()-ROW(M$4)&lt;=1000,ROW()-ROW(M$4),"")</f>
        <v>327</v>
      </c>
      <c r="Q331" s="16" t="s">
        <v>0</v>
      </c>
      <c r="AO331" s="16"/>
    </row>
    <row r="332" spans="4:52" ht="12" customHeight="1" x14ac:dyDescent="0.25">
      <c r="D332" s="15" t="str">
        <f>IF(IF(ISNUMBER(B332),"",MAX(D$4:D331)+1)&lt;=D$3,IF(ISNUMBER(B332),"",MAX(D$4:D331)+1),"")</f>
        <v/>
      </c>
      <c r="H332" s="15"/>
      <c r="I332" s="15" t="str">
        <f>IF(O332="","",IF(ISNUMBER(MATCH(O332,$G$5:$G$1000,0)),"",IF(D332=1,B$4,0)+MAX(I$4:I331)+1))</f>
        <v/>
      </c>
      <c r="M332" s="14">
        <f>IF(ROW()-ROW(M$4)&lt;=1000,ROW()-ROW(M$4),"")</f>
        <v>328</v>
      </c>
      <c r="Q332" s="16" t="s">
        <v>0</v>
      </c>
      <c r="AO332" s="16"/>
    </row>
    <row r="333" spans="4:52" ht="12" customHeight="1" x14ac:dyDescent="0.25">
      <c r="D333" s="15" t="str">
        <f>IF(IF(ISNUMBER(B333),"",MAX(D$4:D332)+1)&lt;=D$3,IF(ISNUMBER(B333),"",MAX(D$4:D332)+1),"")</f>
        <v/>
      </c>
      <c r="H333" s="15"/>
      <c r="I333" s="15" t="str">
        <f>IF(O333="","",IF(ISNUMBER(MATCH(O333,$G$5:$G$1000,0)),"",IF(D333=1,B$4,0)+MAX(I$4:I332)+1))</f>
        <v/>
      </c>
      <c r="M333" s="14">
        <f>IF(ROW()-ROW(M$4)&lt;=1000,ROW()-ROW(M$4),"")</f>
        <v>329</v>
      </c>
      <c r="Q333" s="16" t="s">
        <v>0</v>
      </c>
      <c r="AO333" s="16"/>
    </row>
    <row r="334" spans="4:52" ht="12" customHeight="1" x14ac:dyDescent="0.25">
      <c r="D334" s="15" t="str">
        <f>IF(IF(ISNUMBER(B334),"",MAX(D$4:D333)+1)&lt;=D$3,IF(ISNUMBER(B334),"",MAX(D$4:D333)+1),"")</f>
        <v/>
      </c>
      <c r="H334" s="15"/>
      <c r="I334" s="15" t="str">
        <f>IF(O334="","",IF(ISNUMBER(MATCH(O334,$G$5:$G$1000,0)),"",IF(D334=1,B$4,0)+MAX(I$4:I333)+1))</f>
        <v/>
      </c>
      <c r="M334" s="14">
        <f>IF(ROW()-ROW(M$4)&lt;=1000,ROW()-ROW(M$4),"")</f>
        <v>330</v>
      </c>
      <c r="Q334" s="16" t="s">
        <v>0</v>
      </c>
      <c r="AO334" s="16"/>
    </row>
    <row r="335" spans="4:52" ht="12" customHeight="1" x14ac:dyDescent="0.25">
      <c r="D335" s="15" t="str">
        <f>IF(IF(ISNUMBER(B335),"",MAX(D$4:D334)+1)&lt;=D$3,IF(ISNUMBER(B335),"",MAX(D$4:D334)+1),"")</f>
        <v/>
      </c>
      <c r="H335" s="15"/>
      <c r="I335" s="15" t="str">
        <f>IF(O335="","",IF(ISNUMBER(MATCH(O335,$G$5:$G$1000,0)),"",IF(D335=1,B$4,0)+MAX(I$4:I334)+1))</f>
        <v/>
      </c>
      <c r="M335" s="14">
        <f>IF(ROW()-ROW(M$4)&lt;=1000,ROW()-ROW(M$4),"")</f>
        <v>331</v>
      </c>
      <c r="Q335" s="16" t="s">
        <v>0</v>
      </c>
      <c r="AO335" s="16"/>
    </row>
    <row r="336" spans="4:52" ht="12" customHeight="1" x14ac:dyDescent="0.25">
      <c r="D336" s="15" t="str">
        <f>IF(IF(ISNUMBER(B336),"",MAX(D$4:D335)+1)&lt;=D$3,IF(ISNUMBER(B336),"",MAX(D$4:D335)+1),"")</f>
        <v/>
      </c>
      <c r="H336" s="15"/>
      <c r="I336" s="15" t="str">
        <f>IF(O336="","",IF(ISNUMBER(MATCH(O336,$G$5:$G$1000,0)),"",IF(D336=1,B$4,0)+MAX(I$4:I335)+1))</f>
        <v/>
      </c>
      <c r="M336" s="14">
        <f>IF(ROW()-ROW(M$4)&lt;=1000,ROW()-ROW(M$4),"")</f>
        <v>332</v>
      </c>
      <c r="Q336" s="16" t="s">
        <v>0</v>
      </c>
      <c r="AO336" s="16"/>
    </row>
    <row r="337" spans="4:41" ht="12" customHeight="1" x14ac:dyDescent="0.25">
      <c r="D337" s="15" t="str">
        <f>IF(IF(ISNUMBER(B337),"",MAX(D$4:D336)+1)&lt;=D$3,IF(ISNUMBER(B337),"",MAX(D$4:D336)+1),"")</f>
        <v/>
      </c>
      <c r="H337" s="15"/>
      <c r="I337" s="15" t="str">
        <f>IF(O337="","",IF(ISNUMBER(MATCH(O337,$G$5:$G$1000,0)),"",IF(D337=1,B$4,0)+MAX(I$4:I336)+1))</f>
        <v/>
      </c>
      <c r="M337" s="14">
        <f>IF(ROW()-ROW(M$4)&lt;=1000,ROW()-ROW(M$4),"")</f>
        <v>333</v>
      </c>
      <c r="Q337" s="16" t="s">
        <v>0</v>
      </c>
      <c r="AO337" s="16"/>
    </row>
    <row r="338" spans="4:41" ht="12" customHeight="1" x14ac:dyDescent="0.25">
      <c r="D338" s="15" t="str">
        <f>IF(IF(ISNUMBER(B338),"",MAX(D$4:D337)+1)&lt;=D$3,IF(ISNUMBER(B338),"",MAX(D$4:D337)+1),"")</f>
        <v/>
      </c>
      <c r="H338" s="15"/>
      <c r="I338" s="15" t="str">
        <f>IF(O338="","",IF(ISNUMBER(MATCH(O338,$G$5:$G$1000,0)),"",IF(D338=1,B$4,0)+MAX(I$4:I337)+1))</f>
        <v/>
      </c>
      <c r="M338" s="14">
        <f>IF(ROW()-ROW(M$4)&lt;=1000,ROW()-ROW(M$4),"")</f>
        <v>334</v>
      </c>
      <c r="Q338" s="16" t="s">
        <v>0</v>
      </c>
      <c r="AO338" s="16"/>
    </row>
    <row r="339" spans="4:41" ht="12" customHeight="1" x14ac:dyDescent="0.25">
      <c r="D339" s="15" t="str">
        <f>IF(IF(ISNUMBER(B339),"",MAX(D$4:D338)+1)&lt;=D$3,IF(ISNUMBER(B339),"",MAX(D$4:D338)+1),"")</f>
        <v/>
      </c>
      <c r="H339" s="15"/>
      <c r="I339" s="15" t="str">
        <f>IF(O339="","",IF(ISNUMBER(MATCH(O339,$G$5:$G$1000,0)),"",IF(D339=1,B$4,0)+MAX(I$4:I338)+1))</f>
        <v/>
      </c>
      <c r="M339" s="14">
        <f>IF(ROW()-ROW(M$4)&lt;=1000,ROW()-ROW(M$4),"")</f>
        <v>335</v>
      </c>
      <c r="Q339" s="16" t="s">
        <v>0</v>
      </c>
      <c r="AO339" s="16"/>
    </row>
    <row r="340" spans="4:41" ht="12" customHeight="1" x14ac:dyDescent="0.25">
      <c r="D340" s="15" t="str">
        <f>IF(IF(ISNUMBER(B340),"",MAX(D$4:D339)+1)&lt;=D$3,IF(ISNUMBER(B340),"",MAX(D$4:D339)+1),"")</f>
        <v/>
      </c>
      <c r="H340" s="15"/>
      <c r="I340" s="15" t="str">
        <f>IF(O340="","",IF(ISNUMBER(MATCH(O340,$G$5:$G$1000,0)),"",IF(D340=1,B$4,0)+MAX(I$4:I339)+1))</f>
        <v/>
      </c>
      <c r="M340" s="14">
        <f>IF(ROW()-ROW(M$4)&lt;=1000,ROW()-ROW(M$4),"")</f>
        <v>336</v>
      </c>
      <c r="Q340" s="16" t="s">
        <v>0</v>
      </c>
      <c r="AO340" s="16"/>
    </row>
    <row r="341" spans="4:41" ht="12" customHeight="1" x14ac:dyDescent="0.25">
      <c r="D341" s="15" t="str">
        <f>IF(IF(ISNUMBER(B341),"",MAX(D$4:D340)+1)&lt;=D$3,IF(ISNUMBER(B341),"",MAX(D$4:D340)+1),"")</f>
        <v/>
      </c>
      <c r="H341" s="15"/>
      <c r="I341" s="15" t="str">
        <f>IF(O341="","",IF(ISNUMBER(MATCH(O341,$G$5:$G$1000,0)),"",IF(D341=1,B$4,0)+MAX(I$4:I340)+1))</f>
        <v/>
      </c>
      <c r="M341" s="14">
        <f>IF(ROW()-ROW(M$4)&lt;=1000,ROW()-ROW(M$4),"")</f>
        <v>337</v>
      </c>
      <c r="Q341" s="16" t="s">
        <v>0</v>
      </c>
      <c r="AO341" s="16"/>
    </row>
    <row r="342" spans="4:41" ht="12" customHeight="1" x14ac:dyDescent="0.25">
      <c r="D342" s="15" t="str">
        <f>IF(IF(ISNUMBER(B342),"",MAX(D$4:D341)+1)&lt;=D$3,IF(ISNUMBER(B342),"",MAX(D$4:D341)+1),"")</f>
        <v/>
      </c>
      <c r="H342" s="15"/>
      <c r="I342" s="15" t="str">
        <f>IF(O342="","",IF(ISNUMBER(MATCH(O342,$G$5:$G$1000,0)),"",IF(D342=1,B$4,0)+MAX(I$4:I341)+1))</f>
        <v/>
      </c>
      <c r="M342" s="14">
        <f>IF(ROW()-ROW(M$4)&lt;=1000,ROW()-ROW(M$4),"")</f>
        <v>338</v>
      </c>
      <c r="Q342" s="16" t="s">
        <v>0</v>
      </c>
      <c r="AO342" s="16"/>
    </row>
    <row r="343" spans="4:41" ht="12" customHeight="1" x14ac:dyDescent="0.25">
      <c r="D343" s="15" t="str">
        <f>IF(IF(ISNUMBER(B343),"",MAX(D$4:D342)+1)&lt;=D$3,IF(ISNUMBER(B343),"",MAX(D$4:D342)+1),"")</f>
        <v/>
      </c>
      <c r="H343" s="15"/>
      <c r="I343" s="15" t="str">
        <f>IF(O343="","",IF(ISNUMBER(MATCH(O343,$G$5:$G$1000,0)),"",IF(D343=1,B$4,0)+MAX(I$4:I342)+1))</f>
        <v/>
      </c>
      <c r="M343" s="14">
        <f>IF(ROW()-ROW(M$4)&lt;=1000,ROW()-ROW(M$4),"")</f>
        <v>339</v>
      </c>
      <c r="Q343" s="16" t="s">
        <v>0</v>
      </c>
      <c r="AO343" s="16"/>
    </row>
    <row r="344" spans="4:41" ht="12" customHeight="1" x14ac:dyDescent="0.25">
      <c r="D344" s="15" t="str">
        <f>IF(IF(ISNUMBER(B344),"",MAX(D$4:D343)+1)&lt;=D$3,IF(ISNUMBER(B344),"",MAX(D$4:D343)+1),"")</f>
        <v/>
      </c>
      <c r="H344" s="15"/>
      <c r="I344" s="15" t="str">
        <f>IF(O344="","",IF(ISNUMBER(MATCH(O344,$G$5:$G$1000,0)),"",IF(D344=1,B$4,0)+MAX(I$4:I343)+1))</f>
        <v/>
      </c>
      <c r="M344" s="14">
        <f>IF(ROW()-ROW(M$4)&lt;=1000,ROW()-ROW(M$4),"")</f>
        <v>340</v>
      </c>
      <c r="Q344" s="16" t="s">
        <v>0</v>
      </c>
      <c r="AO344" s="16"/>
    </row>
    <row r="345" spans="4:41" ht="12" customHeight="1" x14ac:dyDescent="0.25">
      <c r="D345" s="15" t="str">
        <f>IF(IF(ISNUMBER(B345),"",MAX(D$4:D344)+1)&lt;=D$3,IF(ISNUMBER(B345),"",MAX(D$4:D344)+1),"")</f>
        <v/>
      </c>
      <c r="H345" s="15"/>
      <c r="I345" s="15" t="str">
        <f>IF(O345="","",IF(ISNUMBER(MATCH(O345,$G$5:$G$1000,0)),"",IF(D345=1,B$4,0)+MAX(I$4:I344)+1))</f>
        <v/>
      </c>
      <c r="M345" s="14">
        <f>IF(ROW()-ROW(M$4)&lt;=1000,ROW()-ROW(M$4),"")</f>
        <v>341</v>
      </c>
      <c r="Q345" s="16" t="s">
        <v>0</v>
      </c>
      <c r="AO345" s="16"/>
    </row>
    <row r="346" spans="4:41" ht="12" customHeight="1" x14ac:dyDescent="0.25">
      <c r="D346" s="15" t="str">
        <f>IF(IF(ISNUMBER(B346),"",MAX(D$4:D345)+1)&lt;=D$3,IF(ISNUMBER(B346),"",MAX(D$4:D345)+1),"")</f>
        <v/>
      </c>
      <c r="H346" s="15"/>
      <c r="I346" s="15" t="str">
        <f>IF(O346="","",IF(ISNUMBER(MATCH(O346,$G$5:$G$1000,0)),"",IF(D346=1,B$4,0)+MAX(I$4:I345)+1))</f>
        <v/>
      </c>
      <c r="M346" s="14">
        <f>IF(ROW()-ROW(M$4)&lt;=1000,ROW()-ROW(M$4),"")</f>
        <v>342</v>
      </c>
      <c r="Q346" s="16" t="s">
        <v>0</v>
      </c>
      <c r="AO346" s="16"/>
    </row>
    <row r="347" spans="4:41" ht="12" customHeight="1" x14ac:dyDescent="0.25">
      <c r="D347" s="15" t="str">
        <f>IF(IF(ISNUMBER(B347),"",MAX(D$4:D346)+1)&lt;=D$3,IF(ISNUMBER(B347),"",MAX(D$4:D346)+1),"")</f>
        <v/>
      </c>
      <c r="H347" s="15"/>
      <c r="I347" s="15" t="str">
        <f>IF(O347="","",IF(ISNUMBER(MATCH(O347,$G$5:$G$1000,0)),"",IF(D347=1,B$4,0)+MAX(I$4:I346)+1))</f>
        <v/>
      </c>
      <c r="M347" s="14">
        <f>IF(ROW()-ROW(M$4)&lt;=1000,ROW()-ROW(M$4),"")</f>
        <v>343</v>
      </c>
      <c r="Q347" s="16" t="s">
        <v>0</v>
      </c>
      <c r="AO347" s="16"/>
    </row>
    <row r="348" spans="4:41" ht="12" customHeight="1" x14ac:dyDescent="0.25">
      <c r="D348" s="15" t="str">
        <f>IF(IF(ISNUMBER(B348),"",MAX(D$4:D347)+1)&lt;=D$3,IF(ISNUMBER(B348),"",MAX(D$4:D347)+1),"")</f>
        <v/>
      </c>
      <c r="H348" s="15"/>
      <c r="I348" s="15" t="str">
        <f>IF(O348="","",IF(ISNUMBER(MATCH(O348,$G$5:$G$1000,0)),"",IF(D348=1,B$4,0)+MAX(I$4:I347)+1))</f>
        <v/>
      </c>
      <c r="M348" s="14">
        <f>IF(ROW()-ROW(M$4)&lt;=1000,ROW()-ROW(M$4),"")</f>
        <v>344</v>
      </c>
      <c r="Q348" s="16" t="s">
        <v>0</v>
      </c>
      <c r="AO348" s="16"/>
    </row>
    <row r="349" spans="4:41" ht="12" customHeight="1" x14ac:dyDescent="0.25">
      <c r="D349" s="15" t="str">
        <f>IF(IF(ISNUMBER(B349),"",MAX(D$4:D348)+1)&lt;=D$3,IF(ISNUMBER(B349),"",MAX(D$4:D348)+1),"")</f>
        <v/>
      </c>
      <c r="H349" s="15"/>
      <c r="I349" s="15" t="str">
        <f>IF(O349="","",IF(ISNUMBER(MATCH(O349,$G$5:$G$1000,0)),"",IF(D349=1,B$4,0)+MAX(I$4:I348)+1))</f>
        <v/>
      </c>
      <c r="M349" s="14">
        <f>IF(ROW()-ROW(M$4)&lt;=1000,ROW()-ROW(M$4),"")</f>
        <v>345</v>
      </c>
      <c r="Q349" s="16" t="s">
        <v>0</v>
      </c>
      <c r="AO349" s="16"/>
    </row>
    <row r="350" spans="4:41" ht="12" customHeight="1" x14ac:dyDescent="0.25">
      <c r="D350" s="15" t="str">
        <f>IF(IF(ISNUMBER(B350),"",MAX(D$4:D349)+1)&lt;=D$3,IF(ISNUMBER(B350),"",MAX(D$4:D349)+1),"")</f>
        <v/>
      </c>
      <c r="H350" s="15"/>
      <c r="I350" s="15" t="str">
        <f>IF(O350="","",IF(ISNUMBER(MATCH(O350,$G$5:$G$1000,0)),"",IF(D350=1,B$4,0)+MAX(I$4:I349)+1))</f>
        <v/>
      </c>
      <c r="M350" s="14">
        <f>IF(ROW()-ROW(M$4)&lt;=1000,ROW()-ROW(M$4),"")</f>
        <v>346</v>
      </c>
      <c r="Q350" s="16" t="s">
        <v>0</v>
      </c>
      <c r="AO350" s="16"/>
    </row>
    <row r="351" spans="4:41" ht="12" customHeight="1" x14ac:dyDescent="0.25">
      <c r="D351" s="15" t="str">
        <f>IF(IF(ISNUMBER(B351),"",MAX(D$4:D350)+1)&lt;=D$3,IF(ISNUMBER(B351),"",MAX(D$4:D350)+1),"")</f>
        <v/>
      </c>
      <c r="H351" s="15"/>
      <c r="I351" s="15" t="str">
        <f>IF(O351="","",IF(ISNUMBER(MATCH(O351,$G$5:$G$1000,0)),"",IF(D351=1,B$4,0)+MAX(I$4:I350)+1))</f>
        <v/>
      </c>
      <c r="M351" s="14">
        <f>IF(ROW()-ROW(M$4)&lt;=1000,ROW()-ROW(M$4),"")</f>
        <v>347</v>
      </c>
      <c r="Q351" s="16" t="s">
        <v>0</v>
      </c>
      <c r="AO351" s="16"/>
    </row>
    <row r="352" spans="4:41" ht="12" customHeight="1" x14ac:dyDescent="0.25">
      <c r="D352" s="15" t="str">
        <f>IF(IF(ISNUMBER(B352),"",MAX(D$4:D351)+1)&lt;=D$3,IF(ISNUMBER(B352),"",MAX(D$4:D351)+1),"")</f>
        <v/>
      </c>
      <c r="H352" s="15"/>
      <c r="I352" s="15" t="str">
        <f>IF(O352="","",IF(ISNUMBER(MATCH(O352,$G$5:$G$1000,0)),"",IF(D352=1,B$4,0)+MAX(I$4:I351)+1))</f>
        <v/>
      </c>
      <c r="M352" s="14">
        <f>IF(ROW()-ROW(M$4)&lt;=1000,ROW()-ROW(M$4),"")</f>
        <v>348</v>
      </c>
      <c r="Q352" s="16" t="s">
        <v>0</v>
      </c>
      <c r="AO352" s="16"/>
    </row>
    <row r="353" spans="4:41" ht="12" customHeight="1" x14ac:dyDescent="0.25">
      <c r="D353" s="15" t="str">
        <f>IF(IF(ISNUMBER(B353),"",MAX(D$4:D352)+1)&lt;=D$3,IF(ISNUMBER(B353),"",MAX(D$4:D352)+1),"")</f>
        <v/>
      </c>
      <c r="H353" s="15"/>
      <c r="I353" s="15" t="str">
        <f>IF(O353="","",IF(ISNUMBER(MATCH(O353,$G$5:$G$1000,0)),"",IF(D353=1,B$4,0)+MAX(I$4:I352)+1))</f>
        <v/>
      </c>
      <c r="M353" s="14">
        <f>IF(ROW()-ROW(M$4)&lt;=1000,ROW()-ROW(M$4),"")</f>
        <v>349</v>
      </c>
      <c r="Q353" s="16" t="s">
        <v>0</v>
      </c>
      <c r="AO353" s="16"/>
    </row>
    <row r="354" spans="4:41" ht="12" customHeight="1" x14ac:dyDescent="0.25">
      <c r="D354" s="15" t="str">
        <f>IF(IF(ISNUMBER(B354),"",MAX(D$4:D353)+1)&lt;=D$3,IF(ISNUMBER(B354),"",MAX(D$4:D353)+1),"")</f>
        <v/>
      </c>
      <c r="H354" s="15"/>
      <c r="I354" s="15" t="str">
        <f>IF(O354="","",IF(ISNUMBER(MATCH(O354,$G$5:$G$1000,0)),"",IF(D354=1,B$4,0)+MAX(I$4:I353)+1))</f>
        <v/>
      </c>
      <c r="M354" s="14">
        <f>IF(ROW()-ROW(M$4)&lt;=1000,ROW()-ROW(M$4),"")</f>
        <v>350</v>
      </c>
      <c r="Q354" s="16" t="s">
        <v>0</v>
      </c>
      <c r="AO354" s="16"/>
    </row>
    <row r="355" spans="4:41" ht="12" customHeight="1" x14ac:dyDescent="0.25">
      <c r="D355" s="15" t="str">
        <f>IF(IF(ISNUMBER(B355),"",MAX(D$4:D354)+1)&lt;=D$3,IF(ISNUMBER(B355),"",MAX(D$4:D354)+1),"")</f>
        <v/>
      </c>
      <c r="H355" s="15"/>
      <c r="I355" s="15" t="str">
        <f>IF(O355="","",IF(ISNUMBER(MATCH(O355,$G$5:$G$1000,0)),"",IF(D355=1,B$4,0)+MAX(I$4:I354)+1))</f>
        <v/>
      </c>
      <c r="M355" s="14">
        <f>IF(ROW()-ROW(M$4)&lt;=1000,ROW()-ROW(M$4),"")</f>
        <v>351</v>
      </c>
      <c r="Q355" s="16" t="s">
        <v>0</v>
      </c>
      <c r="AO355" s="16"/>
    </row>
    <row r="356" spans="4:41" ht="12" customHeight="1" x14ac:dyDescent="0.25">
      <c r="D356" s="15" t="str">
        <f>IF(IF(ISNUMBER(B356),"",MAX(D$4:D355)+1)&lt;=D$3,IF(ISNUMBER(B356),"",MAX(D$4:D355)+1),"")</f>
        <v/>
      </c>
      <c r="H356" s="15"/>
      <c r="I356" s="15" t="str">
        <f>IF(O356="","",IF(ISNUMBER(MATCH(O356,$G$5:$G$1000,0)),"",IF(D356=1,B$4,0)+MAX(I$4:I355)+1))</f>
        <v/>
      </c>
      <c r="M356" s="14">
        <f>IF(ROW()-ROW(M$4)&lt;=1000,ROW()-ROW(M$4),"")</f>
        <v>352</v>
      </c>
      <c r="Q356" s="16" t="s">
        <v>0</v>
      </c>
      <c r="AO356" s="16"/>
    </row>
    <row r="357" spans="4:41" ht="12" customHeight="1" x14ac:dyDescent="0.25">
      <c r="D357" s="15" t="str">
        <f>IF(IF(ISNUMBER(B357),"",MAX(D$4:D356)+1)&lt;=D$3,IF(ISNUMBER(B357),"",MAX(D$4:D356)+1),"")</f>
        <v/>
      </c>
      <c r="H357" s="15"/>
      <c r="I357" s="15" t="str">
        <f>IF(O357="","",IF(ISNUMBER(MATCH(O357,$G$5:$G$1000,0)),"",IF(D357=1,B$4,0)+MAX(I$4:I356)+1))</f>
        <v/>
      </c>
      <c r="M357" s="14">
        <f>IF(ROW()-ROW(M$4)&lt;=1000,ROW()-ROW(M$4),"")</f>
        <v>353</v>
      </c>
      <c r="Q357" s="16" t="s">
        <v>0</v>
      </c>
      <c r="AO357" s="16"/>
    </row>
    <row r="358" spans="4:41" ht="12" customHeight="1" x14ac:dyDescent="0.25">
      <c r="D358" s="15" t="str">
        <f>IF(IF(ISNUMBER(B358),"",MAX(D$4:D357)+1)&lt;=D$3,IF(ISNUMBER(B358),"",MAX(D$4:D357)+1),"")</f>
        <v/>
      </c>
      <c r="H358" s="15"/>
      <c r="I358" s="15" t="str">
        <f>IF(O358="","",IF(ISNUMBER(MATCH(O358,$G$5:$G$1000,0)),"",IF(D358=1,B$4,0)+MAX(I$4:I357)+1))</f>
        <v/>
      </c>
      <c r="M358" s="14">
        <f>IF(ROW()-ROW(M$4)&lt;=1000,ROW()-ROW(M$4),"")</f>
        <v>354</v>
      </c>
      <c r="Q358" s="16" t="s">
        <v>0</v>
      </c>
      <c r="AO358" s="16"/>
    </row>
    <row r="359" spans="4:41" ht="12" customHeight="1" x14ac:dyDescent="0.25">
      <c r="D359" s="15" t="str">
        <f>IF(IF(ISNUMBER(B359),"",MAX(D$4:D358)+1)&lt;=D$3,IF(ISNUMBER(B359),"",MAX(D$4:D358)+1),"")</f>
        <v/>
      </c>
      <c r="H359" s="15"/>
      <c r="I359" s="15" t="str">
        <f>IF(O359="","",IF(ISNUMBER(MATCH(O359,$G$5:$G$1000,0)),"",IF(D359=1,B$4,0)+MAX(I$4:I358)+1))</f>
        <v/>
      </c>
      <c r="M359" s="14">
        <f>IF(ROW()-ROW(M$4)&lt;=1000,ROW()-ROW(M$4),"")</f>
        <v>355</v>
      </c>
      <c r="Q359" s="16" t="s">
        <v>0</v>
      </c>
      <c r="AO359" s="16"/>
    </row>
    <row r="360" spans="4:41" ht="12" customHeight="1" x14ac:dyDescent="0.25">
      <c r="D360" s="15" t="str">
        <f>IF(IF(ISNUMBER(B360),"",MAX(D$4:D359)+1)&lt;=D$3,IF(ISNUMBER(B360),"",MAX(D$4:D359)+1),"")</f>
        <v/>
      </c>
      <c r="H360" s="15"/>
      <c r="I360" s="15" t="str">
        <f>IF(O360="","",IF(ISNUMBER(MATCH(O360,$G$5:$G$1000,0)),"",IF(D360=1,B$4,0)+MAX(I$4:I359)+1))</f>
        <v/>
      </c>
      <c r="M360" s="14">
        <f>IF(ROW()-ROW(M$4)&lt;=1000,ROW()-ROW(M$4),"")</f>
        <v>356</v>
      </c>
      <c r="Q360" s="16" t="s">
        <v>0</v>
      </c>
      <c r="AO360" s="16"/>
    </row>
    <row r="361" spans="4:41" ht="12" customHeight="1" x14ac:dyDescent="0.25">
      <c r="D361" s="15" t="str">
        <f>IF(IF(ISNUMBER(B361),"",MAX(D$4:D360)+1)&lt;=D$3,IF(ISNUMBER(B361),"",MAX(D$4:D360)+1),"")</f>
        <v/>
      </c>
      <c r="H361" s="15"/>
      <c r="I361" s="15" t="str">
        <f>IF(O361="","",IF(ISNUMBER(MATCH(O361,$G$5:$G$1000,0)),"",IF(D361=1,B$4,0)+MAX(I$4:I360)+1))</f>
        <v/>
      </c>
      <c r="M361" s="14">
        <f>IF(ROW()-ROW(M$4)&lt;=1000,ROW()-ROW(M$4),"")</f>
        <v>357</v>
      </c>
      <c r="Q361" s="16" t="s">
        <v>0</v>
      </c>
      <c r="AO361" s="16"/>
    </row>
    <row r="362" spans="4:41" ht="12" customHeight="1" x14ac:dyDescent="0.25">
      <c r="D362" s="15" t="str">
        <f>IF(IF(ISNUMBER(B362),"",MAX(D$4:D361)+1)&lt;=D$3,IF(ISNUMBER(B362),"",MAX(D$4:D361)+1),"")</f>
        <v/>
      </c>
      <c r="H362" s="15"/>
      <c r="I362" s="15" t="str">
        <f>IF(O362="","",IF(ISNUMBER(MATCH(O362,$G$5:$G$1000,0)),"",IF(D362=1,B$4,0)+MAX(I$4:I361)+1))</f>
        <v/>
      </c>
      <c r="M362" s="14">
        <f>IF(ROW()-ROW(M$4)&lt;=1000,ROW()-ROW(M$4),"")</f>
        <v>358</v>
      </c>
      <c r="Q362" s="16" t="s">
        <v>0</v>
      </c>
      <c r="AO362" s="16"/>
    </row>
    <row r="363" spans="4:41" ht="12" customHeight="1" x14ac:dyDescent="0.25">
      <c r="D363" s="15" t="str">
        <f>IF(IF(ISNUMBER(B363),"",MAX(D$4:D362)+1)&lt;=D$3,IF(ISNUMBER(B363),"",MAX(D$4:D362)+1),"")</f>
        <v/>
      </c>
      <c r="H363" s="15"/>
      <c r="I363" s="15" t="str">
        <f>IF(O363="","",IF(ISNUMBER(MATCH(O363,$G$5:$G$1000,0)),"",IF(D363=1,B$4,0)+MAX(I$4:I362)+1))</f>
        <v/>
      </c>
      <c r="M363" s="14">
        <f>IF(ROW()-ROW(M$4)&lt;=1000,ROW()-ROW(M$4),"")</f>
        <v>359</v>
      </c>
      <c r="Q363" s="16" t="s">
        <v>0</v>
      </c>
      <c r="AO363" s="16"/>
    </row>
    <row r="364" spans="4:41" ht="12" customHeight="1" x14ac:dyDescent="0.25">
      <c r="D364" s="15" t="str">
        <f>IF(IF(ISNUMBER(B364),"",MAX(D$4:D363)+1)&lt;=D$3,IF(ISNUMBER(B364),"",MAX(D$4:D363)+1),"")</f>
        <v/>
      </c>
      <c r="H364" s="15"/>
      <c r="I364" s="15" t="str">
        <f>IF(O364="","",IF(ISNUMBER(MATCH(O364,$G$5:$G$1000,0)),"",IF(D364=1,B$4,0)+MAX(I$4:I363)+1))</f>
        <v/>
      </c>
      <c r="M364" s="14">
        <f>IF(ROW()-ROW(M$4)&lt;=1000,ROW()-ROW(M$4),"")</f>
        <v>360</v>
      </c>
      <c r="Q364" s="16" t="s">
        <v>0</v>
      </c>
      <c r="AO364" s="16"/>
    </row>
    <row r="365" spans="4:41" ht="12" customHeight="1" x14ac:dyDescent="0.25">
      <c r="D365" s="15" t="str">
        <f>IF(IF(ISNUMBER(B365),"",MAX(D$4:D364)+1)&lt;=D$3,IF(ISNUMBER(B365),"",MAX(D$4:D364)+1),"")</f>
        <v/>
      </c>
      <c r="H365" s="15"/>
      <c r="I365" s="15" t="str">
        <f>IF(O365="","",IF(ISNUMBER(MATCH(O365,$G$5:$G$1000,0)),"",IF(D365=1,B$4,0)+MAX(I$4:I364)+1))</f>
        <v/>
      </c>
      <c r="M365" s="14">
        <f>IF(ROW()-ROW(M$4)&lt;=1000,ROW()-ROW(M$4),"")</f>
        <v>361</v>
      </c>
      <c r="Q365" s="16" t="s">
        <v>0</v>
      </c>
      <c r="AO365" s="16"/>
    </row>
    <row r="366" spans="4:41" ht="12" customHeight="1" x14ac:dyDescent="0.25">
      <c r="D366" s="15" t="str">
        <f>IF(IF(ISNUMBER(B366),"",MAX(D$4:D365)+1)&lt;=D$3,IF(ISNUMBER(B366),"",MAX(D$4:D365)+1),"")</f>
        <v/>
      </c>
      <c r="H366" s="15"/>
      <c r="I366" s="15" t="str">
        <f>IF(O366="","",IF(ISNUMBER(MATCH(O366,$G$5:$G$1000,0)),"",IF(D366=1,B$4,0)+MAX(I$4:I365)+1))</f>
        <v/>
      </c>
      <c r="M366" s="14">
        <f>IF(ROW()-ROW(M$4)&lt;=1000,ROW()-ROW(M$4),"")</f>
        <v>362</v>
      </c>
      <c r="Q366" s="16" t="s">
        <v>0</v>
      </c>
      <c r="AO366" s="16"/>
    </row>
    <row r="367" spans="4:41" ht="12" customHeight="1" x14ac:dyDescent="0.25">
      <c r="D367" s="15" t="str">
        <f>IF(IF(ISNUMBER(B367),"",MAX(D$4:D366)+1)&lt;=D$3,IF(ISNUMBER(B367),"",MAX(D$4:D366)+1),"")</f>
        <v/>
      </c>
      <c r="H367" s="15"/>
      <c r="I367" s="15" t="str">
        <f>IF(O367="","",IF(ISNUMBER(MATCH(O367,$G$5:$G$1000,0)),"",IF(D367=1,B$4,0)+MAX(I$4:I366)+1))</f>
        <v/>
      </c>
      <c r="M367" s="14">
        <f>IF(ROW()-ROW(M$4)&lt;=1000,ROW()-ROW(M$4),"")</f>
        <v>363</v>
      </c>
      <c r="Q367" s="16" t="s">
        <v>0</v>
      </c>
      <c r="AO367" s="16"/>
    </row>
    <row r="368" spans="4:41" ht="12" customHeight="1" x14ac:dyDescent="0.25">
      <c r="D368" s="15" t="str">
        <f>IF(IF(ISNUMBER(B368),"",MAX(D$4:D367)+1)&lt;=D$3,IF(ISNUMBER(B368),"",MAX(D$4:D367)+1),"")</f>
        <v/>
      </c>
      <c r="H368" s="15"/>
      <c r="I368" s="15" t="str">
        <f>IF(O368="","",IF(ISNUMBER(MATCH(O368,$G$5:$G$1000,0)),"",IF(D368=1,B$4,0)+MAX(I$4:I367)+1))</f>
        <v/>
      </c>
      <c r="M368" s="14">
        <f>IF(ROW()-ROW(M$4)&lt;=1000,ROW()-ROW(M$4),"")</f>
        <v>364</v>
      </c>
      <c r="Q368" s="16" t="s">
        <v>0</v>
      </c>
      <c r="AO368" s="16"/>
    </row>
    <row r="369" spans="4:41" ht="12" customHeight="1" x14ac:dyDescent="0.25">
      <c r="D369" s="15" t="str">
        <f>IF(IF(ISNUMBER(B369),"",MAX(D$4:D368)+1)&lt;=D$3,IF(ISNUMBER(B369),"",MAX(D$4:D368)+1),"")</f>
        <v/>
      </c>
      <c r="H369" s="15"/>
      <c r="I369" s="15" t="str">
        <f>IF(O369="","",IF(ISNUMBER(MATCH(O369,$G$5:$G$1000,0)),"",IF(D369=1,B$4,0)+MAX(I$4:I368)+1))</f>
        <v/>
      </c>
      <c r="M369" s="14">
        <f>IF(ROW()-ROW(M$4)&lt;=1000,ROW()-ROW(M$4),"")</f>
        <v>365</v>
      </c>
      <c r="Q369" s="16" t="s">
        <v>0</v>
      </c>
      <c r="AO369" s="16"/>
    </row>
    <row r="370" spans="4:41" ht="12" customHeight="1" x14ac:dyDescent="0.25">
      <c r="D370" s="15" t="str">
        <f>IF(IF(ISNUMBER(B370),"",MAX(D$4:D369)+1)&lt;=D$3,IF(ISNUMBER(B370),"",MAX(D$4:D369)+1),"")</f>
        <v/>
      </c>
      <c r="H370" s="15"/>
      <c r="I370" s="15" t="str">
        <f>IF(O370="","",IF(ISNUMBER(MATCH(O370,$G$5:$G$1000,0)),"",IF(D370=1,B$4,0)+MAX(I$4:I369)+1))</f>
        <v/>
      </c>
      <c r="M370" s="14">
        <f>IF(ROW()-ROW(M$4)&lt;=1000,ROW()-ROW(M$4),"")</f>
        <v>366</v>
      </c>
      <c r="Q370" s="16" t="s">
        <v>0</v>
      </c>
      <c r="AO370" s="16"/>
    </row>
    <row r="371" spans="4:41" ht="12" customHeight="1" x14ac:dyDescent="0.25">
      <c r="D371" s="15" t="str">
        <f>IF(IF(ISNUMBER(B371),"",MAX(D$4:D370)+1)&lt;=D$3,IF(ISNUMBER(B371),"",MAX(D$4:D370)+1),"")</f>
        <v/>
      </c>
      <c r="H371" s="15"/>
      <c r="I371" s="15" t="str">
        <f>IF(O371="","",IF(ISNUMBER(MATCH(O371,$G$5:$G$1000,0)),"",IF(D371=1,B$4,0)+MAX(I$4:I370)+1))</f>
        <v/>
      </c>
      <c r="M371" s="14">
        <f>IF(ROW()-ROW(M$4)&lt;=1000,ROW()-ROW(M$4),"")</f>
        <v>367</v>
      </c>
      <c r="Q371" s="16" t="s">
        <v>0</v>
      </c>
      <c r="AO371" s="16"/>
    </row>
    <row r="372" spans="4:41" ht="12" customHeight="1" x14ac:dyDescent="0.25">
      <c r="D372" s="15" t="str">
        <f>IF(IF(ISNUMBER(B372),"",MAX(D$4:D371)+1)&lt;=D$3,IF(ISNUMBER(B372),"",MAX(D$4:D371)+1),"")</f>
        <v/>
      </c>
      <c r="H372" s="15"/>
      <c r="I372" s="15" t="str">
        <f>IF(O372="","",IF(ISNUMBER(MATCH(O372,$G$5:$G$1000,0)),"",IF(D372=1,B$4,0)+MAX(I$4:I371)+1))</f>
        <v/>
      </c>
      <c r="M372" s="14">
        <f>IF(ROW()-ROW(M$4)&lt;=1000,ROW()-ROW(M$4),"")</f>
        <v>368</v>
      </c>
      <c r="Q372" s="16" t="s">
        <v>0</v>
      </c>
      <c r="AO372" s="16"/>
    </row>
    <row r="373" spans="4:41" ht="12" customHeight="1" x14ac:dyDescent="0.25">
      <c r="D373" s="15" t="str">
        <f>IF(IF(ISNUMBER(B373),"",MAX(D$4:D372)+1)&lt;=D$3,IF(ISNUMBER(B373),"",MAX(D$4:D372)+1),"")</f>
        <v/>
      </c>
      <c r="H373" s="15"/>
      <c r="I373" s="15" t="str">
        <f>IF(O373="","",IF(ISNUMBER(MATCH(O373,$G$5:$G$1000,0)),"",IF(D373=1,B$4,0)+MAX(I$4:I372)+1))</f>
        <v/>
      </c>
      <c r="M373" s="14">
        <f>IF(ROW()-ROW(M$4)&lt;=1000,ROW()-ROW(M$4),"")</f>
        <v>369</v>
      </c>
      <c r="Q373" s="16" t="s">
        <v>0</v>
      </c>
      <c r="AO373" s="16"/>
    </row>
    <row r="374" spans="4:41" ht="12" customHeight="1" x14ac:dyDescent="0.25">
      <c r="D374" s="15" t="str">
        <f>IF(IF(ISNUMBER(B374),"",MAX(D$4:D373)+1)&lt;=D$3,IF(ISNUMBER(B374),"",MAX(D$4:D373)+1),"")</f>
        <v/>
      </c>
      <c r="H374" s="15"/>
      <c r="I374" s="15" t="str">
        <f>IF(O374="","",IF(ISNUMBER(MATCH(O374,$G$5:$G$1000,0)),"",IF(D374=1,B$4,0)+MAX(I$4:I373)+1))</f>
        <v/>
      </c>
      <c r="M374" s="14">
        <f>IF(ROW()-ROW(M$4)&lt;=1000,ROW()-ROW(M$4),"")</f>
        <v>370</v>
      </c>
      <c r="Q374" s="16" t="s">
        <v>0</v>
      </c>
      <c r="AO374" s="16"/>
    </row>
    <row r="375" spans="4:41" ht="12" customHeight="1" x14ac:dyDescent="0.25">
      <c r="D375" s="15" t="str">
        <f>IF(IF(ISNUMBER(B375),"",MAX(D$4:D374)+1)&lt;=D$3,IF(ISNUMBER(B375),"",MAX(D$4:D374)+1),"")</f>
        <v/>
      </c>
      <c r="H375" s="15"/>
      <c r="I375" s="15" t="str">
        <f>IF(O375="","",IF(ISNUMBER(MATCH(O375,$G$5:$G$1000,0)),"",IF(D375=1,B$4,0)+MAX(I$4:I374)+1))</f>
        <v/>
      </c>
      <c r="M375" s="14">
        <f>IF(ROW()-ROW(M$4)&lt;=1000,ROW()-ROW(M$4),"")</f>
        <v>371</v>
      </c>
      <c r="Q375" s="16" t="s">
        <v>0</v>
      </c>
      <c r="AO375" s="16"/>
    </row>
    <row r="376" spans="4:41" ht="12" customHeight="1" x14ac:dyDescent="0.25">
      <c r="D376" s="15" t="str">
        <f>IF(IF(ISNUMBER(B376),"",MAX(D$4:D375)+1)&lt;=D$3,IF(ISNUMBER(B376),"",MAX(D$4:D375)+1),"")</f>
        <v/>
      </c>
      <c r="H376" s="15"/>
      <c r="I376" s="15" t="str">
        <f>IF(O376="","",IF(ISNUMBER(MATCH(O376,$G$5:$G$1000,0)),"",IF(D376=1,B$4,0)+MAX(I$4:I375)+1))</f>
        <v/>
      </c>
      <c r="M376" s="14">
        <f>IF(ROW()-ROW(M$4)&lt;=1000,ROW()-ROW(M$4),"")</f>
        <v>372</v>
      </c>
      <c r="Q376" s="16" t="s">
        <v>0</v>
      </c>
      <c r="AO376" s="16"/>
    </row>
    <row r="377" spans="4:41" ht="12" customHeight="1" x14ac:dyDescent="0.25">
      <c r="D377" s="15" t="str">
        <f>IF(IF(ISNUMBER(B377),"",MAX(D$4:D376)+1)&lt;=D$3,IF(ISNUMBER(B377),"",MAX(D$4:D376)+1),"")</f>
        <v/>
      </c>
      <c r="H377" s="15"/>
      <c r="I377" s="15" t="str">
        <f>IF(O377="","",IF(ISNUMBER(MATCH(O377,$G$5:$G$1000,0)),"",IF(D377=1,B$4,0)+MAX(I$4:I376)+1))</f>
        <v/>
      </c>
      <c r="M377" s="14">
        <f>IF(ROW()-ROW(M$4)&lt;=1000,ROW()-ROW(M$4),"")</f>
        <v>373</v>
      </c>
      <c r="Q377" s="16" t="s">
        <v>0</v>
      </c>
      <c r="AO377" s="16"/>
    </row>
    <row r="378" spans="4:41" ht="12" customHeight="1" x14ac:dyDescent="0.25">
      <c r="D378" s="15" t="str">
        <f>IF(IF(ISNUMBER(B378),"",MAX(D$4:D377)+1)&lt;=D$3,IF(ISNUMBER(B378),"",MAX(D$4:D377)+1),"")</f>
        <v/>
      </c>
      <c r="H378" s="15"/>
      <c r="I378" s="15" t="str">
        <f>IF(O378="","",IF(ISNUMBER(MATCH(O378,$G$5:$G$1000,0)),"",IF(D378=1,B$4,0)+MAX(I$4:I377)+1))</f>
        <v/>
      </c>
      <c r="M378" s="14">
        <f>IF(ROW()-ROW(M$4)&lt;=1000,ROW()-ROW(M$4),"")</f>
        <v>374</v>
      </c>
      <c r="Q378" s="16" t="s">
        <v>0</v>
      </c>
      <c r="AO378" s="16"/>
    </row>
    <row r="379" spans="4:41" ht="12" customHeight="1" x14ac:dyDescent="0.25">
      <c r="D379" s="15" t="str">
        <f>IF(IF(ISNUMBER(B379),"",MAX(D$4:D378)+1)&lt;=D$3,IF(ISNUMBER(B379),"",MAX(D$4:D378)+1),"")</f>
        <v/>
      </c>
      <c r="H379" s="15"/>
      <c r="I379" s="15" t="str">
        <f>IF(O379="","",IF(ISNUMBER(MATCH(O379,$G$5:$G$1000,0)),"",IF(D379=1,B$4,0)+MAX(I$4:I378)+1))</f>
        <v/>
      </c>
      <c r="M379" s="14">
        <f>IF(ROW()-ROW(M$4)&lt;=1000,ROW()-ROW(M$4),"")</f>
        <v>375</v>
      </c>
      <c r="Q379" s="16" t="s">
        <v>0</v>
      </c>
      <c r="AO379" s="16"/>
    </row>
    <row r="380" spans="4:41" ht="12" customHeight="1" x14ac:dyDescent="0.25">
      <c r="D380" s="15" t="str">
        <f>IF(IF(ISNUMBER(B380),"",MAX(D$4:D379)+1)&lt;=D$3,IF(ISNUMBER(B380),"",MAX(D$4:D379)+1),"")</f>
        <v/>
      </c>
      <c r="H380" s="15"/>
      <c r="I380" s="15" t="str">
        <f>IF(O380="","",IF(ISNUMBER(MATCH(O380,$G$5:$G$1000,0)),"",IF(D380=1,B$4,0)+MAX(I$4:I379)+1))</f>
        <v/>
      </c>
      <c r="M380" s="14">
        <f>IF(ROW()-ROW(M$4)&lt;=1000,ROW()-ROW(M$4),"")</f>
        <v>376</v>
      </c>
      <c r="Q380" s="16" t="s">
        <v>0</v>
      </c>
      <c r="AO380" s="16"/>
    </row>
    <row r="381" spans="4:41" ht="12" customHeight="1" x14ac:dyDescent="0.25">
      <c r="D381" s="15" t="str">
        <f>IF(IF(ISNUMBER(B381),"",MAX(D$4:D380)+1)&lt;=D$3,IF(ISNUMBER(B381),"",MAX(D$4:D380)+1),"")</f>
        <v/>
      </c>
      <c r="H381" s="15"/>
      <c r="I381" s="15" t="str">
        <f>IF(O381="","",IF(ISNUMBER(MATCH(O381,$G$5:$G$1000,0)),"",IF(D381=1,B$4,0)+MAX(I$4:I380)+1))</f>
        <v/>
      </c>
      <c r="M381" s="14">
        <f>IF(ROW()-ROW(M$4)&lt;=1000,ROW()-ROW(M$4),"")</f>
        <v>377</v>
      </c>
      <c r="Q381" s="16" t="s">
        <v>0</v>
      </c>
      <c r="AO381" s="16"/>
    </row>
    <row r="382" spans="4:41" ht="12" customHeight="1" x14ac:dyDescent="0.25">
      <c r="D382" s="15" t="str">
        <f>IF(IF(ISNUMBER(B382),"",MAX(D$4:D381)+1)&lt;=D$3,IF(ISNUMBER(B382),"",MAX(D$4:D381)+1),"")</f>
        <v/>
      </c>
      <c r="H382" s="15"/>
      <c r="I382" s="15" t="str">
        <f>IF(O382="","",IF(ISNUMBER(MATCH(O382,$G$5:$G$1000,0)),"",IF(D382=1,B$4,0)+MAX(I$4:I381)+1))</f>
        <v/>
      </c>
      <c r="M382" s="14">
        <f>IF(ROW()-ROW(M$4)&lt;=1000,ROW()-ROW(M$4),"")</f>
        <v>378</v>
      </c>
      <c r="Q382" s="16" t="s">
        <v>0</v>
      </c>
      <c r="AO382" s="16"/>
    </row>
    <row r="383" spans="4:41" ht="12" customHeight="1" x14ac:dyDescent="0.25">
      <c r="D383" s="15" t="str">
        <f>IF(IF(ISNUMBER(B383),"",MAX(D$4:D382)+1)&lt;=D$3,IF(ISNUMBER(B383),"",MAX(D$4:D382)+1),"")</f>
        <v/>
      </c>
      <c r="H383" s="15"/>
      <c r="I383" s="15" t="str">
        <f>IF(O383="","",IF(ISNUMBER(MATCH(O383,$G$5:$G$1000,0)),"",IF(D383=1,B$4,0)+MAX(I$4:I382)+1))</f>
        <v/>
      </c>
      <c r="M383" s="14">
        <f>IF(ROW()-ROW(M$4)&lt;=1000,ROW()-ROW(M$4),"")</f>
        <v>379</v>
      </c>
      <c r="Q383" s="16" t="s">
        <v>0</v>
      </c>
      <c r="AO383" s="16"/>
    </row>
    <row r="384" spans="4:41" ht="12" customHeight="1" x14ac:dyDescent="0.25">
      <c r="D384" s="15" t="str">
        <f>IF(IF(ISNUMBER(B384),"",MAX(D$4:D383)+1)&lt;=D$3,IF(ISNUMBER(B384),"",MAX(D$4:D383)+1),"")</f>
        <v/>
      </c>
      <c r="H384" s="15"/>
      <c r="I384" s="15" t="str">
        <f>IF(O384="","",IF(ISNUMBER(MATCH(O384,$G$5:$G$1000,0)),"",IF(D384=1,B$4,0)+MAX(I$4:I383)+1))</f>
        <v/>
      </c>
      <c r="M384" s="14">
        <f>IF(ROW()-ROW(M$4)&lt;=1000,ROW()-ROW(M$4),"")</f>
        <v>380</v>
      </c>
      <c r="Q384" s="16" t="s">
        <v>0</v>
      </c>
      <c r="AO384" s="16"/>
    </row>
    <row r="385" spans="4:41" ht="12" customHeight="1" x14ac:dyDescent="0.25">
      <c r="D385" s="15" t="str">
        <f>IF(IF(ISNUMBER(B385),"",MAX(D$4:D384)+1)&lt;=D$3,IF(ISNUMBER(B385),"",MAX(D$4:D384)+1),"")</f>
        <v/>
      </c>
      <c r="H385" s="15"/>
      <c r="I385" s="15" t="str">
        <f>IF(O385="","",IF(ISNUMBER(MATCH(O385,$G$5:$G$1000,0)),"",IF(D385=1,B$4,0)+MAX(I$4:I384)+1))</f>
        <v/>
      </c>
      <c r="M385" s="14">
        <f>IF(ROW()-ROW(M$4)&lt;=1000,ROW()-ROW(M$4),"")</f>
        <v>381</v>
      </c>
      <c r="Q385" s="16" t="s">
        <v>0</v>
      </c>
      <c r="AO385" s="16"/>
    </row>
    <row r="386" spans="4:41" ht="12" customHeight="1" x14ac:dyDescent="0.25">
      <c r="D386" s="15" t="str">
        <f>IF(IF(ISNUMBER(B386),"",MAX(D$4:D385)+1)&lt;=D$3,IF(ISNUMBER(B386),"",MAX(D$4:D385)+1),"")</f>
        <v/>
      </c>
      <c r="H386" s="15"/>
      <c r="I386" s="15" t="str">
        <f>IF(O386="","",IF(ISNUMBER(MATCH(O386,$G$5:$G$1000,0)),"",IF(D386=1,B$4,0)+MAX(I$4:I385)+1))</f>
        <v/>
      </c>
      <c r="M386" s="14">
        <f>IF(ROW()-ROW(M$4)&lt;=1000,ROW()-ROW(M$4),"")</f>
        <v>382</v>
      </c>
      <c r="Q386" s="16" t="s">
        <v>0</v>
      </c>
      <c r="AO386" s="16"/>
    </row>
    <row r="387" spans="4:41" ht="12" customHeight="1" x14ac:dyDescent="0.25">
      <c r="D387" s="15" t="str">
        <f>IF(IF(ISNUMBER(B387),"",MAX(D$4:D386)+1)&lt;=D$3,IF(ISNUMBER(B387),"",MAX(D$4:D386)+1),"")</f>
        <v/>
      </c>
      <c r="H387" s="15"/>
      <c r="I387" s="15" t="str">
        <f>IF(O387="","",IF(ISNUMBER(MATCH(O387,$G$5:$G$1000,0)),"",IF(D387=1,B$4,0)+MAX(I$4:I386)+1))</f>
        <v/>
      </c>
      <c r="M387" s="14">
        <f>IF(ROW()-ROW(M$4)&lt;=1000,ROW()-ROW(M$4),"")</f>
        <v>383</v>
      </c>
      <c r="Q387" s="16" t="s">
        <v>0</v>
      </c>
      <c r="AO387" s="16"/>
    </row>
    <row r="388" spans="4:41" ht="12" customHeight="1" x14ac:dyDescent="0.25">
      <c r="D388" s="15" t="str">
        <f>IF(IF(ISNUMBER(B388),"",MAX(D$4:D387)+1)&lt;=D$3,IF(ISNUMBER(B388),"",MAX(D$4:D387)+1),"")</f>
        <v/>
      </c>
      <c r="H388" s="15"/>
      <c r="I388" s="15" t="str">
        <f>IF(O388="","",IF(ISNUMBER(MATCH(O388,$G$5:$G$1000,0)),"",IF(D388=1,B$4,0)+MAX(I$4:I387)+1))</f>
        <v/>
      </c>
      <c r="M388" s="14">
        <f>IF(ROW()-ROW(M$4)&lt;=1000,ROW()-ROW(M$4),"")</f>
        <v>384</v>
      </c>
      <c r="Q388" s="16" t="s">
        <v>0</v>
      </c>
      <c r="AO388" s="16"/>
    </row>
    <row r="389" spans="4:41" ht="12" customHeight="1" x14ac:dyDescent="0.25">
      <c r="D389" s="15" t="str">
        <f>IF(IF(ISNUMBER(B389),"",MAX(D$4:D388)+1)&lt;=D$3,IF(ISNUMBER(B389),"",MAX(D$4:D388)+1),"")</f>
        <v/>
      </c>
      <c r="H389" s="15"/>
      <c r="I389" s="15" t="str">
        <f>IF(O389="","",IF(ISNUMBER(MATCH(O389,$G$5:$G$1000,0)),"",IF(D389=1,B$4,0)+MAX(I$4:I388)+1))</f>
        <v/>
      </c>
      <c r="M389" s="14">
        <f>IF(ROW()-ROW(M$4)&lt;=1000,ROW()-ROW(M$4),"")</f>
        <v>385</v>
      </c>
      <c r="Q389" s="16" t="s">
        <v>0</v>
      </c>
      <c r="AO389" s="16"/>
    </row>
    <row r="390" spans="4:41" ht="12" customHeight="1" x14ac:dyDescent="0.25">
      <c r="D390" s="15" t="str">
        <f>IF(IF(ISNUMBER(B390),"",MAX(D$4:D389)+1)&lt;=D$3,IF(ISNUMBER(B390),"",MAX(D$4:D389)+1),"")</f>
        <v/>
      </c>
      <c r="H390" s="15"/>
      <c r="I390" s="15" t="str">
        <f>IF(O390="","",IF(ISNUMBER(MATCH(O390,$G$5:$G$1000,0)),"",IF(D390=1,B$4,0)+MAX(I$4:I389)+1))</f>
        <v/>
      </c>
      <c r="M390" s="14">
        <f>IF(ROW()-ROW(M$4)&lt;=1000,ROW()-ROW(M$4),"")</f>
        <v>386</v>
      </c>
      <c r="Q390" s="16" t="s">
        <v>0</v>
      </c>
      <c r="AO390" s="16"/>
    </row>
    <row r="391" spans="4:41" ht="12" customHeight="1" x14ac:dyDescent="0.25">
      <c r="D391" s="15" t="str">
        <f>IF(IF(ISNUMBER(B391),"",MAX(D$4:D390)+1)&lt;=D$3,IF(ISNUMBER(B391),"",MAX(D$4:D390)+1),"")</f>
        <v/>
      </c>
      <c r="H391" s="15"/>
      <c r="I391" s="15" t="str">
        <f>IF(O391="","",IF(ISNUMBER(MATCH(O391,$G$5:$G$1000,0)),"",IF(D391=1,B$4,0)+MAX(I$4:I390)+1))</f>
        <v/>
      </c>
      <c r="M391" s="14">
        <f>IF(ROW()-ROW(M$4)&lt;=1000,ROW()-ROW(M$4),"")</f>
        <v>387</v>
      </c>
      <c r="Q391" s="16" t="s">
        <v>0</v>
      </c>
      <c r="AO391" s="16"/>
    </row>
    <row r="392" spans="4:41" ht="12" customHeight="1" x14ac:dyDescent="0.25">
      <c r="D392" s="15" t="str">
        <f>IF(IF(ISNUMBER(B392),"",MAX(D$4:D391)+1)&lt;=D$3,IF(ISNUMBER(B392),"",MAX(D$4:D391)+1),"")</f>
        <v/>
      </c>
      <c r="H392" s="15"/>
      <c r="I392" s="15" t="str">
        <f>IF(O392="","",IF(ISNUMBER(MATCH(O392,$G$5:$G$1000,0)),"",IF(D392=1,B$4,0)+MAX(I$4:I391)+1))</f>
        <v/>
      </c>
      <c r="M392" s="14">
        <f>IF(ROW()-ROW(M$4)&lt;=1000,ROW()-ROW(M$4),"")</f>
        <v>388</v>
      </c>
      <c r="Q392" s="16" t="s">
        <v>0</v>
      </c>
      <c r="AO392" s="16"/>
    </row>
    <row r="393" spans="4:41" ht="12" customHeight="1" x14ac:dyDescent="0.25">
      <c r="D393" s="15" t="str">
        <f>IF(IF(ISNUMBER(B393),"",MAX(D$4:D392)+1)&lt;=D$3,IF(ISNUMBER(B393),"",MAX(D$4:D392)+1),"")</f>
        <v/>
      </c>
      <c r="H393" s="15"/>
      <c r="I393" s="15" t="str">
        <f>IF(O393="","",IF(ISNUMBER(MATCH(O393,$G$5:$G$1000,0)),"",IF(D393=1,B$4,0)+MAX(I$4:I392)+1))</f>
        <v/>
      </c>
      <c r="M393" s="14">
        <f>IF(ROW()-ROW(M$4)&lt;=1000,ROW()-ROW(M$4),"")</f>
        <v>389</v>
      </c>
      <c r="Q393" s="16" t="s">
        <v>0</v>
      </c>
      <c r="AO393" s="16"/>
    </row>
    <row r="394" spans="4:41" ht="12" customHeight="1" x14ac:dyDescent="0.25">
      <c r="D394" s="15" t="str">
        <f>IF(IF(ISNUMBER(B394),"",MAX(D$4:D393)+1)&lt;=D$3,IF(ISNUMBER(B394),"",MAX(D$4:D393)+1),"")</f>
        <v/>
      </c>
      <c r="H394" s="15"/>
      <c r="I394" s="15" t="str">
        <f>IF(O394="","",IF(ISNUMBER(MATCH(O394,$G$5:$G$1000,0)),"",IF(D394=1,B$4,0)+MAX(I$4:I393)+1))</f>
        <v/>
      </c>
      <c r="M394" s="14">
        <f>IF(ROW()-ROW(M$4)&lt;=1000,ROW()-ROW(M$4),"")</f>
        <v>390</v>
      </c>
      <c r="Q394" s="16" t="s">
        <v>0</v>
      </c>
      <c r="AO394" s="16"/>
    </row>
    <row r="395" spans="4:41" ht="12" customHeight="1" x14ac:dyDescent="0.25">
      <c r="D395" s="15" t="str">
        <f>IF(IF(ISNUMBER(B395),"",MAX(D$4:D394)+1)&lt;=D$3,IF(ISNUMBER(B395),"",MAX(D$4:D394)+1),"")</f>
        <v/>
      </c>
      <c r="H395" s="15"/>
      <c r="I395" s="15" t="str">
        <f>IF(O395="","",IF(ISNUMBER(MATCH(O395,$G$5:$G$1000,0)),"",IF(D395=1,B$4,0)+MAX(I$4:I394)+1))</f>
        <v/>
      </c>
      <c r="M395" s="14">
        <f>IF(ROW()-ROW(M$4)&lt;=1000,ROW()-ROW(M$4),"")</f>
        <v>391</v>
      </c>
      <c r="Q395" s="16" t="s">
        <v>0</v>
      </c>
      <c r="AO395" s="16"/>
    </row>
    <row r="396" spans="4:41" ht="12" customHeight="1" x14ac:dyDescent="0.25">
      <c r="D396" s="15" t="str">
        <f>IF(IF(ISNUMBER(B396),"",MAX(D$4:D395)+1)&lt;=D$3,IF(ISNUMBER(B396),"",MAX(D$4:D395)+1),"")</f>
        <v/>
      </c>
      <c r="H396" s="15"/>
      <c r="I396" s="15" t="str">
        <f>IF(O396="","",IF(ISNUMBER(MATCH(O396,$G$5:$G$1000,0)),"",IF(D396=1,B$4,0)+MAX(I$4:I395)+1))</f>
        <v/>
      </c>
      <c r="M396" s="14">
        <f>IF(ROW()-ROW(M$4)&lt;=1000,ROW()-ROW(M$4),"")</f>
        <v>392</v>
      </c>
      <c r="Q396" s="16" t="s">
        <v>0</v>
      </c>
      <c r="AO396" s="16"/>
    </row>
    <row r="397" spans="4:41" ht="12" customHeight="1" x14ac:dyDescent="0.25">
      <c r="D397" s="15" t="str">
        <f>IF(IF(ISNUMBER(B397),"",MAX(D$4:D396)+1)&lt;=D$3,IF(ISNUMBER(B397),"",MAX(D$4:D396)+1),"")</f>
        <v/>
      </c>
      <c r="H397" s="15"/>
      <c r="I397" s="15" t="str">
        <f>IF(O397="","",IF(ISNUMBER(MATCH(O397,$G$5:$G$1000,0)),"",IF(D397=1,B$4,0)+MAX(I$4:I396)+1))</f>
        <v/>
      </c>
      <c r="M397" s="14">
        <f>IF(ROW()-ROW(M$4)&lt;=1000,ROW()-ROW(M$4),"")</f>
        <v>393</v>
      </c>
      <c r="Q397" s="16" t="s">
        <v>0</v>
      </c>
      <c r="AO397" s="16"/>
    </row>
    <row r="398" spans="4:41" ht="12" customHeight="1" x14ac:dyDescent="0.25">
      <c r="D398" s="15" t="str">
        <f>IF(IF(ISNUMBER(B398),"",MAX(D$4:D397)+1)&lt;=D$3,IF(ISNUMBER(B398),"",MAX(D$4:D397)+1),"")</f>
        <v/>
      </c>
      <c r="H398" s="15"/>
      <c r="I398" s="15" t="str">
        <f>IF(O398="","",IF(ISNUMBER(MATCH(O398,$G$5:$G$1000,0)),"",IF(D398=1,B$4,0)+MAX(I$4:I397)+1))</f>
        <v/>
      </c>
      <c r="M398" s="14">
        <f>IF(ROW()-ROW(M$4)&lt;=1000,ROW()-ROW(M$4),"")</f>
        <v>394</v>
      </c>
      <c r="Q398" s="16" t="s">
        <v>0</v>
      </c>
      <c r="AO398" s="16"/>
    </row>
    <row r="399" spans="4:41" ht="12" customHeight="1" x14ac:dyDescent="0.25">
      <c r="D399" s="15" t="str">
        <f>IF(IF(ISNUMBER(B399),"",MAX(D$4:D398)+1)&lt;=D$3,IF(ISNUMBER(B399),"",MAX(D$4:D398)+1),"")</f>
        <v/>
      </c>
      <c r="H399" s="15"/>
      <c r="I399" s="15" t="str">
        <f>IF(O399="","",IF(ISNUMBER(MATCH(O399,$G$5:$G$1000,0)),"",IF(D399=1,B$4,0)+MAX(I$4:I398)+1))</f>
        <v/>
      </c>
      <c r="M399" s="14">
        <f>IF(ROW()-ROW(M$4)&lt;=1000,ROW()-ROW(M$4),"")</f>
        <v>395</v>
      </c>
      <c r="Q399" s="16" t="s">
        <v>0</v>
      </c>
      <c r="AO399" s="16"/>
    </row>
    <row r="400" spans="4:41" ht="12" customHeight="1" x14ac:dyDescent="0.25">
      <c r="D400" s="15" t="str">
        <f>IF(IF(ISNUMBER(B400),"",MAX(D$4:D399)+1)&lt;=D$3,IF(ISNUMBER(B400),"",MAX(D$4:D399)+1),"")</f>
        <v/>
      </c>
      <c r="H400" s="15"/>
      <c r="I400" s="15" t="str">
        <f>IF(O400="","",IF(ISNUMBER(MATCH(O400,$G$5:$G$1000,0)),"",IF(D400=1,B$4,0)+MAX(I$4:I399)+1))</f>
        <v/>
      </c>
      <c r="M400" s="14">
        <f>IF(ROW()-ROW(M$4)&lt;=1000,ROW()-ROW(M$4),"")</f>
        <v>396</v>
      </c>
      <c r="Q400" s="16" t="s">
        <v>0</v>
      </c>
      <c r="AO400" s="16"/>
    </row>
    <row r="401" spans="4:41" ht="12" customHeight="1" x14ac:dyDescent="0.25">
      <c r="D401" s="15" t="str">
        <f>IF(IF(ISNUMBER(B401),"",MAX(D$4:D400)+1)&lt;=D$3,IF(ISNUMBER(B401),"",MAX(D$4:D400)+1),"")</f>
        <v/>
      </c>
      <c r="H401" s="15"/>
      <c r="I401" s="15" t="str">
        <f>IF(O401="","",IF(ISNUMBER(MATCH(O401,$G$5:$G$1000,0)),"",IF(D401=1,B$4,0)+MAX(I$4:I400)+1))</f>
        <v/>
      </c>
      <c r="M401" s="14">
        <f>IF(ROW()-ROW(M$4)&lt;=1000,ROW()-ROW(M$4),"")</f>
        <v>397</v>
      </c>
      <c r="Q401" s="16" t="s">
        <v>0</v>
      </c>
      <c r="AO401" s="16"/>
    </row>
    <row r="402" spans="4:41" ht="12" customHeight="1" x14ac:dyDescent="0.25">
      <c r="D402" s="15" t="str">
        <f>IF(IF(ISNUMBER(B402),"",MAX(D$4:D401)+1)&lt;=D$3,IF(ISNUMBER(B402),"",MAX(D$4:D401)+1),"")</f>
        <v/>
      </c>
      <c r="H402" s="15"/>
      <c r="I402" s="15" t="str">
        <f>IF(O402="","",IF(ISNUMBER(MATCH(O402,$G$5:$G$1000,0)),"",IF(D402=1,B$4,0)+MAX(I$4:I401)+1))</f>
        <v/>
      </c>
      <c r="M402" s="14">
        <f>IF(ROW()-ROW(M$4)&lt;=1000,ROW()-ROW(M$4),"")</f>
        <v>398</v>
      </c>
      <c r="Q402" s="16" t="s">
        <v>0</v>
      </c>
      <c r="AO402" s="16"/>
    </row>
    <row r="403" spans="4:41" ht="12" customHeight="1" x14ac:dyDescent="0.25">
      <c r="D403" s="15" t="str">
        <f>IF(IF(ISNUMBER(B403),"",MAX(D$4:D402)+1)&lt;=D$3,IF(ISNUMBER(B403),"",MAX(D$4:D402)+1),"")</f>
        <v/>
      </c>
      <c r="H403" s="15"/>
      <c r="I403" s="15" t="str">
        <f>IF(O403="","",IF(ISNUMBER(MATCH(O403,$G$5:$G$1000,0)),"",IF(D403=1,B$4,0)+MAX(I$4:I402)+1))</f>
        <v/>
      </c>
      <c r="M403" s="14">
        <f>IF(ROW()-ROW(M$4)&lt;=1000,ROW()-ROW(M$4),"")</f>
        <v>399</v>
      </c>
      <c r="Q403" s="16" t="s">
        <v>0</v>
      </c>
      <c r="AO403" s="16"/>
    </row>
    <row r="404" spans="4:41" ht="12" customHeight="1" x14ac:dyDescent="0.25">
      <c r="D404" s="15" t="str">
        <f>IF(IF(ISNUMBER(B404),"",MAX(D$4:D403)+1)&lt;=D$3,IF(ISNUMBER(B404),"",MAX(D$4:D403)+1),"")</f>
        <v/>
      </c>
      <c r="H404" s="15"/>
      <c r="I404" s="15" t="str">
        <f>IF(O404="","",IF(ISNUMBER(MATCH(O404,$G$5:$G$1000,0)),"",IF(D404=1,B$4,0)+MAX(I$4:I403)+1))</f>
        <v/>
      </c>
      <c r="M404" s="14">
        <f>IF(ROW()-ROW(M$4)&lt;=1000,ROW()-ROW(M$4),"")</f>
        <v>400</v>
      </c>
      <c r="Q404" s="16" t="s">
        <v>0</v>
      </c>
      <c r="AO404" s="16"/>
    </row>
    <row r="405" spans="4:41" ht="12" customHeight="1" x14ac:dyDescent="0.25">
      <c r="D405" s="15" t="str">
        <f>IF(IF(ISNUMBER(B405),"",MAX(D$4:D404)+1)&lt;=D$3,IF(ISNUMBER(B405),"",MAX(D$4:D404)+1),"")</f>
        <v/>
      </c>
      <c r="H405" s="15"/>
      <c r="I405" s="15" t="str">
        <f>IF(O405="","",IF(ISNUMBER(MATCH(O405,$G$5:$G$1000,0)),"",IF(D405=1,B$4,0)+MAX(I$4:I404)+1))</f>
        <v/>
      </c>
      <c r="M405" s="14">
        <f>IF(ROW()-ROW(M$4)&lt;=1000,ROW()-ROW(M$4),"")</f>
        <v>401</v>
      </c>
      <c r="Q405" s="16" t="s">
        <v>0</v>
      </c>
      <c r="AO405" s="16"/>
    </row>
    <row r="406" spans="4:41" ht="12" customHeight="1" x14ac:dyDescent="0.25">
      <c r="D406" s="15" t="str">
        <f>IF(IF(ISNUMBER(B406),"",MAX(D$4:D405)+1)&lt;=D$3,IF(ISNUMBER(B406),"",MAX(D$4:D405)+1),"")</f>
        <v/>
      </c>
      <c r="H406" s="15"/>
      <c r="I406" s="15" t="str">
        <f>IF(O406="","",IF(ISNUMBER(MATCH(O406,$G$5:$G$1000,0)),"",IF(D406=1,B$4,0)+MAX(I$4:I405)+1))</f>
        <v/>
      </c>
      <c r="M406" s="14">
        <f>IF(ROW()-ROW(M$4)&lt;=1000,ROW()-ROW(M$4),"")</f>
        <v>402</v>
      </c>
      <c r="Q406" s="16" t="s">
        <v>0</v>
      </c>
      <c r="AO406" s="16"/>
    </row>
    <row r="407" spans="4:41" ht="12" customHeight="1" x14ac:dyDescent="0.25">
      <c r="D407" s="15" t="str">
        <f>IF(IF(ISNUMBER(B407),"",MAX(D$4:D406)+1)&lt;=D$3,IF(ISNUMBER(B407),"",MAX(D$4:D406)+1),"")</f>
        <v/>
      </c>
      <c r="H407" s="15"/>
      <c r="I407" s="15" t="str">
        <f>IF(O407="","",IF(ISNUMBER(MATCH(O407,$G$5:$G$1000,0)),"",IF(D407=1,B$4,0)+MAX(I$4:I406)+1))</f>
        <v/>
      </c>
      <c r="M407" s="14">
        <f>IF(ROW()-ROW(M$4)&lt;=1000,ROW()-ROW(M$4),"")</f>
        <v>403</v>
      </c>
      <c r="Q407" s="16" t="s">
        <v>0</v>
      </c>
      <c r="AO407" s="16"/>
    </row>
    <row r="408" spans="4:41" ht="12" customHeight="1" x14ac:dyDescent="0.25">
      <c r="D408" s="15" t="str">
        <f>IF(IF(ISNUMBER(B408),"",MAX(D$4:D407)+1)&lt;=D$3,IF(ISNUMBER(B408),"",MAX(D$4:D407)+1),"")</f>
        <v/>
      </c>
      <c r="H408" s="15"/>
      <c r="I408" s="15" t="str">
        <f>IF(O408="","",IF(ISNUMBER(MATCH(O408,$G$5:$G$1000,0)),"",IF(D408=1,B$4,0)+MAX(I$4:I407)+1))</f>
        <v/>
      </c>
      <c r="M408" s="14">
        <f>IF(ROW()-ROW(M$4)&lt;=1000,ROW()-ROW(M$4),"")</f>
        <v>404</v>
      </c>
      <c r="Q408" s="16" t="s">
        <v>0</v>
      </c>
      <c r="AO408" s="16"/>
    </row>
    <row r="409" spans="4:41" ht="12" customHeight="1" x14ac:dyDescent="0.25">
      <c r="D409" s="15" t="str">
        <f>IF(IF(ISNUMBER(B409),"",MAX(D$4:D408)+1)&lt;=D$3,IF(ISNUMBER(B409),"",MAX(D$4:D408)+1),"")</f>
        <v/>
      </c>
      <c r="H409" s="15"/>
      <c r="I409" s="15" t="str">
        <f>IF(O409="","",IF(ISNUMBER(MATCH(O409,$G$5:$G$1000,0)),"",IF(D409=1,B$4,0)+MAX(I$4:I408)+1))</f>
        <v/>
      </c>
      <c r="M409" s="14">
        <f>IF(ROW()-ROW(M$4)&lt;=1000,ROW()-ROW(M$4),"")</f>
        <v>405</v>
      </c>
      <c r="Q409" s="16" t="s">
        <v>0</v>
      </c>
      <c r="AO409" s="16"/>
    </row>
    <row r="410" spans="4:41" ht="12" customHeight="1" x14ac:dyDescent="0.25">
      <c r="D410" s="15" t="str">
        <f>IF(IF(ISNUMBER(B410),"",MAX(D$4:D409)+1)&lt;=D$3,IF(ISNUMBER(B410),"",MAX(D$4:D409)+1),"")</f>
        <v/>
      </c>
      <c r="H410" s="15"/>
      <c r="I410" s="15" t="str">
        <f>IF(O410="","",IF(ISNUMBER(MATCH(O410,$G$5:$G$1000,0)),"",IF(D410=1,B$4,0)+MAX(I$4:I409)+1))</f>
        <v/>
      </c>
      <c r="M410" s="14">
        <f>IF(ROW()-ROW(M$4)&lt;=1000,ROW()-ROW(M$4),"")</f>
        <v>406</v>
      </c>
      <c r="Q410" s="16" t="s">
        <v>0</v>
      </c>
      <c r="AO410" s="16"/>
    </row>
    <row r="411" spans="4:41" ht="12" customHeight="1" x14ac:dyDescent="0.25">
      <c r="D411" s="15" t="str">
        <f>IF(IF(ISNUMBER(B411),"",MAX(D$4:D410)+1)&lt;=D$3,IF(ISNUMBER(B411),"",MAX(D$4:D410)+1),"")</f>
        <v/>
      </c>
      <c r="H411" s="15"/>
      <c r="I411" s="15" t="str">
        <f>IF(O411="","",IF(ISNUMBER(MATCH(O411,$G$5:$G$1000,0)),"",IF(D411=1,B$4,0)+MAX(I$4:I410)+1))</f>
        <v/>
      </c>
      <c r="M411" s="14">
        <f>IF(ROW()-ROW(M$4)&lt;=1000,ROW()-ROW(M$4),"")</f>
        <v>407</v>
      </c>
      <c r="Q411" s="16" t="s">
        <v>0</v>
      </c>
      <c r="AO411" s="16"/>
    </row>
    <row r="412" spans="4:41" ht="12" customHeight="1" x14ac:dyDescent="0.25">
      <c r="D412" s="15" t="str">
        <f>IF(IF(ISNUMBER(B412),"",MAX(D$4:D411)+1)&lt;=D$3,IF(ISNUMBER(B412),"",MAX(D$4:D411)+1),"")</f>
        <v/>
      </c>
      <c r="H412" s="15"/>
      <c r="I412" s="15" t="str">
        <f>IF(O412="","",IF(ISNUMBER(MATCH(O412,$G$5:$G$1000,0)),"",IF(D412=1,B$4,0)+MAX(I$4:I411)+1))</f>
        <v/>
      </c>
      <c r="M412" s="14">
        <f>IF(ROW()-ROW(M$4)&lt;=1000,ROW()-ROW(M$4),"")</f>
        <v>408</v>
      </c>
      <c r="Q412" s="16" t="s">
        <v>0</v>
      </c>
      <c r="AO412" s="16"/>
    </row>
    <row r="413" spans="4:41" ht="12" customHeight="1" x14ac:dyDescent="0.25">
      <c r="D413" s="15" t="str">
        <f>IF(IF(ISNUMBER(B413),"",MAX(D$4:D412)+1)&lt;=D$3,IF(ISNUMBER(B413),"",MAX(D$4:D412)+1),"")</f>
        <v/>
      </c>
      <c r="H413" s="15"/>
      <c r="I413" s="15" t="str">
        <f>IF(O413="","",IF(ISNUMBER(MATCH(O413,$G$5:$G$1000,0)),"",IF(D413=1,B$4,0)+MAX(I$4:I412)+1))</f>
        <v/>
      </c>
      <c r="M413" s="14">
        <f>IF(ROW()-ROW(M$4)&lt;=1000,ROW()-ROW(M$4),"")</f>
        <v>409</v>
      </c>
      <c r="Q413" s="16" t="s">
        <v>0</v>
      </c>
      <c r="AO413" s="16"/>
    </row>
    <row r="414" spans="4:41" ht="12" customHeight="1" x14ac:dyDescent="0.25">
      <c r="D414" s="15" t="str">
        <f>IF(IF(ISNUMBER(B414),"",MAX(D$4:D413)+1)&lt;=D$3,IF(ISNUMBER(B414),"",MAX(D$4:D413)+1),"")</f>
        <v/>
      </c>
      <c r="H414" s="15"/>
      <c r="I414" s="15" t="str">
        <f>IF(O414="","",IF(ISNUMBER(MATCH(O414,$G$5:$G$1000,0)),"",IF(D414=1,B$4,0)+MAX(I$4:I413)+1))</f>
        <v/>
      </c>
      <c r="M414" s="14">
        <f>IF(ROW()-ROW(M$4)&lt;=1000,ROW()-ROW(M$4),"")</f>
        <v>410</v>
      </c>
      <c r="Q414" s="16" t="s">
        <v>0</v>
      </c>
      <c r="AO414" s="16"/>
    </row>
    <row r="415" spans="4:41" ht="12" customHeight="1" x14ac:dyDescent="0.25">
      <c r="D415" s="15" t="str">
        <f>IF(IF(ISNUMBER(B415),"",MAX(D$4:D414)+1)&lt;=D$3,IF(ISNUMBER(B415),"",MAX(D$4:D414)+1),"")</f>
        <v/>
      </c>
      <c r="H415" s="15"/>
      <c r="I415" s="15" t="str">
        <f>IF(O415="","",IF(ISNUMBER(MATCH(O415,$G$5:$G$1000,0)),"",IF(D415=1,B$4,0)+MAX(I$4:I414)+1))</f>
        <v/>
      </c>
      <c r="M415" s="14">
        <f>IF(ROW()-ROW(M$4)&lt;=1000,ROW()-ROW(M$4),"")</f>
        <v>411</v>
      </c>
      <c r="Q415" s="16" t="s">
        <v>0</v>
      </c>
      <c r="AO415" s="16"/>
    </row>
    <row r="416" spans="4:41" ht="12" customHeight="1" x14ac:dyDescent="0.25">
      <c r="D416" s="15" t="str">
        <f>IF(IF(ISNUMBER(B416),"",MAX(D$4:D415)+1)&lt;=D$3,IF(ISNUMBER(B416),"",MAX(D$4:D415)+1),"")</f>
        <v/>
      </c>
      <c r="H416" s="15"/>
      <c r="I416" s="15" t="str">
        <f>IF(O416="","",IF(ISNUMBER(MATCH(O416,$G$5:$G$1000,0)),"",IF(D416=1,B$4,0)+MAX(I$4:I415)+1))</f>
        <v/>
      </c>
      <c r="M416" s="14">
        <f>IF(ROW()-ROW(M$4)&lt;=1000,ROW()-ROW(M$4),"")</f>
        <v>412</v>
      </c>
      <c r="Q416" s="16" t="s">
        <v>0</v>
      </c>
      <c r="AO416" s="16"/>
    </row>
    <row r="417" spans="4:41" ht="12" customHeight="1" x14ac:dyDescent="0.25">
      <c r="D417" s="15" t="str">
        <f>IF(IF(ISNUMBER(B417),"",MAX(D$4:D416)+1)&lt;=D$3,IF(ISNUMBER(B417),"",MAX(D$4:D416)+1),"")</f>
        <v/>
      </c>
      <c r="H417" s="15"/>
      <c r="I417" s="15" t="str">
        <f>IF(O417="","",IF(ISNUMBER(MATCH(O417,$G$5:$G$1000,0)),"",IF(D417=1,B$4,0)+MAX(I$4:I416)+1))</f>
        <v/>
      </c>
      <c r="M417" s="14">
        <f>IF(ROW()-ROW(M$4)&lt;=1000,ROW()-ROW(M$4),"")</f>
        <v>413</v>
      </c>
      <c r="Q417" s="16" t="s">
        <v>0</v>
      </c>
      <c r="AO417" s="16"/>
    </row>
    <row r="418" spans="4:41" ht="12" customHeight="1" x14ac:dyDescent="0.25">
      <c r="D418" s="15" t="str">
        <f>IF(IF(ISNUMBER(B418),"",MAX(D$4:D417)+1)&lt;=D$3,IF(ISNUMBER(B418),"",MAX(D$4:D417)+1),"")</f>
        <v/>
      </c>
      <c r="H418" s="15"/>
      <c r="I418" s="15" t="str">
        <f>IF(O418="","",IF(ISNUMBER(MATCH(O418,$G$5:$G$1000,0)),"",IF(D418=1,B$4,0)+MAX(I$4:I417)+1))</f>
        <v/>
      </c>
      <c r="M418" s="14">
        <f>IF(ROW()-ROW(M$4)&lt;=1000,ROW()-ROW(M$4),"")</f>
        <v>414</v>
      </c>
      <c r="Q418" s="16" t="s">
        <v>0</v>
      </c>
      <c r="AO418" s="16"/>
    </row>
    <row r="419" spans="4:41" ht="12" customHeight="1" x14ac:dyDescent="0.25">
      <c r="D419" s="15" t="str">
        <f>IF(IF(ISNUMBER(B419),"",MAX(D$4:D418)+1)&lt;=D$3,IF(ISNUMBER(B419),"",MAX(D$4:D418)+1),"")</f>
        <v/>
      </c>
      <c r="H419" s="15"/>
      <c r="I419" s="15" t="str">
        <f>IF(O419="","",IF(ISNUMBER(MATCH(O419,$G$5:$G$1000,0)),"",IF(D419=1,B$4,0)+MAX(I$4:I418)+1))</f>
        <v/>
      </c>
      <c r="M419" s="14">
        <f>IF(ROW()-ROW(M$4)&lt;=1000,ROW()-ROW(M$4),"")</f>
        <v>415</v>
      </c>
      <c r="Q419" s="16" t="s">
        <v>0</v>
      </c>
      <c r="AO419" s="16"/>
    </row>
    <row r="420" spans="4:41" ht="12" customHeight="1" x14ac:dyDescent="0.25">
      <c r="D420" s="15" t="str">
        <f>IF(IF(ISNUMBER(B420),"",MAX(D$4:D419)+1)&lt;=D$3,IF(ISNUMBER(B420),"",MAX(D$4:D419)+1),"")</f>
        <v/>
      </c>
      <c r="H420" s="15"/>
      <c r="I420" s="15" t="str">
        <f>IF(O420="","",IF(ISNUMBER(MATCH(O420,$G$5:$G$1000,0)),"",IF(D420=1,B$4,0)+MAX(I$4:I419)+1))</f>
        <v/>
      </c>
      <c r="M420" s="14">
        <f>IF(ROW()-ROW(M$4)&lt;=1000,ROW()-ROW(M$4),"")</f>
        <v>416</v>
      </c>
      <c r="Q420" s="16" t="s">
        <v>0</v>
      </c>
      <c r="AO420" s="16"/>
    </row>
    <row r="421" spans="4:41" ht="12" customHeight="1" x14ac:dyDescent="0.25">
      <c r="D421" s="15" t="str">
        <f>IF(IF(ISNUMBER(B421),"",MAX(D$4:D420)+1)&lt;=D$3,IF(ISNUMBER(B421),"",MAX(D$4:D420)+1),"")</f>
        <v/>
      </c>
      <c r="H421" s="15"/>
      <c r="I421" s="15" t="str">
        <f>IF(O421="","",IF(ISNUMBER(MATCH(O421,$G$5:$G$1000,0)),"",IF(D421=1,B$4,0)+MAX(I$4:I420)+1))</f>
        <v/>
      </c>
      <c r="M421" s="14">
        <f>IF(ROW()-ROW(M$4)&lt;=1000,ROW()-ROW(M$4),"")</f>
        <v>417</v>
      </c>
      <c r="Q421" s="16" t="s">
        <v>0</v>
      </c>
      <c r="AO421" s="16"/>
    </row>
    <row r="422" spans="4:41" ht="12" customHeight="1" x14ac:dyDescent="0.25">
      <c r="D422" s="15" t="str">
        <f>IF(IF(ISNUMBER(B422),"",MAX(D$4:D421)+1)&lt;=D$3,IF(ISNUMBER(B422),"",MAX(D$4:D421)+1),"")</f>
        <v/>
      </c>
      <c r="H422" s="15"/>
      <c r="I422" s="15" t="str">
        <f>IF(O422="","",IF(ISNUMBER(MATCH(O422,$G$5:$G$1000,0)),"",IF(D422=1,B$4,0)+MAX(I$4:I421)+1))</f>
        <v/>
      </c>
      <c r="M422" s="14">
        <f>IF(ROW()-ROW(M$4)&lt;=1000,ROW()-ROW(M$4),"")</f>
        <v>418</v>
      </c>
      <c r="Q422" s="16" t="s">
        <v>0</v>
      </c>
      <c r="AO422" s="16"/>
    </row>
    <row r="423" spans="4:41" ht="12" customHeight="1" x14ac:dyDescent="0.25">
      <c r="D423" s="15" t="str">
        <f>IF(IF(ISNUMBER(B423),"",MAX(D$4:D422)+1)&lt;=D$3,IF(ISNUMBER(B423),"",MAX(D$4:D422)+1),"")</f>
        <v/>
      </c>
      <c r="H423" s="15"/>
      <c r="I423" s="15" t="str">
        <f>IF(O423="","",IF(ISNUMBER(MATCH(O423,$G$5:$G$1000,0)),"",IF(D423=1,B$4,0)+MAX(I$4:I422)+1))</f>
        <v/>
      </c>
      <c r="M423" s="14">
        <f>IF(ROW()-ROW(M$4)&lt;=1000,ROW()-ROW(M$4),"")</f>
        <v>419</v>
      </c>
      <c r="Q423" s="16" t="s">
        <v>0</v>
      </c>
      <c r="AO423" s="16"/>
    </row>
    <row r="424" spans="4:41" ht="12" customHeight="1" x14ac:dyDescent="0.25">
      <c r="D424" s="15" t="str">
        <f>IF(IF(ISNUMBER(B424),"",MAX(D$4:D423)+1)&lt;=D$3,IF(ISNUMBER(B424),"",MAX(D$4:D423)+1),"")</f>
        <v/>
      </c>
      <c r="H424" s="15"/>
      <c r="I424" s="15" t="str">
        <f>IF(O424="","",IF(ISNUMBER(MATCH(O424,$G$5:$G$1000,0)),"",IF(D424=1,B$4,0)+MAX(I$4:I423)+1))</f>
        <v/>
      </c>
      <c r="M424" s="14">
        <f>IF(ROW()-ROW(M$4)&lt;=1000,ROW()-ROW(M$4),"")</f>
        <v>420</v>
      </c>
      <c r="Q424" s="16" t="s">
        <v>0</v>
      </c>
      <c r="AO424" s="16"/>
    </row>
    <row r="425" spans="4:41" ht="12" customHeight="1" x14ac:dyDescent="0.25">
      <c r="D425" s="15" t="str">
        <f>IF(IF(ISNUMBER(B425),"",MAX(D$4:D424)+1)&lt;=D$3,IF(ISNUMBER(B425),"",MAX(D$4:D424)+1),"")</f>
        <v/>
      </c>
      <c r="H425" s="15"/>
      <c r="I425" s="15" t="str">
        <f>IF(O425="","",IF(ISNUMBER(MATCH(O425,$G$5:$G$1000,0)),"",IF(D425=1,B$4,0)+MAX(I$4:I424)+1))</f>
        <v/>
      </c>
      <c r="M425" s="14">
        <f>IF(ROW()-ROW(M$4)&lt;=1000,ROW()-ROW(M$4),"")</f>
        <v>421</v>
      </c>
      <c r="Q425" s="16" t="s">
        <v>0</v>
      </c>
      <c r="AO425" s="16"/>
    </row>
    <row r="426" spans="4:41" ht="12" customHeight="1" x14ac:dyDescent="0.25">
      <c r="D426" s="15" t="str">
        <f>IF(IF(ISNUMBER(B426),"",MAX(D$4:D425)+1)&lt;=D$3,IF(ISNUMBER(B426),"",MAX(D$4:D425)+1),"")</f>
        <v/>
      </c>
      <c r="H426" s="15"/>
      <c r="I426" s="15" t="str">
        <f>IF(O426="","",IF(ISNUMBER(MATCH(O426,$G$5:$G$1000,0)),"",IF(D426=1,B$4,0)+MAX(I$4:I425)+1))</f>
        <v/>
      </c>
      <c r="M426" s="14">
        <f>IF(ROW()-ROW(M$4)&lt;=1000,ROW()-ROW(M$4),"")</f>
        <v>422</v>
      </c>
      <c r="Q426" s="16" t="s">
        <v>0</v>
      </c>
      <c r="AO426" s="16"/>
    </row>
    <row r="427" spans="4:41" ht="12" customHeight="1" x14ac:dyDescent="0.25">
      <c r="D427" s="15" t="str">
        <f>IF(IF(ISNUMBER(B427),"",MAX(D$4:D426)+1)&lt;=D$3,IF(ISNUMBER(B427),"",MAX(D$4:D426)+1),"")</f>
        <v/>
      </c>
      <c r="H427" s="15"/>
      <c r="I427" s="15" t="str">
        <f>IF(O427="","",IF(ISNUMBER(MATCH(O427,$G$5:$G$1000,0)),"",IF(D427=1,B$4,0)+MAX(I$4:I426)+1))</f>
        <v/>
      </c>
      <c r="M427" s="14">
        <f>IF(ROW()-ROW(M$4)&lt;=1000,ROW()-ROW(M$4),"")</f>
        <v>423</v>
      </c>
      <c r="Q427" s="16" t="s">
        <v>0</v>
      </c>
      <c r="AO427" s="16"/>
    </row>
    <row r="428" spans="4:41" ht="12" customHeight="1" x14ac:dyDescent="0.25">
      <c r="D428" s="15" t="str">
        <f>IF(IF(ISNUMBER(B428),"",MAX(D$4:D427)+1)&lt;=D$3,IF(ISNUMBER(B428),"",MAX(D$4:D427)+1),"")</f>
        <v/>
      </c>
      <c r="H428" s="15"/>
      <c r="I428" s="15" t="str">
        <f>IF(O428="","",IF(ISNUMBER(MATCH(O428,$G$5:$G$1000,0)),"",IF(D428=1,B$4,0)+MAX(I$4:I427)+1))</f>
        <v/>
      </c>
      <c r="M428" s="14">
        <f>IF(ROW()-ROW(M$4)&lt;=1000,ROW()-ROW(M$4),"")</f>
        <v>424</v>
      </c>
      <c r="Q428" s="16" t="s">
        <v>0</v>
      </c>
      <c r="AO428" s="16"/>
    </row>
    <row r="429" spans="4:41" ht="12" customHeight="1" x14ac:dyDescent="0.25">
      <c r="D429" s="15" t="str">
        <f>IF(IF(ISNUMBER(B429),"",MAX(D$4:D428)+1)&lt;=D$3,IF(ISNUMBER(B429),"",MAX(D$4:D428)+1),"")</f>
        <v/>
      </c>
      <c r="H429" s="15"/>
      <c r="I429" s="15" t="str">
        <f>IF(O429="","",IF(ISNUMBER(MATCH(O429,$G$5:$G$1000,0)),"",IF(D429=1,B$4,0)+MAX(I$4:I428)+1))</f>
        <v/>
      </c>
      <c r="M429" s="14">
        <f>IF(ROW()-ROW(M$4)&lt;=1000,ROW()-ROW(M$4),"")</f>
        <v>425</v>
      </c>
      <c r="Q429" s="16" t="s">
        <v>0</v>
      </c>
      <c r="AO429" s="16"/>
    </row>
    <row r="430" spans="4:41" ht="12" customHeight="1" x14ac:dyDescent="0.25">
      <c r="D430" s="15" t="str">
        <f>IF(IF(ISNUMBER(B430),"",MAX(D$4:D429)+1)&lt;=D$3,IF(ISNUMBER(B430),"",MAX(D$4:D429)+1),"")</f>
        <v/>
      </c>
      <c r="H430" s="15"/>
      <c r="I430" s="15" t="str">
        <f>IF(O430="","",IF(ISNUMBER(MATCH(O430,$G$5:$G$1000,0)),"",IF(D430=1,B$4,0)+MAX(I$4:I429)+1))</f>
        <v/>
      </c>
      <c r="M430" s="14">
        <f>IF(ROW()-ROW(M$4)&lt;=1000,ROW()-ROW(M$4),"")</f>
        <v>426</v>
      </c>
      <c r="Q430" s="16" t="s">
        <v>0</v>
      </c>
      <c r="AO430" s="16"/>
    </row>
    <row r="431" spans="4:41" ht="12" customHeight="1" x14ac:dyDescent="0.25">
      <c r="D431" s="15" t="str">
        <f>IF(IF(ISNUMBER(B431),"",MAX(D$4:D430)+1)&lt;=D$3,IF(ISNUMBER(B431),"",MAX(D$4:D430)+1),"")</f>
        <v/>
      </c>
      <c r="H431" s="15"/>
      <c r="I431" s="15" t="str">
        <f>IF(O431="","",IF(ISNUMBER(MATCH(O431,$G$5:$G$1000,0)),"",IF(D431=1,B$4,0)+MAX(I$4:I430)+1))</f>
        <v/>
      </c>
      <c r="M431" s="14">
        <f>IF(ROW()-ROW(M$4)&lt;=1000,ROW()-ROW(M$4),"")</f>
        <v>427</v>
      </c>
      <c r="Q431" s="16" t="s">
        <v>0</v>
      </c>
      <c r="AO431" s="16"/>
    </row>
    <row r="432" spans="4:41" ht="12" customHeight="1" x14ac:dyDescent="0.25">
      <c r="D432" s="15" t="str">
        <f>IF(IF(ISNUMBER(B432),"",MAX(D$4:D431)+1)&lt;=D$3,IF(ISNUMBER(B432),"",MAX(D$4:D431)+1),"")</f>
        <v/>
      </c>
      <c r="H432" s="15"/>
      <c r="I432" s="15" t="str">
        <f>IF(O432="","",IF(ISNUMBER(MATCH(O432,$G$5:$G$1000,0)),"",IF(D432=1,B$4,0)+MAX(I$4:I431)+1))</f>
        <v/>
      </c>
      <c r="M432" s="14">
        <f>IF(ROW()-ROW(M$4)&lt;=1000,ROW()-ROW(M$4),"")</f>
        <v>428</v>
      </c>
      <c r="Q432" s="16" t="s">
        <v>0</v>
      </c>
      <c r="AO432" s="16"/>
    </row>
    <row r="433" spans="4:41" ht="12" customHeight="1" x14ac:dyDescent="0.25">
      <c r="D433" s="15" t="str">
        <f>IF(IF(ISNUMBER(B433),"",MAX(D$4:D432)+1)&lt;=D$3,IF(ISNUMBER(B433),"",MAX(D$4:D432)+1),"")</f>
        <v/>
      </c>
      <c r="H433" s="15"/>
      <c r="I433" s="15" t="str">
        <f>IF(O433="","",IF(ISNUMBER(MATCH(O433,$G$5:$G$1000,0)),"",IF(D433=1,B$4,0)+MAX(I$4:I432)+1))</f>
        <v/>
      </c>
      <c r="M433" s="14">
        <f>IF(ROW()-ROW(M$4)&lt;=1000,ROW()-ROW(M$4),"")</f>
        <v>429</v>
      </c>
      <c r="Q433" s="16" t="s">
        <v>0</v>
      </c>
      <c r="AO433" s="16"/>
    </row>
    <row r="434" spans="4:41" ht="12" customHeight="1" x14ac:dyDescent="0.25">
      <c r="D434" s="15" t="str">
        <f>IF(IF(ISNUMBER(B434),"",MAX(D$4:D433)+1)&lt;=D$3,IF(ISNUMBER(B434),"",MAX(D$4:D433)+1),"")</f>
        <v/>
      </c>
      <c r="H434" s="15"/>
      <c r="I434" s="15" t="str">
        <f>IF(O434="","",IF(ISNUMBER(MATCH(O434,$G$5:$G$1000,0)),"",IF(D434=1,B$4,0)+MAX(I$4:I433)+1))</f>
        <v/>
      </c>
      <c r="M434" s="14">
        <f>IF(ROW()-ROW(M$4)&lt;=1000,ROW()-ROW(M$4),"")</f>
        <v>430</v>
      </c>
      <c r="Q434" s="16" t="s">
        <v>0</v>
      </c>
      <c r="AO434" s="16"/>
    </row>
    <row r="435" spans="4:41" ht="12" customHeight="1" x14ac:dyDescent="0.25">
      <c r="D435" s="15" t="str">
        <f>IF(IF(ISNUMBER(B435),"",MAX(D$4:D434)+1)&lt;=D$3,IF(ISNUMBER(B435),"",MAX(D$4:D434)+1),"")</f>
        <v/>
      </c>
      <c r="H435" s="15"/>
      <c r="I435" s="15" t="str">
        <f>IF(O435="","",IF(ISNUMBER(MATCH(O435,$G$5:$G$1000,0)),"",IF(D435=1,B$4,0)+MAX(I$4:I434)+1))</f>
        <v/>
      </c>
      <c r="M435" s="14">
        <f>IF(ROW()-ROW(M$4)&lt;=1000,ROW()-ROW(M$4),"")</f>
        <v>431</v>
      </c>
      <c r="Q435" s="16" t="s">
        <v>0</v>
      </c>
      <c r="AO435" s="16"/>
    </row>
    <row r="436" spans="4:41" ht="12" customHeight="1" x14ac:dyDescent="0.25">
      <c r="D436" s="15" t="str">
        <f>IF(IF(ISNUMBER(B436),"",MAX(D$4:D435)+1)&lt;=D$3,IF(ISNUMBER(B436),"",MAX(D$4:D435)+1),"")</f>
        <v/>
      </c>
      <c r="H436" s="15"/>
      <c r="I436" s="15" t="str">
        <f>IF(O436="","",IF(ISNUMBER(MATCH(O436,$G$5:$G$1000,0)),"",IF(D436=1,B$4,0)+MAX(I$4:I435)+1))</f>
        <v/>
      </c>
      <c r="M436" s="14">
        <f>IF(ROW()-ROW(M$4)&lt;=1000,ROW()-ROW(M$4),"")</f>
        <v>432</v>
      </c>
      <c r="Q436" s="16" t="s">
        <v>0</v>
      </c>
      <c r="AO436" s="16"/>
    </row>
    <row r="437" spans="4:41" ht="12" customHeight="1" x14ac:dyDescent="0.25">
      <c r="D437" s="15" t="str">
        <f>IF(IF(ISNUMBER(B437),"",MAX(D$4:D436)+1)&lt;=D$3,IF(ISNUMBER(B437),"",MAX(D$4:D436)+1),"")</f>
        <v/>
      </c>
      <c r="H437" s="15"/>
      <c r="I437" s="15" t="str">
        <f>IF(O437="","",IF(ISNUMBER(MATCH(O437,$G$5:$G$1000,0)),"",IF(D437=1,B$4,0)+MAX(I$4:I436)+1))</f>
        <v/>
      </c>
      <c r="M437" s="14">
        <f>IF(ROW()-ROW(M$4)&lt;=1000,ROW()-ROW(M$4),"")</f>
        <v>433</v>
      </c>
      <c r="Q437" s="16" t="s">
        <v>0</v>
      </c>
      <c r="AO437" s="16"/>
    </row>
    <row r="438" spans="4:41" ht="12" customHeight="1" x14ac:dyDescent="0.25">
      <c r="D438" s="15" t="str">
        <f>IF(IF(ISNUMBER(B438),"",MAX(D$4:D437)+1)&lt;=D$3,IF(ISNUMBER(B438),"",MAX(D$4:D437)+1),"")</f>
        <v/>
      </c>
      <c r="H438" s="15"/>
      <c r="I438" s="15" t="str">
        <f>IF(O438="","",IF(ISNUMBER(MATCH(O438,$G$5:$G$1000,0)),"",IF(D438=1,B$4,0)+MAX(I$4:I437)+1))</f>
        <v/>
      </c>
      <c r="M438" s="14">
        <f>IF(ROW()-ROW(M$4)&lt;=1000,ROW()-ROW(M$4),"")</f>
        <v>434</v>
      </c>
      <c r="Q438" s="16" t="s">
        <v>0</v>
      </c>
      <c r="AO438" s="16"/>
    </row>
    <row r="439" spans="4:41" ht="12" customHeight="1" x14ac:dyDescent="0.25">
      <c r="D439" s="15" t="str">
        <f>IF(IF(ISNUMBER(B439),"",MAX(D$4:D438)+1)&lt;=D$3,IF(ISNUMBER(B439),"",MAX(D$4:D438)+1),"")</f>
        <v/>
      </c>
      <c r="H439" s="15"/>
      <c r="I439" s="15" t="str">
        <f>IF(O439="","",IF(ISNUMBER(MATCH(O439,$G$5:$G$1000,0)),"",IF(D439=1,B$4,0)+MAX(I$4:I438)+1))</f>
        <v/>
      </c>
      <c r="M439" s="14">
        <f>IF(ROW()-ROW(M$4)&lt;=1000,ROW()-ROW(M$4),"")</f>
        <v>435</v>
      </c>
      <c r="Q439" s="16" t="s">
        <v>0</v>
      </c>
      <c r="AO439" s="16"/>
    </row>
    <row r="440" spans="4:41" ht="12" customHeight="1" x14ac:dyDescent="0.25">
      <c r="D440" s="15" t="str">
        <f>IF(IF(ISNUMBER(B440),"",MAX(D$4:D439)+1)&lt;=D$3,IF(ISNUMBER(B440),"",MAX(D$4:D439)+1),"")</f>
        <v/>
      </c>
      <c r="H440" s="15"/>
      <c r="I440" s="15" t="str">
        <f>IF(O440="","",IF(ISNUMBER(MATCH(O440,$G$5:$G$1000,0)),"",IF(D440=1,B$4,0)+MAX(I$4:I439)+1))</f>
        <v/>
      </c>
      <c r="M440" s="14">
        <f>IF(ROW()-ROW(M$4)&lt;=1000,ROW()-ROW(M$4),"")</f>
        <v>436</v>
      </c>
      <c r="Q440" s="16" t="s">
        <v>0</v>
      </c>
      <c r="AO440" s="16"/>
    </row>
    <row r="441" spans="4:41" ht="12" customHeight="1" x14ac:dyDescent="0.25">
      <c r="D441" s="15" t="str">
        <f>IF(IF(ISNUMBER(B441),"",MAX(D$4:D440)+1)&lt;=D$3,IF(ISNUMBER(B441),"",MAX(D$4:D440)+1),"")</f>
        <v/>
      </c>
      <c r="H441" s="15"/>
      <c r="I441" s="15" t="str">
        <f>IF(O441="","",IF(ISNUMBER(MATCH(O441,$G$5:$G$1000,0)),"",IF(D441=1,B$4,0)+MAX(I$4:I440)+1))</f>
        <v/>
      </c>
      <c r="M441" s="14">
        <f>IF(ROW()-ROW(M$4)&lt;=1000,ROW()-ROW(M$4),"")</f>
        <v>437</v>
      </c>
      <c r="Q441" s="16" t="s">
        <v>0</v>
      </c>
      <c r="AO441" s="16"/>
    </row>
    <row r="442" spans="4:41" ht="12" customHeight="1" x14ac:dyDescent="0.25">
      <c r="D442" s="15" t="str">
        <f>IF(IF(ISNUMBER(B442),"",MAX(D$4:D441)+1)&lt;=D$3,IF(ISNUMBER(B442),"",MAX(D$4:D441)+1),"")</f>
        <v/>
      </c>
      <c r="H442" s="15"/>
      <c r="I442" s="15" t="str">
        <f>IF(O442="","",IF(ISNUMBER(MATCH(O442,$G$5:$G$1000,0)),"",IF(D442=1,B$4,0)+MAX(I$4:I441)+1))</f>
        <v/>
      </c>
      <c r="M442" s="14">
        <f>IF(ROW()-ROW(M$4)&lt;=1000,ROW()-ROW(M$4),"")</f>
        <v>438</v>
      </c>
      <c r="Q442" s="16" t="s">
        <v>0</v>
      </c>
      <c r="AO442" s="16"/>
    </row>
    <row r="443" spans="4:41" ht="12" customHeight="1" x14ac:dyDescent="0.25">
      <c r="D443" s="15" t="str">
        <f>IF(IF(ISNUMBER(B443),"",MAX(D$4:D442)+1)&lt;=D$3,IF(ISNUMBER(B443),"",MAX(D$4:D442)+1),"")</f>
        <v/>
      </c>
      <c r="H443" s="15"/>
      <c r="I443" s="15" t="str">
        <f>IF(O443="","",IF(ISNUMBER(MATCH(O443,$G$5:$G$1000,0)),"",IF(D443=1,B$4,0)+MAX(I$4:I442)+1))</f>
        <v/>
      </c>
      <c r="M443" s="14">
        <f>IF(ROW()-ROW(M$4)&lt;=1000,ROW()-ROW(M$4),"")</f>
        <v>439</v>
      </c>
      <c r="Q443" s="16" t="s">
        <v>0</v>
      </c>
      <c r="AO443" s="16"/>
    </row>
    <row r="444" spans="4:41" ht="12" customHeight="1" x14ac:dyDescent="0.25">
      <c r="D444" s="15" t="str">
        <f>IF(IF(ISNUMBER(B444),"",MAX(D$4:D443)+1)&lt;=D$3,IF(ISNUMBER(B444),"",MAX(D$4:D443)+1),"")</f>
        <v/>
      </c>
      <c r="H444" s="15"/>
      <c r="I444" s="15" t="str">
        <f>IF(O444="","",IF(ISNUMBER(MATCH(O444,$G$5:$G$1000,0)),"",IF(D444=1,B$4,0)+MAX(I$4:I443)+1))</f>
        <v/>
      </c>
      <c r="M444" s="14">
        <f>IF(ROW()-ROW(M$4)&lt;=1000,ROW()-ROW(M$4),"")</f>
        <v>440</v>
      </c>
      <c r="Q444" s="16" t="s">
        <v>0</v>
      </c>
      <c r="AO444" s="16"/>
    </row>
    <row r="445" spans="4:41" ht="12" customHeight="1" x14ac:dyDescent="0.25">
      <c r="D445" s="15" t="str">
        <f>IF(IF(ISNUMBER(B445),"",MAX(D$4:D444)+1)&lt;=D$3,IF(ISNUMBER(B445),"",MAX(D$4:D444)+1),"")</f>
        <v/>
      </c>
      <c r="H445" s="15"/>
      <c r="I445" s="15" t="str">
        <f>IF(O445="","",IF(ISNUMBER(MATCH(O445,$G$5:$G$1000,0)),"",IF(D445=1,B$4,0)+MAX(I$4:I444)+1))</f>
        <v/>
      </c>
      <c r="M445" s="14">
        <f>IF(ROW()-ROW(M$4)&lt;=1000,ROW()-ROW(M$4),"")</f>
        <v>441</v>
      </c>
      <c r="Q445" s="16" t="s">
        <v>0</v>
      </c>
      <c r="AO445" s="16"/>
    </row>
    <row r="446" spans="4:41" ht="12" customHeight="1" x14ac:dyDescent="0.25">
      <c r="D446" s="15" t="str">
        <f>IF(IF(ISNUMBER(B446),"",MAX(D$4:D445)+1)&lt;=D$3,IF(ISNUMBER(B446),"",MAX(D$4:D445)+1),"")</f>
        <v/>
      </c>
      <c r="H446" s="15"/>
      <c r="I446" s="15" t="str">
        <f>IF(O446="","",IF(ISNUMBER(MATCH(O446,$G$5:$G$1000,0)),"",IF(D446=1,B$4,0)+MAX(I$4:I445)+1))</f>
        <v/>
      </c>
      <c r="M446" s="14">
        <f>IF(ROW()-ROW(M$4)&lt;=1000,ROW()-ROW(M$4),"")</f>
        <v>442</v>
      </c>
      <c r="Q446" s="16" t="s">
        <v>0</v>
      </c>
      <c r="AO446" s="16"/>
    </row>
    <row r="447" spans="4:41" ht="12" customHeight="1" x14ac:dyDescent="0.25">
      <c r="D447" s="15" t="str">
        <f>IF(IF(ISNUMBER(B447),"",MAX(D$4:D446)+1)&lt;=D$3,IF(ISNUMBER(B447),"",MAX(D$4:D446)+1),"")</f>
        <v/>
      </c>
      <c r="H447" s="15"/>
      <c r="I447" s="15" t="str">
        <f>IF(O447="","",IF(ISNUMBER(MATCH(O447,$G$5:$G$1000,0)),"",IF(D447=1,B$4,0)+MAX(I$4:I446)+1))</f>
        <v/>
      </c>
      <c r="M447" s="14">
        <f>IF(ROW()-ROW(M$4)&lt;=1000,ROW()-ROW(M$4),"")</f>
        <v>443</v>
      </c>
      <c r="Q447" s="16" t="s">
        <v>0</v>
      </c>
      <c r="AO447" s="16"/>
    </row>
    <row r="448" spans="4:41" ht="12" customHeight="1" x14ac:dyDescent="0.25">
      <c r="D448" s="15" t="str">
        <f>IF(IF(ISNUMBER(B448),"",MAX(D$4:D447)+1)&lt;=D$3,IF(ISNUMBER(B448),"",MAX(D$4:D447)+1),"")</f>
        <v/>
      </c>
      <c r="H448" s="15"/>
      <c r="I448" s="15" t="str">
        <f>IF(O448="","",IF(ISNUMBER(MATCH(O448,$G$5:$G$1000,0)),"",IF(D448=1,B$4,0)+MAX(I$4:I447)+1))</f>
        <v/>
      </c>
      <c r="M448" s="14">
        <f>IF(ROW()-ROW(M$4)&lt;=1000,ROW()-ROW(M$4),"")</f>
        <v>444</v>
      </c>
      <c r="Q448" s="16" t="s">
        <v>0</v>
      </c>
      <c r="AO448" s="16"/>
    </row>
    <row r="449" spans="4:41" ht="12" customHeight="1" x14ac:dyDescent="0.25">
      <c r="D449" s="15" t="str">
        <f>IF(IF(ISNUMBER(B449),"",MAX(D$4:D448)+1)&lt;=D$3,IF(ISNUMBER(B449),"",MAX(D$4:D448)+1),"")</f>
        <v/>
      </c>
      <c r="H449" s="15"/>
      <c r="I449" s="15" t="str">
        <f>IF(O449="","",IF(ISNUMBER(MATCH(O449,$G$5:$G$1000,0)),"",IF(D449=1,B$4,0)+MAX(I$4:I448)+1))</f>
        <v/>
      </c>
      <c r="M449" s="14">
        <f>IF(ROW()-ROW(M$4)&lt;=1000,ROW()-ROW(M$4),"")</f>
        <v>445</v>
      </c>
      <c r="Q449" s="16" t="s">
        <v>0</v>
      </c>
      <c r="AO449" s="16"/>
    </row>
    <row r="450" spans="4:41" ht="12" customHeight="1" x14ac:dyDescent="0.25">
      <c r="D450" s="15" t="str">
        <f>IF(IF(ISNUMBER(B450),"",MAX(D$4:D449)+1)&lt;=D$3,IF(ISNUMBER(B450),"",MAX(D$4:D449)+1),"")</f>
        <v/>
      </c>
      <c r="H450" s="15"/>
      <c r="I450" s="15" t="str">
        <f>IF(O450="","",IF(ISNUMBER(MATCH(O450,$G$5:$G$1000,0)),"",IF(D450=1,B$4,0)+MAX(I$4:I449)+1))</f>
        <v/>
      </c>
      <c r="M450" s="14">
        <f>IF(ROW()-ROW(M$4)&lt;=1000,ROW()-ROW(M$4),"")</f>
        <v>446</v>
      </c>
      <c r="Q450" s="16" t="s">
        <v>0</v>
      </c>
      <c r="AO450" s="16"/>
    </row>
    <row r="451" spans="4:41" ht="12" customHeight="1" x14ac:dyDescent="0.25">
      <c r="D451" s="15" t="str">
        <f>IF(IF(ISNUMBER(B451),"",MAX(D$4:D450)+1)&lt;=D$3,IF(ISNUMBER(B451),"",MAX(D$4:D450)+1),"")</f>
        <v/>
      </c>
      <c r="H451" s="15"/>
      <c r="I451" s="15" t="str">
        <f>IF(O451="","",IF(ISNUMBER(MATCH(O451,$G$5:$G$1000,0)),"",IF(D451=1,B$4,0)+MAX(I$4:I450)+1))</f>
        <v/>
      </c>
      <c r="M451" s="14">
        <f>IF(ROW()-ROW(M$4)&lt;=1000,ROW()-ROW(M$4),"")</f>
        <v>447</v>
      </c>
      <c r="Q451" s="16" t="s">
        <v>0</v>
      </c>
      <c r="AO451" s="16"/>
    </row>
    <row r="452" spans="4:41" ht="12" customHeight="1" x14ac:dyDescent="0.25">
      <c r="D452" s="15" t="str">
        <f>IF(IF(ISNUMBER(B452),"",MAX(D$4:D451)+1)&lt;=D$3,IF(ISNUMBER(B452),"",MAX(D$4:D451)+1),"")</f>
        <v/>
      </c>
      <c r="H452" s="15"/>
      <c r="I452" s="15" t="str">
        <f>IF(O452="","",IF(ISNUMBER(MATCH(O452,$G$5:$G$1000,0)),"",IF(D452=1,B$4,0)+MAX(I$4:I451)+1))</f>
        <v/>
      </c>
      <c r="M452" s="14">
        <f>IF(ROW()-ROW(M$4)&lt;=1000,ROW()-ROW(M$4),"")</f>
        <v>448</v>
      </c>
      <c r="Q452" s="16" t="s">
        <v>0</v>
      </c>
      <c r="AO452" s="16"/>
    </row>
    <row r="453" spans="4:41" ht="12" customHeight="1" x14ac:dyDescent="0.25">
      <c r="D453" s="15" t="str">
        <f>IF(IF(ISNUMBER(B453),"",MAX(D$4:D452)+1)&lt;=D$3,IF(ISNUMBER(B453),"",MAX(D$4:D452)+1),"")</f>
        <v/>
      </c>
      <c r="H453" s="15"/>
      <c r="I453" s="15" t="str">
        <f>IF(O453="","",IF(ISNUMBER(MATCH(O453,$G$5:$G$1000,0)),"",IF(D453=1,B$4,0)+MAX(I$4:I452)+1))</f>
        <v/>
      </c>
      <c r="M453" s="14">
        <f>IF(ROW()-ROW(M$4)&lt;=1000,ROW()-ROW(M$4),"")</f>
        <v>449</v>
      </c>
      <c r="Q453" s="16" t="s">
        <v>0</v>
      </c>
      <c r="AO453" s="16"/>
    </row>
    <row r="454" spans="4:41" ht="12" customHeight="1" x14ac:dyDescent="0.25">
      <c r="D454" s="15" t="str">
        <f>IF(IF(ISNUMBER(B454),"",MAX(D$4:D453)+1)&lt;=D$3,IF(ISNUMBER(B454),"",MAX(D$4:D453)+1),"")</f>
        <v/>
      </c>
      <c r="H454" s="15"/>
      <c r="I454" s="15" t="str">
        <f>IF(O454="","",IF(ISNUMBER(MATCH(O454,$G$5:$G$1000,0)),"",IF(D454=1,B$4,0)+MAX(I$4:I453)+1))</f>
        <v/>
      </c>
      <c r="M454" s="14">
        <f>IF(ROW()-ROW(M$4)&lt;=1000,ROW()-ROW(M$4),"")</f>
        <v>450</v>
      </c>
      <c r="Q454" s="16" t="s">
        <v>0</v>
      </c>
      <c r="AO454" s="16"/>
    </row>
    <row r="455" spans="4:41" ht="12" customHeight="1" x14ac:dyDescent="0.25">
      <c r="D455" s="15" t="str">
        <f>IF(IF(ISNUMBER(B455),"",MAX(D$4:D454)+1)&lt;=D$3,IF(ISNUMBER(B455),"",MAX(D$4:D454)+1),"")</f>
        <v/>
      </c>
      <c r="H455" s="15"/>
      <c r="I455" s="15" t="str">
        <f>IF(O455="","",IF(ISNUMBER(MATCH(O455,$G$5:$G$1000,0)),"",IF(D455=1,B$4,0)+MAX(I$4:I454)+1))</f>
        <v/>
      </c>
      <c r="M455" s="14">
        <f>IF(ROW()-ROW(M$4)&lt;=1000,ROW()-ROW(M$4),"")</f>
        <v>451</v>
      </c>
      <c r="Q455" s="16" t="s">
        <v>0</v>
      </c>
      <c r="AO455" s="16"/>
    </row>
    <row r="456" spans="4:41" ht="12" customHeight="1" x14ac:dyDescent="0.25">
      <c r="D456" s="15" t="str">
        <f>IF(IF(ISNUMBER(B456),"",MAX(D$4:D455)+1)&lt;=D$3,IF(ISNUMBER(B456),"",MAX(D$4:D455)+1),"")</f>
        <v/>
      </c>
      <c r="H456" s="15"/>
      <c r="I456" s="15" t="str">
        <f>IF(O456="","",IF(ISNUMBER(MATCH(O456,$G$5:$G$1000,0)),"",IF(D456=1,B$4,0)+MAX(I$4:I455)+1))</f>
        <v/>
      </c>
      <c r="M456" s="14">
        <f>IF(ROW()-ROW(M$4)&lt;=1000,ROW()-ROW(M$4),"")</f>
        <v>452</v>
      </c>
      <c r="Q456" s="16" t="s">
        <v>0</v>
      </c>
      <c r="AO456" s="16"/>
    </row>
    <row r="457" spans="4:41" ht="12" customHeight="1" x14ac:dyDescent="0.25">
      <c r="D457" s="15" t="str">
        <f>IF(IF(ISNUMBER(B457),"",MAX(D$4:D456)+1)&lt;=D$3,IF(ISNUMBER(B457),"",MAX(D$4:D456)+1),"")</f>
        <v/>
      </c>
      <c r="H457" s="15"/>
      <c r="I457" s="15" t="str">
        <f>IF(O457="","",IF(ISNUMBER(MATCH(O457,$G$5:$G$1000,0)),"",IF(D457=1,B$4,0)+MAX(I$4:I456)+1))</f>
        <v/>
      </c>
      <c r="M457" s="14">
        <f>IF(ROW()-ROW(M$4)&lt;=1000,ROW()-ROW(M$4),"")</f>
        <v>453</v>
      </c>
      <c r="Q457" s="16" t="s">
        <v>0</v>
      </c>
      <c r="AO457" s="16"/>
    </row>
    <row r="458" spans="4:41" ht="12" customHeight="1" x14ac:dyDescent="0.25">
      <c r="D458" s="15" t="str">
        <f>IF(IF(ISNUMBER(B458),"",MAX(D$4:D457)+1)&lt;=D$3,IF(ISNUMBER(B458),"",MAX(D$4:D457)+1),"")</f>
        <v/>
      </c>
      <c r="H458" s="15"/>
      <c r="I458" s="15" t="str">
        <f>IF(O458="","",IF(ISNUMBER(MATCH(O458,$G$5:$G$1000,0)),"",IF(D458=1,B$4,0)+MAX(I$4:I457)+1))</f>
        <v/>
      </c>
      <c r="M458" s="14">
        <f>IF(ROW()-ROW(M$4)&lt;=1000,ROW()-ROW(M$4),"")</f>
        <v>454</v>
      </c>
      <c r="Q458" s="16" t="s">
        <v>0</v>
      </c>
      <c r="AO458" s="16"/>
    </row>
    <row r="459" spans="4:41" ht="12" customHeight="1" x14ac:dyDescent="0.25">
      <c r="D459" s="15" t="str">
        <f>IF(IF(ISNUMBER(B459),"",MAX(D$4:D458)+1)&lt;=D$3,IF(ISNUMBER(B459),"",MAX(D$4:D458)+1),"")</f>
        <v/>
      </c>
      <c r="H459" s="15"/>
      <c r="I459" s="15" t="str">
        <f>IF(O459="","",IF(ISNUMBER(MATCH(O459,$G$5:$G$1000,0)),"",IF(D459=1,B$4,0)+MAX(I$4:I458)+1))</f>
        <v/>
      </c>
      <c r="M459" s="14">
        <f>IF(ROW()-ROW(M$4)&lt;=1000,ROW()-ROW(M$4),"")</f>
        <v>455</v>
      </c>
      <c r="Q459" s="16" t="s">
        <v>0</v>
      </c>
      <c r="AO459" s="16"/>
    </row>
    <row r="460" spans="4:41" ht="12" customHeight="1" x14ac:dyDescent="0.25">
      <c r="D460" s="15" t="str">
        <f>IF(IF(ISNUMBER(B460),"",MAX(D$4:D459)+1)&lt;=D$3,IF(ISNUMBER(B460),"",MAX(D$4:D459)+1),"")</f>
        <v/>
      </c>
      <c r="H460" s="15"/>
      <c r="I460" s="15" t="str">
        <f>IF(O460="","",IF(ISNUMBER(MATCH(O460,$G$5:$G$1000,0)),"",IF(D460=1,B$4,0)+MAX(I$4:I459)+1))</f>
        <v/>
      </c>
      <c r="M460" s="14">
        <f>IF(ROW()-ROW(M$4)&lt;=1000,ROW()-ROW(M$4),"")</f>
        <v>456</v>
      </c>
      <c r="Q460" s="16" t="s">
        <v>0</v>
      </c>
      <c r="AO460" s="16"/>
    </row>
    <row r="461" spans="4:41" ht="12" customHeight="1" x14ac:dyDescent="0.25">
      <c r="D461" s="15" t="str">
        <f>IF(IF(ISNUMBER(B461),"",MAX(D$4:D460)+1)&lt;=D$3,IF(ISNUMBER(B461),"",MAX(D$4:D460)+1),"")</f>
        <v/>
      </c>
      <c r="H461" s="15"/>
      <c r="I461" s="15" t="str">
        <f>IF(O461="","",IF(ISNUMBER(MATCH(O461,$G$5:$G$1000,0)),"",IF(D461=1,B$4,0)+MAX(I$4:I460)+1))</f>
        <v/>
      </c>
      <c r="M461" s="14">
        <f>IF(ROW()-ROW(M$4)&lt;=1000,ROW()-ROW(M$4),"")</f>
        <v>457</v>
      </c>
      <c r="Q461" s="16" t="s">
        <v>0</v>
      </c>
      <c r="AO461" s="16"/>
    </row>
    <row r="462" spans="4:41" ht="12" customHeight="1" x14ac:dyDescent="0.25">
      <c r="D462" s="15" t="str">
        <f>IF(IF(ISNUMBER(B462),"",MAX(D$4:D461)+1)&lt;=D$3,IF(ISNUMBER(B462),"",MAX(D$4:D461)+1),"")</f>
        <v/>
      </c>
      <c r="H462" s="15"/>
      <c r="I462" s="15" t="str">
        <f>IF(O462="","",IF(ISNUMBER(MATCH(O462,$G$5:$G$1000,0)),"",IF(D462=1,B$4,0)+MAX(I$4:I461)+1))</f>
        <v/>
      </c>
      <c r="M462" s="14">
        <f>IF(ROW()-ROW(M$4)&lt;=1000,ROW()-ROW(M$4),"")</f>
        <v>458</v>
      </c>
      <c r="Q462" s="16" t="s">
        <v>0</v>
      </c>
      <c r="AO462" s="16"/>
    </row>
    <row r="463" spans="4:41" ht="12" customHeight="1" x14ac:dyDescent="0.25">
      <c r="D463" s="15" t="str">
        <f>IF(IF(ISNUMBER(B463),"",MAX(D$4:D462)+1)&lt;=D$3,IF(ISNUMBER(B463),"",MAX(D$4:D462)+1),"")</f>
        <v/>
      </c>
      <c r="H463" s="15"/>
      <c r="I463" s="15" t="str">
        <f>IF(O463="","",IF(ISNUMBER(MATCH(O463,$G$5:$G$1000,0)),"",IF(D463=1,B$4,0)+MAX(I$4:I462)+1))</f>
        <v/>
      </c>
      <c r="M463" s="14">
        <f>IF(ROW()-ROW(M$4)&lt;=1000,ROW()-ROW(M$4),"")</f>
        <v>459</v>
      </c>
      <c r="Q463" s="16" t="s">
        <v>0</v>
      </c>
      <c r="AO463" s="16"/>
    </row>
    <row r="464" spans="4:41" ht="12" customHeight="1" x14ac:dyDescent="0.25">
      <c r="D464" s="15" t="str">
        <f>IF(IF(ISNUMBER(B464),"",MAX(D$4:D463)+1)&lt;=D$3,IF(ISNUMBER(B464),"",MAX(D$4:D463)+1),"")</f>
        <v/>
      </c>
      <c r="H464" s="15"/>
      <c r="I464" s="15" t="str">
        <f>IF(O464="","",IF(ISNUMBER(MATCH(O464,$G$5:$G$1000,0)),"",IF(D464=1,B$4,0)+MAX(I$4:I463)+1))</f>
        <v/>
      </c>
      <c r="M464" s="14">
        <f>IF(ROW()-ROW(M$4)&lt;=1000,ROW()-ROW(M$4),"")</f>
        <v>460</v>
      </c>
      <c r="Q464" s="16" t="s">
        <v>0</v>
      </c>
      <c r="AO464" s="16"/>
    </row>
    <row r="465" spans="4:41" ht="12" customHeight="1" x14ac:dyDescent="0.25">
      <c r="D465" s="15" t="str">
        <f>IF(IF(ISNUMBER(B465),"",MAX(D$4:D464)+1)&lt;=D$3,IF(ISNUMBER(B465),"",MAX(D$4:D464)+1),"")</f>
        <v/>
      </c>
      <c r="H465" s="15"/>
      <c r="I465" s="15" t="str">
        <f>IF(O465="","",IF(ISNUMBER(MATCH(O465,$G$5:$G$1000,0)),"",IF(D465=1,B$4,0)+MAX(I$4:I464)+1))</f>
        <v/>
      </c>
      <c r="M465" s="14">
        <f>IF(ROW()-ROW(M$4)&lt;=1000,ROW()-ROW(M$4),"")</f>
        <v>461</v>
      </c>
      <c r="Q465" s="16" t="s">
        <v>0</v>
      </c>
      <c r="AO465" s="16"/>
    </row>
    <row r="466" spans="4:41" ht="12" customHeight="1" x14ac:dyDescent="0.25">
      <c r="D466" s="15" t="str">
        <f>IF(IF(ISNUMBER(B466),"",MAX(D$4:D465)+1)&lt;=D$3,IF(ISNUMBER(B466),"",MAX(D$4:D465)+1),"")</f>
        <v/>
      </c>
      <c r="H466" s="15"/>
      <c r="I466" s="15" t="str">
        <f>IF(O466="","",IF(ISNUMBER(MATCH(O466,$G$5:$G$1000,0)),"",IF(D466=1,B$4,0)+MAX(I$4:I465)+1))</f>
        <v/>
      </c>
      <c r="M466" s="14">
        <f>IF(ROW()-ROW(M$4)&lt;=1000,ROW()-ROW(M$4),"")</f>
        <v>462</v>
      </c>
      <c r="Q466" s="16" t="s">
        <v>0</v>
      </c>
      <c r="AO466" s="16"/>
    </row>
    <row r="467" spans="4:41" ht="12" customHeight="1" x14ac:dyDescent="0.25">
      <c r="D467" s="15" t="str">
        <f>IF(IF(ISNUMBER(B467),"",MAX(D$4:D466)+1)&lt;=D$3,IF(ISNUMBER(B467),"",MAX(D$4:D466)+1),"")</f>
        <v/>
      </c>
      <c r="H467" s="15"/>
      <c r="I467" s="15" t="str">
        <f>IF(O467="","",IF(ISNUMBER(MATCH(O467,$G$5:$G$1000,0)),"",IF(D467=1,B$4,0)+MAX(I$4:I466)+1))</f>
        <v/>
      </c>
      <c r="M467" s="14">
        <f>IF(ROW()-ROW(M$4)&lt;=1000,ROW()-ROW(M$4),"")</f>
        <v>463</v>
      </c>
      <c r="Q467" s="16" t="s">
        <v>0</v>
      </c>
      <c r="AO467" s="16"/>
    </row>
    <row r="468" spans="4:41" ht="12" customHeight="1" x14ac:dyDescent="0.25">
      <c r="D468" s="15" t="str">
        <f>IF(IF(ISNUMBER(B468),"",MAX(D$4:D467)+1)&lt;=D$3,IF(ISNUMBER(B468),"",MAX(D$4:D467)+1),"")</f>
        <v/>
      </c>
      <c r="H468" s="15"/>
      <c r="I468" s="15" t="str">
        <f>IF(O468="","",IF(ISNUMBER(MATCH(O468,$G$5:$G$1000,0)),"",IF(D468=1,B$4,0)+MAX(I$4:I467)+1))</f>
        <v/>
      </c>
      <c r="M468" s="14">
        <f>IF(ROW()-ROW(M$4)&lt;=1000,ROW()-ROW(M$4),"")</f>
        <v>464</v>
      </c>
      <c r="Q468" s="16" t="s">
        <v>0</v>
      </c>
      <c r="AO468" s="16"/>
    </row>
    <row r="469" spans="4:41" ht="12" customHeight="1" x14ac:dyDescent="0.25">
      <c r="D469" s="15" t="str">
        <f>IF(IF(ISNUMBER(B469),"",MAX(D$4:D468)+1)&lt;=D$3,IF(ISNUMBER(B469),"",MAX(D$4:D468)+1),"")</f>
        <v/>
      </c>
      <c r="H469" s="15"/>
      <c r="I469" s="15" t="str">
        <f>IF(O469="","",IF(ISNUMBER(MATCH(O469,$G$5:$G$1000,0)),"",IF(D469=1,B$4,0)+MAX(I$4:I468)+1))</f>
        <v/>
      </c>
      <c r="M469" s="14">
        <f>IF(ROW()-ROW(M$4)&lt;=1000,ROW()-ROW(M$4),"")</f>
        <v>465</v>
      </c>
      <c r="Q469" s="16" t="s">
        <v>0</v>
      </c>
      <c r="AO469" s="16"/>
    </row>
    <row r="470" spans="4:41" ht="12" customHeight="1" x14ac:dyDescent="0.25">
      <c r="D470" s="15" t="str">
        <f>IF(IF(ISNUMBER(B470),"",MAX(D$4:D469)+1)&lt;=D$3,IF(ISNUMBER(B470),"",MAX(D$4:D469)+1),"")</f>
        <v/>
      </c>
      <c r="H470" s="15"/>
      <c r="I470" s="15" t="str">
        <f>IF(O470="","",IF(ISNUMBER(MATCH(O470,$G$5:$G$1000,0)),"",IF(D470=1,B$4,0)+MAX(I$4:I469)+1))</f>
        <v/>
      </c>
      <c r="M470" s="14">
        <f>IF(ROW()-ROW(M$4)&lt;=1000,ROW()-ROW(M$4),"")</f>
        <v>466</v>
      </c>
      <c r="Q470" s="16" t="s">
        <v>0</v>
      </c>
      <c r="AO470" s="16"/>
    </row>
    <row r="471" spans="4:41" ht="12" customHeight="1" x14ac:dyDescent="0.25">
      <c r="D471" s="15" t="str">
        <f>IF(IF(ISNUMBER(B471),"",MAX(D$4:D470)+1)&lt;=D$3,IF(ISNUMBER(B471),"",MAX(D$4:D470)+1),"")</f>
        <v/>
      </c>
      <c r="H471" s="15"/>
      <c r="I471" s="15" t="str">
        <f>IF(O471="","",IF(ISNUMBER(MATCH(O471,$G$5:$G$1000,0)),"",IF(D471=1,B$4,0)+MAX(I$4:I470)+1))</f>
        <v/>
      </c>
      <c r="M471" s="14">
        <f>IF(ROW()-ROW(M$4)&lt;=1000,ROW()-ROW(M$4),"")</f>
        <v>467</v>
      </c>
      <c r="Q471" s="16" t="s">
        <v>0</v>
      </c>
      <c r="AO471" s="16"/>
    </row>
    <row r="472" spans="4:41" ht="12" customHeight="1" x14ac:dyDescent="0.25">
      <c r="D472" s="15" t="str">
        <f>IF(IF(ISNUMBER(B472),"",MAX(D$4:D471)+1)&lt;=D$3,IF(ISNUMBER(B472),"",MAX(D$4:D471)+1),"")</f>
        <v/>
      </c>
      <c r="H472" s="15"/>
      <c r="I472" s="15" t="str">
        <f>IF(O472="","",IF(ISNUMBER(MATCH(O472,$G$5:$G$1000,0)),"",IF(D472=1,B$4,0)+MAX(I$4:I471)+1))</f>
        <v/>
      </c>
      <c r="M472" s="14">
        <f>IF(ROW()-ROW(M$4)&lt;=1000,ROW()-ROW(M$4),"")</f>
        <v>468</v>
      </c>
      <c r="Q472" s="16" t="s">
        <v>0</v>
      </c>
      <c r="AO472" s="16"/>
    </row>
    <row r="473" spans="4:41" ht="12" customHeight="1" x14ac:dyDescent="0.25">
      <c r="D473" s="15" t="str">
        <f>IF(IF(ISNUMBER(B473),"",MAX(D$4:D472)+1)&lt;=D$3,IF(ISNUMBER(B473),"",MAX(D$4:D472)+1),"")</f>
        <v/>
      </c>
      <c r="H473" s="15"/>
      <c r="I473" s="15" t="str">
        <f>IF(O473="","",IF(ISNUMBER(MATCH(O473,$G$5:$G$1000,0)),"",IF(D473=1,B$4,0)+MAX(I$4:I472)+1))</f>
        <v/>
      </c>
      <c r="M473" s="14">
        <f>IF(ROW()-ROW(M$4)&lt;=1000,ROW()-ROW(M$4),"")</f>
        <v>469</v>
      </c>
      <c r="Q473" s="16" t="s">
        <v>0</v>
      </c>
      <c r="AO473" s="16"/>
    </row>
    <row r="474" spans="4:41" ht="12" customHeight="1" x14ac:dyDescent="0.25">
      <c r="D474" s="15" t="str">
        <f>IF(IF(ISNUMBER(B474),"",MAX(D$4:D473)+1)&lt;=D$3,IF(ISNUMBER(B474),"",MAX(D$4:D473)+1),"")</f>
        <v/>
      </c>
      <c r="H474" s="15"/>
      <c r="I474" s="15" t="str">
        <f>IF(O474="","",IF(ISNUMBER(MATCH(O474,$G$5:$G$1000,0)),"",IF(D474=1,B$4,0)+MAX(I$4:I473)+1))</f>
        <v/>
      </c>
      <c r="M474" s="14">
        <f>IF(ROW()-ROW(M$4)&lt;=1000,ROW()-ROW(M$4),"")</f>
        <v>470</v>
      </c>
      <c r="Q474" s="16" t="s">
        <v>0</v>
      </c>
      <c r="AO474" s="16"/>
    </row>
    <row r="475" spans="4:41" ht="12" customHeight="1" x14ac:dyDescent="0.25">
      <c r="D475" s="15" t="str">
        <f>IF(IF(ISNUMBER(B475),"",MAX(D$4:D474)+1)&lt;=D$3,IF(ISNUMBER(B475),"",MAX(D$4:D474)+1),"")</f>
        <v/>
      </c>
      <c r="H475" s="15"/>
      <c r="I475" s="15" t="str">
        <f>IF(O475="","",IF(ISNUMBER(MATCH(O475,$G$5:$G$1000,0)),"",IF(D475=1,B$4,0)+MAX(I$4:I474)+1))</f>
        <v/>
      </c>
      <c r="M475" s="14">
        <f>IF(ROW()-ROW(M$4)&lt;=1000,ROW()-ROW(M$4),"")</f>
        <v>471</v>
      </c>
      <c r="Q475" s="16" t="s">
        <v>0</v>
      </c>
      <c r="AO475" s="16"/>
    </row>
    <row r="476" spans="4:41" ht="12" customHeight="1" x14ac:dyDescent="0.25">
      <c r="D476" s="15" t="str">
        <f>IF(IF(ISNUMBER(B476),"",MAX(D$4:D475)+1)&lt;=D$3,IF(ISNUMBER(B476),"",MAX(D$4:D475)+1),"")</f>
        <v/>
      </c>
      <c r="H476" s="15"/>
      <c r="I476" s="15" t="str">
        <f>IF(O476="","",IF(ISNUMBER(MATCH(O476,$G$5:$G$1000,0)),"",IF(D476=1,B$4,0)+MAX(I$4:I475)+1))</f>
        <v/>
      </c>
      <c r="M476" s="14">
        <f>IF(ROW()-ROW(M$4)&lt;=1000,ROW()-ROW(M$4),"")</f>
        <v>472</v>
      </c>
      <c r="Q476" s="16" t="s">
        <v>0</v>
      </c>
      <c r="AO476" s="16"/>
    </row>
    <row r="477" spans="4:41" ht="12" customHeight="1" x14ac:dyDescent="0.25">
      <c r="D477" s="15" t="str">
        <f>IF(IF(ISNUMBER(B477),"",MAX(D$4:D476)+1)&lt;=D$3,IF(ISNUMBER(B477),"",MAX(D$4:D476)+1),"")</f>
        <v/>
      </c>
      <c r="H477" s="15"/>
      <c r="I477" s="15" t="str">
        <f>IF(O477="","",IF(ISNUMBER(MATCH(O477,$G$5:$G$1000,0)),"",IF(D477=1,B$4,0)+MAX(I$4:I476)+1))</f>
        <v/>
      </c>
      <c r="M477" s="14">
        <f>IF(ROW()-ROW(M$4)&lt;=1000,ROW()-ROW(M$4),"")</f>
        <v>473</v>
      </c>
      <c r="Q477" s="16" t="s">
        <v>0</v>
      </c>
      <c r="AO477" s="16"/>
    </row>
    <row r="478" spans="4:41" ht="12" customHeight="1" x14ac:dyDescent="0.25">
      <c r="D478" s="15" t="str">
        <f>IF(IF(ISNUMBER(B478),"",MAX(D$4:D477)+1)&lt;=D$3,IF(ISNUMBER(B478),"",MAX(D$4:D477)+1),"")</f>
        <v/>
      </c>
      <c r="H478" s="15"/>
      <c r="I478" s="15" t="str">
        <f>IF(O478="","",IF(ISNUMBER(MATCH(O478,$G$5:$G$1000,0)),"",IF(D478=1,B$4,0)+MAX(I$4:I477)+1))</f>
        <v/>
      </c>
      <c r="M478" s="14">
        <f>IF(ROW()-ROW(M$4)&lt;=1000,ROW()-ROW(M$4),"")</f>
        <v>474</v>
      </c>
      <c r="Q478" s="16" t="s">
        <v>0</v>
      </c>
      <c r="AO478" s="16"/>
    </row>
    <row r="479" spans="4:41" ht="12" customHeight="1" x14ac:dyDescent="0.25">
      <c r="D479" s="15" t="str">
        <f>IF(IF(ISNUMBER(B479),"",MAX(D$4:D478)+1)&lt;=D$3,IF(ISNUMBER(B479),"",MAX(D$4:D478)+1),"")</f>
        <v/>
      </c>
      <c r="H479" s="15"/>
      <c r="I479" s="15" t="str">
        <f>IF(O479="","",IF(ISNUMBER(MATCH(O479,$G$5:$G$1000,0)),"",IF(D479=1,B$4,0)+MAX(I$4:I478)+1))</f>
        <v/>
      </c>
      <c r="M479" s="14">
        <f>IF(ROW()-ROW(M$4)&lt;=1000,ROW()-ROW(M$4),"")</f>
        <v>475</v>
      </c>
      <c r="Q479" s="16" t="s">
        <v>0</v>
      </c>
      <c r="AO479" s="16"/>
    </row>
    <row r="480" spans="4:41" ht="12" customHeight="1" x14ac:dyDescent="0.25">
      <c r="D480" s="15" t="str">
        <f>IF(IF(ISNUMBER(B480),"",MAX(D$4:D479)+1)&lt;=D$3,IF(ISNUMBER(B480),"",MAX(D$4:D479)+1),"")</f>
        <v/>
      </c>
      <c r="H480" s="15"/>
      <c r="I480" s="15" t="str">
        <f>IF(O480="","",IF(ISNUMBER(MATCH(O480,$G$5:$G$1000,0)),"",IF(D480=1,B$4,0)+MAX(I$4:I479)+1))</f>
        <v/>
      </c>
      <c r="M480" s="14">
        <f>IF(ROW()-ROW(M$4)&lt;=1000,ROW()-ROW(M$4),"")</f>
        <v>476</v>
      </c>
      <c r="Q480" s="16" t="s">
        <v>0</v>
      </c>
      <c r="AO480" s="16"/>
    </row>
    <row r="481" spans="4:41" ht="12" customHeight="1" x14ac:dyDescent="0.25">
      <c r="D481" s="15" t="str">
        <f>IF(IF(ISNUMBER(B481),"",MAX(D$4:D480)+1)&lt;=D$3,IF(ISNUMBER(B481),"",MAX(D$4:D480)+1),"")</f>
        <v/>
      </c>
      <c r="H481" s="15"/>
      <c r="I481" s="15" t="str">
        <f>IF(O481="","",IF(ISNUMBER(MATCH(O481,$G$5:$G$1000,0)),"",IF(D481=1,B$4,0)+MAX(I$4:I480)+1))</f>
        <v/>
      </c>
      <c r="M481" s="14">
        <f>IF(ROW()-ROW(M$4)&lt;=1000,ROW()-ROW(M$4),"")</f>
        <v>477</v>
      </c>
      <c r="Q481" s="16" t="s">
        <v>0</v>
      </c>
      <c r="AO481" s="16"/>
    </row>
    <row r="482" spans="4:41" ht="12" customHeight="1" x14ac:dyDescent="0.25">
      <c r="D482" s="15" t="str">
        <f>IF(IF(ISNUMBER(B482),"",MAX(D$4:D481)+1)&lt;=D$3,IF(ISNUMBER(B482),"",MAX(D$4:D481)+1),"")</f>
        <v/>
      </c>
      <c r="H482" s="15"/>
      <c r="I482" s="15" t="str">
        <f>IF(O482="","",IF(ISNUMBER(MATCH(O482,$G$5:$G$1000,0)),"",IF(D482=1,B$4,0)+MAX(I$4:I481)+1))</f>
        <v/>
      </c>
      <c r="M482" s="14">
        <f>IF(ROW()-ROW(M$4)&lt;=1000,ROW()-ROW(M$4),"")</f>
        <v>478</v>
      </c>
      <c r="Q482" s="16" t="s">
        <v>0</v>
      </c>
      <c r="AO482" s="16"/>
    </row>
    <row r="483" spans="4:41" ht="12" customHeight="1" x14ac:dyDescent="0.25">
      <c r="D483" s="15" t="str">
        <f>IF(IF(ISNUMBER(B483),"",MAX(D$4:D482)+1)&lt;=D$3,IF(ISNUMBER(B483),"",MAX(D$4:D482)+1),"")</f>
        <v/>
      </c>
      <c r="H483" s="15"/>
      <c r="I483" s="15" t="str">
        <f>IF(O483="","",IF(ISNUMBER(MATCH(O483,$G$5:$G$1000,0)),"",IF(D483=1,B$4,0)+MAX(I$4:I482)+1))</f>
        <v/>
      </c>
      <c r="M483" s="14">
        <f>IF(ROW()-ROW(M$4)&lt;=1000,ROW()-ROW(M$4),"")</f>
        <v>479</v>
      </c>
      <c r="Q483" s="16" t="s">
        <v>0</v>
      </c>
      <c r="AO483" s="16"/>
    </row>
    <row r="484" spans="4:41" ht="12" customHeight="1" x14ac:dyDescent="0.25">
      <c r="D484" s="15" t="str">
        <f>IF(IF(ISNUMBER(B484),"",MAX(D$4:D483)+1)&lt;=D$3,IF(ISNUMBER(B484),"",MAX(D$4:D483)+1),"")</f>
        <v/>
      </c>
      <c r="H484" s="15"/>
      <c r="I484" s="15" t="str">
        <f>IF(O484="","",IF(ISNUMBER(MATCH(O484,$G$5:$G$1000,0)),"",IF(D484=1,B$4,0)+MAX(I$4:I483)+1))</f>
        <v/>
      </c>
      <c r="M484" s="14">
        <f>IF(ROW()-ROW(M$4)&lt;=1000,ROW()-ROW(M$4),"")</f>
        <v>480</v>
      </c>
      <c r="Q484" s="16" t="s">
        <v>0</v>
      </c>
      <c r="AO484" s="16"/>
    </row>
    <row r="485" spans="4:41" ht="12" customHeight="1" x14ac:dyDescent="0.25">
      <c r="D485" s="15" t="str">
        <f>IF(IF(ISNUMBER(B485),"",MAX(D$4:D484)+1)&lt;=D$3,IF(ISNUMBER(B485),"",MAX(D$4:D484)+1),"")</f>
        <v/>
      </c>
      <c r="H485" s="15"/>
      <c r="I485" s="15" t="str">
        <f>IF(O485="","",IF(ISNUMBER(MATCH(O485,$G$5:$G$1000,0)),"",IF(D485=1,B$4,0)+MAX(I$4:I484)+1))</f>
        <v/>
      </c>
      <c r="M485" s="14">
        <f>IF(ROW()-ROW(M$4)&lt;=1000,ROW()-ROW(M$4),"")</f>
        <v>481</v>
      </c>
      <c r="Q485" s="16" t="s">
        <v>0</v>
      </c>
      <c r="AO485" s="16"/>
    </row>
    <row r="486" spans="4:41" ht="12" customHeight="1" x14ac:dyDescent="0.25">
      <c r="D486" s="15" t="str">
        <f>IF(IF(ISNUMBER(B486),"",MAX(D$4:D485)+1)&lt;=D$3,IF(ISNUMBER(B486),"",MAX(D$4:D485)+1),"")</f>
        <v/>
      </c>
      <c r="H486" s="15"/>
      <c r="I486" s="15" t="str">
        <f>IF(O486="","",IF(ISNUMBER(MATCH(O486,$G$5:$G$1000,0)),"",IF(D486=1,B$4,0)+MAX(I$4:I485)+1))</f>
        <v/>
      </c>
      <c r="M486" s="14">
        <f>IF(ROW()-ROW(M$4)&lt;=1000,ROW()-ROW(M$4),"")</f>
        <v>482</v>
      </c>
      <c r="Q486" s="16" t="s">
        <v>0</v>
      </c>
      <c r="AO486" s="16"/>
    </row>
    <row r="487" spans="4:41" ht="12" customHeight="1" x14ac:dyDescent="0.25">
      <c r="D487" s="15" t="str">
        <f>IF(IF(ISNUMBER(B487),"",MAX(D$4:D486)+1)&lt;=D$3,IF(ISNUMBER(B487),"",MAX(D$4:D486)+1),"")</f>
        <v/>
      </c>
      <c r="H487" s="15"/>
      <c r="I487" s="15" t="str">
        <f>IF(O487="","",IF(ISNUMBER(MATCH(O487,$G$5:$G$1000,0)),"",IF(D487=1,B$4,0)+MAX(I$4:I486)+1))</f>
        <v/>
      </c>
      <c r="M487" s="14">
        <f>IF(ROW()-ROW(M$4)&lt;=1000,ROW()-ROW(M$4),"")</f>
        <v>483</v>
      </c>
      <c r="Q487" s="16" t="s">
        <v>0</v>
      </c>
      <c r="AO487" s="16"/>
    </row>
    <row r="488" spans="4:41" ht="12" customHeight="1" x14ac:dyDescent="0.25">
      <c r="D488" s="15" t="str">
        <f>IF(IF(ISNUMBER(B488),"",MAX(D$4:D487)+1)&lt;=D$3,IF(ISNUMBER(B488),"",MAX(D$4:D487)+1),"")</f>
        <v/>
      </c>
      <c r="H488" s="15"/>
      <c r="I488" s="15" t="str">
        <f>IF(O488="","",IF(ISNUMBER(MATCH(O488,$G$5:$G$1000,0)),"",IF(D488=1,B$4,0)+MAX(I$4:I487)+1))</f>
        <v/>
      </c>
      <c r="M488" s="14">
        <f>IF(ROW()-ROW(M$4)&lt;=1000,ROW()-ROW(M$4),"")</f>
        <v>484</v>
      </c>
      <c r="Q488" s="16" t="s">
        <v>0</v>
      </c>
      <c r="AO488" s="16"/>
    </row>
    <row r="489" spans="4:41" ht="12" customHeight="1" x14ac:dyDescent="0.25">
      <c r="D489" s="15" t="str">
        <f>IF(IF(ISNUMBER(B489),"",MAX(D$4:D488)+1)&lt;=D$3,IF(ISNUMBER(B489),"",MAX(D$4:D488)+1),"")</f>
        <v/>
      </c>
      <c r="H489" s="15"/>
      <c r="I489" s="15" t="str">
        <f>IF(O489="","",IF(ISNUMBER(MATCH(O489,$G$5:$G$1000,0)),"",IF(D489=1,B$4,0)+MAX(I$4:I488)+1))</f>
        <v/>
      </c>
      <c r="M489" s="14">
        <f>IF(ROW()-ROW(M$4)&lt;=1000,ROW()-ROW(M$4),"")</f>
        <v>485</v>
      </c>
      <c r="Q489" s="16" t="s">
        <v>0</v>
      </c>
      <c r="AO489" s="16"/>
    </row>
    <row r="490" spans="4:41" ht="12" customHeight="1" x14ac:dyDescent="0.25">
      <c r="D490" s="15" t="str">
        <f>IF(IF(ISNUMBER(B490),"",MAX(D$4:D489)+1)&lt;=D$3,IF(ISNUMBER(B490),"",MAX(D$4:D489)+1),"")</f>
        <v/>
      </c>
      <c r="H490" s="15"/>
      <c r="I490" s="15" t="str">
        <f>IF(O490="","",IF(ISNUMBER(MATCH(O490,$G$5:$G$1000,0)),"",IF(D490=1,B$4,0)+MAX(I$4:I489)+1))</f>
        <v/>
      </c>
      <c r="M490" s="14">
        <f>IF(ROW()-ROW(M$4)&lt;=1000,ROW()-ROW(M$4),"")</f>
        <v>486</v>
      </c>
      <c r="Q490" s="16" t="s">
        <v>0</v>
      </c>
      <c r="AO490" s="16"/>
    </row>
    <row r="491" spans="4:41" ht="12" customHeight="1" x14ac:dyDescent="0.25">
      <c r="D491" s="15" t="str">
        <f>IF(IF(ISNUMBER(B491),"",MAX(D$4:D490)+1)&lt;=D$3,IF(ISNUMBER(B491),"",MAX(D$4:D490)+1),"")</f>
        <v/>
      </c>
      <c r="H491" s="15"/>
      <c r="I491" s="15" t="str">
        <f>IF(O491="","",IF(ISNUMBER(MATCH(O491,$G$5:$G$1000,0)),"",IF(D491=1,B$4,0)+MAX(I$4:I490)+1))</f>
        <v/>
      </c>
      <c r="M491" s="14">
        <f>IF(ROW()-ROW(M$4)&lt;=1000,ROW()-ROW(M$4),"")</f>
        <v>487</v>
      </c>
      <c r="Q491" s="16" t="s">
        <v>0</v>
      </c>
      <c r="AO491" s="16"/>
    </row>
    <row r="492" spans="4:41" ht="12" customHeight="1" x14ac:dyDescent="0.25">
      <c r="D492" s="15" t="str">
        <f>IF(IF(ISNUMBER(B492),"",MAX(D$4:D491)+1)&lt;=D$3,IF(ISNUMBER(B492),"",MAX(D$4:D491)+1),"")</f>
        <v/>
      </c>
      <c r="H492" s="15"/>
      <c r="I492" s="15" t="str">
        <f>IF(O492="","",IF(ISNUMBER(MATCH(O492,$G$5:$G$1000,0)),"",IF(D492=1,B$4,0)+MAX(I$4:I491)+1))</f>
        <v/>
      </c>
      <c r="M492" s="14">
        <f>IF(ROW()-ROW(M$4)&lt;=1000,ROW()-ROW(M$4),"")</f>
        <v>488</v>
      </c>
      <c r="Q492" s="16" t="s">
        <v>0</v>
      </c>
      <c r="AO492" s="16"/>
    </row>
    <row r="493" spans="4:41" ht="12" customHeight="1" x14ac:dyDescent="0.25">
      <c r="D493" s="15" t="str">
        <f>IF(IF(ISNUMBER(B493),"",MAX(D$4:D492)+1)&lt;=D$3,IF(ISNUMBER(B493),"",MAX(D$4:D492)+1),"")</f>
        <v/>
      </c>
      <c r="H493" s="15"/>
      <c r="I493" s="15" t="str">
        <f>IF(O493="","",IF(ISNUMBER(MATCH(O493,$G$5:$G$1000,0)),"",IF(D493=1,B$4,0)+MAX(I$4:I492)+1))</f>
        <v/>
      </c>
      <c r="M493" s="14">
        <f>IF(ROW()-ROW(M$4)&lt;=1000,ROW()-ROW(M$4),"")</f>
        <v>489</v>
      </c>
      <c r="Q493" s="16" t="s">
        <v>0</v>
      </c>
      <c r="AO493" s="16"/>
    </row>
    <row r="494" spans="4:41" ht="12" customHeight="1" x14ac:dyDescent="0.25">
      <c r="D494" s="15" t="str">
        <f>IF(IF(ISNUMBER(B494),"",MAX(D$4:D493)+1)&lt;=D$3,IF(ISNUMBER(B494),"",MAX(D$4:D493)+1),"")</f>
        <v/>
      </c>
      <c r="H494" s="15"/>
      <c r="I494" s="15" t="str">
        <f>IF(O494="","",IF(ISNUMBER(MATCH(O494,$G$5:$G$1000,0)),"",IF(D494=1,B$4,0)+MAX(I$4:I493)+1))</f>
        <v/>
      </c>
      <c r="M494" s="14">
        <f>IF(ROW()-ROW(M$4)&lt;=1000,ROW()-ROW(M$4),"")</f>
        <v>490</v>
      </c>
      <c r="Q494" s="16" t="s">
        <v>0</v>
      </c>
      <c r="AO494" s="16"/>
    </row>
    <row r="495" spans="4:41" ht="12" customHeight="1" x14ac:dyDescent="0.25">
      <c r="D495" s="15" t="str">
        <f>IF(IF(ISNUMBER(B495),"",MAX(D$4:D494)+1)&lt;=D$3,IF(ISNUMBER(B495),"",MAX(D$4:D494)+1),"")</f>
        <v/>
      </c>
      <c r="H495" s="15"/>
      <c r="I495" s="15" t="str">
        <f>IF(O495="","",IF(ISNUMBER(MATCH(O495,$G$5:$G$1000,0)),"",IF(D495=1,B$4,0)+MAX(I$4:I494)+1))</f>
        <v/>
      </c>
      <c r="M495" s="14">
        <f>IF(ROW()-ROW(M$4)&lt;=1000,ROW()-ROW(M$4),"")</f>
        <v>491</v>
      </c>
      <c r="Q495" s="16" t="s">
        <v>0</v>
      </c>
      <c r="AO495" s="16"/>
    </row>
    <row r="496" spans="4:41" ht="12" customHeight="1" x14ac:dyDescent="0.25">
      <c r="D496" s="15" t="str">
        <f>IF(IF(ISNUMBER(B496),"",MAX(D$4:D495)+1)&lt;=D$3,IF(ISNUMBER(B496),"",MAX(D$4:D495)+1),"")</f>
        <v/>
      </c>
      <c r="H496" s="15"/>
      <c r="I496" s="15" t="str">
        <f>IF(O496="","",IF(ISNUMBER(MATCH(O496,$G$5:$G$1000,0)),"",IF(D496=1,B$4,0)+MAX(I$4:I495)+1))</f>
        <v/>
      </c>
      <c r="M496" s="14">
        <f>IF(ROW()-ROW(M$4)&lt;=1000,ROW()-ROW(M$4),"")</f>
        <v>492</v>
      </c>
      <c r="Q496" s="16" t="s">
        <v>0</v>
      </c>
      <c r="AO496" s="16"/>
    </row>
    <row r="497" spans="4:41" ht="12" customHeight="1" x14ac:dyDescent="0.25">
      <c r="D497" s="15" t="str">
        <f>IF(IF(ISNUMBER(B497),"",MAX(D$4:D496)+1)&lt;=D$3,IF(ISNUMBER(B497),"",MAX(D$4:D496)+1),"")</f>
        <v/>
      </c>
      <c r="H497" s="15"/>
      <c r="I497" s="15" t="str">
        <f>IF(O497="","",IF(ISNUMBER(MATCH(O497,$G$5:$G$1000,0)),"",IF(D497=1,B$4,0)+MAX(I$4:I496)+1))</f>
        <v/>
      </c>
      <c r="M497" s="14">
        <f>IF(ROW()-ROW(M$4)&lt;=1000,ROW()-ROW(M$4),"")</f>
        <v>493</v>
      </c>
      <c r="Q497" s="16" t="s">
        <v>0</v>
      </c>
      <c r="AO497" s="16"/>
    </row>
    <row r="498" spans="4:41" ht="12" customHeight="1" x14ac:dyDescent="0.25">
      <c r="D498" s="15" t="str">
        <f>IF(IF(ISNUMBER(B498),"",MAX(D$4:D497)+1)&lt;=D$3,IF(ISNUMBER(B498),"",MAX(D$4:D497)+1),"")</f>
        <v/>
      </c>
      <c r="H498" s="15"/>
      <c r="I498" s="15" t="str">
        <f>IF(O498="","",IF(ISNUMBER(MATCH(O498,$G$5:$G$1000,0)),"",IF(D498=1,B$4,0)+MAX(I$4:I497)+1))</f>
        <v/>
      </c>
      <c r="M498" s="14">
        <f>IF(ROW()-ROW(M$4)&lt;=1000,ROW()-ROW(M$4),"")</f>
        <v>494</v>
      </c>
      <c r="Q498" s="16" t="s">
        <v>0</v>
      </c>
      <c r="AO498" s="16"/>
    </row>
    <row r="499" spans="4:41" ht="12" customHeight="1" x14ac:dyDescent="0.25">
      <c r="D499" s="15" t="str">
        <f>IF(IF(ISNUMBER(B499),"",MAX(D$4:D498)+1)&lt;=D$3,IF(ISNUMBER(B499),"",MAX(D$4:D498)+1),"")</f>
        <v/>
      </c>
      <c r="H499" s="15"/>
      <c r="I499" s="15" t="str">
        <f>IF(O499="","",IF(ISNUMBER(MATCH(O499,$G$5:$G$1000,0)),"",IF(D499=1,B$4,0)+MAX(I$4:I498)+1))</f>
        <v/>
      </c>
      <c r="M499" s="14">
        <f>IF(ROW()-ROW(M$4)&lt;=1000,ROW()-ROW(M$4),"")</f>
        <v>495</v>
      </c>
      <c r="Q499" s="16" t="s">
        <v>0</v>
      </c>
      <c r="AO499" s="16"/>
    </row>
    <row r="500" spans="4:41" ht="12" customHeight="1" x14ac:dyDescent="0.25">
      <c r="D500" s="15" t="str">
        <f>IF(IF(ISNUMBER(B500),"",MAX(D$4:D499)+1)&lt;=D$3,IF(ISNUMBER(B500),"",MAX(D$4:D499)+1),"")</f>
        <v/>
      </c>
      <c r="H500" s="15"/>
      <c r="I500" s="15" t="str">
        <f>IF(O500="","",IF(ISNUMBER(MATCH(O500,$G$5:$G$1000,0)),"",IF(D500=1,B$4,0)+MAX(I$4:I499)+1))</f>
        <v/>
      </c>
      <c r="M500" s="14">
        <f>IF(ROW()-ROW(M$4)&lt;=1000,ROW()-ROW(M$4),"")</f>
        <v>496</v>
      </c>
      <c r="Q500" s="16" t="s">
        <v>0</v>
      </c>
      <c r="AO500" s="16"/>
    </row>
    <row r="501" spans="4:41" ht="12" customHeight="1" x14ac:dyDescent="0.25">
      <c r="D501" s="15" t="str">
        <f>IF(IF(ISNUMBER(B501),"",MAX(D$4:D500)+1)&lt;=D$3,IF(ISNUMBER(B501),"",MAX(D$4:D500)+1),"")</f>
        <v/>
      </c>
      <c r="H501" s="15"/>
      <c r="I501" s="15" t="str">
        <f>IF(O501="","",IF(ISNUMBER(MATCH(O501,$G$5:$G$1000,0)),"",IF(D501=1,B$4,0)+MAX(I$4:I500)+1))</f>
        <v/>
      </c>
      <c r="M501" s="14">
        <f>IF(ROW()-ROW(M$4)&lt;=1000,ROW()-ROW(M$4),"")</f>
        <v>497</v>
      </c>
      <c r="Q501" s="16" t="s">
        <v>0</v>
      </c>
      <c r="AO501" s="16"/>
    </row>
    <row r="502" spans="4:41" ht="12" customHeight="1" x14ac:dyDescent="0.25">
      <c r="D502" s="15" t="str">
        <f>IF(IF(ISNUMBER(B502),"",MAX(D$4:D501)+1)&lt;=D$3,IF(ISNUMBER(B502),"",MAX(D$4:D501)+1),"")</f>
        <v/>
      </c>
      <c r="H502" s="15"/>
      <c r="I502" s="15" t="str">
        <f>IF(O502="","",IF(ISNUMBER(MATCH(O502,$G$5:$G$1000,0)),"",IF(D502=1,B$4,0)+MAX(I$4:I501)+1))</f>
        <v/>
      </c>
      <c r="M502" s="14">
        <f>IF(ROW()-ROW(M$4)&lt;=1000,ROW()-ROW(M$4),"")</f>
        <v>498</v>
      </c>
      <c r="Q502" s="16" t="s">
        <v>0</v>
      </c>
      <c r="AO502" s="16"/>
    </row>
    <row r="503" spans="4:41" ht="12" customHeight="1" x14ac:dyDescent="0.25">
      <c r="D503" s="15" t="str">
        <f>IF(IF(ISNUMBER(B503),"",MAX(D$4:D502)+1)&lt;=D$3,IF(ISNUMBER(B503),"",MAX(D$4:D502)+1),"")</f>
        <v/>
      </c>
      <c r="H503" s="15"/>
      <c r="I503" s="15" t="str">
        <f>IF(O503="","",IF(ISNUMBER(MATCH(O503,$G$5:$G$1000,0)),"",IF(D503=1,B$4,0)+MAX(I$4:I502)+1))</f>
        <v/>
      </c>
      <c r="M503" s="14">
        <f>IF(ROW()-ROW(M$4)&lt;=1000,ROW()-ROW(M$4),"")</f>
        <v>499</v>
      </c>
      <c r="Q503" s="16" t="s">
        <v>0</v>
      </c>
      <c r="AO503" s="16"/>
    </row>
    <row r="504" spans="4:41" ht="12" customHeight="1" x14ac:dyDescent="0.25">
      <c r="D504" s="15" t="str">
        <f>IF(IF(ISNUMBER(B504),"",MAX(D$4:D503)+1)&lt;=D$3,IF(ISNUMBER(B504),"",MAX(D$4:D503)+1),"")</f>
        <v/>
      </c>
      <c r="H504" s="15"/>
      <c r="I504" s="15" t="str">
        <f>IF(O504="","",IF(ISNUMBER(MATCH(O504,$G$5:$G$1000,0)),"",IF(D504=1,B$4,0)+MAX(I$4:I503)+1))</f>
        <v/>
      </c>
      <c r="M504" s="14">
        <f>IF(ROW()-ROW(M$4)&lt;=1000,ROW()-ROW(M$4),"")</f>
        <v>500</v>
      </c>
      <c r="Q504" s="16" t="s">
        <v>0</v>
      </c>
      <c r="AO504" s="16"/>
    </row>
    <row r="505" spans="4:41" ht="12" customHeight="1" x14ac:dyDescent="0.25">
      <c r="D505" s="15" t="str">
        <f>IF(IF(ISNUMBER(B505),"",MAX(D$4:D504)+1)&lt;=D$3,IF(ISNUMBER(B505),"",MAX(D$4:D504)+1),"")</f>
        <v/>
      </c>
      <c r="H505" s="15"/>
      <c r="I505" s="15" t="str">
        <f>IF(O505="","",IF(ISNUMBER(MATCH(O505,$G$5:$G$1000,0)),"",IF(D505=1,B$4,0)+MAX(I$4:I504)+1))</f>
        <v/>
      </c>
      <c r="M505" s="14">
        <f>IF(ROW()-ROW(M$4)&lt;=1000,ROW()-ROW(M$4),"")</f>
        <v>501</v>
      </c>
      <c r="Q505" s="16" t="s">
        <v>0</v>
      </c>
      <c r="AO505" s="16"/>
    </row>
    <row r="506" spans="4:41" ht="12" customHeight="1" x14ac:dyDescent="0.25">
      <c r="D506" s="15" t="str">
        <f>IF(IF(ISNUMBER(B506),"",MAX(D$4:D505)+1)&lt;=D$3,IF(ISNUMBER(B506),"",MAX(D$4:D505)+1),"")</f>
        <v/>
      </c>
      <c r="H506" s="15"/>
      <c r="I506" s="15" t="str">
        <f>IF(O506="","",IF(ISNUMBER(MATCH(O506,$G$5:$G$1000,0)),"",IF(D506=1,B$4,0)+MAX(I$4:I505)+1))</f>
        <v/>
      </c>
      <c r="M506" s="14">
        <f>IF(ROW()-ROW(M$4)&lt;=1000,ROW()-ROW(M$4),"")</f>
        <v>502</v>
      </c>
      <c r="Q506" s="16" t="s">
        <v>0</v>
      </c>
      <c r="AO506" s="16"/>
    </row>
    <row r="507" spans="4:41" ht="12" customHeight="1" x14ac:dyDescent="0.25">
      <c r="D507" s="15" t="str">
        <f>IF(IF(ISNUMBER(B507),"",MAX(D$4:D506)+1)&lt;=D$3,IF(ISNUMBER(B507),"",MAX(D$4:D506)+1),"")</f>
        <v/>
      </c>
      <c r="H507" s="15"/>
      <c r="I507" s="15" t="str">
        <f>IF(O507="","",IF(ISNUMBER(MATCH(O507,$G$5:$G$1000,0)),"",IF(D507=1,B$4,0)+MAX(I$4:I506)+1))</f>
        <v/>
      </c>
      <c r="M507" s="14">
        <f>IF(ROW()-ROW(M$4)&lt;=1000,ROW()-ROW(M$4),"")</f>
        <v>503</v>
      </c>
      <c r="Q507" s="16" t="s">
        <v>0</v>
      </c>
      <c r="AO507" s="16"/>
    </row>
    <row r="508" spans="4:41" ht="12" customHeight="1" x14ac:dyDescent="0.25">
      <c r="D508" s="15" t="str">
        <f>IF(IF(ISNUMBER(B508),"",MAX(D$4:D507)+1)&lt;=D$3,IF(ISNUMBER(B508),"",MAX(D$4:D507)+1),"")</f>
        <v/>
      </c>
      <c r="H508" s="15"/>
      <c r="I508" s="15" t="str">
        <f>IF(O508="","",IF(ISNUMBER(MATCH(O508,$G$5:$G$1000,0)),"",IF(D508=1,B$4,0)+MAX(I$4:I507)+1))</f>
        <v/>
      </c>
      <c r="M508" s="14">
        <f>IF(ROW()-ROW(M$4)&lt;=1000,ROW()-ROW(M$4),"")</f>
        <v>504</v>
      </c>
      <c r="Q508" s="16" t="s">
        <v>0</v>
      </c>
      <c r="AO508" s="16"/>
    </row>
    <row r="509" spans="4:41" ht="12" customHeight="1" x14ac:dyDescent="0.25">
      <c r="D509" s="15" t="str">
        <f>IF(IF(ISNUMBER(B509),"",MAX(D$4:D508)+1)&lt;=D$3,IF(ISNUMBER(B509),"",MAX(D$4:D508)+1),"")</f>
        <v/>
      </c>
      <c r="H509" s="15"/>
      <c r="I509" s="15" t="str">
        <f>IF(O509="","",IF(ISNUMBER(MATCH(O509,$G$5:$G$1000,0)),"",IF(D509=1,B$4,0)+MAX(I$4:I508)+1))</f>
        <v/>
      </c>
      <c r="M509" s="14">
        <f>IF(ROW()-ROW(M$4)&lt;=1000,ROW()-ROW(M$4),"")</f>
        <v>505</v>
      </c>
      <c r="Q509" s="16" t="s">
        <v>0</v>
      </c>
      <c r="AO509" s="16"/>
    </row>
    <row r="510" spans="4:41" ht="12" customHeight="1" x14ac:dyDescent="0.25">
      <c r="D510" s="15" t="str">
        <f>IF(IF(ISNUMBER(B510),"",MAX(D$4:D509)+1)&lt;=D$3,IF(ISNUMBER(B510),"",MAX(D$4:D509)+1),"")</f>
        <v/>
      </c>
      <c r="H510" s="15"/>
      <c r="I510" s="15" t="str">
        <f>IF(O510="","",IF(ISNUMBER(MATCH(O510,$G$5:$G$1000,0)),"",IF(D510=1,B$4,0)+MAX(I$4:I509)+1))</f>
        <v/>
      </c>
      <c r="M510" s="14">
        <f>IF(ROW()-ROW(M$4)&lt;=1000,ROW()-ROW(M$4),"")</f>
        <v>506</v>
      </c>
      <c r="Q510" s="16" t="s">
        <v>0</v>
      </c>
      <c r="AO510" s="16"/>
    </row>
    <row r="511" spans="4:41" ht="12" customHeight="1" x14ac:dyDescent="0.25">
      <c r="D511" s="15" t="str">
        <f>IF(IF(ISNUMBER(B511),"",MAX(D$4:D510)+1)&lt;=D$3,IF(ISNUMBER(B511),"",MAX(D$4:D510)+1),"")</f>
        <v/>
      </c>
      <c r="H511" s="15"/>
      <c r="I511" s="15" t="str">
        <f>IF(O511="","",IF(ISNUMBER(MATCH(O511,$G$5:$G$1000,0)),"",IF(D511=1,B$4,0)+MAX(I$4:I510)+1))</f>
        <v/>
      </c>
      <c r="M511" s="14">
        <f>IF(ROW()-ROW(M$4)&lt;=1000,ROW()-ROW(M$4),"")</f>
        <v>507</v>
      </c>
      <c r="Q511" s="16" t="s">
        <v>0</v>
      </c>
      <c r="AO511" s="16"/>
    </row>
    <row r="512" spans="4:41" ht="12" customHeight="1" x14ac:dyDescent="0.25">
      <c r="D512" s="15" t="str">
        <f>IF(IF(ISNUMBER(B512),"",MAX(D$4:D511)+1)&lt;=D$3,IF(ISNUMBER(B512),"",MAX(D$4:D511)+1),"")</f>
        <v/>
      </c>
      <c r="H512" s="15"/>
      <c r="I512" s="15" t="str">
        <f>IF(O512="","",IF(ISNUMBER(MATCH(O512,$G$5:$G$1000,0)),"",IF(D512=1,B$4,0)+MAX(I$4:I511)+1))</f>
        <v/>
      </c>
      <c r="M512" s="14">
        <f>IF(ROW()-ROW(M$4)&lt;=1000,ROW()-ROW(M$4),"")</f>
        <v>508</v>
      </c>
      <c r="Q512" s="16" t="s">
        <v>0</v>
      </c>
      <c r="AO512" s="16"/>
    </row>
    <row r="513" spans="4:41" ht="12" customHeight="1" x14ac:dyDescent="0.25">
      <c r="D513" s="15" t="str">
        <f>IF(IF(ISNUMBER(B513),"",MAX(D$4:D512)+1)&lt;=D$3,IF(ISNUMBER(B513),"",MAX(D$4:D512)+1),"")</f>
        <v/>
      </c>
      <c r="H513" s="15"/>
      <c r="I513" s="15" t="str">
        <f>IF(O513="","",IF(ISNUMBER(MATCH(O513,$G$5:$G$1000,0)),"",IF(D513=1,B$4,0)+MAX(I$4:I512)+1))</f>
        <v/>
      </c>
      <c r="M513" s="14">
        <f>IF(ROW()-ROW(M$4)&lt;=1000,ROW()-ROW(M$4),"")</f>
        <v>509</v>
      </c>
      <c r="Q513" s="16" t="s">
        <v>0</v>
      </c>
      <c r="AO513" s="16"/>
    </row>
    <row r="514" spans="4:41" ht="12" customHeight="1" x14ac:dyDescent="0.25">
      <c r="D514" s="15" t="str">
        <f>IF(IF(ISNUMBER(B514),"",MAX(D$4:D513)+1)&lt;=D$3,IF(ISNUMBER(B514),"",MAX(D$4:D513)+1),"")</f>
        <v/>
      </c>
      <c r="H514" s="15"/>
      <c r="I514" s="15" t="str">
        <f>IF(O514="","",IF(ISNUMBER(MATCH(O514,$G$5:$G$1000,0)),"",IF(D514=1,B$4,0)+MAX(I$4:I513)+1))</f>
        <v/>
      </c>
      <c r="M514" s="14">
        <f>IF(ROW()-ROW(M$4)&lt;=1000,ROW()-ROW(M$4),"")</f>
        <v>510</v>
      </c>
      <c r="Q514" s="16" t="s">
        <v>0</v>
      </c>
      <c r="AO514" s="16"/>
    </row>
    <row r="515" spans="4:41" ht="12" customHeight="1" x14ac:dyDescent="0.25">
      <c r="D515" s="15" t="str">
        <f>IF(IF(ISNUMBER(B515),"",MAX(D$4:D514)+1)&lt;=D$3,IF(ISNUMBER(B515),"",MAX(D$4:D514)+1),"")</f>
        <v/>
      </c>
      <c r="H515" s="15"/>
      <c r="I515" s="15" t="str">
        <f>IF(O515="","",IF(ISNUMBER(MATCH(O515,$G$5:$G$1000,0)),"",IF(D515=1,B$4,0)+MAX(I$4:I514)+1))</f>
        <v/>
      </c>
      <c r="M515" s="14">
        <f>IF(ROW()-ROW(M$4)&lt;=1000,ROW()-ROW(M$4),"")</f>
        <v>511</v>
      </c>
      <c r="Q515" s="16" t="s">
        <v>0</v>
      </c>
      <c r="AO515" s="16"/>
    </row>
    <row r="516" spans="4:41" ht="12" customHeight="1" x14ac:dyDescent="0.25">
      <c r="D516" s="15" t="str">
        <f>IF(IF(ISNUMBER(B516),"",MAX(D$4:D515)+1)&lt;=D$3,IF(ISNUMBER(B516),"",MAX(D$4:D515)+1),"")</f>
        <v/>
      </c>
      <c r="H516" s="15"/>
      <c r="I516" s="15" t="str">
        <f>IF(O516="","",IF(ISNUMBER(MATCH(O516,$G$5:$G$1000,0)),"",IF(D516=1,B$4,0)+MAX(I$4:I515)+1))</f>
        <v/>
      </c>
      <c r="M516" s="14">
        <f>IF(ROW()-ROW(M$4)&lt;=1000,ROW()-ROW(M$4),"")</f>
        <v>512</v>
      </c>
      <c r="Q516" s="16" t="s">
        <v>0</v>
      </c>
      <c r="AO516" s="16"/>
    </row>
    <row r="517" spans="4:41" ht="12" customHeight="1" x14ac:dyDescent="0.25">
      <c r="D517" s="15" t="str">
        <f>IF(IF(ISNUMBER(B517),"",MAX(D$4:D516)+1)&lt;=D$3,IF(ISNUMBER(B517),"",MAX(D$4:D516)+1),"")</f>
        <v/>
      </c>
      <c r="H517" s="15"/>
      <c r="I517" s="15" t="str">
        <f>IF(O517="","",IF(ISNUMBER(MATCH(O517,$G$5:$G$1000,0)),"",IF(D517=1,B$4,0)+MAX(I$4:I516)+1))</f>
        <v/>
      </c>
      <c r="M517" s="14">
        <f>IF(ROW()-ROW(M$4)&lt;=1000,ROW()-ROW(M$4),"")</f>
        <v>513</v>
      </c>
      <c r="Q517" s="16" t="s">
        <v>0</v>
      </c>
      <c r="AO517" s="16"/>
    </row>
    <row r="518" spans="4:41" ht="12" customHeight="1" x14ac:dyDescent="0.25">
      <c r="D518" s="15" t="str">
        <f>IF(IF(ISNUMBER(B518),"",MAX(D$4:D517)+1)&lt;=D$3,IF(ISNUMBER(B518),"",MAX(D$4:D517)+1),"")</f>
        <v/>
      </c>
      <c r="H518" s="15"/>
      <c r="I518" s="15" t="str">
        <f>IF(O518="","",IF(ISNUMBER(MATCH(O518,$G$5:$G$1000,0)),"",IF(D518=1,B$4,0)+MAX(I$4:I517)+1))</f>
        <v/>
      </c>
      <c r="M518" s="14">
        <f>IF(ROW()-ROW(M$4)&lt;=1000,ROW()-ROW(M$4),"")</f>
        <v>514</v>
      </c>
      <c r="Q518" s="16" t="s">
        <v>0</v>
      </c>
      <c r="AO518" s="16"/>
    </row>
    <row r="519" spans="4:41" ht="12" customHeight="1" x14ac:dyDescent="0.25">
      <c r="D519" s="15" t="str">
        <f>IF(IF(ISNUMBER(B519),"",MAX(D$4:D518)+1)&lt;=D$3,IF(ISNUMBER(B519),"",MAX(D$4:D518)+1),"")</f>
        <v/>
      </c>
      <c r="H519" s="15"/>
      <c r="I519" s="15" t="str">
        <f>IF(O519="","",IF(ISNUMBER(MATCH(O519,$G$5:$G$1000,0)),"",IF(D519=1,B$4,0)+MAX(I$4:I518)+1))</f>
        <v/>
      </c>
      <c r="M519" s="14">
        <f>IF(ROW()-ROW(M$4)&lt;=1000,ROW()-ROW(M$4),"")</f>
        <v>515</v>
      </c>
      <c r="Q519" s="16" t="s">
        <v>0</v>
      </c>
      <c r="AO519" s="16"/>
    </row>
    <row r="520" spans="4:41" ht="12" customHeight="1" x14ac:dyDescent="0.25">
      <c r="D520" s="15" t="str">
        <f>IF(IF(ISNUMBER(B520),"",MAX(D$4:D519)+1)&lt;=D$3,IF(ISNUMBER(B520),"",MAX(D$4:D519)+1),"")</f>
        <v/>
      </c>
      <c r="H520" s="15"/>
      <c r="I520" s="15" t="str">
        <f>IF(O520="","",IF(ISNUMBER(MATCH(O520,$G$5:$G$1000,0)),"",IF(D520=1,B$4,0)+MAX(I$4:I519)+1))</f>
        <v/>
      </c>
      <c r="M520" s="14">
        <f>IF(ROW()-ROW(M$4)&lt;=1000,ROW()-ROW(M$4),"")</f>
        <v>516</v>
      </c>
      <c r="Q520" s="16" t="s">
        <v>0</v>
      </c>
      <c r="AO520" s="16"/>
    </row>
    <row r="521" spans="4:41" ht="12" customHeight="1" x14ac:dyDescent="0.25">
      <c r="D521" s="15" t="str">
        <f>IF(IF(ISNUMBER(B521),"",MAX(D$4:D520)+1)&lt;=D$3,IF(ISNUMBER(B521),"",MAX(D$4:D520)+1),"")</f>
        <v/>
      </c>
      <c r="H521" s="15"/>
      <c r="I521" s="15" t="str">
        <f>IF(O521="","",IF(ISNUMBER(MATCH(O521,$G$5:$G$1000,0)),"",IF(D521=1,B$4,0)+MAX(I$4:I520)+1))</f>
        <v/>
      </c>
      <c r="M521" s="14">
        <f>IF(ROW()-ROW(M$4)&lt;=1000,ROW()-ROW(M$4),"")</f>
        <v>517</v>
      </c>
      <c r="Q521" s="16" t="s">
        <v>0</v>
      </c>
      <c r="AO521" s="16"/>
    </row>
    <row r="522" spans="4:41" ht="12" customHeight="1" x14ac:dyDescent="0.25">
      <c r="D522" s="15" t="str">
        <f>IF(IF(ISNUMBER(B522),"",MAX(D$4:D521)+1)&lt;=D$3,IF(ISNUMBER(B522),"",MAX(D$4:D521)+1),"")</f>
        <v/>
      </c>
      <c r="H522" s="15"/>
      <c r="I522" s="15" t="str">
        <f>IF(O522="","",IF(ISNUMBER(MATCH(O522,$G$5:$G$1000,0)),"",IF(D522=1,B$4,0)+MAX(I$4:I521)+1))</f>
        <v/>
      </c>
      <c r="M522" s="14">
        <f>IF(ROW()-ROW(M$4)&lt;=1000,ROW()-ROW(M$4),"")</f>
        <v>518</v>
      </c>
      <c r="Q522" s="16" t="s">
        <v>0</v>
      </c>
      <c r="AO522" s="16"/>
    </row>
    <row r="523" spans="4:41" ht="12" customHeight="1" x14ac:dyDescent="0.25">
      <c r="D523" s="15" t="str">
        <f>IF(IF(ISNUMBER(B523),"",MAX(D$4:D522)+1)&lt;=D$3,IF(ISNUMBER(B523),"",MAX(D$4:D522)+1),"")</f>
        <v/>
      </c>
      <c r="H523" s="15"/>
      <c r="I523" s="15" t="str">
        <f>IF(O523="","",IF(ISNUMBER(MATCH(O523,$G$5:$G$1000,0)),"",IF(D523=1,B$4,0)+MAX(I$4:I522)+1))</f>
        <v/>
      </c>
      <c r="M523" s="14">
        <f>IF(ROW()-ROW(M$4)&lt;=1000,ROW()-ROW(M$4),"")</f>
        <v>519</v>
      </c>
    </row>
    <row r="524" spans="4:41" ht="12" customHeight="1" x14ac:dyDescent="0.25">
      <c r="D524" s="15" t="str">
        <f>IF(IF(ISNUMBER(B524),"",MAX(D$4:D523)+1)&lt;=D$3,IF(ISNUMBER(B524),"",MAX(D$4:D523)+1),"")</f>
        <v/>
      </c>
      <c r="H524" s="15"/>
      <c r="I524" s="15" t="str">
        <f>IF(O524="","",IF(ISNUMBER(MATCH(O524,$G$5:$G$1000,0)),"",IF(D524=1,B$4,0)+MAX(I$4:I523)+1))</f>
        <v/>
      </c>
      <c r="M524" s="14">
        <f>IF(ROW()-ROW(M$4)&lt;=1000,ROW()-ROW(M$4),"")</f>
        <v>520</v>
      </c>
    </row>
    <row r="525" spans="4:41" ht="12" customHeight="1" x14ac:dyDescent="0.25">
      <c r="D525" s="15" t="str">
        <f>IF(IF(ISNUMBER(B525),"",MAX(D$4:D524)+1)&lt;=D$3,IF(ISNUMBER(B525),"",MAX(D$4:D524)+1),"")</f>
        <v/>
      </c>
      <c r="H525" s="15"/>
      <c r="I525" s="15" t="str">
        <f>IF(O525="","",IF(ISNUMBER(MATCH(O525,$G$5:$G$1000,0)),"",IF(D525=1,B$4,0)+MAX(I$4:I524)+1))</f>
        <v/>
      </c>
      <c r="M525" s="14">
        <f>IF(ROW()-ROW(M$4)&lt;=1000,ROW()-ROW(M$4),"")</f>
        <v>521</v>
      </c>
    </row>
    <row r="526" spans="4:41" ht="12" customHeight="1" x14ac:dyDescent="0.25">
      <c r="D526" s="15" t="str">
        <f>IF(IF(ISNUMBER(B526),"",MAX(D$4:D525)+1)&lt;=D$3,IF(ISNUMBER(B526),"",MAX(D$4:D525)+1),"")</f>
        <v/>
      </c>
      <c r="H526" s="15"/>
      <c r="I526" s="15" t="str">
        <f>IF(O526="","",IF(ISNUMBER(MATCH(O526,$G$5:$G$1000,0)),"",IF(D526=1,B$4,0)+MAX(I$4:I525)+1))</f>
        <v/>
      </c>
      <c r="M526" s="14">
        <f>IF(ROW()-ROW(M$4)&lt;=1000,ROW()-ROW(M$4),"")</f>
        <v>522</v>
      </c>
    </row>
    <row r="527" spans="4:41" ht="12" customHeight="1" x14ac:dyDescent="0.25">
      <c r="D527" s="15" t="str">
        <f>IF(IF(ISNUMBER(B527),"",MAX(D$4:D526)+1)&lt;=D$3,IF(ISNUMBER(B527),"",MAX(D$4:D526)+1),"")</f>
        <v/>
      </c>
      <c r="H527" s="15"/>
      <c r="I527" s="15" t="str">
        <f>IF(O527="","",IF(ISNUMBER(MATCH(O527,$G$5:$G$1000,0)),"",IF(D527=1,B$4,0)+MAX(I$4:I526)+1))</f>
        <v/>
      </c>
      <c r="M527" s="14">
        <f>IF(ROW()-ROW(M$4)&lt;=1000,ROW()-ROW(M$4),"")</f>
        <v>523</v>
      </c>
    </row>
    <row r="528" spans="4:41" ht="12" customHeight="1" x14ac:dyDescent="0.25">
      <c r="D528" s="15" t="str">
        <f>IF(IF(ISNUMBER(B528),"",MAX(D$4:D527)+1)&lt;=D$3,IF(ISNUMBER(B528),"",MAX(D$4:D527)+1),"")</f>
        <v/>
      </c>
      <c r="H528" s="15"/>
      <c r="I528" s="15" t="str">
        <f>IF(O528="","",IF(ISNUMBER(MATCH(O528,$G$5:$G$1000,0)),"",IF(D528=1,B$4,0)+MAX(I$4:I527)+1))</f>
        <v/>
      </c>
      <c r="M528" s="14">
        <f>IF(ROW()-ROW(M$4)&lt;=1000,ROW()-ROW(M$4),"")</f>
        <v>524</v>
      </c>
    </row>
    <row r="529" spans="4:13" ht="12" customHeight="1" x14ac:dyDescent="0.25">
      <c r="D529" s="15" t="str">
        <f>IF(IF(ISNUMBER(B529),"",MAX(D$4:D528)+1)&lt;=D$3,IF(ISNUMBER(B529),"",MAX(D$4:D528)+1),"")</f>
        <v/>
      </c>
      <c r="H529" s="15"/>
      <c r="I529" s="15" t="str">
        <f>IF(O529="","",IF(ISNUMBER(MATCH(O529,$G$5:$G$1000,0)),"",IF(D529=1,B$4,0)+MAX(I$4:I528)+1))</f>
        <v/>
      </c>
      <c r="M529" s="14">
        <f>IF(ROW()-ROW(M$4)&lt;=1000,ROW()-ROW(M$4),"")</f>
        <v>525</v>
      </c>
    </row>
    <row r="530" spans="4:13" ht="12" customHeight="1" x14ac:dyDescent="0.25">
      <c r="D530" s="15" t="str">
        <f>IF(IF(ISNUMBER(B530),"",MAX(D$4:D529)+1)&lt;=D$3,IF(ISNUMBER(B530),"",MAX(D$4:D529)+1),"")</f>
        <v/>
      </c>
      <c r="H530" s="15"/>
      <c r="I530" s="15" t="str">
        <f>IF(O530="","",IF(ISNUMBER(MATCH(O530,$G$5:$G$1000,0)),"",IF(D530=1,B$4,0)+MAX(I$4:I529)+1))</f>
        <v/>
      </c>
      <c r="M530" s="14">
        <f>IF(ROW()-ROW(M$4)&lt;=1000,ROW()-ROW(M$4),"")</f>
        <v>526</v>
      </c>
    </row>
    <row r="531" spans="4:13" ht="12" customHeight="1" x14ac:dyDescent="0.25">
      <c r="D531" s="15" t="str">
        <f>IF(IF(ISNUMBER(B531),"",MAX(D$4:D530)+1)&lt;=D$3,IF(ISNUMBER(B531),"",MAX(D$4:D530)+1),"")</f>
        <v/>
      </c>
      <c r="H531" s="15"/>
      <c r="I531" s="15" t="str">
        <f>IF(O531="","",IF(ISNUMBER(MATCH(O531,$G$5:$G$1000,0)),"",IF(D531=1,B$4,0)+MAX(I$4:I530)+1))</f>
        <v/>
      </c>
      <c r="M531" s="14">
        <f>IF(ROW()-ROW(M$4)&lt;=1000,ROW()-ROW(M$4),"")</f>
        <v>527</v>
      </c>
    </row>
    <row r="532" spans="4:13" ht="12" customHeight="1" x14ac:dyDescent="0.25">
      <c r="D532" s="15" t="str">
        <f>IF(IF(ISNUMBER(B532),"",MAX(D$4:D531)+1)&lt;=D$3,IF(ISNUMBER(B532),"",MAX(D$4:D531)+1),"")</f>
        <v/>
      </c>
      <c r="H532" s="15"/>
      <c r="I532" s="15" t="str">
        <f>IF(O532="","",IF(ISNUMBER(MATCH(O532,$G$5:$G$1000,0)),"",IF(D532=1,B$4,0)+MAX(I$4:I531)+1))</f>
        <v/>
      </c>
      <c r="M532" s="14">
        <f>IF(ROW()-ROW(M$4)&lt;=1000,ROW()-ROW(M$4),"")</f>
        <v>528</v>
      </c>
    </row>
    <row r="533" spans="4:13" ht="12" customHeight="1" x14ac:dyDescent="0.25">
      <c r="D533" s="15" t="str">
        <f>IF(IF(ISNUMBER(B533),"",MAX(D$4:D532)+1)&lt;=D$3,IF(ISNUMBER(B533),"",MAX(D$4:D532)+1),"")</f>
        <v/>
      </c>
      <c r="H533" s="15"/>
      <c r="I533" s="15" t="str">
        <f>IF(O533="","",IF(ISNUMBER(MATCH(O533,$G$5:$G$1000,0)),"",IF(D533=1,B$4,0)+MAX(I$4:I532)+1))</f>
        <v/>
      </c>
      <c r="M533" s="14">
        <f>IF(ROW()-ROW(M$4)&lt;=1000,ROW()-ROW(M$4),"")</f>
        <v>529</v>
      </c>
    </row>
    <row r="534" spans="4:13" ht="12" customHeight="1" x14ac:dyDescent="0.25">
      <c r="D534" s="15" t="str">
        <f>IF(IF(ISNUMBER(B534),"",MAX(D$4:D533)+1)&lt;=D$3,IF(ISNUMBER(B534),"",MAX(D$4:D533)+1),"")</f>
        <v/>
      </c>
      <c r="H534" s="15"/>
      <c r="I534" s="15" t="str">
        <f>IF(O534="","",IF(ISNUMBER(MATCH(O534,$G$5:$G$1000,0)),"",IF(D534=1,B$4,0)+MAX(I$4:I533)+1))</f>
        <v/>
      </c>
      <c r="M534" s="14">
        <f>IF(ROW()-ROW(M$4)&lt;=1000,ROW()-ROW(M$4),"")</f>
        <v>530</v>
      </c>
    </row>
    <row r="535" spans="4:13" ht="12" customHeight="1" x14ac:dyDescent="0.25">
      <c r="D535" s="15" t="str">
        <f>IF(IF(ISNUMBER(B535),"",MAX(D$4:D534)+1)&lt;=D$3,IF(ISNUMBER(B535),"",MAX(D$4:D534)+1),"")</f>
        <v/>
      </c>
      <c r="H535" s="15"/>
      <c r="I535" s="15" t="str">
        <f>IF(O535="","",IF(ISNUMBER(MATCH(O535,$G$5:$G$1000,0)),"",IF(D535=1,B$4,0)+MAX(I$4:I534)+1))</f>
        <v/>
      </c>
      <c r="M535" s="14">
        <f>IF(ROW()-ROW(M$4)&lt;=1000,ROW()-ROW(M$4),"")</f>
        <v>531</v>
      </c>
    </row>
    <row r="536" spans="4:13" ht="12" customHeight="1" x14ac:dyDescent="0.25">
      <c r="D536" s="15" t="str">
        <f>IF(IF(ISNUMBER(B536),"",MAX(D$4:D535)+1)&lt;=D$3,IF(ISNUMBER(B536),"",MAX(D$4:D535)+1),"")</f>
        <v/>
      </c>
      <c r="H536" s="15"/>
      <c r="I536" s="15" t="str">
        <f>IF(O536="","",IF(ISNUMBER(MATCH(O536,$G$5:$G$1000,0)),"",IF(D536=1,B$4,0)+MAX(I$4:I535)+1))</f>
        <v/>
      </c>
      <c r="M536" s="14">
        <f>IF(ROW()-ROW(M$4)&lt;=1000,ROW()-ROW(M$4),"")</f>
        <v>532</v>
      </c>
    </row>
    <row r="537" spans="4:13" ht="12" customHeight="1" x14ac:dyDescent="0.25">
      <c r="D537" s="15" t="str">
        <f>IF(IF(ISNUMBER(B537),"",MAX(D$4:D536)+1)&lt;=D$3,IF(ISNUMBER(B537),"",MAX(D$4:D536)+1),"")</f>
        <v/>
      </c>
      <c r="H537" s="15"/>
      <c r="I537" s="15" t="str">
        <f>IF(O537="","",IF(ISNUMBER(MATCH(O537,$G$5:$G$1000,0)),"",IF(D537=1,B$4,0)+MAX(I$4:I536)+1))</f>
        <v/>
      </c>
      <c r="M537" s="14">
        <f>IF(ROW()-ROW(M$4)&lt;=1000,ROW()-ROW(M$4),"")</f>
        <v>533</v>
      </c>
    </row>
    <row r="538" spans="4:13" ht="12" customHeight="1" x14ac:dyDescent="0.25">
      <c r="D538" s="15" t="str">
        <f>IF(IF(ISNUMBER(B538),"",MAX(D$4:D537)+1)&lt;=D$3,IF(ISNUMBER(B538),"",MAX(D$4:D537)+1),"")</f>
        <v/>
      </c>
      <c r="H538" s="15"/>
      <c r="I538" s="15" t="str">
        <f>IF(O538="","",IF(ISNUMBER(MATCH(O538,$G$5:$G$1000,0)),"",IF(D538=1,B$4,0)+MAX(I$4:I537)+1))</f>
        <v/>
      </c>
      <c r="M538" s="14">
        <f>IF(ROW()-ROW(M$4)&lt;=1000,ROW()-ROW(M$4),"")</f>
        <v>534</v>
      </c>
    </row>
    <row r="539" spans="4:13" ht="12" customHeight="1" x14ac:dyDescent="0.25">
      <c r="D539" s="15" t="str">
        <f>IF(IF(ISNUMBER(B539),"",MAX(D$4:D538)+1)&lt;=D$3,IF(ISNUMBER(B539),"",MAX(D$4:D538)+1),"")</f>
        <v/>
      </c>
      <c r="H539" s="15"/>
      <c r="I539" s="15" t="str">
        <f>IF(O539="","",IF(ISNUMBER(MATCH(O539,$G$5:$G$1000,0)),"",IF(D539=1,B$4,0)+MAX(I$4:I538)+1))</f>
        <v/>
      </c>
      <c r="M539" s="14">
        <f>IF(ROW()-ROW(M$4)&lt;=1000,ROW()-ROW(M$4),"")</f>
        <v>535</v>
      </c>
    </row>
    <row r="540" spans="4:13" ht="12" customHeight="1" x14ac:dyDescent="0.25">
      <c r="D540" s="15" t="str">
        <f>IF(IF(ISNUMBER(B540),"",MAX(D$4:D539)+1)&lt;=D$3,IF(ISNUMBER(B540),"",MAX(D$4:D539)+1),"")</f>
        <v/>
      </c>
      <c r="H540" s="15"/>
      <c r="I540" s="15" t="str">
        <f>IF(O540="","",IF(ISNUMBER(MATCH(O540,$G$5:$G$1000,0)),"",IF(D540=1,B$4,0)+MAX(I$4:I539)+1))</f>
        <v/>
      </c>
      <c r="M540" s="14">
        <f>IF(ROW()-ROW(M$4)&lt;=1000,ROW()-ROW(M$4),"")</f>
        <v>536</v>
      </c>
    </row>
    <row r="541" spans="4:13" ht="12" customHeight="1" x14ac:dyDescent="0.25">
      <c r="D541" s="15" t="str">
        <f>IF(IF(ISNUMBER(B541),"",MAX(D$4:D540)+1)&lt;=D$3,IF(ISNUMBER(B541),"",MAX(D$4:D540)+1),"")</f>
        <v/>
      </c>
      <c r="H541" s="15"/>
      <c r="I541" s="15" t="str">
        <f>IF(O541="","",IF(ISNUMBER(MATCH(O541,$G$5:$G$1000,0)),"",IF(D541=1,B$4,0)+MAX(I$4:I540)+1))</f>
        <v/>
      </c>
      <c r="M541" s="14">
        <f>IF(ROW()-ROW(M$4)&lt;=1000,ROW()-ROW(M$4),"")</f>
        <v>537</v>
      </c>
    </row>
    <row r="542" spans="4:13" ht="12" customHeight="1" x14ac:dyDescent="0.25">
      <c r="D542" s="15" t="str">
        <f>IF(IF(ISNUMBER(B542),"",MAX(D$4:D541)+1)&lt;=D$3,IF(ISNUMBER(B542),"",MAX(D$4:D541)+1),"")</f>
        <v/>
      </c>
      <c r="H542" s="15"/>
      <c r="I542" s="15" t="str">
        <f>IF(O542="","",IF(ISNUMBER(MATCH(O542,$G$5:$G$1000,0)),"",IF(D542=1,B$4,0)+MAX(I$4:I541)+1))</f>
        <v/>
      </c>
      <c r="M542" s="14">
        <f>IF(ROW()-ROW(M$4)&lt;=1000,ROW()-ROW(M$4),"")</f>
        <v>538</v>
      </c>
    </row>
    <row r="543" spans="4:13" ht="12" customHeight="1" x14ac:dyDescent="0.25">
      <c r="D543" s="15" t="str">
        <f>IF(IF(ISNUMBER(B543),"",MAX(D$4:D542)+1)&lt;=D$3,IF(ISNUMBER(B543),"",MAX(D$4:D542)+1),"")</f>
        <v/>
      </c>
      <c r="H543" s="15"/>
      <c r="I543" s="15" t="str">
        <f>IF(O543="","",IF(ISNUMBER(MATCH(O543,$G$5:$G$1000,0)),"",IF(D543=1,B$4,0)+MAX(I$4:I542)+1))</f>
        <v/>
      </c>
      <c r="M543" s="14">
        <f>IF(ROW()-ROW(M$4)&lt;=1000,ROW()-ROW(M$4),"")</f>
        <v>539</v>
      </c>
    </row>
    <row r="544" spans="4:13" ht="12" customHeight="1" x14ac:dyDescent="0.25">
      <c r="D544" s="15" t="str">
        <f>IF(IF(ISNUMBER(B544),"",MAX(D$4:D543)+1)&lt;=D$3,IF(ISNUMBER(B544),"",MAX(D$4:D543)+1),"")</f>
        <v/>
      </c>
      <c r="H544" s="15"/>
      <c r="I544" s="15" t="str">
        <f>IF(O544="","",IF(ISNUMBER(MATCH(O544,$G$5:$G$1000,0)),"",IF(D544=1,B$4,0)+MAX(I$4:I543)+1))</f>
        <v/>
      </c>
      <c r="M544" s="14">
        <f>IF(ROW()-ROW(M$4)&lt;=1000,ROW()-ROW(M$4),"")</f>
        <v>540</v>
      </c>
    </row>
    <row r="545" spans="4:13" ht="12" customHeight="1" x14ac:dyDescent="0.25">
      <c r="D545" s="15" t="str">
        <f>IF(IF(ISNUMBER(B545),"",MAX(D$4:D544)+1)&lt;=D$3,IF(ISNUMBER(B545),"",MAX(D$4:D544)+1),"")</f>
        <v/>
      </c>
      <c r="H545" s="15"/>
      <c r="I545" s="15" t="str">
        <f>IF(O545="","",IF(ISNUMBER(MATCH(O545,$G$5:$G$1000,0)),"",IF(D545=1,B$4,0)+MAX(I$4:I544)+1))</f>
        <v/>
      </c>
      <c r="M545" s="14">
        <f>IF(ROW()-ROW(M$4)&lt;=1000,ROW()-ROW(M$4),"")</f>
        <v>541</v>
      </c>
    </row>
    <row r="546" spans="4:13" ht="12" customHeight="1" x14ac:dyDescent="0.25">
      <c r="D546" s="15" t="str">
        <f>IF(IF(ISNUMBER(B546),"",MAX(D$4:D545)+1)&lt;=D$3,IF(ISNUMBER(B546),"",MAX(D$4:D545)+1),"")</f>
        <v/>
      </c>
      <c r="H546" s="15"/>
      <c r="I546" s="15" t="str">
        <f>IF(O546="","",IF(ISNUMBER(MATCH(O546,$G$5:$G$1000,0)),"",IF(D546=1,B$4,0)+MAX(I$4:I545)+1))</f>
        <v/>
      </c>
      <c r="M546" s="14">
        <f>IF(ROW()-ROW(M$4)&lt;=1000,ROW()-ROW(M$4),"")</f>
        <v>542</v>
      </c>
    </row>
    <row r="547" spans="4:13" ht="12" customHeight="1" x14ac:dyDescent="0.25">
      <c r="D547" s="15" t="str">
        <f>IF(IF(ISNUMBER(B547),"",MAX(D$4:D546)+1)&lt;=D$3,IF(ISNUMBER(B547),"",MAX(D$4:D546)+1),"")</f>
        <v/>
      </c>
      <c r="H547" s="15"/>
      <c r="I547" s="15" t="str">
        <f>IF(O547="","",IF(ISNUMBER(MATCH(O547,$G$5:$G$1000,0)),"",IF(D547=1,B$4,0)+MAX(I$4:I546)+1))</f>
        <v/>
      </c>
      <c r="M547" s="14">
        <f>IF(ROW()-ROW(M$4)&lt;=1000,ROW()-ROW(M$4),"")</f>
        <v>543</v>
      </c>
    </row>
    <row r="548" spans="4:13" ht="12" customHeight="1" x14ac:dyDescent="0.25">
      <c r="D548" s="15" t="str">
        <f>IF(IF(ISNUMBER(B548),"",MAX(D$4:D547)+1)&lt;=D$3,IF(ISNUMBER(B548),"",MAX(D$4:D547)+1),"")</f>
        <v/>
      </c>
      <c r="H548" s="15"/>
      <c r="I548" s="15" t="str">
        <f>IF(O548="","",IF(ISNUMBER(MATCH(O548,$G$5:$G$1000,0)),"",IF(D548=1,B$4,0)+MAX(I$4:I547)+1))</f>
        <v/>
      </c>
      <c r="M548" s="14">
        <f>IF(ROW()-ROW(M$4)&lt;=1000,ROW()-ROW(M$4),"")</f>
        <v>544</v>
      </c>
    </row>
    <row r="549" spans="4:13" ht="12" customHeight="1" x14ac:dyDescent="0.25">
      <c r="D549" s="15" t="str">
        <f>IF(IF(ISNUMBER(B549),"",MAX(D$4:D548)+1)&lt;=D$3,IF(ISNUMBER(B549),"",MAX(D$4:D548)+1),"")</f>
        <v/>
      </c>
      <c r="H549" s="15"/>
      <c r="I549" s="15" t="str">
        <f>IF(O549="","",IF(ISNUMBER(MATCH(O549,$G$5:$G$1000,0)),"",IF(D549=1,B$4,0)+MAX(I$4:I548)+1))</f>
        <v/>
      </c>
      <c r="M549" s="14">
        <f>IF(ROW()-ROW(M$4)&lt;=1000,ROW()-ROW(M$4),"")</f>
        <v>545</v>
      </c>
    </row>
    <row r="550" spans="4:13" ht="12" customHeight="1" x14ac:dyDescent="0.25">
      <c r="D550" s="15" t="str">
        <f>IF(IF(ISNUMBER(B550),"",MAX(D$4:D549)+1)&lt;=D$3,IF(ISNUMBER(B550),"",MAX(D$4:D549)+1),"")</f>
        <v/>
      </c>
      <c r="H550" s="15"/>
      <c r="I550" s="15" t="str">
        <f>IF(O550="","",IF(ISNUMBER(MATCH(O550,$G$5:$G$1000,0)),"",IF(D550=1,B$4,0)+MAX(I$4:I549)+1))</f>
        <v/>
      </c>
      <c r="M550" s="14">
        <f>IF(ROW()-ROW(M$4)&lt;=1000,ROW()-ROW(M$4),"")</f>
        <v>546</v>
      </c>
    </row>
    <row r="551" spans="4:13" ht="12" customHeight="1" x14ac:dyDescent="0.25">
      <c r="D551" s="15" t="str">
        <f>IF(IF(ISNUMBER(B551),"",MAX(D$4:D550)+1)&lt;=D$3,IF(ISNUMBER(B551),"",MAX(D$4:D550)+1),"")</f>
        <v/>
      </c>
      <c r="H551" s="15"/>
      <c r="I551" s="15" t="str">
        <f>IF(O551="","",IF(ISNUMBER(MATCH(O551,$G$5:$G$1000,0)),"",IF(D551=1,B$4,0)+MAX(I$4:I550)+1))</f>
        <v/>
      </c>
      <c r="M551" s="14">
        <f>IF(ROW()-ROW(M$4)&lt;=1000,ROW()-ROW(M$4),"")</f>
        <v>547</v>
      </c>
    </row>
    <row r="552" spans="4:13" ht="12" customHeight="1" x14ac:dyDescent="0.25">
      <c r="D552" s="15" t="str">
        <f>IF(IF(ISNUMBER(B552),"",MAX(D$4:D551)+1)&lt;=D$3,IF(ISNUMBER(B552),"",MAX(D$4:D551)+1),"")</f>
        <v/>
      </c>
      <c r="H552" s="15"/>
      <c r="I552" s="15" t="str">
        <f>IF(O552="","",IF(ISNUMBER(MATCH(O552,$G$5:$G$1000,0)),"",IF(D552=1,B$4,0)+MAX(I$4:I551)+1))</f>
        <v/>
      </c>
      <c r="M552" s="14">
        <f>IF(ROW()-ROW(M$4)&lt;=1000,ROW()-ROW(M$4),"")</f>
        <v>548</v>
      </c>
    </row>
    <row r="553" spans="4:13" ht="12" customHeight="1" x14ac:dyDescent="0.25">
      <c r="D553" s="15" t="str">
        <f>IF(IF(ISNUMBER(B553),"",MAX(D$4:D552)+1)&lt;=D$3,IF(ISNUMBER(B553),"",MAX(D$4:D552)+1),"")</f>
        <v/>
      </c>
      <c r="H553" s="15"/>
      <c r="I553" s="15" t="str">
        <f>IF(O553="","",IF(ISNUMBER(MATCH(O553,$G$5:$G$1000,0)),"",IF(D553=1,B$4,0)+MAX(I$4:I552)+1))</f>
        <v/>
      </c>
      <c r="M553" s="14">
        <f>IF(ROW()-ROW(M$4)&lt;=1000,ROW()-ROW(M$4),"")</f>
        <v>549</v>
      </c>
    </row>
    <row r="554" spans="4:13" ht="12" customHeight="1" x14ac:dyDescent="0.25">
      <c r="D554" s="15" t="str">
        <f>IF(IF(ISNUMBER(B554),"",MAX(D$4:D553)+1)&lt;=D$3,IF(ISNUMBER(B554),"",MAX(D$4:D553)+1),"")</f>
        <v/>
      </c>
      <c r="H554" s="15"/>
      <c r="I554" s="15" t="str">
        <f>IF(O554="","",IF(ISNUMBER(MATCH(O554,$G$5:$G$1000,0)),"",IF(D554=1,B$4,0)+MAX(I$4:I553)+1))</f>
        <v/>
      </c>
      <c r="M554" s="14">
        <f>IF(ROW()-ROW(M$4)&lt;=1000,ROW()-ROW(M$4),"")</f>
        <v>550</v>
      </c>
    </row>
    <row r="555" spans="4:13" ht="12" customHeight="1" x14ac:dyDescent="0.25">
      <c r="D555" s="15" t="str">
        <f>IF(IF(ISNUMBER(B555),"",MAX(D$4:D554)+1)&lt;=D$3,IF(ISNUMBER(B555),"",MAX(D$4:D554)+1),"")</f>
        <v/>
      </c>
      <c r="H555" s="15"/>
      <c r="I555" s="15" t="str">
        <f>IF(O555="","",IF(ISNUMBER(MATCH(O555,$G$5:$G$1000,0)),"",IF(D555=1,B$4,0)+MAX(I$4:I554)+1))</f>
        <v/>
      </c>
      <c r="M555" s="14">
        <f>IF(ROW()-ROW(M$4)&lt;=1000,ROW()-ROW(M$4),"")</f>
        <v>551</v>
      </c>
    </row>
    <row r="556" spans="4:13" ht="12" customHeight="1" x14ac:dyDescent="0.25">
      <c r="D556" s="15" t="str">
        <f>IF(IF(ISNUMBER(B556),"",MAX(D$4:D555)+1)&lt;=D$3,IF(ISNUMBER(B556),"",MAX(D$4:D555)+1),"")</f>
        <v/>
      </c>
      <c r="H556" s="15"/>
      <c r="I556" s="15" t="str">
        <f>IF(O556="","",IF(ISNUMBER(MATCH(O556,$G$5:$G$1000,0)),"",IF(D556=1,B$4,0)+MAX(I$4:I555)+1))</f>
        <v/>
      </c>
      <c r="M556" s="14">
        <f>IF(ROW()-ROW(M$4)&lt;=1000,ROW()-ROW(M$4),"")</f>
        <v>552</v>
      </c>
    </row>
    <row r="557" spans="4:13" ht="12" customHeight="1" x14ac:dyDescent="0.25">
      <c r="D557" s="15" t="str">
        <f>IF(IF(ISNUMBER(B557),"",MAX(D$4:D556)+1)&lt;=D$3,IF(ISNUMBER(B557),"",MAX(D$4:D556)+1),"")</f>
        <v/>
      </c>
      <c r="H557" s="15"/>
      <c r="I557" s="15" t="str">
        <f>IF(O557="","",IF(ISNUMBER(MATCH(O557,$G$5:$G$1000,0)),"",IF(D557=1,B$4,0)+MAX(I$4:I556)+1))</f>
        <v/>
      </c>
      <c r="M557" s="14">
        <f>IF(ROW()-ROW(M$4)&lt;=1000,ROW()-ROW(M$4),"")</f>
        <v>553</v>
      </c>
    </row>
    <row r="558" spans="4:13" ht="12" customHeight="1" x14ac:dyDescent="0.25">
      <c r="D558" s="15" t="str">
        <f>IF(IF(ISNUMBER(B558),"",MAX(D$4:D557)+1)&lt;=D$3,IF(ISNUMBER(B558),"",MAX(D$4:D557)+1),"")</f>
        <v/>
      </c>
      <c r="H558" s="15"/>
      <c r="I558" s="15" t="str">
        <f>IF(O558="","",IF(ISNUMBER(MATCH(O558,$G$5:$G$1000,0)),"",IF(D558=1,B$4,0)+MAX(I$4:I557)+1))</f>
        <v/>
      </c>
      <c r="M558" s="14">
        <f>IF(ROW()-ROW(M$4)&lt;=1000,ROW()-ROW(M$4),"")</f>
        <v>554</v>
      </c>
    </row>
    <row r="559" spans="4:13" ht="12" customHeight="1" x14ac:dyDescent="0.25">
      <c r="D559" s="15" t="str">
        <f>IF(IF(ISNUMBER(B559),"",MAX(D$4:D558)+1)&lt;=D$3,IF(ISNUMBER(B559),"",MAX(D$4:D558)+1),"")</f>
        <v/>
      </c>
      <c r="H559" s="15"/>
      <c r="I559" s="15" t="str">
        <f>IF(O559="","",IF(ISNUMBER(MATCH(O559,$G$5:$G$1000,0)),"",IF(D559=1,B$4,0)+MAX(I$4:I558)+1))</f>
        <v/>
      </c>
      <c r="M559" s="14">
        <f>IF(ROW()-ROW(M$4)&lt;=1000,ROW()-ROW(M$4),"")</f>
        <v>555</v>
      </c>
    </row>
    <row r="560" spans="4:13" ht="12" customHeight="1" x14ac:dyDescent="0.25">
      <c r="D560" s="15" t="str">
        <f>IF(IF(ISNUMBER(B560),"",MAX(D$4:D559)+1)&lt;=D$3,IF(ISNUMBER(B560),"",MAX(D$4:D559)+1),"")</f>
        <v/>
      </c>
      <c r="H560" s="15"/>
      <c r="I560" s="15" t="str">
        <f>IF(O560="","",IF(ISNUMBER(MATCH(O560,$G$5:$G$1000,0)),"",IF(D560=1,B$4,0)+MAX(I$4:I559)+1))</f>
        <v/>
      </c>
      <c r="M560" s="14">
        <f>IF(ROW()-ROW(M$4)&lt;=1000,ROW()-ROW(M$4),"")</f>
        <v>556</v>
      </c>
    </row>
    <row r="561" spans="4:13" ht="12" customHeight="1" x14ac:dyDescent="0.25">
      <c r="D561" s="15" t="str">
        <f>IF(IF(ISNUMBER(B561),"",MAX(D$4:D560)+1)&lt;=D$3,IF(ISNUMBER(B561),"",MAX(D$4:D560)+1),"")</f>
        <v/>
      </c>
      <c r="H561" s="15"/>
      <c r="I561" s="15" t="str">
        <f>IF(O561="","",IF(ISNUMBER(MATCH(O561,$G$5:$G$1000,0)),"",IF(D561=1,B$4,0)+MAX(I$4:I560)+1))</f>
        <v/>
      </c>
      <c r="M561" s="14">
        <f>IF(ROW()-ROW(M$4)&lt;=1000,ROW()-ROW(M$4),"")</f>
        <v>557</v>
      </c>
    </row>
    <row r="562" spans="4:13" ht="12" customHeight="1" x14ac:dyDescent="0.25">
      <c r="D562" s="15" t="str">
        <f>IF(IF(ISNUMBER(B562),"",MAX(D$4:D561)+1)&lt;=D$3,IF(ISNUMBER(B562),"",MAX(D$4:D561)+1),"")</f>
        <v/>
      </c>
      <c r="H562" s="15"/>
      <c r="I562" s="15" t="str">
        <f>IF(O562="","",IF(ISNUMBER(MATCH(O562,$G$5:$G$1000,0)),"",IF(D562=1,B$4,0)+MAX(I$4:I561)+1))</f>
        <v/>
      </c>
      <c r="M562" s="14">
        <f>IF(ROW()-ROW(M$4)&lt;=1000,ROW()-ROW(M$4),"")</f>
        <v>558</v>
      </c>
    </row>
    <row r="563" spans="4:13" ht="12" customHeight="1" x14ac:dyDescent="0.25">
      <c r="D563" s="15" t="str">
        <f>IF(IF(ISNUMBER(B563),"",MAX(D$4:D562)+1)&lt;=D$3,IF(ISNUMBER(B563),"",MAX(D$4:D562)+1),"")</f>
        <v/>
      </c>
      <c r="H563" s="15"/>
      <c r="I563" s="15" t="str">
        <f>IF(O563="","",IF(ISNUMBER(MATCH(O563,$G$5:$G$1000,0)),"",IF(D563=1,B$4,0)+MAX(I$4:I562)+1))</f>
        <v/>
      </c>
      <c r="M563" s="14">
        <f>IF(ROW()-ROW(M$4)&lt;=1000,ROW()-ROW(M$4),"")</f>
        <v>559</v>
      </c>
    </row>
    <row r="564" spans="4:13" ht="12" customHeight="1" x14ac:dyDescent="0.25">
      <c r="D564" s="15" t="str">
        <f>IF(IF(ISNUMBER(B564),"",MAX(D$4:D563)+1)&lt;=D$3,IF(ISNUMBER(B564),"",MAX(D$4:D563)+1),"")</f>
        <v/>
      </c>
      <c r="H564" s="15"/>
      <c r="I564" s="15" t="str">
        <f>IF(O564="","",IF(ISNUMBER(MATCH(O564,$G$5:$G$1000,0)),"",IF(D564=1,B$4,0)+MAX(I$4:I563)+1))</f>
        <v/>
      </c>
      <c r="M564" s="14">
        <f>IF(ROW()-ROW(M$4)&lt;=1000,ROW()-ROW(M$4),"")</f>
        <v>560</v>
      </c>
    </row>
    <row r="565" spans="4:13" ht="12" customHeight="1" x14ac:dyDescent="0.25">
      <c r="D565" s="15" t="str">
        <f>IF(IF(ISNUMBER(B565),"",MAX(D$4:D564)+1)&lt;=D$3,IF(ISNUMBER(B565),"",MAX(D$4:D564)+1),"")</f>
        <v/>
      </c>
      <c r="H565" s="15"/>
      <c r="I565" s="15" t="str">
        <f>IF(O565="","",IF(ISNUMBER(MATCH(O565,$G$5:$G$1000,0)),"",IF(D565=1,B$4,0)+MAX(I$4:I564)+1))</f>
        <v/>
      </c>
      <c r="M565" s="14">
        <f>IF(ROW()-ROW(M$4)&lt;=1000,ROW()-ROW(M$4),"")</f>
        <v>561</v>
      </c>
    </row>
    <row r="566" spans="4:13" ht="12" customHeight="1" x14ac:dyDescent="0.25">
      <c r="D566" s="15" t="str">
        <f>IF(IF(ISNUMBER(B566),"",MAX(D$4:D565)+1)&lt;=D$3,IF(ISNUMBER(B566),"",MAX(D$4:D565)+1),"")</f>
        <v/>
      </c>
      <c r="H566" s="15"/>
      <c r="I566" s="15" t="str">
        <f>IF(O566="","",IF(ISNUMBER(MATCH(O566,$G$5:$G$1000,0)),"",IF(D566=1,B$4,0)+MAX(I$4:I565)+1))</f>
        <v/>
      </c>
      <c r="M566" s="14">
        <f>IF(ROW()-ROW(M$4)&lt;=1000,ROW()-ROW(M$4),"")</f>
        <v>562</v>
      </c>
    </row>
    <row r="567" spans="4:13" ht="12" customHeight="1" x14ac:dyDescent="0.25">
      <c r="D567" s="15" t="str">
        <f>IF(IF(ISNUMBER(B567),"",MAX(D$4:D566)+1)&lt;=D$3,IF(ISNUMBER(B567),"",MAX(D$4:D566)+1),"")</f>
        <v/>
      </c>
      <c r="H567" s="15"/>
      <c r="I567" s="15" t="str">
        <f>IF(O567="","",IF(ISNUMBER(MATCH(O567,$G$5:$G$1000,0)),"",IF(D567=1,B$4,0)+MAX(I$4:I566)+1))</f>
        <v/>
      </c>
      <c r="M567" s="14">
        <f>IF(ROW()-ROW(M$4)&lt;=1000,ROW()-ROW(M$4),"")</f>
        <v>563</v>
      </c>
    </row>
    <row r="568" spans="4:13" ht="12" customHeight="1" x14ac:dyDescent="0.25">
      <c r="D568" s="15" t="str">
        <f>IF(IF(ISNUMBER(B568),"",MAX(D$4:D567)+1)&lt;=D$3,IF(ISNUMBER(B568),"",MAX(D$4:D567)+1),"")</f>
        <v/>
      </c>
      <c r="H568" s="15"/>
      <c r="I568" s="15" t="str">
        <f>IF(O568="","",IF(ISNUMBER(MATCH(O568,$G$5:$G$1000,0)),"",IF(D568=1,B$4,0)+MAX(I$4:I567)+1))</f>
        <v/>
      </c>
      <c r="M568" s="14">
        <f>IF(ROW()-ROW(M$4)&lt;=1000,ROW()-ROW(M$4),"")</f>
        <v>564</v>
      </c>
    </row>
    <row r="569" spans="4:13" ht="12" customHeight="1" x14ac:dyDescent="0.25">
      <c r="D569" s="15" t="str">
        <f>IF(IF(ISNUMBER(B569),"",MAX(D$4:D568)+1)&lt;=D$3,IF(ISNUMBER(B569),"",MAX(D$4:D568)+1),"")</f>
        <v/>
      </c>
      <c r="H569" s="15"/>
      <c r="I569" s="15" t="str">
        <f>IF(O569="","",IF(ISNUMBER(MATCH(O569,$G$5:$G$1000,0)),"",IF(D569=1,B$4,0)+MAX(I$4:I568)+1))</f>
        <v/>
      </c>
      <c r="M569" s="14">
        <f>IF(ROW()-ROW(M$4)&lt;=1000,ROW()-ROW(M$4),"")</f>
        <v>565</v>
      </c>
    </row>
    <row r="570" spans="4:13" ht="12" customHeight="1" x14ac:dyDescent="0.25">
      <c r="D570" s="15" t="str">
        <f>IF(IF(ISNUMBER(B570),"",MAX(D$4:D569)+1)&lt;=D$3,IF(ISNUMBER(B570),"",MAX(D$4:D569)+1),"")</f>
        <v/>
      </c>
      <c r="H570" s="15"/>
      <c r="I570" s="15" t="str">
        <f>IF(O570="","",IF(ISNUMBER(MATCH(O570,$G$5:$G$1000,0)),"",IF(D570=1,B$4,0)+MAX(I$4:I569)+1))</f>
        <v/>
      </c>
      <c r="M570" s="14">
        <f>IF(ROW()-ROW(M$4)&lt;=1000,ROW()-ROW(M$4),"")</f>
        <v>566</v>
      </c>
    </row>
    <row r="571" spans="4:13" ht="12" customHeight="1" x14ac:dyDescent="0.25">
      <c r="D571" s="15" t="str">
        <f>IF(IF(ISNUMBER(B571),"",MAX(D$4:D570)+1)&lt;=D$3,IF(ISNUMBER(B571),"",MAX(D$4:D570)+1),"")</f>
        <v/>
      </c>
      <c r="H571" s="15"/>
      <c r="I571" s="15" t="str">
        <f>IF(O571="","",IF(ISNUMBER(MATCH(O571,$G$5:$G$1000,0)),"",IF(D571=1,B$4,0)+MAX(I$4:I570)+1))</f>
        <v/>
      </c>
      <c r="M571" s="14">
        <f>IF(ROW()-ROW(M$4)&lt;=1000,ROW()-ROW(M$4),"")</f>
        <v>567</v>
      </c>
    </row>
    <row r="572" spans="4:13" ht="12" customHeight="1" x14ac:dyDescent="0.25">
      <c r="D572" s="15" t="str">
        <f>IF(IF(ISNUMBER(B572),"",MAX(D$4:D571)+1)&lt;=D$3,IF(ISNUMBER(B572),"",MAX(D$4:D571)+1),"")</f>
        <v/>
      </c>
      <c r="H572" s="15"/>
      <c r="I572" s="15" t="str">
        <f>IF(O572="","",IF(ISNUMBER(MATCH(O572,$G$5:$G$1000,0)),"",IF(D572=1,B$4,0)+MAX(I$4:I571)+1))</f>
        <v/>
      </c>
      <c r="M572" s="14">
        <f>IF(ROW()-ROW(M$4)&lt;=1000,ROW()-ROW(M$4),"")</f>
        <v>568</v>
      </c>
    </row>
    <row r="573" spans="4:13" ht="12" customHeight="1" x14ac:dyDescent="0.25">
      <c r="D573" s="15" t="str">
        <f>IF(IF(ISNUMBER(B573),"",MAX(D$4:D572)+1)&lt;=D$3,IF(ISNUMBER(B573),"",MAX(D$4:D572)+1),"")</f>
        <v/>
      </c>
      <c r="H573" s="15"/>
      <c r="I573" s="15" t="str">
        <f>IF(O573="","",IF(ISNUMBER(MATCH(O573,$G$5:$G$1000,0)),"",IF(D573=1,B$4,0)+MAX(I$4:I572)+1))</f>
        <v/>
      </c>
      <c r="M573" s="14">
        <f>IF(ROW()-ROW(M$4)&lt;=1000,ROW()-ROW(M$4),"")</f>
        <v>569</v>
      </c>
    </row>
    <row r="574" spans="4:13" ht="12" customHeight="1" x14ac:dyDescent="0.25">
      <c r="D574" s="15" t="str">
        <f>IF(IF(ISNUMBER(B574),"",MAX(D$4:D573)+1)&lt;=D$3,IF(ISNUMBER(B574),"",MAX(D$4:D573)+1),"")</f>
        <v/>
      </c>
      <c r="H574" s="15"/>
      <c r="I574" s="15" t="str">
        <f>IF(O574="","",IF(ISNUMBER(MATCH(O574,$G$5:$G$1000,0)),"",IF(D574=1,B$4,0)+MAX(I$4:I573)+1))</f>
        <v/>
      </c>
      <c r="M574" s="14">
        <f>IF(ROW()-ROW(M$4)&lt;=1000,ROW()-ROW(M$4),"")</f>
        <v>570</v>
      </c>
    </row>
    <row r="575" spans="4:13" ht="12" customHeight="1" x14ac:dyDescent="0.25">
      <c r="D575" s="15" t="str">
        <f>IF(IF(ISNUMBER(B575),"",MAX(D$4:D574)+1)&lt;=D$3,IF(ISNUMBER(B575),"",MAX(D$4:D574)+1),"")</f>
        <v/>
      </c>
      <c r="H575" s="15"/>
      <c r="I575" s="15" t="str">
        <f>IF(O575="","",IF(ISNUMBER(MATCH(O575,$G$5:$G$1000,0)),"",IF(D575=1,B$4,0)+MAX(I$4:I574)+1))</f>
        <v/>
      </c>
      <c r="M575" s="14">
        <f>IF(ROW()-ROW(M$4)&lt;=1000,ROW()-ROW(M$4),"")</f>
        <v>571</v>
      </c>
    </row>
    <row r="576" spans="4:13" ht="12" customHeight="1" x14ac:dyDescent="0.25">
      <c r="D576" s="15" t="str">
        <f>IF(IF(ISNUMBER(B576),"",MAX(D$4:D575)+1)&lt;=D$3,IF(ISNUMBER(B576),"",MAX(D$4:D575)+1),"")</f>
        <v/>
      </c>
      <c r="H576" s="15"/>
      <c r="I576" s="15" t="str">
        <f>IF(O576="","",IF(ISNUMBER(MATCH(O576,$G$5:$G$1000,0)),"",IF(D576=1,B$4,0)+MAX(I$4:I575)+1))</f>
        <v/>
      </c>
      <c r="M576" s="14">
        <f>IF(ROW()-ROW(M$4)&lt;=1000,ROW()-ROW(M$4),"")</f>
        <v>572</v>
      </c>
    </row>
    <row r="577" spans="4:13" ht="12" customHeight="1" x14ac:dyDescent="0.25">
      <c r="D577" s="15" t="str">
        <f>IF(IF(ISNUMBER(B577),"",MAX(D$4:D576)+1)&lt;=D$3,IF(ISNUMBER(B577),"",MAX(D$4:D576)+1),"")</f>
        <v/>
      </c>
      <c r="H577" s="15"/>
      <c r="I577" s="15" t="str">
        <f>IF(O577="","",IF(ISNUMBER(MATCH(O577,$G$5:$G$1000,0)),"",IF(D577=1,B$4,0)+MAX(I$4:I576)+1))</f>
        <v/>
      </c>
      <c r="M577" s="14">
        <f>IF(ROW()-ROW(M$4)&lt;=1000,ROW()-ROW(M$4),"")</f>
        <v>573</v>
      </c>
    </row>
    <row r="578" spans="4:13" ht="12" customHeight="1" x14ac:dyDescent="0.25">
      <c r="D578" s="15" t="str">
        <f>IF(IF(ISNUMBER(B578),"",MAX(D$4:D577)+1)&lt;=D$3,IF(ISNUMBER(B578),"",MAX(D$4:D577)+1),"")</f>
        <v/>
      </c>
      <c r="H578" s="15"/>
      <c r="I578" s="15" t="str">
        <f>IF(O578="","",IF(ISNUMBER(MATCH(O578,$G$5:$G$1000,0)),"",IF(D578=1,B$4,0)+MAX(I$4:I577)+1))</f>
        <v/>
      </c>
      <c r="M578" s="14">
        <f>IF(ROW()-ROW(M$4)&lt;=1000,ROW()-ROW(M$4),"")</f>
        <v>574</v>
      </c>
    </row>
    <row r="579" spans="4:13" ht="12" customHeight="1" x14ac:dyDescent="0.25">
      <c r="D579" s="15" t="str">
        <f>IF(IF(ISNUMBER(B579),"",MAX(D$4:D578)+1)&lt;=D$3,IF(ISNUMBER(B579),"",MAX(D$4:D578)+1),"")</f>
        <v/>
      </c>
      <c r="H579" s="15"/>
      <c r="I579" s="15" t="str">
        <f>IF(O579="","",IF(ISNUMBER(MATCH(O579,$G$5:$G$1000,0)),"",IF(D579=1,B$4,0)+MAX(I$4:I578)+1))</f>
        <v/>
      </c>
      <c r="M579" s="14">
        <f>IF(ROW()-ROW(M$4)&lt;=1000,ROW()-ROW(M$4),"")</f>
        <v>575</v>
      </c>
    </row>
    <row r="580" spans="4:13" ht="12" customHeight="1" x14ac:dyDescent="0.25">
      <c r="D580" s="15" t="str">
        <f>IF(IF(ISNUMBER(B580),"",MAX(D$4:D579)+1)&lt;=D$3,IF(ISNUMBER(B580),"",MAX(D$4:D579)+1),"")</f>
        <v/>
      </c>
      <c r="H580" s="15"/>
      <c r="I580" s="15" t="str">
        <f>IF(O580="","",IF(ISNUMBER(MATCH(O580,$G$5:$G$1000,0)),"",IF(D580=1,B$4,0)+MAX(I$4:I579)+1))</f>
        <v/>
      </c>
      <c r="M580" s="14">
        <f>IF(ROW()-ROW(M$4)&lt;=1000,ROW()-ROW(M$4),"")</f>
        <v>576</v>
      </c>
    </row>
    <row r="581" spans="4:13" ht="12" customHeight="1" x14ac:dyDescent="0.25">
      <c r="D581" s="15" t="str">
        <f>IF(IF(ISNUMBER(B581),"",MAX(D$4:D580)+1)&lt;=D$3,IF(ISNUMBER(B581),"",MAX(D$4:D580)+1),"")</f>
        <v/>
      </c>
      <c r="H581" s="15"/>
      <c r="I581" s="15" t="str">
        <f>IF(O581="","",IF(ISNUMBER(MATCH(O581,$G$5:$G$1000,0)),"",IF(D581=1,B$4,0)+MAX(I$4:I580)+1))</f>
        <v/>
      </c>
      <c r="M581" s="14">
        <f>IF(ROW()-ROW(M$4)&lt;=1000,ROW()-ROW(M$4),"")</f>
        <v>577</v>
      </c>
    </row>
    <row r="582" spans="4:13" ht="12" customHeight="1" x14ac:dyDescent="0.25">
      <c r="D582" s="15" t="str">
        <f>IF(IF(ISNUMBER(B582),"",MAX(D$4:D581)+1)&lt;=D$3,IF(ISNUMBER(B582),"",MAX(D$4:D581)+1),"")</f>
        <v/>
      </c>
      <c r="H582" s="15"/>
      <c r="I582" s="15" t="str">
        <f>IF(O582="","",IF(ISNUMBER(MATCH(O582,$G$5:$G$1000,0)),"",IF(D582=1,B$4,0)+MAX(I$4:I581)+1))</f>
        <v/>
      </c>
      <c r="M582" s="14">
        <f>IF(ROW()-ROW(M$4)&lt;=1000,ROW()-ROW(M$4),"")</f>
        <v>578</v>
      </c>
    </row>
    <row r="583" spans="4:13" ht="12" customHeight="1" x14ac:dyDescent="0.25">
      <c r="D583" s="15" t="str">
        <f>IF(IF(ISNUMBER(B583),"",MAX(D$4:D582)+1)&lt;=D$3,IF(ISNUMBER(B583),"",MAX(D$4:D582)+1),"")</f>
        <v/>
      </c>
      <c r="H583" s="15"/>
      <c r="I583" s="15" t="str">
        <f>IF(O583="","",IF(ISNUMBER(MATCH(O583,$G$5:$G$1000,0)),"",IF(D583=1,B$4,0)+MAX(I$4:I582)+1))</f>
        <v/>
      </c>
      <c r="M583" s="14">
        <f>IF(ROW()-ROW(M$4)&lt;=1000,ROW()-ROW(M$4),"")</f>
        <v>579</v>
      </c>
    </row>
    <row r="584" spans="4:13" ht="12" customHeight="1" x14ac:dyDescent="0.25">
      <c r="D584" s="15" t="str">
        <f>IF(IF(ISNUMBER(B584),"",MAX(D$4:D583)+1)&lt;=D$3,IF(ISNUMBER(B584),"",MAX(D$4:D583)+1),"")</f>
        <v/>
      </c>
      <c r="H584" s="15"/>
      <c r="I584" s="15" t="str">
        <f>IF(O584="","",IF(ISNUMBER(MATCH(O584,$G$5:$G$1000,0)),"",IF(D584=1,B$4,0)+MAX(I$4:I583)+1))</f>
        <v/>
      </c>
      <c r="M584" s="14">
        <f>IF(ROW()-ROW(M$4)&lt;=1000,ROW()-ROW(M$4),"")</f>
        <v>580</v>
      </c>
    </row>
    <row r="585" spans="4:13" ht="12" customHeight="1" x14ac:dyDescent="0.25">
      <c r="D585" s="15" t="str">
        <f>IF(IF(ISNUMBER(B585),"",MAX(D$4:D584)+1)&lt;=D$3,IF(ISNUMBER(B585),"",MAX(D$4:D584)+1),"")</f>
        <v/>
      </c>
      <c r="H585" s="15"/>
      <c r="I585" s="15" t="str">
        <f>IF(O585="","",IF(ISNUMBER(MATCH(O585,$G$5:$G$1000,0)),"",IF(D585=1,B$4,0)+MAX(I$4:I584)+1))</f>
        <v/>
      </c>
      <c r="M585" s="14">
        <f>IF(ROW()-ROW(M$4)&lt;=1000,ROW()-ROW(M$4),"")</f>
        <v>581</v>
      </c>
    </row>
    <row r="586" spans="4:13" ht="12" customHeight="1" x14ac:dyDescent="0.25">
      <c r="D586" s="15" t="str">
        <f>IF(IF(ISNUMBER(B586),"",MAX(D$4:D585)+1)&lt;=D$3,IF(ISNUMBER(B586),"",MAX(D$4:D585)+1),"")</f>
        <v/>
      </c>
      <c r="H586" s="15"/>
      <c r="I586" s="15" t="str">
        <f>IF(O586="","",IF(ISNUMBER(MATCH(O586,$G$5:$G$1000,0)),"",IF(D586=1,B$4,0)+MAX(I$4:I585)+1))</f>
        <v/>
      </c>
      <c r="M586" s="14">
        <f>IF(ROW()-ROW(M$4)&lt;=1000,ROW()-ROW(M$4),"")</f>
        <v>582</v>
      </c>
    </row>
    <row r="587" spans="4:13" ht="12" customHeight="1" x14ac:dyDescent="0.25">
      <c r="D587" s="15" t="str">
        <f>IF(IF(ISNUMBER(B587),"",MAX(D$4:D586)+1)&lt;=D$3,IF(ISNUMBER(B587),"",MAX(D$4:D586)+1),"")</f>
        <v/>
      </c>
      <c r="H587" s="15"/>
      <c r="I587" s="15" t="str">
        <f>IF(O587="","",IF(ISNUMBER(MATCH(O587,$G$5:$G$1000,0)),"",IF(D587=1,B$4,0)+MAX(I$4:I586)+1))</f>
        <v/>
      </c>
      <c r="M587" s="14">
        <f>IF(ROW()-ROW(M$4)&lt;=1000,ROW()-ROW(M$4),"")</f>
        <v>583</v>
      </c>
    </row>
    <row r="588" spans="4:13" ht="12" customHeight="1" x14ac:dyDescent="0.25">
      <c r="D588" s="15" t="str">
        <f>IF(IF(ISNUMBER(B588),"",MAX(D$4:D587)+1)&lt;=D$3,IF(ISNUMBER(B588),"",MAX(D$4:D587)+1),"")</f>
        <v/>
      </c>
      <c r="H588" s="15"/>
      <c r="I588" s="15" t="str">
        <f>IF(O588="","",IF(ISNUMBER(MATCH(O588,$G$5:$G$1000,0)),"",IF(D588=1,B$4,0)+MAX(I$4:I587)+1))</f>
        <v/>
      </c>
      <c r="M588" s="14">
        <f>IF(ROW()-ROW(M$4)&lt;=1000,ROW()-ROW(M$4),"")</f>
        <v>584</v>
      </c>
    </row>
    <row r="589" spans="4:13" ht="12" customHeight="1" x14ac:dyDescent="0.25">
      <c r="D589" s="15" t="str">
        <f>IF(IF(ISNUMBER(B589),"",MAX(D$4:D588)+1)&lt;=D$3,IF(ISNUMBER(B589),"",MAX(D$4:D588)+1),"")</f>
        <v/>
      </c>
      <c r="H589" s="15"/>
      <c r="I589" s="15" t="str">
        <f>IF(O589="","",IF(ISNUMBER(MATCH(O589,$G$5:$G$1000,0)),"",IF(D589=1,B$4,0)+MAX(I$4:I588)+1))</f>
        <v/>
      </c>
      <c r="M589" s="14">
        <f>IF(ROW()-ROW(M$4)&lt;=1000,ROW()-ROW(M$4),"")</f>
        <v>585</v>
      </c>
    </row>
    <row r="590" spans="4:13" ht="12" customHeight="1" x14ac:dyDescent="0.25">
      <c r="D590" s="15" t="str">
        <f>IF(IF(ISNUMBER(B590),"",MAX(D$4:D589)+1)&lt;=D$3,IF(ISNUMBER(B590),"",MAX(D$4:D589)+1),"")</f>
        <v/>
      </c>
      <c r="H590" s="15"/>
      <c r="I590" s="15" t="str">
        <f>IF(O590="","",IF(ISNUMBER(MATCH(O590,$G$5:$G$1000,0)),"",IF(D590=1,B$4,0)+MAX(I$4:I589)+1))</f>
        <v/>
      </c>
      <c r="M590" s="14">
        <f>IF(ROW()-ROW(M$4)&lt;=1000,ROW()-ROW(M$4),"")</f>
        <v>586</v>
      </c>
    </row>
    <row r="591" spans="4:13" ht="12" customHeight="1" x14ac:dyDescent="0.25">
      <c r="D591" s="15" t="str">
        <f>IF(IF(ISNUMBER(B591),"",MAX(D$4:D590)+1)&lt;=D$3,IF(ISNUMBER(B591),"",MAX(D$4:D590)+1),"")</f>
        <v/>
      </c>
      <c r="H591" s="15"/>
      <c r="I591" s="15" t="str">
        <f>IF(O591="","",IF(ISNUMBER(MATCH(O591,$G$5:$G$1000,0)),"",IF(D591=1,B$4,0)+MAX(I$4:I590)+1))</f>
        <v/>
      </c>
      <c r="M591" s="14">
        <f>IF(ROW()-ROW(M$4)&lt;=1000,ROW()-ROW(M$4),"")</f>
        <v>587</v>
      </c>
    </row>
    <row r="592" spans="4:13" ht="12" customHeight="1" x14ac:dyDescent="0.25">
      <c r="D592" s="15" t="str">
        <f>IF(IF(ISNUMBER(B592),"",MAX(D$4:D591)+1)&lt;=D$3,IF(ISNUMBER(B592),"",MAX(D$4:D591)+1),"")</f>
        <v/>
      </c>
      <c r="H592" s="15"/>
      <c r="I592" s="15" t="str">
        <f>IF(O592="","",IF(ISNUMBER(MATCH(O592,$G$5:$G$1000,0)),"",IF(D592=1,B$4,0)+MAX(I$4:I591)+1))</f>
        <v/>
      </c>
      <c r="M592" s="14">
        <f>IF(ROW()-ROW(M$4)&lt;=1000,ROW()-ROW(M$4),"")</f>
        <v>588</v>
      </c>
    </row>
    <row r="593" spans="4:13" ht="12" customHeight="1" x14ac:dyDescent="0.25">
      <c r="D593" s="15" t="str">
        <f>IF(IF(ISNUMBER(B593),"",MAX(D$4:D592)+1)&lt;=D$3,IF(ISNUMBER(B593),"",MAX(D$4:D592)+1),"")</f>
        <v/>
      </c>
      <c r="H593" s="15"/>
      <c r="I593" s="15" t="str">
        <f>IF(O593="","",IF(ISNUMBER(MATCH(O593,$G$5:$G$1000,0)),"",IF(D593=1,B$4,0)+MAX(I$4:I592)+1))</f>
        <v/>
      </c>
      <c r="M593" s="14">
        <f>IF(ROW()-ROW(M$4)&lt;=1000,ROW()-ROW(M$4),"")</f>
        <v>589</v>
      </c>
    </row>
    <row r="594" spans="4:13" ht="12" customHeight="1" x14ac:dyDescent="0.25">
      <c r="D594" s="15" t="str">
        <f>IF(IF(ISNUMBER(B594),"",MAX(D$4:D593)+1)&lt;=D$3,IF(ISNUMBER(B594),"",MAX(D$4:D593)+1),"")</f>
        <v/>
      </c>
      <c r="H594" s="15"/>
      <c r="I594" s="15" t="str">
        <f>IF(O594="","",IF(ISNUMBER(MATCH(O594,$G$5:$G$1000,0)),"",IF(D594=1,B$4,0)+MAX(I$4:I593)+1))</f>
        <v/>
      </c>
      <c r="M594" s="14">
        <f>IF(ROW()-ROW(M$4)&lt;=1000,ROW()-ROW(M$4),"")</f>
        <v>590</v>
      </c>
    </row>
    <row r="595" spans="4:13" ht="12" customHeight="1" x14ac:dyDescent="0.25">
      <c r="D595" s="15" t="str">
        <f>IF(IF(ISNUMBER(B595),"",MAX(D$4:D594)+1)&lt;=D$3,IF(ISNUMBER(B595),"",MAX(D$4:D594)+1),"")</f>
        <v/>
      </c>
      <c r="H595" s="15"/>
      <c r="I595" s="15" t="str">
        <f>IF(O595="","",IF(ISNUMBER(MATCH(O595,$G$5:$G$1000,0)),"",IF(D595=1,B$4,0)+MAX(I$4:I594)+1))</f>
        <v/>
      </c>
      <c r="M595" s="14">
        <f>IF(ROW()-ROW(M$4)&lt;=1000,ROW()-ROW(M$4),"")</f>
        <v>591</v>
      </c>
    </row>
    <row r="596" spans="4:13" ht="12" customHeight="1" x14ac:dyDescent="0.25">
      <c r="D596" s="15" t="str">
        <f>IF(IF(ISNUMBER(B596),"",MAX(D$4:D595)+1)&lt;=D$3,IF(ISNUMBER(B596),"",MAX(D$4:D595)+1),"")</f>
        <v/>
      </c>
      <c r="H596" s="15"/>
      <c r="I596" s="15" t="str">
        <f>IF(O596="","",IF(ISNUMBER(MATCH(O596,$G$5:$G$1000,0)),"",IF(D596=1,B$4,0)+MAX(I$4:I595)+1))</f>
        <v/>
      </c>
      <c r="M596" s="14">
        <f>IF(ROW()-ROW(M$4)&lt;=1000,ROW()-ROW(M$4),"")</f>
        <v>592</v>
      </c>
    </row>
    <row r="597" spans="4:13" ht="12" customHeight="1" x14ac:dyDescent="0.25">
      <c r="D597" s="15" t="str">
        <f>IF(IF(ISNUMBER(B597),"",MAX(D$4:D596)+1)&lt;=D$3,IF(ISNUMBER(B597),"",MAX(D$4:D596)+1),"")</f>
        <v/>
      </c>
      <c r="H597" s="15"/>
      <c r="I597" s="15" t="str">
        <f>IF(O597="","",IF(ISNUMBER(MATCH(O597,$G$5:$G$1000,0)),"",IF(D597=1,B$4,0)+MAX(I$4:I596)+1))</f>
        <v/>
      </c>
      <c r="M597" s="14">
        <f>IF(ROW()-ROW(M$4)&lt;=1000,ROW()-ROW(M$4),"")</f>
        <v>593</v>
      </c>
    </row>
    <row r="598" spans="4:13" ht="12" customHeight="1" x14ac:dyDescent="0.25">
      <c r="D598" s="15" t="str">
        <f>IF(IF(ISNUMBER(B598),"",MAX(D$4:D597)+1)&lt;=D$3,IF(ISNUMBER(B598),"",MAX(D$4:D597)+1),"")</f>
        <v/>
      </c>
      <c r="H598" s="15"/>
      <c r="I598" s="15" t="str">
        <f>IF(O598="","",IF(ISNUMBER(MATCH(O598,$G$5:$G$1000,0)),"",IF(D598=1,B$4,0)+MAX(I$4:I597)+1))</f>
        <v/>
      </c>
      <c r="M598" s="14">
        <f>IF(ROW()-ROW(M$4)&lt;=1000,ROW()-ROW(M$4),"")</f>
        <v>594</v>
      </c>
    </row>
    <row r="599" spans="4:13" ht="12" customHeight="1" x14ac:dyDescent="0.25">
      <c r="D599" s="15" t="str">
        <f>IF(IF(ISNUMBER(B599),"",MAX(D$4:D598)+1)&lt;=D$3,IF(ISNUMBER(B599),"",MAX(D$4:D598)+1),"")</f>
        <v/>
      </c>
      <c r="H599" s="15"/>
      <c r="I599" s="15" t="str">
        <f>IF(O599="","",IF(ISNUMBER(MATCH(O599,$G$5:$G$1000,0)),"",IF(D599=1,B$4,0)+MAX(I$4:I598)+1))</f>
        <v/>
      </c>
      <c r="M599" s="14">
        <f>IF(ROW()-ROW(M$4)&lt;=1000,ROW()-ROW(M$4),"")</f>
        <v>595</v>
      </c>
    </row>
    <row r="600" spans="4:13" ht="12" customHeight="1" x14ac:dyDescent="0.25">
      <c r="D600" s="15" t="str">
        <f>IF(IF(ISNUMBER(B600),"",MAX(D$4:D599)+1)&lt;=D$3,IF(ISNUMBER(B600),"",MAX(D$4:D599)+1),"")</f>
        <v/>
      </c>
      <c r="H600" s="15"/>
      <c r="I600" s="15" t="str">
        <f>IF(O600="","",IF(ISNUMBER(MATCH(O600,$G$5:$G$1000,0)),"",IF(D600=1,B$4,0)+MAX(I$4:I599)+1))</f>
        <v/>
      </c>
      <c r="M600" s="14">
        <f>IF(ROW()-ROW(M$4)&lt;=1000,ROW()-ROW(M$4),"")</f>
        <v>596</v>
      </c>
    </row>
    <row r="601" spans="4:13" ht="12" customHeight="1" x14ac:dyDescent="0.25">
      <c r="D601" s="15" t="str">
        <f>IF(IF(ISNUMBER(B601),"",MAX(D$4:D600)+1)&lt;=D$3,IF(ISNUMBER(B601),"",MAX(D$4:D600)+1),"")</f>
        <v/>
      </c>
      <c r="H601" s="15"/>
      <c r="I601" s="15" t="str">
        <f>IF(O601="","",IF(ISNUMBER(MATCH(O601,$G$5:$G$1000,0)),"",IF(D601=1,B$4,0)+MAX(I$4:I600)+1))</f>
        <v/>
      </c>
      <c r="M601" s="14">
        <f>IF(ROW()-ROW(M$4)&lt;=1000,ROW()-ROW(M$4),"")</f>
        <v>597</v>
      </c>
    </row>
    <row r="602" spans="4:13" ht="12" customHeight="1" x14ac:dyDescent="0.25">
      <c r="D602" s="15" t="str">
        <f>IF(IF(ISNUMBER(B602),"",MAX(D$4:D601)+1)&lt;=D$3,IF(ISNUMBER(B602),"",MAX(D$4:D601)+1),"")</f>
        <v/>
      </c>
      <c r="H602" s="15"/>
      <c r="I602" s="15" t="str">
        <f>IF(O602="","",IF(ISNUMBER(MATCH(O602,$G$5:$G$1000,0)),"",IF(D602=1,B$4,0)+MAX(I$4:I601)+1))</f>
        <v/>
      </c>
      <c r="M602" s="14">
        <f>IF(ROW()-ROW(M$4)&lt;=1000,ROW()-ROW(M$4),"")</f>
        <v>598</v>
      </c>
    </row>
    <row r="603" spans="4:13" ht="12" customHeight="1" x14ac:dyDescent="0.25">
      <c r="D603" s="15" t="str">
        <f>IF(IF(ISNUMBER(B603),"",MAX(D$4:D602)+1)&lt;=D$3,IF(ISNUMBER(B603),"",MAX(D$4:D602)+1),"")</f>
        <v/>
      </c>
      <c r="H603" s="15"/>
      <c r="I603" s="15" t="str">
        <f>IF(O603="","",IF(ISNUMBER(MATCH(O603,$G$5:$G$1000,0)),"",IF(D603=1,B$4,0)+MAX(I$4:I602)+1))</f>
        <v/>
      </c>
      <c r="M603" s="14">
        <f>IF(ROW()-ROW(M$4)&lt;=1000,ROW()-ROW(M$4),"")</f>
        <v>599</v>
      </c>
    </row>
    <row r="604" spans="4:13" ht="12" customHeight="1" x14ac:dyDescent="0.25">
      <c r="D604" s="15" t="str">
        <f>IF(IF(ISNUMBER(B604),"",MAX(D$4:D603)+1)&lt;=D$3,IF(ISNUMBER(B604),"",MAX(D$4:D603)+1),"")</f>
        <v/>
      </c>
      <c r="H604" s="15"/>
      <c r="I604" s="15" t="str">
        <f>IF(O604="","",IF(ISNUMBER(MATCH(O604,$G$5:$G$1000,0)),"",IF(D604=1,B$4,0)+MAX(I$4:I603)+1))</f>
        <v/>
      </c>
      <c r="M604" s="14">
        <f>IF(ROW()-ROW(M$4)&lt;=1000,ROW()-ROW(M$4),"")</f>
        <v>600</v>
      </c>
    </row>
    <row r="605" spans="4:13" ht="12" customHeight="1" x14ac:dyDescent="0.25">
      <c r="D605" s="15" t="str">
        <f>IF(IF(ISNUMBER(B605),"",MAX(D$4:D604)+1)&lt;=D$3,IF(ISNUMBER(B605),"",MAX(D$4:D604)+1),"")</f>
        <v/>
      </c>
      <c r="H605" s="15"/>
      <c r="I605" s="15" t="str">
        <f>IF(O605="","",IF(ISNUMBER(MATCH(O605,$G$5:$G$1000,0)),"",IF(D605=1,B$4,0)+MAX(I$4:I604)+1))</f>
        <v/>
      </c>
      <c r="M605" s="14">
        <f>IF(ROW()-ROW(M$4)&lt;=1000,ROW()-ROW(M$4),"")</f>
        <v>601</v>
      </c>
    </row>
    <row r="606" spans="4:13" ht="12" customHeight="1" x14ac:dyDescent="0.25">
      <c r="D606" s="15" t="str">
        <f>IF(IF(ISNUMBER(B606),"",MAX(D$4:D605)+1)&lt;=D$3,IF(ISNUMBER(B606),"",MAX(D$4:D605)+1),"")</f>
        <v/>
      </c>
      <c r="H606" s="15"/>
      <c r="I606" s="15" t="str">
        <f>IF(O606="","",IF(ISNUMBER(MATCH(O606,$G$5:$G$1000,0)),"",IF(D606=1,B$4,0)+MAX(I$4:I605)+1))</f>
        <v/>
      </c>
      <c r="M606" s="14">
        <f>IF(ROW()-ROW(M$4)&lt;=1000,ROW()-ROW(M$4),"")</f>
        <v>602</v>
      </c>
    </row>
    <row r="607" spans="4:13" ht="12" customHeight="1" x14ac:dyDescent="0.25">
      <c r="D607" s="15" t="str">
        <f>IF(IF(ISNUMBER(B607),"",MAX(D$4:D606)+1)&lt;=D$3,IF(ISNUMBER(B607),"",MAX(D$4:D606)+1),"")</f>
        <v/>
      </c>
      <c r="H607" s="15"/>
      <c r="I607" s="15" t="str">
        <f>IF(O607="","",IF(ISNUMBER(MATCH(O607,$G$5:$G$1000,0)),"",IF(D607=1,B$4,0)+MAX(I$4:I606)+1))</f>
        <v/>
      </c>
      <c r="M607" s="14">
        <f>IF(ROW()-ROW(M$4)&lt;=1000,ROW()-ROW(M$4),"")</f>
        <v>603</v>
      </c>
    </row>
    <row r="608" spans="4:13" ht="12" customHeight="1" x14ac:dyDescent="0.25">
      <c r="D608" s="15" t="str">
        <f>IF(IF(ISNUMBER(B608),"",MAX(D$4:D607)+1)&lt;=D$3,IF(ISNUMBER(B608),"",MAX(D$4:D607)+1),"")</f>
        <v/>
      </c>
      <c r="H608" s="15"/>
      <c r="I608" s="15" t="str">
        <f>IF(O608="","",IF(ISNUMBER(MATCH(O608,$G$5:$G$1000,0)),"",IF(D608=1,B$4,0)+MAX(I$4:I607)+1))</f>
        <v/>
      </c>
      <c r="M608" s="14">
        <f>IF(ROW()-ROW(M$4)&lt;=1000,ROW()-ROW(M$4),"")</f>
        <v>604</v>
      </c>
    </row>
    <row r="609" spans="4:13" ht="12" customHeight="1" x14ac:dyDescent="0.25">
      <c r="D609" s="15" t="str">
        <f>IF(IF(ISNUMBER(B609),"",MAX(D$4:D608)+1)&lt;=D$3,IF(ISNUMBER(B609),"",MAX(D$4:D608)+1),"")</f>
        <v/>
      </c>
      <c r="H609" s="15"/>
      <c r="I609" s="15" t="str">
        <f>IF(O609="","",IF(ISNUMBER(MATCH(O609,$G$5:$G$1000,0)),"",IF(D609=1,B$4,0)+MAX(I$4:I608)+1))</f>
        <v/>
      </c>
      <c r="M609" s="14">
        <f>IF(ROW()-ROW(M$4)&lt;=1000,ROW()-ROW(M$4),"")</f>
        <v>605</v>
      </c>
    </row>
    <row r="610" spans="4:13" ht="12" customHeight="1" x14ac:dyDescent="0.25">
      <c r="D610" s="15" t="str">
        <f>IF(IF(ISNUMBER(B610),"",MAX(D$4:D609)+1)&lt;=D$3,IF(ISNUMBER(B610),"",MAX(D$4:D609)+1),"")</f>
        <v/>
      </c>
      <c r="H610" s="15"/>
      <c r="I610" s="15" t="str">
        <f>IF(O610="","",IF(ISNUMBER(MATCH(O610,$G$5:$G$1000,0)),"",IF(D610=1,B$4,0)+MAX(I$4:I609)+1))</f>
        <v/>
      </c>
      <c r="M610" s="14">
        <f>IF(ROW()-ROW(M$4)&lt;=1000,ROW()-ROW(M$4),"")</f>
        <v>606</v>
      </c>
    </row>
    <row r="611" spans="4:13" ht="12" customHeight="1" x14ac:dyDescent="0.25">
      <c r="D611" s="15" t="str">
        <f>IF(IF(ISNUMBER(B611),"",MAX(D$4:D610)+1)&lt;=D$3,IF(ISNUMBER(B611),"",MAX(D$4:D610)+1),"")</f>
        <v/>
      </c>
      <c r="H611" s="15"/>
      <c r="I611" s="15" t="str">
        <f>IF(O611="","",IF(ISNUMBER(MATCH(O611,$G$5:$G$1000,0)),"",IF(D611=1,B$4,0)+MAX(I$4:I610)+1))</f>
        <v/>
      </c>
      <c r="M611" s="14">
        <f>IF(ROW()-ROW(M$4)&lt;=1000,ROW()-ROW(M$4),"")</f>
        <v>607</v>
      </c>
    </row>
    <row r="612" spans="4:13" ht="12" customHeight="1" x14ac:dyDescent="0.25">
      <c r="D612" s="15" t="str">
        <f>IF(IF(ISNUMBER(B612),"",MAX(D$4:D611)+1)&lt;=D$3,IF(ISNUMBER(B612),"",MAX(D$4:D611)+1),"")</f>
        <v/>
      </c>
      <c r="H612" s="15"/>
      <c r="I612" s="15" t="str">
        <f>IF(O612="","",IF(ISNUMBER(MATCH(O612,$G$5:$G$1000,0)),"",IF(D612=1,B$4,0)+MAX(I$4:I611)+1))</f>
        <v/>
      </c>
      <c r="M612" s="14">
        <f>IF(ROW()-ROW(M$4)&lt;=1000,ROW()-ROW(M$4),"")</f>
        <v>608</v>
      </c>
    </row>
    <row r="613" spans="4:13" ht="12" customHeight="1" x14ac:dyDescent="0.25">
      <c r="D613" s="15" t="str">
        <f>IF(IF(ISNUMBER(B613),"",MAX(D$4:D612)+1)&lt;=D$3,IF(ISNUMBER(B613),"",MAX(D$4:D612)+1),"")</f>
        <v/>
      </c>
      <c r="H613" s="15"/>
      <c r="I613" s="15" t="str">
        <f>IF(O613="","",IF(ISNUMBER(MATCH(O613,$G$5:$G$1000,0)),"",IF(D613=1,B$4,0)+MAX(I$4:I612)+1))</f>
        <v/>
      </c>
      <c r="M613" s="14">
        <f>IF(ROW()-ROW(M$4)&lt;=1000,ROW()-ROW(M$4),"")</f>
        <v>609</v>
      </c>
    </row>
    <row r="614" spans="4:13" ht="12" customHeight="1" x14ac:dyDescent="0.25">
      <c r="D614" s="15" t="str">
        <f>IF(IF(ISNUMBER(B614),"",MAX(D$4:D613)+1)&lt;=D$3,IF(ISNUMBER(B614),"",MAX(D$4:D613)+1),"")</f>
        <v/>
      </c>
      <c r="H614" s="15"/>
      <c r="I614" s="15" t="str">
        <f>IF(O614="","",IF(ISNUMBER(MATCH(O614,$G$5:$G$1000,0)),"",IF(D614=1,B$4,0)+MAX(I$4:I613)+1))</f>
        <v/>
      </c>
      <c r="M614" s="14">
        <f>IF(ROW()-ROW(M$4)&lt;=1000,ROW()-ROW(M$4),"")</f>
        <v>610</v>
      </c>
    </row>
    <row r="615" spans="4:13" ht="12" customHeight="1" x14ac:dyDescent="0.25">
      <c r="D615" s="15" t="str">
        <f>IF(IF(ISNUMBER(B615),"",MAX(D$4:D614)+1)&lt;=D$3,IF(ISNUMBER(B615),"",MAX(D$4:D614)+1),"")</f>
        <v/>
      </c>
      <c r="H615" s="15"/>
      <c r="I615" s="15" t="str">
        <f>IF(O615="","",IF(ISNUMBER(MATCH(O615,$G$5:$G$1000,0)),"",IF(D615=1,B$4,0)+MAX(I$4:I614)+1))</f>
        <v/>
      </c>
      <c r="M615" s="14">
        <f>IF(ROW()-ROW(M$4)&lt;=1000,ROW()-ROW(M$4),"")</f>
        <v>611</v>
      </c>
    </row>
    <row r="616" spans="4:13" ht="12" customHeight="1" x14ac:dyDescent="0.25">
      <c r="D616" s="15" t="str">
        <f>IF(IF(ISNUMBER(B616),"",MAX(D$4:D615)+1)&lt;=D$3,IF(ISNUMBER(B616),"",MAX(D$4:D615)+1),"")</f>
        <v/>
      </c>
      <c r="H616" s="15"/>
      <c r="I616" s="15" t="str">
        <f>IF(O616="","",IF(ISNUMBER(MATCH(O616,$G$5:$G$1000,0)),"",IF(D616=1,B$4,0)+MAX(I$4:I615)+1))</f>
        <v/>
      </c>
      <c r="M616" s="14">
        <f>IF(ROW()-ROW(M$4)&lt;=1000,ROW()-ROW(M$4),"")</f>
        <v>612</v>
      </c>
    </row>
    <row r="617" spans="4:13" ht="12" customHeight="1" x14ac:dyDescent="0.25">
      <c r="D617" s="15" t="str">
        <f>IF(IF(ISNUMBER(B617),"",MAX(D$4:D616)+1)&lt;=D$3,IF(ISNUMBER(B617),"",MAX(D$4:D616)+1),"")</f>
        <v/>
      </c>
      <c r="H617" s="15"/>
      <c r="I617" s="15" t="str">
        <f>IF(O617="","",IF(ISNUMBER(MATCH(O617,$G$5:$G$1000,0)),"",IF(D617=1,B$4,0)+MAX(I$4:I616)+1))</f>
        <v/>
      </c>
      <c r="M617" s="14">
        <f>IF(ROW()-ROW(M$4)&lt;=1000,ROW()-ROW(M$4),"")</f>
        <v>613</v>
      </c>
    </row>
    <row r="618" spans="4:13" ht="12" customHeight="1" x14ac:dyDescent="0.25">
      <c r="D618" s="15" t="str">
        <f>IF(IF(ISNUMBER(B618),"",MAX(D$4:D617)+1)&lt;=D$3,IF(ISNUMBER(B618),"",MAX(D$4:D617)+1),"")</f>
        <v/>
      </c>
      <c r="H618" s="15"/>
      <c r="I618" s="15" t="str">
        <f>IF(O618="","",IF(ISNUMBER(MATCH(O618,$G$5:$G$1000,0)),"",IF(D618=1,B$4,0)+MAX(I$4:I617)+1))</f>
        <v/>
      </c>
      <c r="M618" s="14">
        <f>IF(ROW()-ROW(M$4)&lt;=1000,ROW()-ROW(M$4),"")</f>
        <v>614</v>
      </c>
    </row>
    <row r="619" spans="4:13" ht="12" customHeight="1" x14ac:dyDescent="0.25">
      <c r="D619" s="15" t="str">
        <f>IF(IF(ISNUMBER(B619),"",MAX(D$4:D618)+1)&lt;=D$3,IF(ISNUMBER(B619),"",MAX(D$4:D618)+1),"")</f>
        <v/>
      </c>
      <c r="H619" s="15"/>
      <c r="I619" s="15" t="str">
        <f>IF(O619="","",IF(ISNUMBER(MATCH(O619,$G$5:$G$1000,0)),"",IF(D619=1,B$4,0)+MAX(I$4:I618)+1))</f>
        <v/>
      </c>
      <c r="M619" s="14">
        <f>IF(ROW()-ROW(M$4)&lt;=1000,ROW()-ROW(M$4),"")</f>
        <v>615</v>
      </c>
    </row>
    <row r="620" spans="4:13" ht="12" customHeight="1" x14ac:dyDescent="0.25">
      <c r="D620" s="15" t="str">
        <f>IF(IF(ISNUMBER(B620),"",MAX(D$4:D619)+1)&lt;=D$3,IF(ISNUMBER(B620),"",MAX(D$4:D619)+1),"")</f>
        <v/>
      </c>
      <c r="H620" s="15"/>
      <c r="I620" s="15" t="str">
        <f>IF(O620="","",IF(ISNUMBER(MATCH(O620,$G$5:$G$1000,0)),"",IF(D620=1,B$4,0)+MAX(I$4:I619)+1))</f>
        <v/>
      </c>
      <c r="M620" s="14">
        <f>IF(ROW()-ROW(M$4)&lt;=1000,ROW()-ROW(M$4),"")</f>
        <v>616</v>
      </c>
    </row>
    <row r="621" spans="4:13" ht="12" customHeight="1" x14ac:dyDescent="0.25">
      <c r="D621" s="15" t="str">
        <f>IF(IF(ISNUMBER(B621),"",MAX(D$4:D620)+1)&lt;=D$3,IF(ISNUMBER(B621),"",MAX(D$4:D620)+1),"")</f>
        <v/>
      </c>
      <c r="H621" s="15"/>
      <c r="I621" s="15" t="str">
        <f>IF(O621="","",IF(ISNUMBER(MATCH(O621,$G$5:$G$1000,0)),"",IF(D621=1,B$4,0)+MAX(I$4:I620)+1))</f>
        <v/>
      </c>
      <c r="M621" s="14">
        <f>IF(ROW()-ROW(M$4)&lt;=1000,ROW()-ROW(M$4),"")</f>
        <v>617</v>
      </c>
    </row>
    <row r="622" spans="4:13" ht="12" customHeight="1" x14ac:dyDescent="0.25">
      <c r="D622" s="15" t="str">
        <f>IF(IF(ISNUMBER(B622),"",MAX(D$4:D621)+1)&lt;=D$3,IF(ISNUMBER(B622),"",MAX(D$4:D621)+1),"")</f>
        <v/>
      </c>
      <c r="H622" s="15"/>
      <c r="I622" s="15" t="str">
        <f>IF(O622="","",IF(ISNUMBER(MATCH(O622,$G$5:$G$1000,0)),"",IF(D622=1,B$4,0)+MAX(I$4:I621)+1))</f>
        <v/>
      </c>
      <c r="M622" s="14">
        <f>IF(ROW()-ROW(M$4)&lt;=1000,ROW()-ROW(M$4),"")</f>
        <v>618</v>
      </c>
    </row>
    <row r="623" spans="4:13" ht="12" customHeight="1" x14ac:dyDescent="0.25">
      <c r="D623" s="15" t="str">
        <f>IF(IF(ISNUMBER(B623),"",MAX(D$4:D622)+1)&lt;=D$3,IF(ISNUMBER(B623),"",MAX(D$4:D622)+1),"")</f>
        <v/>
      </c>
      <c r="H623" s="15"/>
      <c r="I623" s="15" t="str">
        <f>IF(O623="","",IF(ISNUMBER(MATCH(O623,$G$5:$G$1000,0)),"",IF(D623=1,B$4,0)+MAX(I$4:I622)+1))</f>
        <v/>
      </c>
      <c r="M623" s="14">
        <f>IF(ROW()-ROW(M$4)&lt;=1000,ROW()-ROW(M$4),"")</f>
        <v>619</v>
      </c>
    </row>
    <row r="624" spans="4:13" ht="12" customHeight="1" x14ac:dyDescent="0.25">
      <c r="D624" s="15" t="str">
        <f>IF(IF(ISNUMBER(B624),"",MAX(D$4:D623)+1)&lt;=D$3,IF(ISNUMBER(B624),"",MAX(D$4:D623)+1),"")</f>
        <v/>
      </c>
      <c r="H624" s="15"/>
      <c r="I624" s="15" t="str">
        <f>IF(O624="","",IF(ISNUMBER(MATCH(O624,$G$5:$G$1000,0)),"",IF(D624=1,B$4,0)+MAX(I$4:I623)+1))</f>
        <v/>
      </c>
      <c r="M624" s="14">
        <f>IF(ROW()-ROW(M$4)&lt;=1000,ROW()-ROW(M$4),"")</f>
        <v>620</v>
      </c>
    </row>
    <row r="625" spans="4:13" ht="12" customHeight="1" x14ac:dyDescent="0.25">
      <c r="D625" s="15" t="str">
        <f>IF(IF(ISNUMBER(B625),"",MAX(D$4:D624)+1)&lt;=D$3,IF(ISNUMBER(B625),"",MAX(D$4:D624)+1),"")</f>
        <v/>
      </c>
      <c r="H625" s="15"/>
      <c r="I625" s="15" t="str">
        <f>IF(O625="","",IF(ISNUMBER(MATCH(O625,$G$5:$G$1000,0)),"",IF(D625=1,B$4,0)+MAX(I$4:I624)+1))</f>
        <v/>
      </c>
      <c r="M625" s="14">
        <f>IF(ROW()-ROW(M$4)&lt;=1000,ROW()-ROW(M$4),"")</f>
        <v>621</v>
      </c>
    </row>
    <row r="626" spans="4:13" ht="12" customHeight="1" x14ac:dyDescent="0.25">
      <c r="D626" s="15" t="str">
        <f>IF(IF(ISNUMBER(B626),"",MAX(D$4:D625)+1)&lt;=D$3,IF(ISNUMBER(B626),"",MAX(D$4:D625)+1),"")</f>
        <v/>
      </c>
      <c r="H626" s="15"/>
      <c r="I626" s="15" t="str">
        <f>IF(O626="","",IF(ISNUMBER(MATCH(O626,$G$5:$G$1000,0)),"",IF(D626=1,B$4,0)+MAX(I$4:I625)+1))</f>
        <v/>
      </c>
      <c r="M626" s="14">
        <f>IF(ROW()-ROW(M$4)&lt;=1000,ROW()-ROW(M$4),"")</f>
        <v>622</v>
      </c>
    </row>
    <row r="627" spans="4:13" ht="12" customHeight="1" x14ac:dyDescent="0.25">
      <c r="D627" s="15" t="str">
        <f>IF(IF(ISNUMBER(B627),"",MAX(D$4:D626)+1)&lt;=D$3,IF(ISNUMBER(B627),"",MAX(D$4:D626)+1),"")</f>
        <v/>
      </c>
      <c r="H627" s="15"/>
      <c r="I627" s="15" t="str">
        <f>IF(O627="","",IF(ISNUMBER(MATCH(O627,$G$5:$G$1000,0)),"",IF(D627=1,B$4,0)+MAX(I$4:I626)+1))</f>
        <v/>
      </c>
      <c r="M627" s="14">
        <f>IF(ROW()-ROW(M$4)&lt;=1000,ROW()-ROW(M$4),"")</f>
        <v>623</v>
      </c>
    </row>
    <row r="628" spans="4:13" ht="12" customHeight="1" x14ac:dyDescent="0.25">
      <c r="D628" s="15" t="str">
        <f>IF(IF(ISNUMBER(B628),"",MAX(D$4:D627)+1)&lt;=D$3,IF(ISNUMBER(B628),"",MAX(D$4:D627)+1),"")</f>
        <v/>
      </c>
      <c r="H628" s="15"/>
      <c r="I628" s="15" t="str">
        <f>IF(O628="","",IF(ISNUMBER(MATCH(O628,$G$5:$G$1000,0)),"",IF(D628=1,B$4,0)+MAX(I$4:I627)+1))</f>
        <v/>
      </c>
      <c r="M628" s="14">
        <f>IF(ROW()-ROW(M$4)&lt;=1000,ROW()-ROW(M$4),"")</f>
        <v>624</v>
      </c>
    </row>
    <row r="629" spans="4:13" ht="12" customHeight="1" x14ac:dyDescent="0.25">
      <c r="D629" s="15" t="str">
        <f>IF(IF(ISNUMBER(B629),"",MAX(D$4:D628)+1)&lt;=D$3,IF(ISNUMBER(B629),"",MAX(D$4:D628)+1),"")</f>
        <v/>
      </c>
      <c r="H629" s="15"/>
      <c r="I629" s="15" t="str">
        <f>IF(O629="","",IF(ISNUMBER(MATCH(O629,$G$5:$G$1000,0)),"",IF(D629=1,B$4,0)+MAX(I$4:I628)+1))</f>
        <v/>
      </c>
      <c r="M629" s="14">
        <f>IF(ROW()-ROW(M$4)&lt;=1000,ROW()-ROW(M$4),"")</f>
        <v>625</v>
      </c>
    </row>
    <row r="630" spans="4:13" ht="12" customHeight="1" x14ac:dyDescent="0.25">
      <c r="D630" s="15" t="str">
        <f>IF(IF(ISNUMBER(B630),"",MAX(D$4:D629)+1)&lt;=D$3,IF(ISNUMBER(B630),"",MAX(D$4:D629)+1),"")</f>
        <v/>
      </c>
      <c r="H630" s="15"/>
      <c r="I630" s="15" t="str">
        <f>IF(O630="","",IF(ISNUMBER(MATCH(O630,$G$5:$G$1000,0)),"",IF(D630=1,B$4,0)+MAX(I$4:I629)+1))</f>
        <v/>
      </c>
      <c r="M630" s="14">
        <f>IF(ROW()-ROW(M$4)&lt;=1000,ROW()-ROW(M$4),"")</f>
        <v>626</v>
      </c>
    </row>
    <row r="631" spans="4:13" ht="12" customHeight="1" x14ac:dyDescent="0.25">
      <c r="D631" s="15" t="str">
        <f>IF(IF(ISNUMBER(B631),"",MAX(D$4:D630)+1)&lt;=D$3,IF(ISNUMBER(B631),"",MAX(D$4:D630)+1),"")</f>
        <v/>
      </c>
      <c r="H631" s="15"/>
      <c r="I631" s="15" t="str">
        <f>IF(O631="","",IF(ISNUMBER(MATCH(O631,$G$5:$G$1000,0)),"",IF(D631=1,B$4,0)+MAX(I$4:I630)+1))</f>
        <v/>
      </c>
      <c r="M631" s="14">
        <f>IF(ROW()-ROW(M$4)&lt;=1000,ROW()-ROW(M$4),"")</f>
        <v>627</v>
      </c>
    </row>
    <row r="632" spans="4:13" ht="12" customHeight="1" x14ac:dyDescent="0.25">
      <c r="D632" s="15" t="str">
        <f>IF(IF(ISNUMBER(B632),"",MAX(D$4:D631)+1)&lt;=D$3,IF(ISNUMBER(B632),"",MAX(D$4:D631)+1),"")</f>
        <v/>
      </c>
      <c r="H632" s="15"/>
      <c r="I632" s="15" t="str">
        <f>IF(O632="","",IF(ISNUMBER(MATCH(O632,$G$5:$G$1000,0)),"",IF(D632=1,B$4,0)+MAX(I$4:I631)+1))</f>
        <v/>
      </c>
      <c r="M632" s="14">
        <f>IF(ROW()-ROW(M$4)&lt;=1000,ROW()-ROW(M$4),"")</f>
        <v>628</v>
      </c>
    </row>
    <row r="633" spans="4:13" ht="12" customHeight="1" x14ac:dyDescent="0.25">
      <c r="D633" s="15" t="str">
        <f>IF(IF(ISNUMBER(B633),"",MAX(D$4:D632)+1)&lt;=D$3,IF(ISNUMBER(B633),"",MAX(D$4:D632)+1),"")</f>
        <v/>
      </c>
      <c r="H633" s="15"/>
      <c r="I633" s="15" t="str">
        <f>IF(O633="","",IF(ISNUMBER(MATCH(O633,$G$5:$G$1000,0)),"",IF(D633=1,B$4,0)+MAX(I$4:I632)+1))</f>
        <v/>
      </c>
      <c r="M633" s="14">
        <f>IF(ROW()-ROW(M$4)&lt;=1000,ROW()-ROW(M$4),"")</f>
        <v>629</v>
      </c>
    </row>
    <row r="634" spans="4:13" ht="12" customHeight="1" x14ac:dyDescent="0.25">
      <c r="D634" s="15" t="str">
        <f>IF(IF(ISNUMBER(B634),"",MAX(D$4:D633)+1)&lt;=D$3,IF(ISNUMBER(B634),"",MAX(D$4:D633)+1),"")</f>
        <v/>
      </c>
      <c r="H634" s="15"/>
      <c r="I634" s="15" t="str">
        <f>IF(O634="","",IF(ISNUMBER(MATCH(O634,$G$5:$G$1000,0)),"",IF(D634=1,B$4,0)+MAX(I$4:I633)+1))</f>
        <v/>
      </c>
      <c r="M634" s="14">
        <f>IF(ROW()-ROW(M$4)&lt;=1000,ROW()-ROW(M$4),"")</f>
        <v>630</v>
      </c>
    </row>
    <row r="635" spans="4:13" ht="12" customHeight="1" x14ac:dyDescent="0.25">
      <c r="D635" s="15" t="str">
        <f>IF(IF(ISNUMBER(B635),"",MAX(D$4:D634)+1)&lt;=D$3,IF(ISNUMBER(B635),"",MAX(D$4:D634)+1),"")</f>
        <v/>
      </c>
      <c r="H635" s="15"/>
      <c r="I635" s="15" t="str">
        <f>IF(O635="","",IF(ISNUMBER(MATCH(O635,$G$5:$G$1000,0)),"",IF(D635=1,B$4,0)+MAX(I$4:I634)+1))</f>
        <v/>
      </c>
      <c r="M635" s="14">
        <f>IF(ROW()-ROW(M$4)&lt;=1000,ROW()-ROW(M$4),"")</f>
        <v>631</v>
      </c>
    </row>
    <row r="636" spans="4:13" ht="12" customHeight="1" x14ac:dyDescent="0.25">
      <c r="D636" s="15" t="str">
        <f>IF(IF(ISNUMBER(B636),"",MAX(D$4:D635)+1)&lt;=D$3,IF(ISNUMBER(B636),"",MAX(D$4:D635)+1),"")</f>
        <v/>
      </c>
      <c r="H636" s="15"/>
      <c r="I636" s="15" t="str">
        <f>IF(O636="","",IF(ISNUMBER(MATCH(O636,$G$5:$G$1000,0)),"",IF(D636=1,B$4,0)+MAX(I$4:I635)+1))</f>
        <v/>
      </c>
      <c r="M636" s="14">
        <f>IF(ROW()-ROW(M$4)&lt;=1000,ROW()-ROW(M$4),"")</f>
        <v>632</v>
      </c>
    </row>
    <row r="637" spans="4:13" ht="12" customHeight="1" x14ac:dyDescent="0.25">
      <c r="D637" s="15" t="str">
        <f>IF(IF(ISNUMBER(B637),"",MAX(D$4:D636)+1)&lt;=D$3,IF(ISNUMBER(B637),"",MAX(D$4:D636)+1),"")</f>
        <v/>
      </c>
      <c r="H637" s="15"/>
      <c r="I637" s="15" t="str">
        <f>IF(O637="","",IF(ISNUMBER(MATCH(O637,$G$5:$G$1000,0)),"",IF(D637=1,B$4,0)+MAX(I$4:I636)+1))</f>
        <v/>
      </c>
      <c r="M637" s="14">
        <f>IF(ROW()-ROW(M$4)&lt;=1000,ROW()-ROW(M$4),"")</f>
        <v>633</v>
      </c>
    </row>
    <row r="638" spans="4:13" ht="12" customHeight="1" x14ac:dyDescent="0.25">
      <c r="D638" s="15" t="str">
        <f>IF(IF(ISNUMBER(B638),"",MAX(D$4:D637)+1)&lt;=D$3,IF(ISNUMBER(B638),"",MAX(D$4:D637)+1),"")</f>
        <v/>
      </c>
      <c r="H638" s="15"/>
      <c r="I638" s="15" t="str">
        <f>IF(O638="","",IF(ISNUMBER(MATCH(O638,$G$5:$G$1000,0)),"",IF(D638=1,B$4,0)+MAX(I$4:I637)+1))</f>
        <v/>
      </c>
      <c r="M638" s="14">
        <f>IF(ROW()-ROW(M$4)&lt;=1000,ROW()-ROW(M$4),"")</f>
        <v>634</v>
      </c>
    </row>
    <row r="639" spans="4:13" ht="12" customHeight="1" x14ac:dyDescent="0.25">
      <c r="D639" s="15" t="str">
        <f>IF(IF(ISNUMBER(B639),"",MAX(D$4:D638)+1)&lt;=D$3,IF(ISNUMBER(B639),"",MAX(D$4:D638)+1),"")</f>
        <v/>
      </c>
      <c r="H639" s="15"/>
      <c r="I639" s="15" t="str">
        <f>IF(O639="","",IF(ISNUMBER(MATCH(O639,$G$5:$G$1000,0)),"",IF(D639=1,B$4,0)+MAX(I$4:I638)+1))</f>
        <v/>
      </c>
      <c r="M639" s="14">
        <f>IF(ROW()-ROW(M$4)&lt;=1000,ROW()-ROW(M$4),"")</f>
        <v>635</v>
      </c>
    </row>
    <row r="640" spans="4:13" ht="12" customHeight="1" x14ac:dyDescent="0.25">
      <c r="D640" s="15" t="str">
        <f>IF(IF(ISNUMBER(B640),"",MAX(D$4:D639)+1)&lt;=D$3,IF(ISNUMBER(B640),"",MAX(D$4:D639)+1),"")</f>
        <v/>
      </c>
      <c r="H640" s="15"/>
      <c r="I640" s="15" t="str">
        <f>IF(O640="","",IF(ISNUMBER(MATCH(O640,$G$5:$G$1000,0)),"",IF(D640=1,B$4,0)+MAX(I$4:I639)+1))</f>
        <v/>
      </c>
      <c r="M640" s="14">
        <f>IF(ROW()-ROW(M$4)&lt;=1000,ROW()-ROW(M$4),"")</f>
        <v>636</v>
      </c>
    </row>
    <row r="641" spans="4:13" ht="12" customHeight="1" x14ac:dyDescent="0.25">
      <c r="D641" s="15" t="str">
        <f>IF(IF(ISNUMBER(B641),"",MAX(D$4:D640)+1)&lt;=D$3,IF(ISNUMBER(B641),"",MAX(D$4:D640)+1),"")</f>
        <v/>
      </c>
      <c r="H641" s="15"/>
      <c r="I641" s="15" t="str">
        <f>IF(O641="","",IF(ISNUMBER(MATCH(O641,$G$5:$G$1000,0)),"",IF(D641=1,B$4,0)+MAX(I$4:I640)+1))</f>
        <v/>
      </c>
      <c r="M641" s="14">
        <f>IF(ROW()-ROW(M$4)&lt;=1000,ROW()-ROW(M$4),"")</f>
        <v>637</v>
      </c>
    </row>
    <row r="642" spans="4:13" ht="12" customHeight="1" x14ac:dyDescent="0.25">
      <c r="D642" s="15" t="str">
        <f>IF(IF(ISNUMBER(B642),"",MAX(D$4:D641)+1)&lt;=D$3,IF(ISNUMBER(B642),"",MAX(D$4:D641)+1),"")</f>
        <v/>
      </c>
      <c r="H642" s="15"/>
      <c r="I642" s="15" t="str">
        <f>IF(O642="","",IF(ISNUMBER(MATCH(O642,$G$5:$G$1000,0)),"",IF(D642=1,B$4,0)+MAX(I$4:I641)+1))</f>
        <v/>
      </c>
      <c r="M642" s="14">
        <f>IF(ROW()-ROW(M$4)&lt;=1000,ROW()-ROW(M$4),"")</f>
        <v>638</v>
      </c>
    </row>
    <row r="643" spans="4:13" ht="12" customHeight="1" x14ac:dyDescent="0.25">
      <c r="D643" s="15" t="str">
        <f>IF(IF(ISNUMBER(B643),"",MAX(D$4:D642)+1)&lt;=D$3,IF(ISNUMBER(B643),"",MAX(D$4:D642)+1),"")</f>
        <v/>
      </c>
      <c r="H643" s="15"/>
      <c r="I643" s="15" t="str">
        <f>IF(O643="","",IF(ISNUMBER(MATCH(O643,$G$5:$G$1000,0)),"",IF(D643=1,B$4,0)+MAX(I$4:I642)+1))</f>
        <v/>
      </c>
      <c r="M643" s="14">
        <f>IF(ROW()-ROW(M$4)&lt;=1000,ROW()-ROW(M$4),"")</f>
        <v>639</v>
      </c>
    </row>
    <row r="644" spans="4:13" ht="12" customHeight="1" x14ac:dyDescent="0.25">
      <c r="D644" s="15" t="str">
        <f>IF(IF(ISNUMBER(B644),"",MAX(D$4:D643)+1)&lt;=D$3,IF(ISNUMBER(B644),"",MAX(D$4:D643)+1),"")</f>
        <v/>
      </c>
      <c r="H644" s="15"/>
      <c r="I644" s="15" t="str">
        <f>IF(O644="","",IF(ISNUMBER(MATCH(O644,$G$5:$G$1000,0)),"",IF(D644=1,B$4,0)+MAX(I$4:I643)+1))</f>
        <v/>
      </c>
      <c r="M644" s="14">
        <f>IF(ROW()-ROW(M$4)&lt;=1000,ROW()-ROW(M$4),"")</f>
        <v>640</v>
      </c>
    </row>
    <row r="645" spans="4:13" ht="12" customHeight="1" x14ac:dyDescent="0.25">
      <c r="D645" s="15" t="str">
        <f>IF(IF(ISNUMBER(B645),"",MAX(D$4:D644)+1)&lt;=D$3,IF(ISNUMBER(B645),"",MAX(D$4:D644)+1),"")</f>
        <v/>
      </c>
      <c r="H645" s="15"/>
      <c r="I645" s="15" t="str">
        <f>IF(O645="","",IF(ISNUMBER(MATCH(O645,$G$5:$G$1000,0)),"",IF(D645=1,B$4,0)+MAX(I$4:I644)+1))</f>
        <v/>
      </c>
      <c r="M645" s="14">
        <f>IF(ROW()-ROW(M$4)&lt;=1000,ROW()-ROW(M$4),"")</f>
        <v>641</v>
      </c>
    </row>
    <row r="646" spans="4:13" ht="12" customHeight="1" x14ac:dyDescent="0.25">
      <c r="D646" s="15" t="str">
        <f>IF(IF(ISNUMBER(B646),"",MAX(D$4:D645)+1)&lt;=D$3,IF(ISNUMBER(B646),"",MAX(D$4:D645)+1),"")</f>
        <v/>
      </c>
      <c r="H646" s="15"/>
      <c r="I646" s="15" t="str">
        <f>IF(O646="","",IF(ISNUMBER(MATCH(O646,$G$5:$G$1000,0)),"",IF(D646=1,B$4,0)+MAX(I$4:I645)+1))</f>
        <v/>
      </c>
      <c r="M646" s="14">
        <f>IF(ROW()-ROW(M$4)&lt;=1000,ROW()-ROW(M$4),"")</f>
        <v>642</v>
      </c>
    </row>
    <row r="647" spans="4:13" ht="12" customHeight="1" x14ac:dyDescent="0.25">
      <c r="D647" s="15" t="str">
        <f>IF(IF(ISNUMBER(B647),"",MAX(D$4:D646)+1)&lt;=D$3,IF(ISNUMBER(B647),"",MAX(D$4:D646)+1),"")</f>
        <v/>
      </c>
      <c r="H647" s="15"/>
      <c r="I647" s="15" t="str">
        <f>IF(O647="","",IF(ISNUMBER(MATCH(O647,$G$5:$G$1000,0)),"",IF(D647=1,B$4,0)+MAX(I$4:I646)+1))</f>
        <v/>
      </c>
      <c r="M647" s="14">
        <f>IF(ROW()-ROW(M$4)&lt;=1000,ROW()-ROW(M$4),"")</f>
        <v>643</v>
      </c>
    </row>
    <row r="648" spans="4:13" ht="12" customHeight="1" x14ac:dyDescent="0.25">
      <c r="D648" s="15" t="str">
        <f>IF(IF(ISNUMBER(B648),"",MAX(D$4:D647)+1)&lt;=D$3,IF(ISNUMBER(B648),"",MAX(D$4:D647)+1),"")</f>
        <v/>
      </c>
      <c r="H648" s="15"/>
      <c r="I648" s="15" t="str">
        <f>IF(O648="","",IF(ISNUMBER(MATCH(O648,$G$5:$G$1000,0)),"",IF(D648=1,B$4,0)+MAX(I$4:I647)+1))</f>
        <v/>
      </c>
      <c r="M648" s="14">
        <f>IF(ROW()-ROW(M$4)&lt;=1000,ROW()-ROW(M$4),"")</f>
        <v>644</v>
      </c>
    </row>
    <row r="649" spans="4:13" ht="12" customHeight="1" x14ac:dyDescent="0.25">
      <c r="D649" s="15" t="str">
        <f>IF(IF(ISNUMBER(B649),"",MAX(D$4:D648)+1)&lt;=D$3,IF(ISNUMBER(B649),"",MAX(D$4:D648)+1),"")</f>
        <v/>
      </c>
      <c r="H649" s="15"/>
      <c r="I649" s="15" t="str">
        <f>IF(O649="","",IF(ISNUMBER(MATCH(O649,$G$5:$G$1000,0)),"",IF(D649=1,B$4,0)+MAX(I$4:I648)+1))</f>
        <v/>
      </c>
      <c r="M649" s="14">
        <f>IF(ROW()-ROW(M$4)&lt;=1000,ROW()-ROW(M$4),"")</f>
        <v>645</v>
      </c>
    </row>
    <row r="650" spans="4:13" ht="12" customHeight="1" x14ac:dyDescent="0.25">
      <c r="D650" s="15" t="str">
        <f>IF(IF(ISNUMBER(B650),"",MAX(D$4:D649)+1)&lt;=D$3,IF(ISNUMBER(B650),"",MAX(D$4:D649)+1),"")</f>
        <v/>
      </c>
      <c r="H650" s="15"/>
      <c r="I650" s="15" t="str">
        <f>IF(O650="","",IF(ISNUMBER(MATCH(O650,$G$5:$G$1000,0)),"",IF(D650=1,B$4,0)+MAX(I$4:I649)+1))</f>
        <v/>
      </c>
      <c r="M650" s="14">
        <f>IF(ROW()-ROW(M$4)&lt;=1000,ROW()-ROW(M$4),"")</f>
        <v>646</v>
      </c>
    </row>
    <row r="651" spans="4:13" ht="12" customHeight="1" x14ac:dyDescent="0.25">
      <c r="D651" s="15" t="str">
        <f>IF(IF(ISNUMBER(B651),"",MAX(D$4:D650)+1)&lt;=D$3,IF(ISNUMBER(B651),"",MAX(D$4:D650)+1),"")</f>
        <v/>
      </c>
      <c r="H651" s="15"/>
      <c r="I651" s="15" t="str">
        <f>IF(O651="","",IF(ISNUMBER(MATCH(O651,$G$5:$G$1000,0)),"",IF(D651=1,B$4,0)+MAX(I$4:I650)+1))</f>
        <v/>
      </c>
      <c r="M651" s="14">
        <f>IF(ROW()-ROW(M$4)&lt;=1000,ROW()-ROW(M$4),"")</f>
        <v>647</v>
      </c>
    </row>
    <row r="652" spans="4:13" ht="12" customHeight="1" x14ac:dyDescent="0.25">
      <c r="D652" s="15" t="str">
        <f>IF(IF(ISNUMBER(B652),"",MAX(D$4:D651)+1)&lt;=D$3,IF(ISNUMBER(B652),"",MAX(D$4:D651)+1),"")</f>
        <v/>
      </c>
      <c r="H652" s="15"/>
      <c r="I652" s="15" t="str">
        <f>IF(O652="","",IF(ISNUMBER(MATCH(O652,$G$5:$G$1000,0)),"",IF(D652=1,B$4,0)+MAX(I$4:I651)+1))</f>
        <v/>
      </c>
      <c r="M652" s="14">
        <f>IF(ROW()-ROW(M$4)&lt;=1000,ROW()-ROW(M$4),"")</f>
        <v>648</v>
      </c>
    </row>
    <row r="653" spans="4:13" ht="12" customHeight="1" x14ac:dyDescent="0.25">
      <c r="D653" s="15" t="str">
        <f>IF(IF(ISNUMBER(B653),"",MAX(D$4:D652)+1)&lt;=D$3,IF(ISNUMBER(B653),"",MAX(D$4:D652)+1),"")</f>
        <v/>
      </c>
      <c r="H653" s="15"/>
      <c r="I653" s="15" t="str">
        <f>IF(O653="","",IF(ISNUMBER(MATCH(O653,$G$5:$G$1000,0)),"",IF(D653=1,B$4,0)+MAX(I$4:I652)+1))</f>
        <v/>
      </c>
      <c r="M653" s="14">
        <f>IF(ROW()-ROW(M$4)&lt;=1000,ROW()-ROW(M$4),"")</f>
        <v>649</v>
      </c>
    </row>
    <row r="654" spans="4:13" ht="12" customHeight="1" x14ac:dyDescent="0.25">
      <c r="D654" s="15" t="str">
        <f>IF(IF(ISNUMBER(B654),"",MAX(D$4:D653)+1)&lt;=D$3,IF(ISNUMBER(B654),"",MAX(D$4:D653)+1),"")</f>
        <v/>
      </c>
      <c r="H654" s="15"/>
      <c r="I654" s="15" t="str">
        <f>IF(O654="","",IF(ISNUMBER(MATCH(O654,$G$5:$G$1000,0)),"",IF(D654=1,B$4,0)+MAX(I$4:I653)+1))</f>
        <v/>
      </c>
      <c r="M654" s="14">
        <f>IF(ROW()-ROW(M$4)&lt;=1000,ROW()-ROW(M$4),"")</f>
        <v>650</v>
      </c>
    </row>
    <row r="655" spans="4:13" ht="12" customHeight="1" x14ac:dyDescent="0.25">
      <c r="D655" s="15" t="str">
        <f>IF(IF(ISNUMBER(B655),"",MAX(D$4:D654)+1)&lt;=D$3,IF(ISNUMBER(B655),"",MAX(D$4:D654)+1),"")</f>
        <v/>
      </c>
      <c r="H655" s="15"/>
      <c r="I655" s="15" t="str">
        <f>IF(O655="","",IF(ISNUMBER(MATCH(O655,$G$5:$G$1000,0)),"",IF(D655=1,B$4,0)+MAX(I$4:I654)+1))</f>
        <v/>
      </c>
      <c r="M655" s="14">
        <f>IF(ROW()-ROW(M$4)&lt;=1000,ROW()-ROW(M$4),"")</f>
        <v>651</v>
      </c>
    </row>
    <row r="656" spans="4:13" ht="12" customHeight="1" x14ac:dyDescent="0.25">
      <c r="D656" s="15" t="str">
        <f>IF(IF(ISNUMBER(B656),"",MAX(D$4:D655)+1)&lt;=D$3,IF(ISNUMBER(B656),"",MAX(D$4:D655)+1),"")</f>
        <v/>
      </c>
      <c r="H656" s="15"/>
      <c r="I656" s="15" t="str">
        <f>IF(O656="","",IF(ISNUMBER(MATCH(O656,$G$5:$G$1000,0)),"",IF(D656=1,B$4,0)+MAX(I$4:I655)+1))</f>
        <v/>
      </c>
      <c r="M656" s="14">
        <f>IF(ROW()-ROW(M$4)&lt;=1000,ROW()-ROW(M$4),"")</f>
        <v>652</v>
      </c>
    </row>
    <row r="657" spans="4:13" ht="12" customHeight="1" x14ac:dyDescent="0.25">
      <c r="D657" s="15" t="str">
        <f>IF(IF(ISNUMBER(B657),"",MAX(D$4:D656)+1)&lt;=D$3,IF(ISNUMBER(B657),"",MAX(D$4:D656)+1),"")</f>
        <v/>
      </c>
      <c r="H657" s="15"/>
      <c r="I657" s="15" t="str">
        <f>IF(O657="","",IF(ISNUMBER(MATCH(O657,$G$5:$G$1000,0)),"",IF(D657=1,B$4,0)+MAX(I$4:I656)+1))</f>
        <v/>
      </c>
      <c r="M657" s="14">
        <f>IF(ROW()-ROW(M$4)&lt;=1000,ROW()-ROW(M$4),"")</f>
        <v>653</v>
      </c>
    </row>
    <row r="658" spans="4:13" ht="12" customHeight="1" x14ac:dyDescent="0.25">
      <c r="D658" s="15" t="str">
        <f>IF(IF(ISNUMBER(B658),"",MAX(D$4:D657)+1)&lt;=D$3,IF(ISNUMBER(B658),"",MAX(D$4:D657)+1),"")</f>
        <v/>
      </c>
      <c r="H658" s="15"/>
      <c r="I658" s="15" t="str">
        <f>IF(O658="","",IF(ISNUMBER(MATCH(O658,$G$5:$G$1000,0)),"",IF(D658=1,B$4,0)+MAX(I$4:I657)+1))</f>
        <v/>
      </c>
      <c r="M658" s="14">
        <f>IF(ROW()-ROW(M$4)&lt;=1000,ROW()-ROW(M$4),"")</f>
        <v>654</v>
      </c>
    </row>
    <row r="659" spans="4:13" ht="12" customHeight="1" x14ac:dyDescent="0.25">
      <c r="D659" s="15" t="str">
        <f>IF(IF(ISNUMBER(B659),"",MAX(D$4:D658)+1)&lt;=D$3,IF(ISNUMBER(B659),"",MAX(D$4:D658)+1),"")</f>
        <v/>
      </c>
      <c r="H659" s="15"/>
      <c r="I659" s="15" t="str">
        <f>IF(O659="","",IF(ISNUMBER(MATCH(O659,$G$5:$G$1000,0)),"",IF(D659=1,B$4,0)+MAX(I$4:I658)+1))</f>
        <v/>
      </c>
      <c r="M659" s="14">
        <f>IF(ROW()-ROW(M$4)&lt;=1000,ROW()-ROW(M$4),"")</f>
        <v>655</v>
      </c>
    </row>
    <row r="660" spans="4:13" ht="12" customHeight="1" x14ac:dyDescent="0.25">
      <c r="D660" s="15" t="str">
        <f>IF(IF(ISNUMBER(B660),"",MAX(D$4:D659)+1)&lt;=D$3,IF(ISNUMBER(B660),"",MAX(D$4:D659)+1),"")</f>
        <v/>
      </c>
      <c r="H660" s="15"/>
      <c r="I660" s="15" t="str">
        <f>IF(O660="","",IF(ISNUMBER(MATCH(O660,$G$5:$G$1000,0)),"",IF(D660=1,B$4,0)+MAX(I$4:I659)+1))</f>
        <v/>
      </c>
      <c r="M660" s="14">
        <f>IF(ROW()-ROW(M$4)&lt;=1000,ROW()-ROW(M$4),"")</f>
        <v>656</v>
      </c>
    </row>
    <row r="661" spans="4:13" ht="12" customHeight="1" x14ac:dyDescent="0.25">
      <c r="D661" s="15" t="str">
        <f>IF(IF(ISNUMBER(B661),"",MAX(D$4:D660)+1)&lt;=D$3,IF(ISNUMBER(B661),"",MAX(D$4:D660)+1),"")</f>
        <v/>
      </c>
      <c r="H661" s="15"/>
      <c r="I661" s="15" t="str">
        <f>IF(O661="","",IF(ISNUMBER(MATCH(O661,$G$5:$G$1000,0)),"",IF(D661=1,B$4,0)+MAX(I$4:I660)+1))</f>
        <v/>
      </c>
      <c r="M661" s="14">
        <f>IF(ROW()-ROW(M$4)&lt;=1000,ROW()-ROW(M$4),"")</f>
        <v>657</v>
      </c>
    </row>
    <row r="662" spans="4:13" ht="12" customHeight="1" x14ac:dyDescent="0.25">
      <c r="D662" s="15" t="str">
        <f>IF(IF(ISNUMBER(B662),"",MAX(D$4:D661)+1)&lt;=D$3,IF(ISNUMBER(B662),"",MAX(D$4:D661)+1),"")</f>
        <v/>
      </c>
      <c r="H662" s="15"/>
      <c r="I662" s="15" t="str">
        <f>IF(O662="","",IF(ISNUMBER(MATCH(O662,$G$5:$G$1000,0)),"",IF(D662=1,B$4,0)+MAX(I$4:I661)+1))</f>
        <v/>
      </c>
      <c r="M662" s="14">
        <f>IF(ROW()-ROW(M$4)&lt;=1000,ROW()-ROW(M$4),"")</f>
        <v>658</v>
      </c>
    </row>
    <row r="663" spans="4:13" ht="12" customHeight="1" x14ac:dyDescent="0.25">
      <c r="D663" s="15" t="str">
        <f>IF(IF(ISNUMBER(B663),"",MAX(D$4:D662)+1)&lt;=D$3,IF(ISNUMBER(B663),"",MAX(D$4:D662)+1),"")</f>
        <v/>
      </c>
      <c r="H663" s="15"/>
      <c r="I663" s="15" t="str">
        <f>IF(O663="","",IF(ISNUMBER(MATCH(O663,$G$5:$G$1000,0)),"",IF(D663=1,B$4,0)+MAX(I$4:I662)+1))</f>
        <v/>
      </c>
      <c r="M663" s="14">
        <f>IF(ROW()-ROW(M$4)&lt;=1000,ROW()-ROW(M$4),"")</f>
        <v>659</v>
      </c>
    </row>
    <row r="664" spans="4:13" ht="12" customHeight="1" x14ac:dyDescent="0.25">
      <c r="D664" s="15" t="str">
        <f>IF(IF(ISNUMBER(B664),"",MAX(D$4:D663)+1)&lt;=D$3,IF(ISNUMBER(B664),"",MAX(D$4:D663)+1),"")</f>
        <v/>
      </c>
      <c r="H664" s="15"/>
      <c r="I664" s="15" t="str">
        <f>IF(O664="","",IF(ISNUMBER(MATCH(O664,$G$5:$G$1000,0)),"",IF(D664=1,B$4,0)+MAX(I$4:I663)+1))</f>
        <v/>
      </c>
      <c r="M664" s="14">
        <f>IF(ROW()-ROW(M$4)&lt;=1000,ROW()-ROW(M$4),"")</f>
        <v>660</v>
      </c>
    </row>
    <row r="665" spans="4:13" ht="12" customHeight="1" x14ac:dyDescent="0.25">
      <c r="D665" s="15" t="str">
        <f>IF(IF(ISNUMBER(B665),"",MAX(D$4:D664)+1)&lt;=D$3,IF(ISNUMBER(B665),"",MAX(D$4:D664)+1),"")</f>
        <v/>
      </c>
      <c r="H665" s="15"/>
      <c r="I665" s="15" t="str">
        <f>IF(O665="","",IF(ISNUMBER(MATCH(O665,$G$5:$G$1000,0)),"",IF(D665=1,B$4,0)+MAX(I$4:I664)+1))</f>
        <v/>
      </c>
      <c r="M665" s="14">
        <f>IF(ROW()-ROW(M$4)&lt;=1000,ROW()-ROW(M$4),"")</f>
        <v>661</v>
      </c>
    </row>
    <row r="666" spans="4:13" ht="12" customHeight="1" x14ac:dyDescent="0.25">
      <c r="D666" s="15" t="str">
        <f>IF(IF(ISNUMBER(B666),"",MAX(D$4:D665)+1)&lt;=D$3,IF(ISNUMBER(B666),"",MAX(D$4:D665)+1),"")</f>
        <v/>
      </c>
      <c r="H666" s="15"/>
      <c r="I666" s="15" t="str">
        <f>IF(O666="","",IF(ISNUMBER(MATCH(O666,$G$5:$G$1000,0)),"",IF(D666=1,B$4,0)+MAX(I$4:I665)+1))</f>
        <v/>
      </c>
      <c r="M666" s="14">
        <f>IF(ROW()-ROW(M$4)&lt;=1000,ROW()-ROW(M$4),"")</f>
        <v>662</v>
      </c>
    </row>
    <row r="667" spans="4:13" ht="12" customHeight="1" x14ac:dyDescent="0.25">
      <c r="D667" s="15" t="str">
        <f>IF(IF(ISNUMBER(B667),"",MAX(D$4:D666)+1)&lt;=D$3,IF(ISNUMBER(B667),"",MAX(D$4:D666)+1),"")</f>
        <v/>
      </c>
      <c r="H667" s="15"/>
      <c r="I667" s="15" t="str">
        <f>IF(O667="","",IF(ISNUMBER(MATCH(O667,$G$5:$G$1000,0)),"",IF(D667=1,B$4,0)+MAX(I$4:I666)+1))</f>
        <v/>
      </c>
      <c r="M667" s="14">
        <f>IF(ROW()-ROW(M$4)&lt;=1000,ROW()-ROW(M$4),"")</f>
        <v>663</v>
      </c>
    </row>
    <row r="668" spans="4:13" ht="12" customHeight="1" x14ac:dyDescent="0.25">
      <c r="D668" s="15" t="str">
        <f>IF(IF(ISNUMBER(B668),"",MAX(D$4:D667)+1)&lt;=D$3,IF(ISNUMBER(B668),"",MAX(D$4:D667)+1),"")</f>
        <v/>
      </c>
      <c r="H668" s="15"/>
      <c r="I668" s="15" t="str">
        <f>IF(O668="","",IF(ISNUMBER(MATCH(O668,$G$5:$G$1000,0)),"",IF(D668=1,B$4,0)+MAX(I$4:I667)+1))</f>
        <v/>
      </c>
      <c r="M668" s="14">
        <f>IF(ROW()-ROW(M$4)&lt;=1000,ROW()-ROW(M$4),"")</f>
        <v>664</v>
      </c>
    </row>
    <row r="669" spans="4:13" ht="12" customHeight="1" x14ac:dyDescent="0.25">
      <c r="D669" s="15" t="str">
        <f>IF(IF(ISNUMBER(B669),"",MAX(D$4:D668)+1)&lt;=D$3,IF(ISNUMBER(B669),"",MAX(D$4:D668)+1),"")</f>
        <v/>
      </c>
      <c r="H669" s="15"/>
      <c r="I669" s="15" t="str">
        <f>IF(O669="","",IF(ISNUMBER(MATCH(O669,$G$5:$G$1000,0)),"",IF(D669=1,B$4,0)+MAX(I$4:I668)+1))</f>
        <v/>
      </c>
      <c r="M669" s="14">
        <f>IF(ROW()-ROW(M$4)&lt;=1000,ROW()-ROW(M$4),"")</f>
        <v>665</v>
      </c>
    </row>
    <row r="670" spans="4:13" ht="12" customHeight="1" x14ac:dyDescent="0.25">
      <c r="D670" s="15" t="str">
        <f>IF(IF(ISNUMBER(B670),"",MAX(D$4:D669)+1)&lt;=D$3,IF(ISNUMBER(B670),"",MAX(D$4:D669)+1),"")</f>
        <v/>
      </c>
      <c r="H670" s="15"/>
      <c r="I670" s="15" t="str">
        <f>IF(O670="","",IF(ISNUMBER(MATCH(O670,$G$5:$G$1000,0)),"",IF(D670=1,B$4,0)+MAX(I$4:I669)+1))</f>
        <v/>
      </c>
      <c r="M670" s="14">
        <f>IF(ROW()-ROW(M$4)&lt;=1000,ROW()-ROW(M$4),"")</f>
        <v>666</v>
      </c>
    </row>
    <row r="671" spans="4:13" ht="12" customHeight="1" x14ac:dyDescent="0.25">
      <c r="D671" s="15" t="str">
        <f>IF(IF(ISNUMBER(B671),"",MAX(D$4:D670)+1)&lt;=D$3,IF(ISNUMBER(B671),"",MAX(D$4:D670)+1),"")</f>
        <v/>
      </c>
      <c r="H671" s="15"/>
      <c r="I671" s="15" t="str">
        <f>IF(O671="","",IF(ISNUMBER(MATCH(O671,$G$5:$G$1000,0)),"",IF(D671=1,B$4,0)+MAX(I$4:I670)+1))</f>
        <v/>
      </c>
      <c r="M671" s="14">
        <f>IF(ROW()-ROW(M$4)&lt;=1000,ROW()-ROW(M$4),"")</f>
        <v>667</v>
      </c>
    </row>
    <row r="672" spans="4:13" ht="12" customHeight="1" x14ac:dyDescent="0.25">
      <c r="D672" s="15" t="str">
        <f>IF(IF(ISNUMBER(B672),"",MAX(D$4:D671)+1)&lt;=D$3,IF(ISNUMBER(B672),"",MAX(D$4:D671)+1),"")</f>
        <v/>
      </c>
      <c r="H672" s="15"/>
      <c r="I672" s="15" t="str">
        <f>IF(O672="","",IF(ISNUMBER(MATCH(O672,$G$5:$G$1000,0)),"",IF(D672=1,B$4,0)+MAX(I$4:I671)+1))</f>
        <v/>
      </c>
      <c r="M672" s="14">
        <f>IF(ROW()-ROW(M$4)&lt;=1000,ROW()-ROW(M$4),"")</f>
        <v>668</v>
      </c>
    </row>
    <row r="673" spans="4:13" ht="12" customHeight="1" x14ac:dyDescent="0.25">
      <c r="D673" s="15" t="str">
        <f>IF(IF(ISNUMBER(B673),"",MAX(D$4:D672)+1)&lt;=D$3,IF(ISNUMBER(B673),"",MAX(D$4:D672)+1),"")</f>
        <v/>
      </c>
      <c r="H673" s="15"/>
      <c r="I673" s="15" t="str">
        <f>IF(O673="","",IF(ISNUMBER(MATCH(O673,$G$5:$G$1000,0)),"",IF(D673=1,B$4,0)+MAX(I$4:I672)+1))</f>
        <v/>
      </c>
      <c r="M673" s="14">
        <f>IF(ROW()-ROW(M$4)&lt;=1000,ROW()-ROW(M$4),"")</f>
        <v>669</v>
      </c>
    </row>
    <row r="674" spans="4:13" ht="12" customHeight="1" x14ac:dyDescent="0.25">
      <c r="D674" s="15" t="str">
        <f>IF(IF(ISNUMBER(B674),"",MAX(D$4:D673)+1)&lt;=D$3,IF(ISNUMBER(B674),"",MAX(D$4:D673)+1),"")</f>
        <v/>
      </c>
      <c r="H674" s="15"/>
      <c r="I674" s="15" t="str">
        <f>IF(O674="","",IF(ISNUMBER(MATCH(O674,$G$5:$G$1000,0)),"",IF(D674=1,B$4,0)+MAX(I$4:I673)+1))</f>
        <v/>
      </c>
      <c r="M674" s="14">
        <f>IF(ROW()-ROW(M$4)&lt;=1000,ROW()-ROW(M$4),"")</f>
        <v>670</v>
      </c>
    </row>
    <row r="675" spans="4:13" ht="12" customHeight="1" x14ac:dyDescent="0.25">
      <c r="D675" s="15" t="str">
        <f>IF(IF(ISNUMBER(B675),"",MAX(D$4:D674)+1)&lt;=D$3,IF(ISNUMBER(B675),"",MAX(D$4:D674)+1),"")</f>
        <v/>
      </c>
      <c r="H675" s="15"/>
      <c r="I675" s="15" t="str">
        <f>IF(O675="","",IF(ISNUMBER(MATCH(O675,$G$5:$G$1000,0)),"",IF(D675=1,B$4,0)+MAX(I$4:I674)+1))</f>
        <v/>
      </c>
      <c r="M675" s="14">
        <f>IF(ROW()-ROW(M$4)&lt;=1000,ROW()-ROW(M$4),"")</f>
        <v>671</v>
      </c>
    </row>
    <row r="676" spans="4:13" ht="12" customHeight="1" x14ac:dyDescent="0.25">
      <c r="D676" s="15" t="str">
        <f>IF(IF(ISNUMBER(B676),"",MAX(D$4:D675)+1)&lt;=D$3,IF(ISNUMBER(B676),"",MAX(D$4:D675)+1),"")</f>
        <v/>
      </c>
      <c r="H676" s="15"/>
      <c r="I676" s="15" t="str">
        <f>IF(O676="","",IF(ISNUMBER(MATCH(O676,$G$5:$G$1000,0)),"",IF(D676=1,B$4,0)+MAX(I$4:I675)+1))</f>
        <v/>
      </c>
      <c r="M676" s="14">
        <f>IF(ROW()-ROW(M$4)&lt;=1000,ROW()-ROW(M$4),"")</f>
        <v>672</v>
      </c>
    </row>
    <row r="677" spans="4:13" ht="12" customHeight="1" x14ac:dyDescent="0.25">
      <c r="D677" s="15" t="str">
        <f>IF(IF(ISNUMBER(B677),"",MAX(D$4:D676)+1)&lt;=D$3,IF(ISNUMBER(B677),"",MAX(D$4:D676)+1),"")</f>
        <v/>
      </c>
      <c r="H677" s="15"/>
      <c r="I677" s="15" t="str">
        <f>IF(O677="","",IF(ISNUMBER(MATCH(O677,$G$5:$G$1000,0)),"",IF(D677=1,B$4,0)+MAX(I$4:I676)+1))</f>
        <v/>
      </c>
      <c r="M677" s="14">
        <f>IF(ROW()-ROW(M$4)&lt;=1000,ROW()-ROW(M$4),"")</f>
        <v>673</v>
      </c>
    </row>
    <row r="678" spans="4:13" ht="12" customHeight="1" x14ac:dyDescent="0.25">
      <c r="D678" s="15" t="str">
        <f>IF(IF(ISNUMBER(B678),"",MAX(D$4:D677)+1)&lt;=D$3,IF(ISNUMBER(B678),"",MAX(D$4:D677)+1),"")</f>
        <v/>
      </c>
      <c r="H678" s="15"/>
      <c r="I678" s="15" t="str">
        <f>IF(O678="","",IF(ISNUMBER(MATCH(O678,$G$5:$G$1000,0)),"",IF(D678=1,B$4,0)+MAX(I$4:I677)+1))</f>
        <v/>
      </c>
      <c r="M678" s="14">
        <f>IF(ROW()-ROW(M$4)&lt;=1000,ROW()-ROW(M$4),"")</f>
        <v>674</v>
      </c>
    </row>
    <row r="679" spans="4:13" ht="12" customHeight="1" x14ac:dyDescent="0.25">
      <c r="D679" s="15" t="str">
        <f>IF(IF(ISNUMBER(B679),"",MAX(D$4:D678)+1)&lt;=D$3,IF(ISNUMBER(B679),"",MAX(D$4:D678)+1),"")</f>
        <v/>
      </c>
      <c r="H679" s="15"/>
      <c r="I679" s="15" t="str">
        <f>IF(O679="","",IF(ISNUMBER(MATCH(O679,$G$5:$G$1000,0)),"",IF(D679=1,B$4,0)+MAX(I$4:I678)+1))</f>
        <v/>
      </c>
      <c r="M679" s="14">
        <f>IF(ROW()-ROW(M$4)&lt;=1000,ROW()-ROW(M$4),"")</f>
        <v>675</v>
      </c>
    </row>
    <row r="680" spans="4:13" ht="12" customHeight="1" x14ac:dyDescent="0.25">
      <c r="D680" s="15" t="str">
        <f>IF(IF(ISNUMBER(B680),"",MAX(D$4:D679)+1)&lt;=D$3,IF(ISNUMBER(B680),"",MAX(D$4:D679)+1),"")</f>
        <v/>
      </c>
      <c r="H680" s="15"/>
      <c r="I680" s="15" t="str">
        <f>IF(O680="","",IF(ISNUMBER(MATCH(O680,$G$5:$G$1000,0)),"",IF(D680=1,B$4,0)+MAX(I$4:I679)+1))</f>
        <v/>
      </c>
      <c r="M680" s="14">
        <f>IF(ROW()-ROW(M$4)&lt;=1000,ROW()-ROW(M$4),"")</f>
        <v>676</v>
      </c>
    </row>
    <row r="681" spans="4:13" ht="12" customHeight="1" x14ac:dyDescent="0.25">
      <c r="D681" s="15" t="str">
        <f>IF(IF(ISNUMBER(B681),"",MAX(D$4:D680)+1)&lt;=D$3,IF(ISNUMBER(B681),"",MAX(D$4:D680)+1),"")</f>
        <v/>
      </c>
      <c r="H681" s="15"/>
      <c r="I681" s="15" t="str">
        <f>IF(O681="","",IF(ISNUMBER(MATCH(O681,$G$5:$G$1000,0)),"",IF(D681=1,B$4,0)+MAX(I$4:I680)+1))</f>
        <v/>
      </c>
      <c r="M681" s="14">
        <f>IF(ROW()-ROW(M$4)&lt;=1000,ROW()-ROW(M$4),"")</f>
        <v>677</v>
      </c>
    </row>
    <row r="682" spans="4:13" ht="12" customHeight="1" x14ac:dyDescent="0.25">
      <c r="D682" s="15" t="str">
        <f>IF(IF(ISNUMBER(B682),"",MAX(D$4:D681)+1)&lt;=D$3,IF(ISNUMBER(B682),"",MAX(D$4:D681)+1),"")</f>
        <v/>
      </c>
      <c r="H682" s="15"/>
      <c r="I682" s="15" t="str">
        <f>IF(O682="","",IF(ISNUMBER(MATCH(O682,$G$5:$G$1000,0)),"",IF(D682=1,B$4,0)+MAX(I$4:I681)+1))</f>
        <v/>
      </c>
      <c r="M682" s="14">
        <f>IF(ROW()-ROW(M$4)&lt;=1000,ROW()-ROW(M$4),"")</f>
        <v>678</v>
      </c>
    </row>
    <row r="683" spans="4:13" ht="12" customHeight="1" x14ac:dyDescent="0.25">
      <c r="D683" s="15" t="str">
        <f>IF(IF(ISNUMBER(B683),"",MAX(D$4:D682)+1)&lt;=D$3,IF(ISNUMBER(B683),"",MAX(D$4:D682)+1),"")</f>
        <v/>
      </c>
      <c r="H683" s="15"/>
      <c r="I683" s="15" t="str">
        <f>IF(O683="","",IF(ISNUMBER(MATCH(O683,$G$5:$G$1000,0)),"",IF(D683=1,B$4,0)+MAX(I$4:I682)+1))</f>
        <v/>
      </c>
      <c r="M683" s="14">
        <f>IF(ROW()-ROW(M$4)&lt;=1000,ROW()-ROW(M$4),"")</f>
        <v>679</v>
      </c>
    </row>
    <row r="684" spans="4:13" ht="12" customHeight="1" x14ac:dyDescent="0.25">
      <c r="D684" s="15" t="str">
        <f>IF(IF(ISNUMBER(B684),"",MAX(D$4:D683)+1)&lt;=D$3,IF(ISNUMBER(B684),"",MAX(D$4:D683)+1),"")</f>
        <v/>
      </c>
      <c r="H684" s="15"/>
      <c r="I684" s="15" t="str">
        <f>IF(O684="","",IF(ISNUMBER(MATCH(O684,$G$5:$G$1000,0)),"",IF(D684=1,B$4,0)+MAX(I$4:I683)+1))</f>
        <v/>
      </c>
      <c r="M684" s="14">
        <f>IF(ROW()-ROW(M$4)&lt;=1000,ROW()-ROW(M$4),"")</f>
        <v>680</v>
      </c>
    </row>
    <row r="685" spans="4:13" ht="12" customHeight="1" x14ac:dyDescent="0.25">
      <c r="D685" s="15" t="str">
        <f>IF(IF(ISNUMBER(B685),"",MAX(D$4:D684)+1)&lt;=D$3,IF(ISNUMBER(B685),"",MAX(D$4:D684)+1),"")</f>
        <v/>
      </c>
      <c r="H685" s="15"/>
      <c r="I685" s="15" t="str">
        <f>IF(O685="","",IF(ISNUMBER(MATCH(O685,$G$5:$G$1000,0)),"",IF(D685=1,B$4,0)+MAX(I$4:I684)+1))</f>
        <v/>
      </c>
      <c r="M685" s="14">
        <f>IF(ROW()-ROW(M$4)&lt;=1000,ROW()-ROW(M$4),"")</f>
        <v>681</v>
      </c>
    </row>
    <row r="686" spans="4:13" ht="12" customHeight="1" x14ac:dyDescent="0.25">
      <c r="D686" s="15" t="str">
        <f>IF(IF(ISNUMBER(B686),"",MAX(D$4:D685)+1)&lt;=D$3,IF(ISNUMBER(B686),"",MAX(D$4:D685)+1),"")</f>
        <v/>
      </c>
      <c r="H686" s="15"/>
      <c r="I686" s="15" t="str">
        <f>IF(O686="","",IF(ISNUMBER(MATCH(O686,$G$5:$G$1000,0)),"",IF(D686=1,B$4,0)+MAX(I$4:I685)+1))</f>
        <v/>
      </c>
      <c r="M686" s="14">
        <f>IF(ROW()-ROW(M$4)&lt;=1000,ROW()-ROW(M$4),"")</f>
        <v>682</v>
      </c>
    </row>
    <row r="687" spans="4:13" ht="12" customHeight="1" x14ac:dyDescent="0.25">
      <c r="D687" s="15" t="str">
        <f>IF(IF(ISNUMBER(B687),"",MAX(D$4:D686)+1)&lt;=D$3,IF(ISNUMBER(B687),"",MAX(D$4:D686)+1),"")</f>
        <v/>
      </c>
      <c r="H687" s="15"/>
      <c r="I687" s="15" t="str">
        <f>IF(O687="","",IF(ISNUMBER(MATCH(O687,$G$5:$G$1000,0)),"",IF(D687=1,B$4,0)+MAX(I$4:I686)+1))</f>
        <v/>
      </c>
      <c r="M687" s="14">
        <f>IF(ROW()-ROW(M$4)&lt;=1000,ROW()-ROW(M$4),"")</f>
        <v>683</v>
      </c>
    </row>
    <row r="688" spans="4:13" ht="12" customHeight="1" x14ac:dyDescent="0.25">
      <c r="D688" s="15" t="str">
        <f>IF(IF(ISNUMBER(B688),"",MAX(D$4:D687)+1)&lt;=D$3,IF(ISNUMBER(B688),"",MAX(D$4:D687)+1),"")</f>
        <v/>
      </c>
      <c r="H688" s="15"/>
      <c r="I688" s="15" t="str">
        <f>IF(O688="","",IF(ISNUMBER(MATCH(O688,$G$5:$G$1000,0)),"",IF(D688=1,B$4,0)+MAX(I$4:I687)+1))</f>
        <v/>
      </c>
      <c r="M688" s="14">
        <f>IF(ROW()-ROW(M$4)&lt;=1000,ROW()-ROW(M$4),"")</f>
        <v>684</v>
      </c>
    </row>
    <row r="689" spans="4:13" ht="12" customHeight="1" x14ac:dyDescent="0.25">
      <c r="D689" s="15" t="str">
        <f>IF(IF(ISNUMBER(B689),"",MAX(D$4:D688)+1)&lt;=D$3,IF(ISNUMBER(B689),"",MAX(D$4:D688)+1),"")</f>
        <v/>
      </c>
      <c r="H689" s="15"/>
      <c r="I689" s="15" t="str">
        <f>IF(O689="","",IF(ISNUMBER(MATCH(O689,$G$5:$G$1000,0)),"",IF(D689=1,B$4,0)+MAX(I$4:I688)+1))</f>
        <v/>
      </c>
      <c r="M689" s="14">
        <f>IF(ROW()-ROW(M$4)&lt;=1000,ROW()-ROW(M$4),"")</f>
        <v>685</v>
      </c>
    </row>
    <row r="690" spans="4:13" ht="12" customHeight="1" x14ac:dyDescent="0.25">
      <c r="D690" s="15" t="str">
        <f>IF(IF(ISNUMBER(B690),"",MAX(D$4:D689)+1)&lt;=D$3,IF(ISNUMBER(B690),"",MAX(D$4:D689)+1),"")</f>
        <v/>
      </c>
      <c r="H690" s="15"/>
      <c r="I690" s="15" t="str">
        <f>IF(O690="","",IF(ISNUMBER(MATCH(O690,$G$5:$G$1000,0)),"",IF(D690=1,B$4,0)+MAX(I$4:I689)+1))</f>
        <v/>
      </c>
      <c r="M690" s="14">
        <f>IF(ROW()-ROW(M$4)&lt;=1000,ROW()-ROW(M$4),"")</f>
        <v>686</v>
      </c>
    </row>
    <row r="691" spans="4:13" ht="12" customHeight="1" x14ac:dyDescent="0.25">
      <c r="D691" s="15" t="str">
        <f>IF(IF(ISNUMBER(B691),"",MAX(D$4:D690)+1)&lt;=D$3,IF(ISNUMBER(B691),"",MAX(D$4:D690)+1),"")</f>
        <v/>
      </c>
      <c r="H691" s="15"/>
      <c r="I691" s="15" t="str">
        <f>IF(O691="","",IF(ISNUMBER(MATCH(O691,$G$5:$G$1000,0)),"",IF(D691=1,B$4,0)+MAX(I$4:I690)+1))</f>
        <v/>
      </c>
      <c r="M691" s="14">
        <f>IF(ROW()-ROW(M$4)&lt;=1000,ROW()-ROW(M$4),"")</f>
        <v>687</v>
      </c>
    </row>
    <row r="692" spans="4:13" ht="12" customHeight="1" x14ac:dyDescent="0.25">
      <c r="D692" s="15" t="str">
        <f>IF(IF(ISNUMBER(B692),"",MAX(D$4:D691)+1)&lt;=D$3,IF(ISNUMBER(B692),"",MAX(D$4:D691)+1),"")</f>
        <v/>
      </c>
      <c r="H692" s="15"/>
      <c r="I692" s="15" t="str">
        <f>IF(O692="","",IF(ISNUMBER(MATCH(O692,$G$5:$G$1000,0)),"",IF(D692=1,B$4,0)+MAX(I$4:I691)+1))</f>
        <v/>
      </c>
      <c r="M692" s="14">
        <f>IF(ROW()-ROW(M$4)&lt;=1000,ROW()-ROW(M$4),"")</f>
        <v>688</v>
      </c>
    </row>
    <row r="693" spans="4:13" ht="12" customHeight="1" x14ac:dyDescent="0.25">
      <c r="D693" s="15" t="str">
        <f>IF(IF(ISNUMBER(B693),"",MAX(D$4:D692)+1)&lt;=D$3,IF(ISNUMBER(B693),"",MAX(D$4:D692)+1),"")</f>
        <v/>
      </c>
      <c r="H693" s="15"/>
      <c r="I693" s="15" t="str">
        <f>IF(O693="","",IF(ISNUMBER(MATCH(O693,$G$5:$G$1000,0)),"",IF(D693=1,B$4,0)+MAX(I$4:I692)+1))</f>
        <v/>
      </c>
      <c r="M693" s="14">
        <f>IF(ROW()-ROW(M$4)&lt;=1000,ROW()-ROW(M$4),"")</f>
        <v>689</v>
      </c>
    </row>
    <row r="694" spans="4:13" ht="12" customHeight="1" x14ac:dyDescent="0.25">
      <c r="D694" s="15" t="str">
        <f>IF(IF(ISNUMBER(B694),"",MAX(D$4:D693)+1)&lt;=D$3,IF(ISNUMBER(B694),"",MAX(D$4:D693)+1),"")</f>
        <v/>
      </c>
      <c r="H694" s="15"/>
      <c r="I694" s="15" t="str">
        <f>IF(O694="","",IF(ISNUMBER(MATCH(O694,$G$5:$G$1000,0)),"",IF(D694=1,B$4,0)+MAX(I$4:I693)+1))</f>
        <v/>
      </c>
      <c r="M694" s="14">
        <f>IF(ROW()-ROW(M$4)&lt;=1000,ROW()-ROW(M$4),"")</f>
        <v>690</v>
      </c>
    </row>
    <row r="695" spans="4:13" ht="12" customHeight="1" x14ac:dyDescent="0.25">
      <c r="D695" s="15" t="str">
        <f>IF(IF(ISNUMBER(B695),"",MAX(D$4:D694)+1)&lt;=D$3,IF(ISNUMBER(B695),"",MAX(D$4:D694)+1),"")</f>
        <v/>
      </c>
      <c r="H695" s="15"/>
      <c r="I695" s="15" t="str">
        <f>IF(O695="","",IF(ISNUMBER(MATCH(O695,$G$5:$G$1000,0)),"",IF(D695=1,B$4,0)+MAX(I$4:I694)+1))</f>
        <v/>
      </c>
      <c r="M695" s="14">
        <f>IF(ROW()-ROW(M$4)&lt;=1000,ROW()-ROW(M$4),"")</f>
        <v>691</v>
      </c>
    </row>
    <row r="696" spans="4:13" ht="12" customHeight="1" x14ac:dyDescent="0.25">
      <c r="D696" s="15" t="str">
        <f>IF(IF(ISNUMBER(B696),"",MAX(D$4:D695)+1)&lt;=D$3,IF(ISNUMBER(B696),"",MAX(D$4:D695)+1),"")</f>
        <v/>
      </c>
      <c r="H696" s="15"/>
      <c r="I696" s="15" t="str">
        <f>IF(O696="","",IF(ISNUMBER(MATCH(O696,$G$5:$G$1000,0)),"",IF(D696=1,B$4,0)+MAX(I$4:I695)+1))</f>
        <v/>
      </c>
      <c r="M696" s="14">
        <f>IF(ROW()-ROW(M$4)&lt;=1000,ROW()-ROW(M$4),"")</f>
        <v>692</v>
      </c>
    </row>
    <row r="697" spans="4:13" ht="12" customHeight="1" x14ac:dyDescent="0.25">
      <c r="D697" s="15" t="str">
        <f>IF(IF(ISNUMBER(B697),"",MAX(D$4:D696)+1)&lt;=D$3,IF(ISNUMBER(B697),"",MAX(D$4:D696)+1),"")</f>
        <v/>
      </c>
      <c r="H697" s="15"/>
      <c r="I697" s="15" t="str">
        <f>IF(O697="","",IF(ISNUMBER(MATCH(O697,$G$5:$G$1000,0)),"",IF(D697=1,B$4,0)+MAX(I$4:I696)+1))</f>
        <v/>
      </c>
      <c r="M697" s="14">
        <f>IF(ROW()-ROW(M$4)&lt;=1000,ROW()-ROW(M$4),"")</f>
        <v>693</v>
      </c>
    </row>
    <row r="698" spans="4:13" ht="12" customHeight="1" x14ac:dyDescent="0.25">
      <c r="D698" s="15" t="str">
        <f>IF(IF(ISNUMBER(B698),"",MAX(D$4:D697)+1)&lt;=D$3,IF(ISNUMBER(B698),"",MAX(D$4:D697)+1),"")</f>
        <v/>
      </c>
      <c r="H698" s="15"/>
      <c r="I698" s="15" t="str">
        <f>IF(O698="","",IF(ISNUMBER(MATCH(O698,$G$5:$G$1000,0)),"",IF(D698=1,B$4,0)+MAX(I$4:I697)+1))</f>
        <v/>
      </c>
      <c r="M698" s="14">
        <f>IF(ROW()-ROW(M$4)&lt;=1000,ROW()-ROW(M$4),"")</f>
        <v>694</v>
      </c>
    </row>
    <row r="699" spans="4:13" ht="12" customHeight="1" x14ac:dyDescent="0.25">
      <c r="D699" s="15" t="str">
        <f>IF(IF(ISNUMBER(B699),"",MAX(D$4:D698)+1)&lt;=D$3,IF(ISNUMBER(B699),"",MAX(D$4:D698)+1),"")</f>
        <v/>
      </c>
      <c r="H699" s="15"/>
      <c r="I699" s="15" t="str">
        <f>IF(O699="","",IF(ISNUMBER(MATCH(O699,$G$5:$G$1000,0)),"",IF(D699=1,B$4,0)+MAX(I$4:I698)+1))</f>
        <v/>
      </c>
      <c r="M699" s="14">
        <f>IF(ROW()-ROW(M$4)&lt;=1000,ROW()-ROW(M$4),"")</f>
        <v>695</v>
      </c>
    </row>
    <row r="700" spans="4:13" ht="12" customHeight="1" x14ac:dyDescent="0.25">
      <c r="D700" s="15" t="str">
        <f>IF(IF(ISNUMBER(B700),"",MAX(D$4:D699)+1)&lt;=D$3,IF(ISNUMBER(B700),"",MAX(D$4:D699)+1),"")</f>
        <v/>
      </c>
      <c r="H700" s="15"/>
      <c r="I700" s="15" t="str">
        <f>IF(O700="","",IF(ISNUMBER(MATCH(O700,$G$5:$G$1000,0)),"",IF(D700=1,B$4,0)+MAX(I$4:I699)+1))</f>
        <v/>
      </c>
      <c r="M700" s="14">
        <f>IF(ROW()-ROW(M$4)&lt;=1000,ROW()-ROW(M$4),"")</f>
        <v>696</v>
      </c>
    </row>
    <row r="701" spans="4:13" ht="12" customHeight="1" x14ac:dyDescent="0.25">
      <c r="D701" s="15" t="str">
        <f>IF(IF(ISNUMBER(B701),"",MAX(D$4:D700)+1)&lt;=D$3,IF(ISNUMBER(B701),"",MAX(D$4:D700)+1),"")</f>
        <v/>
      </c>
      <c r="H701" s="15"/>
      <c r="I701" s="15" t="str">
        <f>IF(O701="","",IF(ISNUMBER(MATCH(O701,$G$5:$G$1000,0)),"",IF(D701=1,B$4,0)+MAX(I$4:I700)+1))</f>
        <v/>
      </c>
      <c r="M701" s="14">
        <f>IF(ROW()-ROW(M$4)&lt;=1000,ROW()-ROW(M$4),"")</f>
        <v>697</v>
      </c>
    </row>
    <row r="702" spans="4:13" ht="12" customHeight="1" x14ac:dyDescent="0.25">
      <c r="D702" s="15" t="str">
        <f>IF(IF(ISNUMBER(B702),"",MAX(D$4:D701)+1)&lt;=D$3,IF(ISNUMBER(B702),"",MAX(D$4:D701)+1),"")</f>
        <v/>
      </c>
      <c r="H702" s="15"/>
      <c r="I702" s="15" t="str">
        <f>IF(O702="","",IF(ISNUMBER(MATCH(O702,$G$5:$G$1000,0)),"",IF(D702=1,B$4,0)+MAX(I$4:I701)+1))</f>
        <v/>
      </c>
      <c r="M702" s="14">
        <f>IF(ROW()-ROW(M$4)&lt;=1000,ROW()-ROW(M$4),"")</f>
        <v>698</v>
      </c>
    </row>
    <row r="703" spans="4:13" ht="12" customHeight="1" x14ac:dyDescent="0.25">
      <c r="D703" s="15" t="str">
        <f>IF(IF(ISNUMBER(B703),"",MAX(D$4:D702)+1)&lt;=D$3,IF(ISNUMBER(B703),"",MAX(D$4:D702)+1),"")</f>
        <v/>
      </c>
      <c r="H703" s="15"/>
      <c r="I703" s="15" t="str">
        <f>IF(O703="","",IF(ISNUMBER(MATCH(O703,$G$5:$G$1000,0)),"",IF(D703=1,B$4,0)+MAX(I$4:I702)+1))</f>
        <v/>
      </c>
      <c r="M703" s="14">
        <f>IF(ROW()-ROW(M$4)&lt;=1000,ROW()-ROW(M$4),"")</f>
        <v>699</v>
      </c>
    </row>
    <row r="704" spans="4:13" ht="12" customHeight="1" x14ac:dyDescent="0.25">
      <c r="D704" s="15" t="str">
        <f>IF(IF(ISNUMBER(B704),"",MAX(D$4:D703)+1)&lt;=D$3,IF(ISNUMBER(B704),"",MAX(D$4:D703)+1),"")</f>
        <v/>
      </c>
      <c r="H704" s="15"/>
      <c r="I704" s="15" t="str">
        <f>IF(O704="","",IF(ISNUMBER(MATCH(O704,$G$5:$G$1000,0)),"",IF(D704=1,B$4,0)+MAX(I$4:I703)+1))</f>
        <v/>
      </c>
      <c r="M704" s="14">
        <f>IF(ROW()-ROW(M$4)&lt;=1000,ROW()-ROW(M$4),"")</f>
        <v>700</v>
      </c>
    </row>
    <row r="705" spans="4:13" ht="12" customHeight="1" x14ac:dyDescent="0.25">
      <c r="D705" s="15" t="str">
        <f>IF(IF(ISNUMBER(B705),"",MAX(D$4:D704)+1)&lt;=D$3,IF(ISNUMBER(B705),"",MAX(D$4:D704)+1),"")</f>
        <v/>
      </c>
      <c r="H705" s="15"/>
      <c r="I705" s="15" t="str">
        <f>IF(O705="","",IF(ISNUMBER(MATCH(O705,$G$5:$G$1000,0)),"",IF(D705=1,B$4,0)+MAX(I$4:I704)+1))</f>
        <v/>
      </c>
      <c r="M705" s="14">
        <f>IF(ROW()-ROW(M$4)&lt;=1000,ROW()-ROW(M$4),"")</f>
        <v>701</v>
      </c>
    </row>
    <row r="706" spans="4:13" ht="12" customHeight="1" x14ac:dyDescent="0.25">
      <c r="D706" s="15" t="str">
        <f>IF(IF(ISNUMBER(B706),"",MAX(D$4:D705)+1)&lt;=D$3,IF(ISNUMBER(B706),"",MAX(D$4:D705)+1),"")</f>
        <v/>
      </c>
      <c r="H706" s="15"/>
      <c r="I706" s="15" t="str">
        <f>IF(O706="","",IF(ISNUMBER(MATCH(O706,$G$5:$G$1000,0)),"",IF(D706=1,B$4,0)+MAX(I$4:I705)+1))</f>
        <v/>
      </c>
      <c r="M706" s="14">
        <f>IF(ROW()-ROW(M$4)&lt;=1000,ROW()-ROW(M$4),"")</f>
        <v>702</v>
      </c>
    </row>
    <row r="707" spans="4:13" ht="12" customHeight="1" x14ac:dyDescent="0.25">
      <c r="D707" s="15" t="str">
        <f>IF(IF(ISNUMBER(B707),"",MAX(D$4:D706)+1)&lt;=D$3,IF(ISNUMBER(B707),"",MAX(D$4:D706)+1),"")</f>
        <v/>
      </c>
      <c r="H707" s="15"/>
      <c r="I707" s="15" t="str">
        <f>IF(O707="","",IF(ISNUMBER(MATCH(O707,$G$5:$G$1000,0)),"",IF(D707=1,B$4,0)+MAX(I$4:I706)+1))</f>
        <v/>
      </c>
      <c r="M707" s="14">
        <f>IF(ROW()-ROW(M$4)&lt;=1000,ROW()-ROW(M$4),"")</f>
        <v>703</v>
      </c>
    </row>
    <row r="708" spans="4:13" ht="12" customHeight="1" x14ac:dyDescent="0.25">
      <c r="D708" s="15" t="str">
        <f>IF(IF(ISNUMBER(B708),"",MAX(D$4:D707)+1)&lt;=D$3,IF(ISNUMBER(B708),"",MAX(D$4:D707)+1),"")</f>
        <v/>
      </c>
      <c r="H708" s="15"/>
      <c r="I708" s="15" t="str">
        <f>IF(O708="","",IF(ISNUMBER(MATCH(O708,$G$5:$G$1000,0)),"",IF(D708=1,B$4,0)+MAX(I$4:I707)+1))</f>
        <v/>
      </c>
      <c r="M708" s="14">
        <f>IF(ROW()-ROW(M$4)&lt;=1000,ROW()-ROW(M$4),"")</f>
        <v>704</v>
      </c>
    </row>
    <row r="709" spans="4:13" ht="12" customHeight="1" x14ac:dyDescent="0.25">
      <c r="D709" s="15" t="str">
        <f>IF(IF(ISNUMBER(B709),"",MAX(D$4:D708)+1)&lt;=D$3,IF(ISNUMBER(B709),"",MAX(D$4:D708)+1),"")</f>
        <v/>
      </c>
      <c r="H709" s="15"/>
      <c r="I709" s="15" t="str">
        <f>IF(O709="","",IF(ISNUMBER(MATCH(O709,$G$5:$G$1000,0)),"",IF(D709=1,B$4,0)+MAX(I$4:I708)+1))</f>
        <v/>
      </c>
      <c r="M709" s="14">
        <f>IF(ROW()-ROW(M$4)&lt;=1000,ROW()-ROW(M$4),"")</f>
        <v>705</v>
      </c>
    </row>
    <row r="710" spans="4:13" ht="12" customHeight="1" x14ac:dyDescent="0.25">
      <c r="D710" s="15" t="str">
        <f>IF(IF(ISNUMBER(B710),"",MAX(D$4:D709)+1)&lt;=D$3,IF(ISNUMBER(B710),"",MAX(D$4:D709)+1),"")</f>
        <v/>
      </c>
      <c r="H710" s="15"/>
      <c r="I710" s="15" t="str">
        <f>IF(O710="","",IF(ISNUMBER(MATCH(O710,$G$5:$G$1000,0)),"",IF(D710=1,B$4,0)+MAX(I$4:I709)+1))</f>
        <v/>
      </c>
      <c r="M710" s="14">
        <f>IF(ROW()-ROW(M$4)&lt;=1000,ROW()-ROW(M$4),"")</f>
        <v>706</v>
      </c>
    </row>
    <row r="711" spans="4:13" ht="12" customHeight="1" x14ac:dyDescent="0.25">
      <c r="D711" s="15" t="str">
        <f>IF(IF(ISNUMBER(B711),"",MAX(D$4:D710)+1)&lt;=D$3,IF(ISNUMBER(B711),"",MAX(D$4:D710)+1),"")</f>
        <v/>
      </c>
      <c r="H711" s="15"/>
      <c r="I711" s="15" t="str">
        <f>IF(O711="","",IF(ISNUMBER(MATCH(O711,$G$5:$G$1000,0)),"",IF(D711=1,B$4,0)+MAX(I$4:I710)+1))</f>
        <v/>
      </c>
      <c r="M711" s="14">
        <f>IF(ROW()-ROW(M$4)&lt;=1000,ROW()-ROW(M$4),"")</f>
        <v>707</v>
      </c>
    </row>
    <row r="712" spans="4:13" ht="12" customHeight="1" x14ac:dyDescent="0.25">
      <c r="D712" s="15" t="str">
        <f>IF(IF(ISNUMBER(B712),"",MAX(D$4:D711)+1)&lt;=D$3,IF(ISNUMBER(B712),"",MAX(D$4:D711)+1),"")</f>
        <v/>
      </c>
      <c r="H712" s="15"/>
      <c r="I712" s="15" t="str">
        <f>IF(O712="","",IF(ISNUMBER(MATCH(O712,$G$5:$G$1000,0)),"",IF(D712=1,B$4,0)+MAX(I$4:I711)+1))</f>
        <v/>
      </c>
      <c r="M712" s="14">
        <f>IF(ROW()-ROW(M$4)&lt;=1000,ROW()-ROW(M$4),"")</f>
        <v>708</v>
      </c>
    </row>
    <row r="713" spans="4:13" ht="12" customHeight="1" x14ac:dyDescent="0.25">
      <c r="D713" s="15" t="str">
        <f>IF(IF(ISNUMBER(B713),"",MAX(D$4:D712)+1)&lt;=D$3,IF(ISNUMBER(B713),"",MAX(D$4:D712)+1),"")</f>
        <v/>
      </c>
      <c r="H713" s="15"/>
      <c r="I713" s="15" t="str">
        <f>IF(O713="","",IF(ISNUMBER(MATCH(O713,$G$5:$G$1000,0)),"",IF(D713=1,B$4,0)+MAX(I$4:I712)+1))</f>
        <v/>
      </c>
      <c r="M713" s="14">
        <f>IF(ROW()-ROW(M$4)&lt;=1000,ROW()-ROW(M$4),"")</f>
        <v>709</v>
      </c>
    </row>
    <row r="714" spans="4:13" ht="12" customHeight="1" x14ac:dyDescent="0.25">
      <c r="D714" s="15" t="str">
        <f>IF(IF(ISNUMBER(B714),"",MAX(D$4:D713)+1)&lt;=D$3,IF(ISNUMBER(B714),"",MAX(D$4:D713)+1),"")</f>
        <v/>
      </c>
      <c r="H714" s="15"/>
      <c r="I714" s="15" t="str">
        <f>IF(O714="","",IF(ISNUMBER(MATCH(O714,$G$5:$G$1000,0)),"",IF(D714=1,B$4,0)+MAX(I$4:I713)+1))</f>
        <v/>
      </c>
      <c r="M714" s="14">
        <f>IF(ROW()-ROW(M$4)&lt;=1000,ROW()-ROW(M$4),"")</f>
        <v>710</v>
      </c>
    </row>
    <row r="715" spans="4:13" ht="12" customHeight="1" x14ac:dyDescent="0.25">
      <c r="D715" s="15" t="str">
        <f>IF(IF(ISNUMBER(B715),"",MAX(D$4:D714)+1)&lt;=D$3,IF(ISNUMBER(B715),"",MAX(D$4:D714)+1),"")</f>
        <v/>
      </c>
      <c r="H715" s="15"/>
      <c r="I715" s="15" t="str">
        <f>IF(O715="","",IF(ISNUMBER(MATCH(O715,$G$5:$G$1000,0)),"",IF(D715=1,B$4,0)+MAX(I$4:I714)+1))</f>
        <v/>
      </c>
      <c r="M715" s="14">
        <f>IF(ROW()-ROW(M$4)&lt;=1000,ROW()-ROW(M$4),"")</f>
        <v>711</v>
      </c>
    </row>
    <row r="716" spans="4:13" ht="12" customHeight="1" x14ac:dyDescent="0.25">
      <c r="D716" s="15" t="str">
        <f>IF(IF(ISNUMBER(B716),"",MAX(D$4:D715)+1)&lt;=D$3,IF(ISNUMBER(B716),"",MAX(D$4:D715)+1),"")</f>
        <v/>
      </c>
      <c r="H716" s="15"/>
      <c r="I716" s="15" t="str">
        <f>IF(O716="","",IF(ISNUMBER(MATCH(O716,$G$5:$G$1000,0)),"",IF(D716=1,B$4,0)+MAX(I$4:I715)+1))</f>
        <v/>
      </c>
      <c r="M716" s="14">
        <f>IF(ROW()-ROW(M$4)&lt;=1000,ROW()-ROW(M$4),"")</f>
        <v>712</v>
      </c>
    </row>
    <row r="717" spans="4:13" ht="12" customHeight="1" x14ac:dyDescent="0.25">
      <c r="D717" s="15" t="str">
        <f>IF(IF(ISNUMBER(B717),"",MAX(D$4:D716)+1)&lt;=D$3,IF(ISNUMBER(B717),"",MAX(D$4:D716)+1),"")</f>
        <v/>
      </c>
      <c r="H717" s="15"/>
      <c r="I717" s="15" t="str">
        <f>IF(O717="","",IF(ISNUMBER(MATCH(O717,$G$5:$G$1000,0)),"",IF(D717=1,B$4,0)+MAX(I$4:I716)+1))</f>
        <v/>
      </c>
      <c r="M717" s="14">
        <f>IF(ROW()-ROW(M$4)&lt;=1000,ROW()-ROW(M$4),"")</f>
        <v>713</v>
      </c>
    </row>
    <row r="718" spans="4:13" ht="12" customHeight="1" x14ac:dyDescent="0.25">
      <c r="D718" s="15" t="str">
        <f>IF(IF(ISNUMBER(B718),"",MAX(D$4:D717)+1)&lt;=D$3,IF(ISNUMBER(B718),"",MAX(D$4:D717)+1),"")</f>
        <v/>
      </c>
      <c r="H718" s="15"/>
      <c r="I718" s="15" t="str">
        <f>IF(O718="","",IF(ISNUMBER(MATCH(O718,$G$5:$G$1000,0)),"",IF(D718=1,B$4,0)+MAX(I$4:I717)+1))</f>
        <v/>
      </c>
      <c r="M718" s="14">
        <f>IF(ROW()-ROW(M$4)&lt;=1000,ROW()-ROW(M$4),"")</f>
        <v>714</v>
      </c>
    </row>
    <row r="719" spans="4:13" ht="12" customHeight="1" x14ac:dyDescent="0.25">
      <c r="D719" s="15" t="str">
        <f>IF(IF(ISNUMBER(B719),"",MAX(D$4:D718)+1)&lt;=D$3,IF(ISNUMBER(B719),"",MAX(D$4:D718)+1),"")</f>
        <v/>
      </c>
      <c r="H719" s="15"/>
      <c r="I719" s="15" t="str">
        <f>IF(O719="","",IF(ISNUMBER(MATCH(O719,$G$5:$G$1000,0)),"",IF(D719=1,B$4,0)+MAX(I$4:I718)+1))</f>
        <v/>
      </c>
      <c r="M719" s="14">
        <f>IF(ROW()-ROW(M$4)&lt;=1000,ROW()-ROW(M$4),"")</f>
        <v>715</v>
      </c>
    </row>
    <row r="720" spans="4:13" ht="12" customHeight="1" x14ac:dyDescent="0.25">
      <c r="D720" s="15" t="str">
        <f>IF(IF(ISNUMBER(B720),"",MAX(D$4:D719)+1)&lt;=D$3,IF(ISNUMBER(B720),"",MAX(D$4:D719)+1),"")</f>
        <v/>
      </c>
      <c r="H720" s="15"/>
      <c r="I720" s="15" t="str">
        <f>IF(O720="","",IF(ISNUMBER(MATCH(O720,$G$5:$G$1000,0)),"",IF(D720=1,B$4,0)+MAX(I$4:I719)+1))</f>
        <v/>
      </c>
      <c r="M720" s="14">
        <f>IF(ROW()-ROW(M$4)&lt;=1000,ROW()-ROW(M$4),"")</f>
        <v>716</v>
      </c>
    </row>
    <row r="721" spans="4:13" ht="12" customHeight="1" x14ac:dyDescent="0.25">
      <c r="D721" s="15" t="str">
        <f>IF(IF(ISNUMBER(B721),"",MAX(D$4:D720)+1)&lt;=D$3,IF(ISNUMBER(B721),"",MAX(D$4:D720)+1),"")</f>
        <v/>
      </c>
      <c r="H721" s="15"/>
      <c r="I721" s="15" t="str">
        <f>IF(O721="","",IF(ISNUMBER(MATCH(O721,$G$5:$G$1000,0)),"",IF(D721=1,B$4,0)+MAX(I$4:I720)+1))</f>
        <v/>
      </c>
      <c r="M721" s="14">
        <f>IF(ROW()-ROW(M$4)&lt;=1000,ROW()-ROW(M$4),"")</f>
        <v>717</v>
      </c>
    </row>
    <row r="722" spans="4:13" ht="12" customHeight="1" x14ac:dyDescent="0.25">
      <c r="D722" s="15" t="str">
        <f>IF(IF(ISNUMBER(B722),"",MAX(D$4:D721)+1)&lt;=D$3,IF(ISNUMBER(B722),"",MAX(D$4:D721)+1),"")</f>
        <v/>
      </c>
      <c r="H722" s="15"/>
      <c r="I722" s="15" t="str">
        <f>IF(O722="","",IF(ISNUMBER(MATCH(O722,$G$5:$G$1000,0)),"",IF(D722=1,B$4,0)+MAX(I$4:I721)+1))</f>
        <v/>
      </c>
      <c r="M722" s="14">
        <f>IF(ROW()-ROW(M$4)&lt;=1000,ROW()-ROW(M$4),"")</f>
        <v>718</v>
      </c>
    </row>
    <row r="723" spans="4:13" ht="12" customHeight="1" x14ac:dyDescent="0.25">
      <c r="D723" s="15" t="str">
        <f>IF(IF(ISNUMBER(B723),"",MAX(D$4:D722)+1)&lt;=D$3,IF(ISNUMBER(B723),"",MAX(D$4:D722)+1),"")</f>
        <v/>
      </c>
      <c r="H723" s="15"/>
      <c r="I723" s="15" t="str">
        <f>IF(O723="","",IF(ISNUMBER(MATCH(O723,$G$5:$G$1000,0)),"",IF(D723=1,B$4,0)+MAX(I$4:I722)+1))</f>
        <v/>
      </c>
      <c r="M723" s="14">
        <f>IF(ROW()-ROW(M$4)&lt;=1000,ROW()-ROW(M$4),"")</f>
        <v>719</v>
      </c>
    </row>
    <row r="724" spans="4:13" ht="12" customHeight="1" x14ac:dyDescent="0.25">
      <c r="D724" s="15" t="str">
        <f>IF(IF(ISNUMBER(B724),"",MAX(D$4:D723)+1)&lt;=D$3,IF(ISNUMBER(B724),"",MAX(D$4:D723)+1),"")</f>
        <v/>
      </c>
      <c r="H724" s="15"/>
      <c r="I724" s="15" t="str">
        <f>IF(O724="","",IF(ISNUMBER(MATCH(O724,$G$5:$G$1000,0)),"",IF(D724=1,B$4,0)+MAX(I$4:I723)+1))</f>
        <v/>
      </c>
      <c r="M724" s="14">
        <f>IF(ROW()-ROW(M$4)&lt;=1000,ROW()-ROW(M$4),"")</f>
        <v>720</v>
      </c>
    </row>
    <row r="725" spans="4:13" ht="12" customHeight="1" x14ac:dyDescent="0.25">
      <c r="D725" s="15" t="str">
        <f>IF(IF(ISNUMBER(B725),"",MAX(D$4:D724)+1)&lt;=D$3,IF(ISNUMBER(B725),"",MAX(D$4:D724)+1),"")</f>
        <v/>
      </c>
      <c r="H725" s="15"/>
      <c r="I725" s="15" t="str">
        <f>IF(O725="","",IF(ISNUMBER(MATCH(O725,$G$5:$G$1000,0)),"",IF(D725=1,B$4,0)+MAX(I$4:I724)+1))</f>
        <v/>
      </c>
      <c r="M725" s="14">
        <f>IF(ROW()-ROW(M$4)&lt;=1000,ROW()-ROW(M$4),"")</f>
        <v>721</v>
      </c>
    </row>
    <row r="726" spans="4:13" ht="12" customHeight="1" x14ac:dyDescent="0.25">
      <c r="D726" s="15" t="str">
        <f>IF(IF(ISNUMBER(B726),"",MAX(D$4:D725)+1)&lt;=D$3,IF(ISNUMBER(B726),"",MAX(D$4:D725)+1),"")</f>
        <v/>
      </c>
      <c r="H726" s="15"/>
      <c r="I726" s="15" t="str">
        <f>IF(O726="","",IF(ISNUMBER(MATCH(O726,$G$5:$G$1000,0)),"",IF(D726=1,B$4,0)+MAX(I$4:I725)+1))</f>
        <v/>
      </c>
      <c r="M726" s="14">
        <f>IF(ROW()-ROW(M$4)&lt;=1000,ROW()-ROW(M$4),"")</f>
        <v>722</v>
      </c>
    </row>
    <row r="727" spans="4:13" ht="12" customHeight="1" x14ac:dyDescent="0.25">
      <c r="D727" s="15" t="str">
        <f>IF(IF(ISNUMBER(B727),"",MAX(D$4:D726)+1)&lt;=D$3,IF(ISNUMBER(B727),"",MAX(D$4:D726)+1),"")</f>
        <v/>
      </c>
      <c r="H727" s="15"/>
      <c r="I727" s="15" t="str">
        <f>IF(O727="","",IF(ISNUMBER(MATCH(O727,$G$5:$G$1000,0)),"",IF(D727=1,B$4,0)+MAX(I$4:I726)+1))</f>
        <v/>
      </c>
      <c r="M727" s="14">
        <f>IF(ROW()-ROW(M$4)&lt;=1000,ROW()-ROW(M$4),"")</f>
        <v>723</v>
      </c>
    </row>
    <row r="728" spans="4:13" ht="12" customHeight="1" x14ac:dyDescent="0.25">
      <c r="D728" s="15" t="str">
        <f>IF(IF(ISNUMBER(B728),"",MAX(D$4:D727)+1)&lt;=D$3,IF(ISNUMBER(B728),"",MAX(D$4:D727)+1),"")</f>
        <v/>
      </c>
      <c r="H728" s="15"/>
      <c r="I728" s="15" t="str">
        <f>IF(O728="","",IF(ISNUMBER(MATCH(O728,$G$5:$G$1000,0)),"",IF(D728=1,B$4,0)+MAX(I$4:I727)+1))</f>
        <v/>
      </c>
      <c r="M728" s="14">
        <f>IF(ROW()-ROW(M$4)&lt;=1000,ROW()-ROW(M$4),"")</f>
        <v>724</v>
      </c>
    </row>
    <row r="729" spans="4:13" ht="12" customHeight="1" x14ac:dyDescent="0.25">
      <c r="D729" s="15" t="str">
        <f>IF(IF(ISNUMBER(B729),"",MAX(D$4:D728)+1)&lt;=D$3,IF(ISNUMBER(B729),"",MAX(D$4:D728)+1),"")</f>
        <v/>
      </c>
      <c r="H729" s="15"/>
      <c r="I729" s="15" t="str">
        <f>IF(O729="","",IF(ISNUMBER(MATCH(O729,$G$5:$G$1000,0)),"",IF(D729=1,B$4,0)+MAX(I$4:I728)+1))</f>
        <v/>
      </c>
      <c r="M729" s="14">
        <f>IF(ROW()-ROW(M$4)&lt;=1000,ROW()-ROW(M$4),"")</f>
        <v>725</v>
      </c>
    </row>
    <row r="730" spans="4:13" ht="12" customHeight="1" x14ac:dyDescent="0.25">
      <c r="D730" s="15" t="str">
        <f>IF(IF(ISNUMBER(B730),"",MAX(D$4:D729)+1)&lt;=D$3,IF(ISNUMBER(B730),"",MAX(D$4:D729)+1),"")</f>
        <v/>
      </c>
      <c r="H730" s="15"/>
      <c r="I730" s="15" t="str">
        <f>IF(O730="","",IF(ISNUMBER(MATCH(O730,$G$5:$G$1000,0)),"",IF(D730=1,B$4,0)+MAX(I$4:I729)+1))</f>
        <v/>
      </c>
      <c r="M730" s="14">
        <f>IF(ROW()-ROW(M$4)&lt;=1000,ROW()-ROW(M$4),"")</f>
        <v>726</v>
      </c>
    </row>
    <row r="731" spans="4:13" ht="12" customHeight="1" x14ac:dyDescent="0.25">
      <c r="D731" s="15" t="str">
        <f>IF(IF(ISNUMBER(B731),"",MAX(D$4:D730)+1)&lt;=D$3,IF(ISNUMBER(B731),"",MAX(D$4:D730)+1),"")</f>
        <v/>
      </c>
      <c r="H731" s="15"/>
      <c r="I731" s="15" t="str">
        <f>IF(O731="","",IF(ISNUMBER(MATCH(O731,$G$5:$G$1000,0)),"",IF(D731=1,B$4,0)+MAX(I$4:I730)+1))</f>
        <v/>
      </c>
      <c r="M731" s="14">
        <f>IF(ROW()-ROW(M$4)&lt;=1000,ROW()-ROW(M$4),"")</f>
        <v>727</v>
      </c>
    </row>
    <row r="732" spans="4:13" ht="12" customHeight="1" x14ac:dyDescent="0.25">
      <c r="D732" s="15" t="str">
        <f>IF(IF(ISNUMBER(B732),"",MAX(D$4:D731)+1)&lt;=D$3,IF(ISNUMBER(B732),"",MAX(D$4:D731)+1),"")</f>
        <v/>
      </c>
      <c r="H732" s="15"/>
      <c r="I732" s="15" t="str">
        <f>IF(O732="","",IF(ISNUMBER(MATCH(O732,$G$5:$G$1000,0)),"",IF(D732=1,B$4,0)+MAX(I$4:I731)+1))</f>
        <v/>
      </c>
      <c r="M732" s="14">
        <f>IF(ROW()-ROW(M$4)&lt;=1000,ROW()-ROW(M$4),"")</f>
        <v>728</v>
      </c>
    </row>
    <row r="733" spans="4:13" ht="12" customHeight="1" x14ac:dyDescent="0.25">
      <c r="D733" s="15" t="str">
        <f>IF(IF(ISNUMBER(B733),"",MAX(D$4:D732)+1)&lt;=D$3,IF(ISNUMBER(B733),"",MAX(D$4:D732)+1),"")</f>
        <v/>
      </c>
      <c r="H733" s="15"/>
      <c r="I733" s="15" t="str">
        <f>IF(O733="","",IF(ISNUMBER(MATCH(O733,$G$5:$G$1000,0)),"",IF(D733=1,B$4,0)+MAX(I$4:I732)+1))</f>
        <v/>
      </c>
      <c r="M733" s="14">
        <f>IF(ROW()-ROW(M$4)&lt;=1000,ROW()-ROW(M$4),"")</f>
        <v>729</v>
      </c>
    </row>
    <row r="734" spans="4:13" ht="12" customHeight="1" x14ac:dyDescent="0.25">
      <c r="D734" s="15" t="str">
        <f>IF(IF(ISNUMBER(B734),"",MAX(D$4:D733)+1)&lt;=D$3,IF(ISNUMBER(B734),"",MAX(D$4:D733)+1),"")</f>
        <v/>
      </c>
      <c r="H734" s="15"/>
      <c r="I734" s="15" t="str">
        <f>IF(O734="","",IF(ISNUMBER(MATCH(O734,$G$5:$G$1000,0)),"",IF(D734=1,B$4,0)+MAX(I$4:I733)+1))</f>
        <v/>
      </c>
      <c r="M734" s="14">
        <f>IF(ROW()-ROW(M$4)&lt;=1000,ROW()-ROW(M$4),"")</f>
        <v>730</v>
      </c>
    </row>
    <row r="735" spans="4:13" ht="12" customHeight="1" x14ac:dyDescent="0.25">
      <c r="D735" s="15" t="str">
        <f>IF(IF(ISNUMBER(B735),"",MAX(D$4:D734)+1)&lt;=D$3,IF(ISNUMBER(B735),"",MAX(D$4:D734)+1),"")</f>
        <v/>
      </c>
      <c r="H735" s="15"/>
      <c r="I735" s="15" t="str">
        <f>IF(O735="","",IF(ISNUMBER(MATCH(O735,$G$5:$G$1000,0)),"",IF(D735=1,B$4,0)+MAX(I$4:I734)+1))</f>
        <v/>
      </c>
      <c r="M735" s="14">
        <f>IF(ROW()-ROW(M$4)&lt;=1000,ROW()-ROW(M$4),"")</f>
        <v>731</v>
      </c>
    </row>
    <row r="736" spans="4:13" ht="12" customHeight="1" x14ac:dyDescent="0.25">
      <c r="D736" s="15" t="str">
        <f>IF(IF(ISNUMBER(B736),"",MAX(D$4:D735)+1)&lt;=D$3,IF(ISNUMBER(B736),"",MAX(D$4:D735)+1),"")</f>
        <v/>
      </c>
      <c r="H736" s="15"/>
      <c r="I736" s="15" t="str">
        <f>IF(O736="","",IF(ISNUMBER(MATCH(O736,$G$5:$G$1000,0)),"",IF(D736=1,B$4,0)+MAX(I$4:I735)+1))</f>
        <v/>
      </c>
      <c r="M736" s="14">
        <f>IF(ROW()-ROW(M$4)&lt;=1000,ROW()-ROW(M$4),"")</f>
        <v>732</v>
      </c>
    </row>
    <row r="737" spans="4:13" ht="12" customHeight="1" x14ac:dyDescent="0.25">
      <c r="D737" s="15" t="str">
        <f>IF(IF(ISNUMBER(B737),"",MAX(D$4:D736)+1)&lt;=D$3,IF(ISNUMBER(B737),"",MAX(D$4:D736)+1),"")</f>
        <v/>
      </c>
      <c r="H737" s="15"/>
      <c r="I737" s="15" t="str">
        <f>IF(O737="","",IF(ISNUMBER(MATCH(O737,$G$5:$G$1000,0)),"",IF(D737=1,B$4,0)+MAX(I$4:I736)+1))</f>
        <v/>
      </c>
      <c r="M737" s="14">
        <f>IF(ROW()-ROW(M$4)&lt;=1000,ROW()-ROW(M$4),"")</f>
        <v>733</v>
      </c>
    </row>
    <row r="738" spans="4:13" ht="12" customHeight="1" x14ac:dyDescent="0.25">
      <c r="D738" s="15" t="str">
        <f>IF(IF(ISNUMBER(B738),"",MAX(D$4:D737)+1)&lt;=D$3,IF(ISNUMBER(B738),"",MAX(D$4:D737)+1),"")</f>
        <v/>
      </c>
      <c r="H738" s="15"/>
      <c r="I738" s="15" t="str">
        <f>IF(O738="","",IF(ISNUMBER(MATCH(O738,$G$5:$G$1000,0)),"",IF(D738=1,B$4,0)+MAX(I$4:I737)+1))</f>
        <v/>
      </c>
      <c r="M738" s="14">
        <f>IF(ROW()-ROW(M$4)&lt;=1000,ROW()-ROW(M$4),"")</f>
        <v>734</v>
      </c>
    </row>
    <row r="739" spans="4:13" ht="12" customHeight="1" x14ac:dyDescent="0.25">
      <c r="D739" s="15" t="str">
        <f>IF(IF(ISNUMBER(B739),"",MAX(D$4:D738)+1)&lt;=D$3,IF(ISNUMBER(B739),"",MAX(D$4:D738)+1),"")</f>
        <v/>
      </c>
      <c r="H739" s="15"/>
      <c r="I739" s="15" t="str">
        <f>IF(O739="","",IF(ISNUMBER(MATCH(O739,$G$5:$G$1000,0)),"",IF(D739=1,B$4,0)+MAX(I$4:I738)+1))</f>
        <v/>
      </c>
      <c r="M739" s="14">
        <f>IF(ROW()-ROW(M$4)&lt;=1000,ROW()-ROW(M$4),"")</f>
        <v>735</v>
      </c>
    </row>
    <row r="740" spans="4:13" ht="12" customHeight="1" x14ac:dyDescent="0.25">
      <c r="D740" s="15" t="str">
        <f>IF(IF(ISNUMBER(B740),"",MAX(D$4:D739)+1)&lt;=D$3,IF(ISNUMBER(B740),"",MAX(D$4:D739)+1),"")</f>
        <v/>
      </c>
      <c r="H740" s="15"/>
      <c r="I740" s="15" t="str">
        <f>IF(O740="","",IF(ISNUMBER(MATCH(O740,$G$5:$G$1000,0)),"",IF(D740=1,B$4,0)+MAX(I$4:I739)+1))</f>
        <v/>
      </c>
      <c r="M740" s="14">
        <f>IF(ROW()-ROW(M$4)&lt;=1000,ROW()-ROW(M$4),"")</f>
        <v>736</v>
      </c>
    </row>
    <row r="741" spans="4:13" ht="12" customHeight="1" x14ac:dyDescent="0.25">
      <c r="D741" s="15" t="str">
        <f>IF(IF(ISNUMBER(B741),"",MAX(D$4:D740)+1)&lt;=D$3,IF(ISNUMBER(B741),"",MAX(D$4:D740)+1),"")</f>
        <v/>
      </c>
      <c r="H741" s="15"/>
      <c r="I741" s="15" t="str">
        <f>IF(O741="","",IF(ISNUMBER(MATCH(O741,$G$5:$G$1000,0)),"",IF(D741=1,B$4,0)+MAX(I$4:I740)+1))</f>
        <v/>
      </c>
      <c r="M741" s="14">
        <f>IF(ROW()-ROW(M$4)&lt;=1000,ROW()-ROW(M$4),"")</f>
        <v>737</v>
      </c>
    </row>
    <row r="742" spans="4:13" ht="12" customHeight="1" x14ac:dyDescent="0.25">
      <c r="D742" s="15" t="str">
        <f>IF(IF(ISNUMBER(B742),"",MAX(D$4:D741)+1)&lt;=D$3,IF(ISNUMBER(B742),"",MAX(D$4:D741)+1),"")</f>
        <v/>
      </c>
      <c r="H742" s="15"/>
      <c r="I742" s="15" t="str">
        <f>IF(O742="","",IF(ISNUMBER(MATCH(O742,$G$5:$G$1000,0)),"",IF(D742=1,B$4,0)+MAX(I$4:I741)+1))</f>
        <v/>
      </c>
      <c r="M742" s="14">
        <f>IF(ROW()-ROW(M$4)&lt;=1000,ROW()-ROW(M$4),"")</f>
        <v>738</v>
      </c>
    </row>
    <row r="743" spans="4:13" ht="12" customHeight="1" x14ac:dyDescent="0.25">
      <c r="D743" s="15" t="str">
        <f>IF(IF(ISNUMBER(B743),"",MAX(D$4:D742)+1)&lt;=D$3,IF(ISNUMBER(B743),"",MAX(D$4:D742)+1),"")</f>
        <v/>
      </c>
      <c r="H743" s="15"/>
      <c r="I743" s="15" t="str">
        <f>IF(O743="","",IF(ISNUMBER(MATCH(O743,$G$5:$G$1000,0)),"",IF(D743=1,B$4,0)+MAX(I$4:I742)+1))</f>
        <v/>
      </c>
      <c r="M743" s="14">
        <f>IF(ROW()-ROW(M$4)&lt;=1000,ROW()-ROW(M$4),"")</f>
        <v>739</v>
      </c>
    </row>
    <row r="744" spans="4:13" ht="12" customHeight="1" x14ac:dyDescent="0.25">
      <c r="D744" s="15" t="str">
        <f>IF(IF(ISNUMBER(B744),"",MAX(D$4:D743)+1)&lt;=D$3,IF(ISNUMBER(B744),"",MAX(D$4:D743)+1),"")</f>
        <v/>
      </c>
      <c r="H744" s="15"/>
      <c r="I744" s="15" t="str">
        <f>IF(O744="","",IF(ISNUMBER(MATCH(O744,$G$5:$G$1000,0)),"",IF(D744=1,B$4,0)+MAX(I$4:I743)+1))</f>
        <v/>
      </c>
      <c r="M744" s="14">
        <f>IF(ROW()-ROW(M$4)&lt;=1000,ROW()-ROW(M$4),"")</f>
        <v>740</v>
      </c>
    </row>
    <row r="745" spans="4:13" ht="12" customHeight="1" x14ac:dyDescent="0.25">
      <c r="D745" s="15" t="str">
        <f>IF(IF(ISNUMBER(B745),"",MAX(D$4:D744)+1)&lt;=D$3,IF(ISNUMBER(B745),"",MAX(D$4:D744)+1),"")</f>
        <v/>
      </c>
      <c r="H745" s="15"/>
      <c r="I745" s="15" t="str">
        <f>IF(O745="","",IF(ISNUMBER(MATCH(O745,$G$5:$G$1000,0)),"",IF(D745=1,B$4,0)+MAX(I$4:I744)+1))</f>
        <v/>
      </c>
      <c r="M745" s="14">
        <f>IF(ROW()-ROW(M$4)&lt;=1000,ROW()-ROW(M$4),"")</f>
        <v>741</v>
      </c>
    </row>
    <row r="746" spans="4:13" ht="12" customHeight="1" x14ac:dyDescent="0.25">
      <c r="D746" s="15" t="str">
        <f>IF(IF(ISNUMBER(B746),"",MAX(D$4:D745)+1)&lt;=D$3,IF(ISNUMBER(B746),"",MAX(D$4:D745)+1),"")</f>
        <v/>
      </c>
      <c r="H746" s="15"/>
      <c r="I746" s="15" t="str">
        <f>IF(O746="","",IF(ISNUMBER(MATCH(O746,$G$5:$G$1000,0)),"",IF(D746=1,B$4,0)+MAX(I$4:I745)+1))</f>
        <v/>
      </c>
      <c r="M746" s="14">
        <f>IF(ROW()-ROW(M$4)&lt;=1000,ROW()-ROW(M$4),"")</f>
        <v>742</v>
      </c>
    </row>
    <row r="747" spans="4:13" ht="12" customHeight="1" x14ac:dyDescent="0.25">
      <c r="D747" s="15" t="str">
        <f>IF(IF(ISNUMBER(B747),"",MAX(D$4:D746)+1)&lt;=D$3,IF(ISNUMBER(B747),"",MAX(D$4:D746)+1),"")</f>
        <v/>
      </c>
      <c r="H747" s="15"/>
      <c r="I747" s="15" t="str">
        <f>IF(O747="","",IF(ISNUMBER(MATCH(O747,$G$5:$G$1000,0)),"",IF(D747=1,B$4,0)+MAX(I$4:I746)+1))</f>
        <v/>
      </c>
      <c r="M747" s="14">
        <f>IF(ROW()-ROW(M$4)&lt;=1000,ROW()-ROW(M$4),"")</f>
        <v>743</v>
      </c>
    </row>
    <row r="748" spans="4:13" ht="12" customHeight="1" x14ac:dyDescent="0.25">
      <c r="D748" s="15" t="str">
        <f>IF(IF(ISNUMBER(B748),"",MAX(D$4:D747)+1)&lt;=D$3,IF(ISNUMBER(B748),"",MAX(D$4:D747)+1),"")</f>
        <v/>
      </c>
      <c r="H748" s="15"/>
      <c r="I748" s="15" t="str">
        <f>IF(O748="","",IF(ISNUMBER(MATCH(O748,$G$5:$G$1000,0)),"",IF(D748=1,B$4,0)+MAX(I$4:I747)+1))</f>
        <v/>
      </c>
      <c r="M748" s="14">
        <f>IF(ROW()-ROW(M$4)&lt;=1000,ROW()-ROW(M$4),"")</f>
        <v>744</v>
      </c>
    </row>
    <row r="749" spans="4:13" ht="12" customHeight="1" x14ac:dyDescent="0.25">
      <c r="D749" s="15" t="str">
        <f>IF(IF(ISNUMBER(B749),"",MAX(D$4:D748)+1)&lt;=D$3,IF(ISNUMBER(B749),"",MAX(D$4:D748)+1),"")</f>
        <v/>
      </c>
      <c r="H749" s="15"/>
      <c r="I749" s="15" t="str">
        <f>IF(O749="","",IF(ISNUMBER(MATCH(O749,$G$5:$G$1000,0)),"",IF(D749=1,B$4,0)+MAX(I$4:I748)+1))</f>
        <v/>
      </c>
      <c r="M749" s="14">
        <f>IF(ROW()-ROW(M$4)&lt;=1000,ROW()-ROW(M$4),"")</f>
        <v>745</v>
      </c>
    </row>
    <row r="750" spans="4:13" ht="12" customHeight="1" x14ac:dyDescent="0.25">
      <c r="D750" s="15" t="str">
        <f>IF(IF(ISNUMBER(B750),"",MAX(D$4:D749)+1)&lt;=D$3,IF(ISNUMBER(B750),"",MAX(D$4:D749)+1),"")</f>
        <v/>
      </c>
      <c r="H750" s="15"/>
      <c r="I750" s="15" t="str">
        <f>IF(O750="","",IF(ISNUMBER(MATCH(O750,$G$5:$G$1000,0)),"",IF(D750=1,B$4,0)+MAX(I$4:I749)+1))</f>
        <v/>
      </c>
      <c r="M750" s="14">
        <f>IF(ROW()-ROW(M$4)&lt;=1000,ROW()-ROW(M$4),"")</f>
        <v>746</v>
      </c>
    </row>
    <row r="751" spans="4:13" ht="12" customHeight="1" x14ac:dyDescent="0.25">
      <c r="D751" s="15" t="str">
        <f>IF(IF(ISNUMBER(B751),"",MAX(D$4:D750)+1)&lt;=D$3,IF(ISNUMBER(B751),"",MAX(D$4:D750)+1),"")</f>
        <v/>
      </c>
      <c r="H751" s="15"/>
      <c r="I751" s="15" t="str">
        <f>IF(O751="","",IF(ISNUMBER(MATCH(O751,$G$5:$G$1000,0)),"",IF(D751=1,B$4,0)+MAX(I$4:I750)+1))</f>
        <v/>
      </c>
      <c r="M751" s="14">
        <f>IF(ROW()-ROW(M$4)&lt;=1000,ROW()-ROW(M$4),"")</f>
        <v>747</v>
      </c>
    </row>
    <row r="752" spans="4:13" ht="12" customHeight="1" x14ac:dyDescent="0.25">
      <c r="D752" s="15" t="str">
        <f>IF(IF(ISNUMBER(B752),"",MAX(D$4:D751)+1)&lt;=D$3,IF(ISNUMBER(B752),"",MAX(D$4:D751)+1),"")</f>
        <v/>
      </c>
      <c r="H752" s="15"/>
      <c r="I752" s="15" t="str">
        <f>IF(O752="","",IF(ISNUMBER(MATCH(O752,$G$5:$G$1000,0)),"",IF(D752=1,B$4,0)+MAX(I$4:I751)+1))</f>
        <v/>
      </c>
      <c r="M752" s="14">
        <f>IF(ROW()-ROW(M$4)&lt;=1000,ROW()-ROW(M$4),"")</f>
        <v>748</v>
      </c>
    </row>
    <row r="753" spans="4:13" ht="12" customHeight="1" x14ac:dyDescent="0.25">
      <c r="D753" s="15" t="str">
        <f>IF(IF(ISNUMBER(B753),"",MAX(D$4:D752)+1)&lt;=D$3,IF(ISNUMBER(B753),"",MAX(D$4:D752)+1),"")</f>
        <v/>
      </c>
      <c r="H753" s="15"/>
      <c r="I753" s="15" t="str">
        <f>IF(O753="","",IF(ISNUMBER(MATCH(O753,$G$5:$G$1000,0)),"",IF(D753=1,B$4,0)+MAX(I$4:I752)+1))</f>
        <v/>
      </c>
      <c r="M753" s="14">
        <f>IF(ROW()-ROW(M$4)&lt;=1000,ROW()-ROW(M$4),"")</f>
        <v>749</v>
      </c>
    </row>
    <row r="754" spans="4:13" ht="12" customHeight="1" x14ac:dyDescent="0.25">
      <c r="D754" s="15" t="str">
        <f>IF(IF(ISNUMBER(B754),"",MAX(D$4:D753)+1)&lt;=D$3,IF(ISNUMBER(B754),"",MAX(D$4:D753)+1),"")</f>
        <v/>
      </c>
      <c r="H754" s="15"/>
      <c r="I754" s="15" t="str">
        <f>IF(O754="","",IF(ISNUMBER(MATCH(O754,$G$5:$G$1000,0)),"",IF(D754=1,B$4,0)+MAX(I$4:I753)+1))</f>
        <v/>
      </c>
      <c r="M754" s="14">
        <f>IF(ROW()-ROW(M$4)&lt;=1000,ROW()-ROW(M$4),"")</f>
        <v>750</v>
      </c>
    </row>
    <row r="755" spans="4:13" ht="12" customHeight="1" x14ac:dyDescent="0.25">
      <c r="D755" s="15" t="str">
        <f>IF(IF(ISNUMBER(B755),"",MAX(D$4:D754)+1)&lt;=D$3,IF(ISNUMBER(B755),"",MAX(D$4:D754)+1),"")</f>
        <v/>
      </c>
      <c r="H755" s="15"/>
      <c r="I755" s="15" t="str">
        <f>IF(O755="","",IF(ISNUMBER(MATCH(O755,$G$5:$G$1000,0)),"",IF(D755=1,B$4,0)+MAX(I$4:I754)+1))</f>
        <v/>
      </c>
      <c r="M755" s="14">
        <f>IF(ROW()-ROW(M$4)&lt;=1000,ROW()-ROW(M$4),"")</f>
        <v>751</v>
      </c>
    </row>
    <row r="756" spans="4:13" ht="12" customHeight="1" x14ac:dyDescent="0.25">
      <c r="D756" s="15" t="str">
        <f>IF(IF(ISNUMBER(B756),"",MAX(D$4:D755)+1)&lt;=D$3,IF(ISNUMBER(B756),"",MAX(D$4:D755)+1),"")</f>
        <v/>
      </c>
      <c r="H756" s="15"/>
      <c r="I756" s="15" t="str">
        <f>IF(O756="","",IF(ISNUMBER(MATCH(O756,$G$5:$G$1000,0)),"",IF(D756=1,B$4,0)+MAX(I$4:I755)+1))</f>
        <v/>
      </c>
      <c r="M756" s="14">
        <f>IF(ROW()-ROW(M$4)&lt;=1000,ROW()-ROW(M$4),"")</f>
        <v>752</v>
      </c>
    </row>
    <row r="757" spans="4:13" ht="12" customHeight="1" x14ac:dyDescent="0.25">
      <c r="D757" s="15" t="str">
        <f>IF(IF(ISNUMBER(B757),"",MAX(D$4:D756)+1)&lt;=D$3,IF(ISNUMBER(B757),"",MAX(D$4:D756)+1),"")</f>
        <v/>
      </c>
      <c r="H757" s="15"/>
      <c r="I757" s="15" t="str">
        <f>IF(O757="","",IF(ISNUMBER(MATCH(O757,$G$5:$G$1000,0)),"",IF(D757=1,B$4,0)+MAX(I$4:I756)+1))</f>
        <v/>
      </c>
      <c r="M757" s="14">
        <f>IF(ROW()-ROW(M$4)&lt;=1000,ROW()-ROW(M$4),"")</f>
        <v>753</v>
      </c>
    </row>
    <row r="758" spans="4:13" ht="12" customHeight="1" x14ac:dyDescent="0.25">
      <c r="D758" s="15" t="str">
        <f>IF(IF(ISNUMBER(B758),"",MAX(D$4:D757)+1)&lt;=D$3,IF(ISNUMBER(B758),"",MAX(D$4:D757)+1),"")</f>
        <v/>
      </c>
      <c r="H758" s="15"/>
      <c r="I758" s="15" t="str">
        <f>IF(O758="","",IF(ISNUMBER(MATCH(O758,$G$5:$G$1000,0)),"",IF(D758=1,B$4,0)+MAX(I$4:I757)+1))</f>
        <v/>
      </c>
      <c r="M758" s="14">
        <f>IF(ROW()-ROW(M$4)&lt;=1000,ROW()-ROW(M$4),"")</f>
        <v>754</v>
      </c>
    </row>
    <row r="759" spans="4:13" ht="12" customHeight="1" x14ac:dyDescent="0.25">
      <c r="D759" s="15" t="str">
        <f>IF(IF(ISNUMBER(B759),"",MAX(D$4:D758)+1)&lt;=D$3,IF(ISNUMBER(B759),"",MAX(D$4:D758)+1),"")</f>
        <v/>
      </c>
      <c r="H759" s="15"/>
      <c r="I759" s="15" t="str">
        <f>IF(O759="","",IF(ISNUMBER(MATCH(O759,$G$5:$G$1000,0)),"",IF(D759=1,B$4,0)+MAX(I$4:I758)+1))</f>
        <v/>
      </c>
      <c r="M759" s="14">
        <f>IF(ROW()-ROW(M$4)&lt;=1000,ROW()-ROW(M$4),"")</f>
        <v>755</v>
      </c>
    </row>
    <row r="760" spans="4:13" ht="12" customHeight="1" x14ac:dyDescent="0.25">
      <c r="D760" s="15" t="str">
        <f>IF(IF(ISNUMBER(B760),"",MAX(D$4:D759)+1)&lt;=D$3,IF(ISNUMBER(B760),"",MAX(D$4:D759)+1),"")</f>
        <v/>
      </c>
      <c r="H760" s="15"/>
      <c r="I760" s="15" t="str">
        <f>IF(O760="","",IF(ISNUMBER(MATCH(O760,$G$5:$G$1000,0)),"",IF(D760=1,B$4,0)+MAX(I$4:I759)+1))</f>
        <v/>
      </c>
      <c r="M760" s="14">
        <f>IF(ROW()-ROW(M$4)&lt;=1000,ROW()-ROW(M$4),"")</f>
        <v>756</v>
      </c>
    </row>
    <row r="761" spans="4:13" ht="12" customHeight="1" x14ac:dyDescent="0.25">
      <c r="D761" s="15" t="str">
        <f>IF(IF(ISNUMBER(B761),"",MAX(D$4:D760)+1)&lt;=D$3,IF(ISNUMBER(B761),"",MAX(D$4:D760)+1),"")</f>
        <v/>
      </c>
      <c r="H761" s="15"/>
      <c r="I761" s="15" t="str">
        <f>IF(O761="","",IF(ISNUMBER(MATCH(O761,$G$5:$G$1000,0)),"",IF(D761=1,B$4,0)+MAX(I$4:I760)+1))</f>
        <v/>
      </c>
      <c r="M761" s="14">
        <f>IF(ROW()-ROW(M$4)&lt;=1000,ROW()-ROW(M$4),"")</f>
        <v>757</v>
      </c>
    </row>
    <row r="762" spans="4:13" ht="12" customHeight="1" x14ac:dyDescent="0.25">
      <c r="D762" s="15" t="str">
        <f>IF(IF(ISNUMBER(B762),"",MAX(D$4:D761)+1)&lt;=D$3,IF(ISNUMBER(B762),"",MAX(D$4:D761)+1),"")</f>
        <v/>
      </c>
      <c r="H762" s="15"/>
      <c r="I762" s="15" t="str">
        <f>IF(O762="","",IF(ISNUMBER(MATCH(O762,$G$5:$G$1000,0)),"",IF(D762=1,B$4,0)+MAX(I$4:I761)+1))</f>
        <v/>
      </c>
      <c r="M762" s="14">
        <f>IF(ROW()-ROW(M$4)&lt;=1000,ROW()-ROW(M$4),"")</f>
        <v>758</v>
      </c>
    </row>
    <row r="763" spans="4:13" ht="12" customHeight="1" x14ac:dyDescent="0.25">
      <c r="D763" s="15" t="str">
        <f>IF(IF(ISNUMBER(B763),"",MAX(D$4:D762)+1)&lt;=D$3,IF(ISNUMBER(B763),"",MAX(D$4:D762)+1),"")</f>
        <v/>
      </c>
      <c r="H763" s="15"/>
      <c r="I763" s="15" t="str">
        <f>IF(O763="","",IF(ISNUMBER(MATCH(O763,$G$5:$G$1000,0)),"",IF(D763=1,B$4,0)+MAX(I$4:I762)+1))</f>
        <v/>
      </c>
      <c r="M763" s="14">
        <f>IF(ROW()-ROW(M$4)&lt;=1000,ROW()-ROW(M$4),"")</f>
        <v>759</v>
      </c>
    </row>
    <row r="764" spans="4:13" ht="12" customHeight="1" x14ac:dyDescent="0.25">
      <c r="D764" s="15" t="str">
        <f>IF(IF(ISNUMBER(B764),"",MAX(D$4:D763)+1)&lt;=D$3,IF(ISNUMBER(B764),"",MAX(D$4:D763)+1),"")</f>
        <v/>
      </c>
      <c r="H764" s="15"/>
      <c r="I764" s="15" t="str">
        <f>IF(O764="","",IF(ISNUMBER(MATCH(O764,$G$5:$G$1000,0)),"",IF(D764=1,B$4,0)+MAX(I$4:I763)+1))</f>
        <v/>
      </c>
      <c r="M764" s="14">
        <f>IF(ROW()-ROW(M$4)&lt;=1000,ROW()-ROW(M$4),"")</f>
        <v>760</v>
      </c>
    </row>
    <row r="765" spans="4:13" ht="12" customHeight="1" x14ac:dyDescent="0.25">
      <c r="D765" s="15" t="str">
        <f>IF(IF(ISNUMBER(B765),"",MAX(D$4:D764)+1)&lt;=D$3,IF(ISNUMBER(B765),"",MAX(D$4:D764)+1),"")</f>
        <v/>
      </c>
      <c r="H765" s="15"/>
      <c r="I765" s="15" t="str">
        <f>IF(O765="","",IF(ISNUMBER(MATCH(O765,$G$5:$G$1000,0)),"",IF(D765=1,B$4,0)+MAX(I$4:I764)+1))</f>
        <v/>
      </c>
      <c r="M765" s="14">
        <f>IF(ROW()-ROW(M$4)&lt;=1000,ROW()-ROW(M$4),"")</f>
        <v>761</v>
      </c>
    </row>
    <row r="766" spans="4:13" ht="12" customHeight="1" x14ac:dyDescent="0.25">
      <c r="D766" s="15" t="str">
        <f>IF(IF(ISNUMBER(B766),"",MAX(D$4:D765)+1)&lt;=D$3,IF(ISNUMBER(B766),"",MAX(D$4:D765)+1),"")</f>
        <v/>
      </c>
      <c r="H766" s="15"/>
      <c r="I766" s="15" t="str">
        <f>IF(O766="","",IF(ISNUMBER(MATCH(O766,$G$5:$G$1000,0)),"",IF(D766=1,B$4,0)+MAX(I$4:I765)+1))</f>
        <v/>
      </c>
      <c r="M766" s="14">
        <f>IF(ROW()-ROW(M$4)&lt;=1000,ROW()-ROW(M$4),"")</f>
        <v>762</v>
      </c>
    </row>
    <row r="767" spans="4:13" ht="12" customHeight="1" x14ac:dyDescent="0.25">
      <c r="D767" s="15" t="str">
        <f>IF(IF(ISNUMBER(B767),"",MAX(D$4:D766)+1)&lt;=D$3,IF(ISNUMBER(B767),"",MAX(D$4:D766)+1),"")</f>
        <v/>
      </c>
      <c r="H767" s="15"/>
      <c r="I767" s="15" t="str">
        <f>IF(O767="","",IF(ISNUMBER(MATCH(O767,$G$5:$G$1000,0)),"",IF(D767=1,B$4,0)+MAX(I$4:I766)+1))</f>
        <v/>
      </c>
      <c r="M767" s="14">
        <f>IF(ROW()-ROW(M$4)&lt;=1000,ROW()-ROW(M$4),"")</f>
        <v>763</v>
      </c>
    </row>
    <row r="768" spans="4:13" ht="12" customHeight="1" x14ac:dyDescent="0.25">
      <c r="D768" s="15" t="str">
        <f>IF(IF(ISNUMBER(B768),"",MAX(D$4:D767)+1)&lt;=D$3,IF(ISNUMBER(B768),"",MAX(D$4:D767)+1),"")</f>
        <v/>
      </c>
      <c r="H768" s="15"/>
      <c r="I768" s="15" t="str">
        <f>IF(O768="","",IF(ISNUMBER(MATCH(O768,$G$5:$G$1000,0)),"",IF(D768=1,B$4,0)+MAX(I$4:I767)+1))</f>
        <v/>
      </c>
      <c r="M768" s="14">
        <f>IF(ROW()-ROW(M$4)&lt;=1000,ROW()-ROW(M$4),"")</f>
        <v>764</v>
      </c>
    </row>
    <row r="769" spans="4:13" ht="12" customHeight="1" x14ac:dyDescent="0.25">
      <c r="D769" s="15" t="str">
        <f>IF(IF(ISNUMBER(B769),"",MAX(D$4:D768)+1)&lt;=D$3,IF(ISNUMBER(B769),"",MAX(D$4:D768)+1),"")</f>
        <v/>
      </c>
      <c r="H769" s="15"/>
      <c r="I769" s="15" t="str">
        <f>IF(O769="","",IF(ISNUMBER(MATCH(O769,$G$5:$G$1000,0)),"",IF(D769=1,B$4,0)+MAX(I$4:I768)+1))</f>
        <v/>
      </c>
      <c r="M769" s="14">
        <f>IF(ROW()-ROW(M$4)&lt;=1000,ROW()-ROW(M$4),"")</f>
        <v>765</v>
      </c>
    </row>
    <row r="770" spans="4:13" ht="12" customHeight="1" x14ac:dyDescent="0.25">
      <c r="D770" s="15" t="str">
        <f>IF(IF(ISNUMBER(B770),"",MAX(D$4:D769)+1)&lt;=D$3,IF(ISNUMBER(B770),"",MAX(D$4:D769)+1),"")</f>
        <v/>
      </c>
      <c r="H770" s="15"/>
      <c r="I770" s="15" t="str">
        <f>IF(O770="","",IF(ISNUMBER(MATCH(O770,$G$5:$G$1000,0)),"",IF(D770=1,B$4,0)+MAX(I$4:I769)+1))</f>
        <v/>
      </c>
      <c r="M770" s="14">
        <f>IF(ROW()-ROW(M$4)&lt;=1000,ROW()-ROW(M$4),"")</f>
        <v>766</v>
      </c>
    </row>
    <row r="771" spans="4:13" ht="12" customHeight="1" x14ac:dyDescent="0.25">
      <c r="D771" s="15" t="str">
        <f>IF(IF(ISNUMBER(B771),"",MAX(D$4:D770)+1)&lt;=D$3,IF(ISNUMBER(B771),"",MAX(D$4:D770)+1),"")</f>
        <v/>
      </c>
      <c r="H771" s="15"/>
      <c r="I771" s="15" t="str">
        <f>IF(O771="","",IF(ISNUMBER(MATCH(O771,$G$5:$G$1000,0)),"",IF(D771=1,B$4,0)+MAX(I$4:I770)+1))</f>
        <v/>
      </c>
      <c r="M771" s="14">
        <f>IF(ROW()-ROW(M$4)&lt;=1000,ROW()-ROW(M$4),"")</f>
        <v>767</v>
      </c>
    </row>
    <row r="772" spans="4:13" ht="12" customHeight="1" x14ac:dyDescent="0.25">
      <c r="D772" s="15" t="str">
        <f>IF(IF(ISNUMBER(B772),"",MAX(D$4:D771)+1)&lt;=D$3,IF(ISNUMBER(B772),"",MAX(D$4:D771)+1),"")</f>
        <v/>
      </c>
      <c r="H772" s="15"/>
      <c r="I772" s="15" t="str">
        <f>IF(O772="","",IF(ISNUMBER(MATCH(O772,$G$5:$G$1000,0)),"",IF(D772=1,B$4,0)+MAX(I$4:I771)+1))</f>
        <v/>
      </c>
      <c r="M772" s="14">
        <f>IF(ROW()-ROW(M$4)&lt;=1000,ROW()-ROW(M$4),"")</f>
        <v>768</v>
      </c>
    </row>
    <row r="773" spans="4:13" ht="12" customHeight="1" x14ac:dyDescent="0.25">
      <c r="D773" s="15" t="str">
        <f>IF(IF(ISNUMBER(B773),"",MAX(D$4:D772)+1)&lt;=D$3,IF(ISNUMBER(B773),"",MAX(D$4:D772)+1),"")</f>
        <v/>
      </c>
      <c r="H773" s="15"/>
      <c r="I773" s="15" t="str">
        <f>IF(O773="","",IF(ISNUMBER(MATCH(O773,$G$5:$G$1000,0)),"",IF(D773=1,B$4,0)+MAX(I$4:I772)+1))</f>
        <v/>
      </c>
      <c r="M773" s="14">
        <f>IF(ROW()-ROW(M$4)&lt;=1000,ROW()-ROW(M$4),"")</f>
        <v>769</v>
      </c>
    </row>
    <row r="774" spans="4:13" ht="12" customHeight="1" x14ac:dyDescent="0.25">
      <c r="D774" s="15" t="str">
        <f>IF(IF(ISNUMBER(B774),"",MAX(D$4:D773)+1)&lt;=D$3,IF(ISNUMBER(B774),"",MAX(D$4:D773)+1),"")</f>
        <v/>
      </c>
      <c r="H774" s="15"/>
      <c r="I774" s="15" t="str">
        <f>IF(O774="","",IF(ISNUMBER(MATCH(O774,$G$5:$G$1000,0)),"",IF(D774=1,B$4,0)+MAX(I$4:I773)+1))</f>
        <v/>
      </c>
      <c r="M774" s="14">
        <f>IF(ROW()-ROW(M$4)&lt;=1000,ROW()-ROW(M$4),"")</f>
        <v>770</v>
      </c>
    </row>
    <row r="775" spans="4:13" ht="12" customHeight="1" x14ac:dyDescent="0.25">
      <c r="D775" s="15" t="str">
        <f>IF(IF(ISNUMBER(B775),"",MAX(D$4:D774)+1)&lt;=D$3,IF(ISNUMBER(B775),"",MAX(D$4:D774)+1),"")</f>
        <v/>
      </c>
      <c r="H775" s="15"/>
      <c r="I775" s="15" t="str">
        <f>IF(O775="","",IF(ISNUMBER(MATCH(O775,$G$5:$G$1000,0)),"",IF(D775=1,B$4,0)+MAX(I$4:I774)+1))</f>
        <v/>
      </c>
      <c r="M775" s="14">
        <f>IF(ROW()-ROW(M$4)&lt;=1000,ROW()-ROW(M$4),"")</f>
        <v>771</v>
      </c>
    </row>
    <row r="776" spans="4:13" ht="12" customHeight="1" x14ac:dyDescent="0.25">
      <c r="D776" s="15" t="str">
        <f>IF(IF(ISNUMBER(B776),"",MAX(D$4:D775)+1)&lt;=D$3,IF(ISNUMBER(B776),"",MAX(D$4:D775)+1),"")</f>
        <v/>
      </c>
      <c r="H776" s="15"/>
      <c r="I776" s="15" t="str">
        <f>IF(O776="","",IF(ISNUMBER(MATCH(O776,$G$5:$G$1000,0)),"",IF(D776=1,B$4,0)+MAX(I$4:I775)+1))</f>
        <v/>
      </c>
      <c r="M776" s="14">
        <f>IF(ROW()-ROW(M$4)&lt;=1000,ROW()-ROW(M$4),"")</f>
        <v>772</v>
      </c>
    </row>
    <row r="777" spans="4:13" ht="12" customHeight="1" x14ac:dyDescent="0.25">
      <c r="D777" s="15" t="str">
        <f>IF(IF(ISNUMBER(B777),"",MAX(D$4:D776)+1)&lt;=D$3,IF(ISNUMBER(B777),"",MAX(D$4:D776)+1),"")</f>
        <v/>
      </c>
      <c r="H777" s="15"/>
      <c r="I777" s="15" t="str">
        <f>IF(O777="","",IF(ISNUMBER(MATCH(O777,$G$5:$G$1000,0)),"",IF(D777=1,B$4,0)+MAX(I$4:I776)+1))</f>
        <v/>
      </c>
      <c r="M777" s="14">
        <f>IF(ROW()-ROW(M$4)&lt;=1000,ROW()-ROW(M$4),"")</f>
        <v>773</v>
      </c>
    </row>
    <row r="778" spans="4:13" ht="12" customHeight="1" x14ac:dyDescent="0.25">
      <c r="D778" s="15" t="str">
        <f>IF(IF(ISNUMBER(B778),"",MAX(D$4:D777)+1)&lt;=D$3,IF(ISNUMBER(B778),"",MAX(D$4:D777)+1),"")</f>
        <v/>
      </c>
      <c r="H778" s="15"/>
      <c r="I778" s="15" t="str">
        <f>IF(O778="","",IF(ISNUMBER(MATCH(O778,$G$5:$G$1000,0)),"",IF(D778=1,B$4,0)+MAX(I$4:I777)+1))</f>
        <v/>
      </c>
      <c r="M778" s="14">
        <f>IF(ROW()-ROW(M$4)&lt;=1000,ROW()-ROW(M$4),"")</f>
        <v>774</v>
      </c>
    </row>
    <row r="779" spans="4:13" ht="12" customHeight="1" x14ac:dyDescent="0.25">
      <c r="D779" s="15" t="str">
        <f>IF(IF(ISNUMBER(B779),"",MAX(D$4:D778)+1)&lt;=D$3,IF(ISNUMBER(B779),"",MAX(D$4:D778)+1),"")</f>
        <v/>
      </c>
      <c r="H779" s="15"/>
      <c r="I779" s="15" t="str">
        <f>IF(O779="","",IF(ISNUMBER(MATCH(O779,$G$5:$G$1000,0)),"",IF(D779=1,B$4,0)+MAX(I$4:I778)+1))</f>
        <v/>
      </c>
      <c r="M779" s="14">
        <f>IF(ROW()-ROW(M$4)&lt;=1000,ROW()-ROW(M$4),"")</f>
        <v>775</v>
      </c>
    </row>
    <row r="780" spans="4:13" ht="12" customHeight="1" x14ac:dyDescent="0.25">
      <c r="D780" s="15" t="str">
        <f>IF(IF(ISNUMBER(B780),"",MAX(D$4:D779)+1)&lt;=D$3,IF(ISNUMBER(B780),"",MAX(D$4:D779)+1),"")</f>
        <v/>
      </c>
      <c r="H780" s="15"/>
      <c r="I780" s="15" t="str">
        <f>IF(O780="","",IF(ISNUMBER(MATCH(O780,$G$5:$G$1000,0)),"",IF(D780=1,B$4,0)+MAX(I$4:I779)+1))</f>
        <v/>
      </c>
      <c r="M780" s="14">
        <f>IF(ROW()-ROW(M$4)&lt;=1000,ROW()-ROW(M$4),"")</f>
        <v>776</v>
      </c>
    </row>
    <row r="781" spans="4:13" ht="12" customHeight="1" x14ac:dyDescent="0.25">
      <c r="D781" s="15" t="str">
        <f>IF(IF(ISNUMBER(B781),"",MAX(D$4:D780)+1)&lt;=D$3,IF(ISNUMBER(B781),"",MAX(D$4:D780)+1),"")</f>
        <v/>
      </c>
      <c r="H781" s="15"/>
      <c r="I781" s="15" t="str">
        <f>IF(O781="","",IF(ISNUMBER(MATCH(O781,$G$5:$G$1000,0)),"",IF(D781=1,B$4,0)+MAX(I$4:I780)+1))</f>
        <v/>
      </c>
      <c r="M781" s="14">
        <f>IF(ROW()-ROW(M$4)&lt;=1000,ROW()-ROW(M$4),"")</f>
        <v>777</v>
      </c>
    </row>
    <row r="782" spans="4:13" ht="12" customHeight="1" x14ac:dyDescent="0.25">
      <c r="D782" s="15" t="str">
        <f>IF(IF(ISNUMBER(B782),"",MAX(D$4:D781)+1)&lt;=D$3,IF(ISNUMBER(B782),"",MAX(D$4:D781)+1),"")</f>
        <v/>
      </c>
      <c r="H782" s="15"/>
      <c r="I782" s="15" t="str">
        <f>IF(O782="","",IF(ISNUMBER(MATCH(O782,$G$5:$G$1000,0)),"",IF(D782=1,B$4,0)+MAX(I$4:I781)+1))</f>
        <v/>
      </c>
      <c r="M782" s="14">
        <f>IF(ROW()-ROW(M$4)&lt;=1000,ROW()-ROW(M$4),"")</f>
        <v>778</v>
      </c>
    </row>
    <row r="783" spans="4:13" ht="12" customHeight="1" x14ac:dyDescent="0.25">
      <c r="D783" s="15" t="str">
        <f>IF(IF(ISNUMBER(B783),"",MAX(D$4:D782)+1)&lt;=D$3,IF(ISNUMBER(B783),"",MAX(D$4:D782)+1),"")</f>
        <v/>
      </c>
      <c r="H783" s="15"/>
      <c r="I783" s="15" t="str">
        <f>IF(O783="","",IF(ISNUMBER(MATCH(O783,$G$5:$G$1000,0)),"",IF(D783=1,B$4,0)+MAX(I$4:I782)+1))</f>
        <v/>
      </c>
      <c r="M783" s="14">
        <f>IF(ROW()-ROW(M$4)&lt;=1000,ROW()-ROW(M$4),"")</f>
        <v>779</v>
      </c>
    </row>
    <row r="784" spans="4:13" ht="12" customHeight="1" x14ac:dyDescent="0.25">
      <c r="D784" s="15" t="str">
        <f>IF(IF(ISNUMBER(B784),"",MAX(D$4:D783)+1)&lt;=D$3,IF(ISNUMBER(B784),"",MAX(D$4:D783)+1),"")</f>
        <v/>
      </c>
      <c r="H784" s="15"/>
      <c r="I784" s="15" t="str">
        <f>IF(O784="","",IF(ISNUMBER(MATCH(O784,$G$5:$G$1000,0)),"",IF(D784=1,B$4,0)+MAX(I$4:I783)+1))</f>
        <v/>
      </c>
      <c r="M784" s="14">
        <f>IF(ROW()-ROW(M$4)&lt;=1000,ROW()-ROW(M$4),"")</f>
        <v>780</v>
      </c>
    </row>
    <row r="785" spans="4:13" ht="12" customHeight="1" x14ac:dyDescent="0.25">
      <c r="D785" s="15" t="str">
        <f>IF(IF(ISNUMBER(B785),"",MAX(D$4:D784)+1)&lt;=D$3,IF(ISNUMBER(B785),"",MAX(D$4:D784)+1),"")</f>
        <v/>
      </c>
      <c r="H785" s="15"/>
      <c r="I785" s="15" t="str">
        <f>IF(O785="","",IF(ISNUMBER(MATCH(O785,$G$5:$G$1000,0)),"",IF(D785=1,B$4,0)+MAX(I$4:I784)+1))</f>
        <v/>
      </c>
      <c r="M785" s="14">
        <f>IF(ROW()-ROW(M$4)&lt;=1000,ROW()-ROW(M$4),"")</f>
        <v>781</v>
      </c>
    </row>
    <row r="786" spans="4:13" ht="12" customHeight="1" x14ac:dyDescent="0.25">
      <c r="D786" s="15" t="str">
        <f>IF(IF(ISNUMBER(B786),"",MAX(D$4:D785)+1)&lt;=D$3,IF(ISNUMBER(B786),"",MAX(D$4:D785)+1),"")</f>
        <v/>
      </c>
      <c r="H786" s="15"/>
      <c r="I786" s="15" t="str">
        <f>IF(O786="","",IF(ISNUMBER(MATCH(O786,$G$5:$G$1000,0)),"",IF(D786=1,B$4,0)+MAX(I$4:I785)+1))</f>
        <v/>
      </c>
      <c r="M786" s="14">
        <f>IF(ROW()-ROW(M$4)&lt;=1000,ROW()-ROW(M$4),"")</f>
        <v>782</v>
      </c>
    </row>
    <row r="787" spans="4:13" ht="12" customHeight="1" x14ac:dyDescent="0.25">
      <c r="D787" s="15" t="str">
        <f>IF(IF(ISNUMBER(B787),"",MAX(D$4:D786)+1)&lt;=D$3,IF(ISNUMBER(B787),"",MAX(D$4:D786)+1),"")</f>
        <v/>
      </c>
      <c r="H787" s="15"/>
      <c r="I787" s="15" t="str">
        <f>IF(O787="","",IF(ISNUMBER(MATCH(O787,$G$5:$G$1000,0)),"",IF(D787=1,B$4,0)+MAX(I$4:I786)+1))</f>
        <v/>
      </c>
      <c r="M787" s="14">
        <f>IF(ROW()-ROW(M$4)&lt;=1000,ROW()-ROW(M$4),"")</f>
        <v>783</v>
      </c>
    </row>
    <row r="788" spans="4:13" ht="12" customHeight="1" x14ac:dyDescent="0.25">
      <c r="D788" s="15" t="str">
        <f>IF(IF(ISNUMBER(B788),"",MAX(D$4:D787)+1)&lt;=D$3,IF(ISNUMBER(B788),"",MAX(D$4:D787)+1),"")</f>
        <v/>
      </c>
      <c r="H788" s="15"/>
      <c r="I788" s="15" t="str">
        <f>IF(O788="","",IF(ISNUMBER(MATCH(O788,$G$5:$G$1000,0)),"",IF(D788=1,B$4,0)+MAX(I$4:I787)+1))</f>
        <v/>
      </c>
      <c r="M788" s="14">
        <f>IF(ROW()-ROW(M$4)&lt;=1000,ROW()-ROW(M$4),"")</f>
        <v>784</v>
      </c>
    </row>
    <row r="789" spans="4:13" ht="12" customHeight="1" x14ac:dyDescent="0.25">
      <c r="D789" s="15" t="str">
        <f>IF(IF(ISNUMBER(B789),"",MAX(D$4:D788)+1)&lt;=D$3,IF(ISNUMBER(B789),"",MAX(D$4:D788)+1),"")</f>
        <v/>
      </c>
      <c r="H789" s="15"/>
      <c r="I789" s="15" t="str">
        <f>IF(O789="","",IF(ISNUMBER(MATCH(O789,$G$5:$G$1000,0)),"",IF(D789=1,B$4,0)+MAX(I$4:I788)+1))</f>
        <v/>
      </c>
      <c r="M789" s="14">
        <f>IF(ROW()-ROW(M$4)&lt;=1000,ROW()-ROW(M$4),"")</f>
        <v>785</v>
      </c>
    </row>
    <row r="790" spans="4:13" ht="12" customHeight="1" x14ac:dyDescent="0.25">
      <c r="D790" s="15" t="str">
        <f>IF(IF(ISNUMBER(B790),"",MAX(D$4:D789)+1)&lt;=D$3,IF(ISNUMBER(B790),"",MAX(D$4:D789)+1),"")</f>
        <v/>
      </c>
      <c r="H790" s="15"/>
      <c r="I790" s="15" t="str">
        <f>IF(O790="","",IF(ISNUMBER(MATCH(O790,$G$5:$G$1000,0)),"",IF(D790=1,B$4,0)+MAX(I$4:I789)+1))</f>
        <v/>
      </c>
      <c r="M790" s="14">
        <f>IF(ROW()-ROW(M$4)&lt;=1000,ROW()-ROW(M$4),"")</f>
        <v>786</v>
      </c>
    </row>
    <row r="791" spans="4:13" ht="12" customHeight="1" x14ac:dyDescent="0.25">
      <c r="D791" s="15" t="str">
        <f>IF(IF(ISNUMBER(B791),"",MAX(D$4:D790)+1)&lt;=D$3,IF(ISNUMBER(B791),"",MAX(D$4:D790)+1),"")</f>
        <v/>
      </c>
      <c r="H791" s="15"/>
      <c r="I791" s="15" t="str">
        <f>IF(O791="","",IF(ISNUMBER(MATCH(O791,$G$5:$G$1000,0)),"",IF(D791=1,B$4,0)+MAX(I$4:I790)+1))</f>
        <v/>
      </c>
      <c r="M791" s="14">
        <f>IF(ROW()-ROW(M$4)&lt;=1000,ROW()-ROW(M$4),"")</f>
        <v>787</v>
      </c>
    </row>
    <row r="792" spans="4:13" ht="12" customHeight="1" x14ac:dyDescent="0.25">
      <c r="D792" s="15" t="str">
        <f>IF(IF(ISNUMBER(B792),"",MAX(D$4:D791)+1)&lt;=D$3,IF(ISNUMBER(B792),"",MAX(D$4:D791)+1),"")</f>
        <v/>
      </c>
      <c r="H792" s="15"/>
      <c r="I792" s="15" t="str">
        <f>IF(O792="","",IF(ISNUMBER(MATCH(O792,$G$5:$G$1000,0)),"",IF(D792=1,B$4,0)+MAX(I$4:I791)+1))</f>
        <v/>
      </c>
      <c r="M792" s="14">
        <f>IF(ROW()-ROW(M$4)&lt;=1000,ROW()-ROW(M$4),"")</f>
        <v>788</v>
      </c>
    </row>
    <row r="793" spans="4:13" ht="12" customHeight="1" x14ac:dyDescent="0.25">
      <c r="D793" s="15" t="str">
        <f>IF(IF(ISNUMBER(B793),"",MAX(D$4:D792)+1)&lt;=D$3,IF(ISNUMBER(B793),"",MAX(D$4:D792)+1),"")</f>
        <v/>
      </c>
      <c r="H793" s="15"/>
      <c r="I793" s="15" t="str">
        <f>IF(O793="","",IF(ISNUMBER(MATCH(O793,$G$5:$G$1000,0)),"",IF(D793=1,B$4,0)+MAX(I$4:I792)+1))</f>
        <v/>
      </c>
      <c r="M793" s="14">
        <f>IF(ROW()-ROW(M$4)&lt;=1000,ROW()-ROW(M$4),"")</f>
        <v>789</v>
      </c>
    </row>
    <row r="794" spans="4:13" ht="12" customHeight="1" x14ac:dyDescent="0.25">
      <c r="D794" s="15" t="str">
        <f>IF(IF(ISNUMBER(B794),"",MAX(D$4:D793)+1)&lt;=D$3,IF(ISNUMBER(B794),"",MAX(D$4:D793)+1),"")</f>
        <v/>
      </c>
      <c r="H794" s="15"/>
      <c r="I794" s="15" t="str">
        <f>IF(O794="","",IF(ISNUMBER(MATCH(O794,$G$5:$G$1000,0)),"",IF(D794=1,B$4,0)+MAX(I$4:I793)+1))</f>
        <v/>
      </c>
      <c r="M794" s="14">
        <f>IF(ROW()-ROW(M$4)&lt;=1000,ROW()-ROW(M$4),"")</f>
        <v>790</v>
      </c>
    </row>
    <row r="795" spans="4:13" ht="12" customHeight="1" x14ac:dyDescent="0.25">
      <c r="D795" s="15" t="str">
        <f>IF(IF(ISNUMBER(B795),"",MAX(D$4:D794)+1)&lt;=D$3,IF(ISNUMBER(B795),"",MAX(D$4:D794)+1),"")</f>
        <v/>
      </c>
      <c r="H795" s="15"/>
      <c r="I795" s="15" t="str">
        <f>IF(O795="","",IF(ISNUMBER(MATCH(O795,$G$5:$G$1000,0)),"",IF(D795=1,B$4,0)+MAX(I$4:I794)+1))</f>
        <v/>
      </c>
      <c r="M795" s="14">
        <f>IF(ROW()-ROW(M$4)&lt;=1000,ROW()-ROW(M$4),"")</f>
        <v>791</v>
      </c>
    </row>
    <row r="796" spans="4:13" ht="12" customHeight="1" x14ac:dyDescent="0.25">
      <c r="D796" s="15" t="str">
        <f>IF(IF(ISNUMBER(B796),"",MAX(D$4:D795)+1)&lt;=D$3,IF(ISNUMBER(B796),"",MAX(D$4:D795)+1),"")</f>
        <v/>
      </c>
      <c r="H796" s="15"/>
      <c r="I796" s="15" t="str">
        <f>IF(O796="","",IF(ISNUMBER(MATCH(O796,$G$5:$G$1000,0)),"",IF(D796=1,B$4,0)+MAX(I$4:I795)+1))</f>
        <v/>
      </c>
      <c r="M796" s="14">
        <f>IF(ROW()-ROW(M$4)&lt;=1000,ROW()-ROW(M$4),"")</f>
        <v>792</v>
      </c>
    </row>
    <row r="797" spans="4:13" ht="12" customHeight="1" x14ac:dyDescent="0.25">
      <c r="D797" s="15" t="str">
        <f>IF(IF(ISNUMBER(B797),"",MAX(D$4:D796)+1)&lt;=D$3,IF(ISNUMBER(B797),"",MAX(D$4:D796)+1),"")</f>
        <v/>
      </c>
      <c r="H797" s="15"/>
      <c r="I797" s="15" t="str">
        <f>IF(O797="","",IF(ISNUMBER(MATCH(O797,$G$5:$G$1000,0)),"",IF(D797=1,B$4,0)+MAX(I$4:I796)+1))</f>
        <v/>
      </c>
      <c r="M797" s="14">
        <f>IF(ROW()-ROW(M$4)&lt;=1000,ROW()-ROW(M$4),"")</f>
        <v>793</v>
      </c>
    </row>
    <row r="798" spans="4:13" ht="12" customHeight="1" x14ac:dyDescent="0.25">
      <c r="D798" s="15" t="str">
        <f>IF(IF(ISNUMBER(B798),"",MAX(D$4:D797)+1)&lt;=D$3,IF(ISNUMBER(B798),"",MAX(D$4:D797)+1),"")</f>
        <v/>
      </c>
      <c r="H798" s="15"/>
      <c r="I798" s="15" t="str">
        <f>IF(O798="","",IF(ISNUMBER(MATCH(O798,$G$5:$G$1000,0)),"",IF(D798=1,B$4,0)+MAX(I$4:I797)+1))</f>
        <v/>
      </c>
      <c r="M798" s="14">
        <f>IF(ROW()-ROW(M$4)&lt;=1000,ROW()-ROW(M$4),"")</f>
        <v>794</v>
      </c>
    </row>
    <row r="799" spans="4:13" ht="12" customHeight="1" x14ac:dyDescent="0.25">
      <c r="D799" s="15" t="str">
        <f>IF(IF(ISNUMBER(B799),"",MAX(D$4:D798)+1)&lt;=D$3,IF(ISNUMBER(B799),"",MAX(D$4:D798)+1),"")</f>
        <v/>
      </c>
      <c r="H799" s="15"/>
      <c r="I799" s="15" t="str">
        <f>IF(O799="","",IF(ISNUMBER(MATCH(O799,$G$5:$G$1000,0)),"",IF(D799=1,B$4,0)+MAX(I$4:I798)+1))</f>
        <v/>
      </c>
      <c r="M799" s="14">
        <f>IF(ROW()-ROW(M$4)&lt;=1000,ROW()-ROW(M$4),"")</f>
        <v>795</v>
      </c>
    </row>
    <row r="800" spans="4:13" ht="12" customHeight="1" x14ac:dyDescent="0.25">
      <c r="D800" s="15" t="str">
        <f>IF(IF(ISNUMBER(B800),"",MAX(D$4:D799)+1)&lt;=D$3,IF(ISNUMBER(B800),"",MAX(D$4:D799)+1),"")</f>
        <v/>
      </c>
      <c r="H800" s="15"/>
      <c r="I800" s="15" t="str">
        <f>IF(O800="","",IF(ISNUMBER(MATCH(O800,$G$5:$G$1000,0)),"",IF(D800=1,B$4,0)+MAX(I$4:I799)+1))</f>
        <v/>
      </c>
      <c r="M800" s="14">
        <f>IF(ROW()-ROW(M$4)&lt;=1000,ROW()-ROW(M$4),"")</f>
        <v>796</v>
      </c>
    </row>
    <row r="801" spans="4:13" ht="12" customHeight="1" x14ac:dyDescent="0.25">
      <c r="D801" s="15" t="str">
        <f>IF(IF(ISNUMBER(B801),"",MAX(D$4:D800)+1)&lt;=D$3,IF(ISNUMBER(B801),"",MAX(D$4:D800)+1),"")</f>
        <v/>
      </c>
      <c r="H801" s="15"/>
      <c r="I801" s="15" t="str">
        <f>IF(O801="","",IF(ISNUMBER(MATCH(O801,$G$5:$G$1000,0)),"",IF(D801=1,B$4,0)+MAX(I$4:I800)+1))</f>
        <v/>
      </c>
      <c r="M801" s="14">
        <f>IF(ROW()-ROW(M$4)&lt;=1000,ROW()-ROW(M$4),"")</f>
        <v>797</v>
      </c>
    </row>
    <row r="802" spans="4:13" ht="12" customHeight="1" x14ac:dyDescent="0.25">
      <c r="D802" s="15" t="str">
        <f>IF(IF(ISNUMBER(B802),"",MAX(D$4:D801)+1)&lt;=D$3,IF(ISNUMBER(B802),"",MAX(D$4:D801)+1),"")</f>
        <v/>
      </c>
      <c r="H802" s="15"/>
      <c r="I802" s="15" t="str">
        <f>IF(O802="","",IF(ISNUMBER(MATCH(O802,$G$5:$G$1000,0)),"",IF(D802=1,B$4,0)+MAX(I$4:I801)+1))</f>
        <v/>
      </c>
      <c r="M802" s="14">
        <f>IF(ROW()-ROW(M$4)&lt;=1000,ROW()-ROW(M$4),"")</f>
        <v>798</v>
      </c>
    </row>
    <row r="803" spans="4:13" ht="12" customHeight="1" x14ac:dyDescent="0.25">
      <c r="D803" s="15" t="str">
        <f>IF(IF(ISNUMBER(B803),"",MAX(D$4:D802)+1)&lt;=D$3,IF(ISNUMBER(B803),"",MAX(D$4:D802)+1),"")</f>
        <v/>
      </c>
      <c r="H803" s="15"/>
      <c r="I803" s="15" t="str">
        <f>IF(O803="","",IF(ISNUMBER(MATCH(O803,$G$5:$G$1000,0)),"",IF(D803=1,B$4,0)+MAX(I$4:I802)+1))</f>
        <v/>
      </c>
      <c r="M803" s="14">
        <f>IF(ROW()-ROW(M$4)&lt;=1000,ROW()-ROW(M$4),"")</f>
        <v>799</v>
      </c>
    </row>
    <row r="804" spans="4:13" ht="12" customHeight="1" x14ac:dyDescent="0.25">
      <c r="D804" s="15" t="str">
        <f>IF(IF(ISNUMBER(B804),"",MAX(D$4:D803)+1)&lt;=D$3,IF(ISNUMBER(B804),"",MAX(D$4:D803)+1),"")</f>
        <v/>
      </c>
      <c r="H804" s="15"/>
      <c r="I804" s="15" t="str">
        <f>IF(O804="","",IF(ISNUMBER(MATCH(O804,$G$5:$G$1000,0)),"",IF(D804=1,B$4,0)+MAX(I$4:I803)+1))</f>
        <v/>
      </c>
      <c r="M804" s="14">
        <f>IF(ROW()-ROW(M$4)&lt;=1000,ROW()-ROW(M$4),"")</f>
        <v>800</v>
      </c>
    </row>
    <row r="805" spans="4:13" ht="12" customHeight="1" x14ac:dyDescent="0.25">
      <c r="D805" s="15" t="str">
        <f>IF(IF(ISNUMBER(B805),"",MAX(D$4:D804)+1)&lt;=D$3,IF(ISNUMBER(B805),"",MAX(D$4:D804)+1),"")</f>
        <v/>
      </c>
      <c r="H805" s="15"/>
      <c r="I805" s="15" t="str">
        <f>IF(O805="","",IF(ISNUMBER(MATCH(O805,$G$5:$G$1000,0)),"",IF(D805=1,B$4,0)+MAX(I$4:I804)+1))</f>
        <v/>
      </c>
      <c r="M805" s="14">
        <f>IF(ROW()-ROW(M$4)&lt;=1000,ROW()-ROW(M$4),"")</f>
        <v>801</v>
      </c>
    </row>
    <row r="806" spans="4:13" ht="12" customHeight="1" x14ac:dyDescent="0.25">
      <c r="D806" s="15" t="str">
        <f>IF(IF(ISNUMBER(B806),"",MAX(D$4:D805)+1)&lt;=D$3,IF(ISNUMBER(B806),"",MAX(D$4:D805)+1),"")</f>
        <v/>
      </c>
      <c r="H806" s="15"/>
      <c r="I806" s="15" t="str">
        <f>IF(O806="","",IF(ISNUMBER(MATCH(O806,$G$5:$G$1000,0)),"",IF(D806=1,B$4,0)+MAX(I$4:I805)+1))</f>
        <v/>
      </c>
      <c r="M806" s="14">
        <f>IF(ROW()-ROW(M$4)&lt;=1000,ROW()-ROW(M$4),"")</f>
        <v>802</v>
      </c>
    </row>
    <row r="807" spans="4:13" ht="12" customHeight="1" x14ac:dyDescent="0.25">
      <c r="D807" s="15" t="str">
        <f>IF(IF(ISNUMBER(B807),"",MAX(D$4:D806)+1)&lt;=D$3,IF(ISNUMBER(B807),"",MAX(D$4:D806)+1),"")</f>
        <v/>
      </c>
      <c r="H807" s="15"/>
      <c r="I807" s="15" t="str">
        <f>IF(O807="","",IF(ISNUMBER(MATCH(O807,$G$5:$G$1000,0)),"",IF(D807=1,B$4,0)+MAX(I$4:I806)+1))</f>
        <v/>
      </c>
      <c r="M807" s="14">
        <f>IF(ROW()-ROW(M$4)&lt;=1000,ROW()-ROW(M$4),"")</f>
        <v>803</v>
      </c>
    </row>
    <row r="808" spans="4:13" ht="12" customHeight="1" x14ac:dyDescent="0.25">
      <c r="D808" s="15" t="str">
        <f>IF(IF(ISNUMBER(B808),"",MAX(D$4:D807)+1)&lt;=D$3,IF(ISNUMBER(B808),"",MAX(D$4:D807)+1),"")</f>
        <v/>
      </c>
      <c r="H808" s="15"/>
      <c r="I808" s="15" t="str">
        <f>IF(O808="","",IF(ISNUMBER(MATCH(O808,$G$5:$G$1000,0)),"",IF(D808=1,B$4,0)+MAX(I$4:I807)+1))</f>
        <v/>
      </c>
      <c r="M808" s="14">
        <f>IF(ROW()-ROW(M$4)&lt;=1000,ROW()-ROW(M$4),"")</f>
        <v>804</v>
      </c>
    </row>
    <row r="809" spans="4:13" ht="12" customHeight="1" x14ac:dyDescent="0.25">
      <c r="D809" s="15" t="str">
        <f>IF(IF(ISNUMBER(B809),"",MAX(D$4:D808)+1)&lt;=D$3,IF(ISNUMBER(B809),"",MAX(D$4:D808)+1),"")</f>
        <v/>
      </c>
      <c r="H809" s="15"/>
      <c r="I809" s="15" t="str">
        <f>IF(O809="","",IF(ISNUMBER(MATCH(O809,$G$5:$G$1000,0)),"",IF(D809=1,B$4,0)+MAX(I$4:I808)+1))</f>
        <v/>
      </c>
      <c r="M809" s="14">
        <f>IF(ROW()-ROW(M$4)&lt;=1000,ROW()-ROW(M$4),"")</f>
        <v>805</v>
      </c>
    </row>
    <row r="810" spans="4:13" ht="12" customHeight="1" x14ac:dyDescent="0.25">
      <c r="D810" s="15" t="str">
        <f>IF(IF(ISNUMBER(B810),"",MAX(D$4:D809)+1)&lt;=D$3,IF(ISNUMBER(B810),"",MAX(D$4:D809)+1),"")</f>
        <v/>
      </c>
      <c r="H810" s="15"/>
      <c r="I810" s="15" t="str">
        <f>IF(O810="","",IF(ISNUMBER(MATCH(O810,$G$5:$G$1000,0)),"",IF(D810=1,B$4,0)+MAX(I$4:I809)+1))</f>
        <v/>
      </c>
      <c r="M810" s="14">
        <f>IF(ROW()-ROW(M$4)&lt;=1000,ROW()-ROW(M$4),"")</f>
        <v>806</v>
      </c>
    </row>
    <row r="811" spans="4:13" ht="12" customHeight="1" x14ac:dyDescent="0.25">
      <c r="D811" s="15" t="str">
        <f>IF(IF(ISNUMBER(B811),"",MAX(D$4:D810)+1)&lt;=D$3,IF(ISNUMBER(B811),"",MAX(D$4:D810)+1),"")</f>
        <v/>
      </c>
      <c r="H811" s="15"/>
      <c r="I811" s="15" t="str">
        <f>IF(O811="","",IF(ISNUMBER(MATCH(O811,$G$5:$G$1000,0)),"",IF(D811=1,B$4,0)+MAX(I$4:I810)+1))</f>
        <v/>
      </c>
      <c r="M811" s="14">
        <f>IF(ROW()-ROW(M$4)&lt;=1000,ROW()-ROW(M$4),"")</f>
        <v>807</v>
      </c>
    </row>
    <row r="812" spans="4:13" ht="12" customHeight="1" x14ac:dyDescent="0.25">
      <c r="D812" s="15" t="str">
        <f>IF(IF(ISNUMBER(B812),"",MAX(D$4:D811)+1)&lt;=D$3,IF(ISNUMBER(B812),"",MAX(D$4:D811)+1),"")</f>
        <v/>
      </c>
      <c r="H812" s="15"/>
      <c r="I812" s="15" t="str">
        <f>IF(O812="","",IF(ISNUMBER(MATCH(O812,$G$5:$G$1000,0)),"",IF(D812=1,B$4,0)+MAX(I$4:I811)+1))</f>
        <v/>
      </c>
      <c r="M812" s="14">
        <f>IF(ROW()-ROW(M$4)&lt;=1000,ROW()-ROW(M$4),"")</f>
        <v>808</v>
      </c>
    </row>
    <row r="813" spans="4:13" ht="12" customHeight="1" x14ac:dyDescent="0.25">
      <c r="D813" s="15" t="str">
        <f>IF(IF(ISNUMBER(B813),"",MAX(D$4:D812)+1)&lt;=D$3,IF(ISNUMBER(B813),"",MAX(D$4:D812)+1),"")</f>
        <v/>
      </c>
      <c r="H813" s="15"/>
      <c r="I813" s="15" t="str">
        <f>IF(O813="","",IF(ISNUMBER(MATCH(O813,$G$5:$G$1000,0)),"",IF(D813=1,B$4,0)+MAX(I$4:I812)+1))</f>
        <v/>
      </c>
      <c r="M813" s="14">
        <f>IF(ROW()-ROW(M$4)&lt;=1000,ROW()-ROW(M$4),"")</f>
        <v>809</v>
      </c>
    </row>
    <row r="814" spans="4:13" ht="12" customHeight="1" x14ac:dyDescent="0.25">
      <c r="D814" s="15" t="str">
        <f>IF(IF(ISNUMBER(B814),"",MAX(D$4:D813)+1)&lt;=D$3,IF(ISNUMBER(B814),"",MAX(D$4:D813)+1),"")</f>
        <v/>
      </c>
      <c r="H814" s="15"/>
      <c r="I814" s="15" t="str">
        <f>IF(O814="","",IF(ISNUMBER(MATCH(O814,$G$5:$G$1000,0)),"",IF(D814=1,B$4,0)+MAX(I$4:I813)+1))</f>
        <v/>
      </c>
      <c r="M814" s="14">
        <f>IF(ROW()-ROW(M$4)&lt;=1000,ROW()-ROW(M$4),"")</f>
        <v>810</v>
      </c>
    </row>
    <row r="815" spans="4:13" ht="12" customHeight="1" x14ac:dyDescent="0.25">
      <c r="D815" s="15" t="str">
        <f>IF(IF(ISNUMBER(B815),"",MAX(D$4:D814)+1)&lt;=D$3,IF(ISNUMBER(B815),"",MAX(D$4:D814)+1),"")</f>
        <v/>
      </c>
      <c r="H815" s="15"/>
      <c r="I815" s="15" t="str">
        <f>IF(O815="","",IF(ISNUMBER(MATCH(O815,$G$5:$G$1000,0)),"",IF(D815=1,B$4,0)+MAX(I$4:I814)+1))</f>
        <v/>
      </c>
      <c r="M815" s="14">
        <f>IF(ROW()-ROW(M$4)&lt;=1000,ROW()-ROW(M$4),"")</f>
        <v>811</v>
      </c>
    </row>
    <row r="816" spans="4:13" ht="12" customHeight="1" x14ac:dyDescent="0.25">
      <c r="D816" s="15" t="str">
        <f>IF(IF(ISNUMBER(B816),"",MAX(D$4:D815)+1)&lt;=D$3,IF(ISNUMBER(B816),"",MAX(D$4:D815)+1),"")</f>
        <v/>
      </c>
      <c r="H816" s="15"/>
      <c r="I816" s="15" t="str">
        <f>IF(O816="","",IF(ISNUMBER(MATCH(O816,$G$5:$G$1000,0)),"",IF(D816=1,B$4,0)+MAX(I$4:I815)+1))</f>
        <v/>
      </c>
      <c r="M816" s="14">
        <f>IF(ROW()-ROW(M$4)&lt;=1000,ROW()-ROW(M$4),"")</f>
        <v>812</v>
      </c>
    </row>
    <row r="817" spans="4:13" ht="12" customHeight="1" x14ac:dyDescent="0.25">
      <c r="D817" s="15" t="str">
        <f>IF(IF(ISNUMBER(B817),"",MAX(D$4:D816)+1)&lt;=D$3,IF(ISNUMBER(B817),"",MAX(D$4:D816)+1),"")</f>
        <v/>
      </c>
      <c r="H817" s="15"/>
      <c r="I817" s="15" t="str">
        <f>IF(O817="","",IF(ISNUMBER(MATCH(O817,$G$5:$G$1000,0)),"",IF(D817=1,B$4,0)+MAX(I$4:I816)+1))</f>
        <v/>
      </c>
      <c r="M817" s="14">
        <f>IF(ROW()-ROW(M$4)&lt;=1000,ROW()-ROW(M$4),"")</f>
        <v>813</v>
      </c>
    </row>
    <row r="818" spans="4:13" ht="12" customHeight="1" x14ac:dyDescent="0.25">
      <c r="D818" s="15" t="str">
        <f>IF(IF(ISNUMBER(B818),"",MAX(D$4:D817)+1)&lt;=D$3,IF(ISNUMBER(B818),"",MAX(D$4:D817)+1),"")</f>
        <v/>
      </c>
      <c r="H818" s="15"/>
      <c r="I818" s="15" t="str">
        <f>IF(O818="","",IF(ISNUMBER(MATCH(O818,$G$5:$G$1000,0)),"",IF(D818=1,B$4,0)+MAX(I$4:I817)+1))</f>
        <v/>
      </c>
      <c r="M818" s="14">
        <f>IF(ROW()-ROW(M$4)&lt;=1000,ROW()-ROW(M$4),"")</f>
        <v>814</v>
      </c>
    </row>
    <row r="819" spans="4:13" ht="12" customHeight="1" x14ac:dyDescent="0.25">
      <c r="D819" s="15" t="str">
        <f>IF(IF(ISNUMBER(B819),"",MAX(D$4:D818)+1)&lt;=D$3,IF(ISNUMBER(B819),"",MAX(D$4:D818)+1),"")</f>
        <v/>
      </c>
      <c r="H819" s="15"/>
      <c r="I819" s="15" t="str">
        <f>IF(O819="","",IF(ISNUMBER(MATCH(O819,$G$5:$G$1000,0)),"",IF(D819=1,B$4,0)+MAX(I$4:I818)+1))</f>
        <v/>
      </c>
      <c r="M819" s="14">
        <f>IF(ROW()-ROW(M$4)&lt;=1000,ROW()-ROW(M$4),"")</f>
        <v>815</v>
      </c>
    </row>
    <row r="820" spans="4:13" ht="12" customHeight="1" x14ac:dyDescent="0.25">
      <c r="D820" s="15" t="str">
        <f>IF(IF(ISNUMBER(B820),"",MAX(D$4:D819)+1)&lt;=D$3,IF(ISNUMBER(B820),"",MAX(D$4:D819)+1),"")</f>
        <v/>
      </c>
      <c r="H820" s="15"/>
      <c r="I820" s="15" t="str">
        <f>IF(O820="","",IF(ISNUMBER(MATCH(O820,$G$5:$G$1000,0)),"",IF(D820=1,B$4,0)+MAX(I$4:I819)+1))</f>
        <v/>
      </c>
      <c r="M820" s="14">
        <f>IF(ROW()-ROW(M$4)&lt;=1000,ROW()-ROW(M$4),"")</f>
        <v>816</v>
      </c>
    </row>
    <row r="821" spans="4:13" ht="12" customHeight="1" x14ac:dyDescent="0.25">
      <c r="D821" s="15" t="str">
        <f>IF(IF(ISNUMBER(B821),"",MAX(D$4:D820)+1)&lt;=D$3,IF(ISNUMBER(B821),"",MAX(D$4:D820)+1),"")</f>
        <v/>
      </c>
      <c r="H821" s="15"/>
      <c r="I821" s="15" t="str">
        <f>IF(O821="","",IF(ISNUMBER(MATCH(O821,$G$5:$G$1000,0)),"",IF(D821=1,B$4,0)+MAX(I$4:I820)+1))</f>
        <v/>
      </c>
      <c r="M821" s="14">
        <f>IF(ROW()-ROW(M$4)&lt;=1000,ROW()-ROW(M$4),"")</f>
        <v>817</v>
      </c>
    </row>
    <row r="822" spans="4:13" ht="12" customHeight="1" x14ac:dyDescent="0.25">
      <c r="D822" s="15" t="str">
        <f>IF(IF(ISNUMBER(B822),"",MAX(D$4:D821)+1)&lt;=D$3,IF(ISNUMBER(B822),"",MAX(D$4:D821)+1),"")</f>
        <v/>
      </c>
      <c r="H822" s="15"/>
      <c r="I822" s="15" t="str">
        <f>IF(O822="","",IF(ISNUMBER(MATCH(O822,$G$5:$G$1000,0)),"",IF(D822=1,B$4,0)+MAX(I$4:I821)+1))</f>
        <v/>
      </c>
      <c r="M822" s="14">
        <f>IF(ROW()-ROW(M$4)&lt;=1000,ROW()-ROW(M$4),"")</f>
        <v>818</v>
      </c>
    </row>
    <row r="823" spans="4:13" ht="12" customHeight="1" x14ac:dyDescent="0.25">
      <c r="D823" s="15" t="str">
        <f>IF(IF(ISNUMBER(B823),"",MAX(D$4:D822)+1)&lt;=D$3,IF(ISNUMBER(B823),"",MAX(D$4:D822)+1),"")</f>
        <v/>
      </c>
      <c r="H823" s="15"/>
      <c r="I823" s="15" t="str">
        <f>IF(O823="","",IF(ISNUMBER(MATCH(O823,$G$5:$G$1000,0)),"",IF(D823=1,B$4,0)+MAX(I$4:I822)+1))</f>
        <v/>
      </c>
      <c r="M823" s="14">
        <f>IF(ROW()-ROW(M$4)&lt;=1000,ROW()-ROW(M$4),"")</f>
        <v>819</v>
      </c>
    </row>
    <row r="824" spans="4:13" ht="12" customHeight="1" x14ac:dyDescent="0.25">
      <c r="D824" s="15" t="str">
        <f>IF(IF(ISNUMBER(B824),"",MAX(D$4:D823)+1)&lt;=D$3,IF(ISNUMBER(B824),"",MAX(D$4:D823)+1),"")</f>
        <v/>
      </c>
      <c r="H824" s="15"/>
      <c r="I824" s="15" t="str">
        <f>IF(O824="","",IF(ISNUMBER(MATCH(O824,$G$5:$G$1000,0)),"",IF(D824=1,B$4,0)+MAX(I$4:I823)+1))</f>
        <v/>
      </c>
      <c r="M824" s="14">
        <f>IF(ROW()-ROW(M$4)&lt;=1000,ROW()-ROW(M$4),"")</f>
        <v>820</v>
      </c>
    </row>
    <row r="825" spans="4:13" ht="12" customHeight="1" x14ac:dyDescent="0.25">
      <c r="D825" s="15" t="str">
        <f>IF(IF(ISNUMBER(B825),"",MAX(D$4:D824)+1)&lt;=D$3,IF(ISNUMBER(B825),"",MAX(D$4:D824)+1),"")</f>
        <v/>
      </c>
      <c r="H825" s="15"/>
      <c r="I825" s="15" t="str">
        <f>IF(O825="","",IF(ISNUMBER(MATCH(O825,$G$5:$G$1000,0)),"",IF(D825=1,B$4,0)+MAX(I$4:I824)+1))</f>
        <v/>
      </c>
      <c r="M825" s="14">
        <f>IF(ROW()-ROW(M$4)&lt;=1000,ROW()-ROW(M$4),"")</f>
        <v>821</v>
      </c>
    </row>
    <row r="826" spans="4:13" ht="12" customHeight="1" x14ac:dyDescent="0.25">
      <c r="D826" s="15" t="str">
        <f>IF(IF(ISNUMBER(B826),"",MAX(D$4:D825)+1)&lt;=D$3,IF(ISNUMBER(B826),"",MAX(D$4:D825)+1),"")</f>
        <v/>
      </c>
      <c r="H826" s="15"/>
      <c r="I826" s="15" t="str">
        <f>IF(O826="","",IF(ISNUMBER(MATCH(O826,$G$5:$G$1000,0)),"",IF(D826=1,B$4,0)+MAX(I$4:I825)+1))</f>
        <v/>
      </c>
      <c r="M826" s="14">
        <f>IF(ROW()-ROW(M$4)&lt;=1000,ROW()-ROW(M$4),"")</f>
        <v>822</v>
      </c>
    </row>
    <row r="827" spans="4:13" ht="12" customHeight="1" x14ac:dyDescent="0.25">
      <c r="D827" s="15" t="str">
        <f>IF(IF(ISNUMBER(B827),"",MAX(D$4:D826)+1)&lt;=D$3,IF(ISNUMBER(B827),"",MAX(D$4:D826)+1),"")</f>
        <v/>
      </c>
      <c r="H827" s="15"/>
      <c r="I827" s="15" t="str">
        <f>IF(O827="","",IF(ISNUMBER(MATCH(O827,$G$5:$G$1000,0)),"",IF(D827=1,B$4,0)+MAX(I$4:I826)+1))</f>
        <v/>
      </c>
      <c r="M827" s="14">
        <f>IF(ROW()-ROW(M$4)&lt;=1000,ROW()-ROW(M$4),"")</f>
        <v>823</v>
      </c>
    </row>
    <row r="828" spans="4:13" ht="12" customHeight="1" x14ac:dyDescent="0.25">
      <c r="D828" s="15" t="str">
        <f>IF(IF(ISNUMBER(B828),"",MAX(D$4:D827)+1)&lt;=D$3,IF(ISNUMBER(B828),"",MAX(D$4:D827)+1),"")</f>
        <v/>
      </c>
      <c r="H828" s="15"/>
      <c r="I828" s="15" t="str">
        <f>IF(O828="","",IF(ISNUMBER(MATCH(O828,$G$5:$G$1000,0)),"",IF(D828=1,B$4,0)+MAX(I$4:I827)+1))</f>
        <v/>
      </c>
      <c r="M828" s="14">
        <f>IF(ROW()-ROW(M$4)&lt;=1000,ROW()-ROW(M$4),"")</f>
        <v>824</v>
      </c>
    </row>
    <row r="829" spans="4:13" ht="12" customHeight="1" x14ac:dyDescent="0.25">
      <c r="D829" s="15" t="str">
        <f>IF(IF(ISNUMBER(B829),"",MAX(D$4:D828)+1)&lt;=D$3,IF(ISNUMBER(B829),"",MAX(D$4:D828)+1),"")</f>
        <v/>
      </c>
      <c r="H829" s="15"/>
      <c r="I829" s="15" t="str">
        <f>IF(O829="","",IF(ISNUMBER(MATCH(O829,$G$5:$G$1000,0)),"",IF(D829=1,B$4,0)+MAX(I$4:I828)+1))</f>
        <v/>
      </c>
      <c r="M829" s="14">
        <f>IF(ROW()-ROW(M$4)&lt;=1000,ROW()-ROW(M$4),"")</f>
        <v>825</v>
      </c>
    </row>
    <row r="830" spans="4:13" ht="12" customHeight="1" x14ac:dyDescent="0.25">
      <c r="D830" s="15" t="str">
        <f>IF(IF(ISNUMBER(B830),"",MAX(D$4:D829)+1)&lt;=D$3,IF(ISNUMBER(B830),"",MAX(D$4:D829)+1),"")</f>
        <v/>
      </c>
      <c r="H830" s="15"/>
      <c r="I830" s="15" t="str">
        <f>IF(O830="","",IF(ISNUMBER(MATCH(O830,$G$5:$G$1000,0)),"",IF(D830=1,B$4,0)+MAX(I$4:I829)+1))</f>
        <v/>
      </c>
      <c r="M830" s="14">
        <f>IF(ROW()-ROW(M$4)&lt;=1000,ROW()-ROW(M$4),"")</f>
        <v>826</v>
      </c>
    </row>
    <row r="831" spans="4:13" ht="12" customHeight="1" x14ac:dyDescent="0.25">
      <c r="D831" s="15" t="str">
        <f>IF(IF(ISNUMBER(B831),"",MAX(D$4:D830)+1)&lt;=D$3,IF(ISNUMBER(B831),"",MAX(D$4:D830)+1),"")</f>
        <v/>
      </c>
      <c r="H831" s="15"/>
      <c r="I831" s="15" t="str">
        <f>IF(O831="","",IF(ISNUMBER(MATCH(O831,$G$5:$G$1000,0)),"",IF(D831=1,B$4,0)+MAX(I$4:I830)+1))</f>
        <v/>
      </c>
      <c r="M831" s="14">
        <f>IF(ROW()-ROW(M$4)&lt;=1000,ROW()-ROW(M$4),"")</f>
        <v>827</v>
      </c>
    </row>
    <row r="832" spans="4:13" ht="12" customHeight="1" x14ac:dyDescent="0.25">
      <c r="D832" s="15" t="str">
        <f>IF(IF(ISNUMBER(B832),"",MAX(D$4:D831)+1)&lt;=D$3,IF(ISNUMBER(B832),"",MAX(D$4:D831)+1),"")</f>
        <v/>
      </c>
      <c r="H832" s="15"/>
      <c r="I832" s="15" t="str">
        <f>IF(O832="","",IF(ISNUMBER(MATCH(O832,$G$5:$G$1000,0)),"",IF(D832=1,B$4,0)+MAX(I$4:I831)+1))</f>
        <v/>
      </c>
      <c r="M832" s="14">
        <f>IF(ROW()-ROW(M$4)&lt;=1000,ROW()-ROW(M$4),"")</f>
        <v>828</v>
      </c>
    </row>
    <row r="833" spans="4:13" ht="12" customHeight="1" x14ac:dyDescent="0.25">
      <c r="D833" s="15" t="str">
        <f>IF(IF(ISNUMBER(B833),"",MAX(D$4:D832)+1)&lt;=D$3,IF(ISNUMBER(B833),"",MAX(D$4:D832)+1),"")</f>
        <v/>
      </c>
      <c r="H833" s="15"/>
      <c r="I833" s="15" t="str">
        <f>IF(O833="","",IF(ISNUMBER(MATCH(O833,$G$5:$G$1000,0)),"",IF(D833=1,B$4,0)+MAX(I$4:I832)+1))</f>
        <v/>
      </c>
      <c r="M833" s="14">
        <f>IF(ROW()-ROW(M$4)&lt;=1000,ROW()-ROW(M$4),"")</f>
        <v>829</v>
      </c>
    </row>
    <row r="834" spans="4:13" ht="12" customHeight="1" x14ac:dyDescent="0.25">
      <c r="D834" s="15" t="str">
        <f>IF(IF(ISNUMBER(B834),"",MAX(D$4:D833)+1)&lt;=D$3,IF(ISNUMBER(B834),"",MAX(D$4:D833)+1),"")</f>
        <v/>
      </c>
      <c r="H834" s="15"/>
      <c r="I834" s="15" t="str">
        <f>IF(O834="","",IF(ISNUMBER(MATCH(O834,$G$5:$G$1000,0)),"",IF(D834=1,B$4,0)+MAX(I$4:I833)+1))</f>
        <v/>
      </c>
      <c r="M834" s="14">
        <f>IF(ROW()-ROW(M$4)&lt;=1000,ROW()-ROW(M$4),"")</f>
        <v>830</v>
      </c>
    </row>
    <row r="835" spans="4:13" ht="12" customHeight="1" x14ac:dyDescent="0.25">
      <c r="D835" s="15" t="str">
        <f>IF(IF(ISNUMBER(B835),"",MAX(D$4:D834)+1)&lt;=D$3,IF(ISNUMBER(B835),"",MAX(D$4:D834)+1),"")</f>
        <v/>
      </c>
      <c r="H835" s="15"/>
      <c r="I835" s="15" t="str">
        <f>IF(O835="","",IF(ISNUMBER(MATCH(O835,$G$5:$G$1000,0)),"",IF(D835=1,B$4,0)+MAX(I$4:I834)+1))</f>
        <v/>
      </c>
      <c r="M835" s="14">
        <f>IF(ROW()-ROW(M$4)&lt;=1000,ROW()-ROW(M$4),"")</f>
        <v>831</v>
      </c>
    </row>
    <row r="836" spans="4:13" ht="12" customHeight="1" x14ac:dyDescent="0.25">
      <c r="D836" s="15" t="str">
        <f>IF(IF(ISNUMBER(B836),"",MAX(D$4:D835)+1)&lt;=D$3,IF(ISNUMBER(B836),"",MAX(D$4:D835)+1),"")</f>
        <v/>
      </c>
      <c r="H836" s="15"/>
      <c r="I836" s="15" t="str">
        <f>IF(O836="","",IF(ISNUMBER(MATCH(O836,$G$5:$G$1000,0)),"",IF(D836=1,B$4,0)+MAX(I$4:I835)+1))</f>
        <v/>
      </c>
      <c r="M836" s="14">
        <f>IF(ROW()-ROW(M$4)&lt;=1000,ROW()-ROW(M$4),"")</f>
        <v>832</v>
      </c>
    </row>
    <row r="837" spans="4:13" ht="12" customHeight="1" x14ac:dyDescent="0.25">
      <c r="D837" s="15" t="str">
        <f>IF(IF(ISNUMBER(B837),"",MAX(D$4:D836)+1)&lt;=D$3,IF(ISNUMBER(B837),"",MAX(D$4:D836)+1),"")</f>
        <v/>
      </c>
      <c r="H837" s="15"/>
      <c r="I837" s="15" t="str">
        <f>IF(O837="","",IF(ISNUMBER(MATCH(O837,$G$5:$G$1000,0)),"",IF(D837=1,B$4,0)+MAX(I$4:I836)+1))</f>
        <v/>
      </c>
      <c r="M837" s="14">
        <f>IF(ROW()-ROW(M$4)&lt;=1000,ROW()-ROW(M$4),"")</f>
        <v>833</v>
      </c>
    </row>
    <row r="838" spans="4:13" ht="12" customHeight="1" x14ac:dyDescent="0.25">
      <c r="D838" s="15" t="str">
        <f>IF(IF(ISNUMBER(B838),"",MAX(D$4:D837)+1)&lt;=D$3,IF(ISNUMBER(B838),"",MAX(D$4:D837)+1),"")</f>
        <v/>
      </c>
      <c r="H838" s="15"/>
      <c r="I838" s="15" t="str">
        <f>IF(O838="","",IF(ISNUMBER(MATCH(O838,$G$5:$G$1000,0)),"",IF(D838=1,B$4,0)+MAX(I$4:I837)+1))</f>
        <v/>
      </c>
      <c r="M838" s="14">
        <f>IF(ROW()-ROW(M$4)&lt;=1000,ROW()-ROW(M$4),"")</f>
        <v>834</v>
      </c>
    </row>
    <row r="839" spans="4:13" ht="12" customHeight="1" x14ac:dyDescent="0.25">
      <c r="D839" s="15" t="str">
        <f>IF(IF(ISNUMBER(B839),"",MAX(D$4:D838)+1)&lt;=D$3,IF(ISNUMBER(B839),"",MAX(D$4:D838)+1),"")</f>
        <v/>
      </c>
      <c r="H839" s="15"/>
      <c r="I839" s="15" t="str">
        <f>IF(O839="","",IF(ISNUMBER(MATCH(O839,$G$5:$G$1000,0)),"",IF(D839=1,B$4,0)+MAX(I$4:I838)+1))</f>
        <v/>
      </c>
      <c r="M839" s="14">
        <f>IF(ROW()-ROW(M$4)&lt;=1000,ROW()-ROW(M$4),"")</f>
        <v>835</v>
      </c>
    </row>
    <row r="840" spans="4:13" ht="12" customHeight="1" x14ac:dyDescent="0.25">
      <c r="D840" s="15" t="str">
        <f>IF(IF(ISNUMBER(B840),"",MAX(D$4:D839)+1)&lt;=D$3,IF(ISNUMBER(B840),"",MAX(D$4:D839)+1),"")</f>
        <v/>
      </c>
      <c r="H840" s="15"/>
      <c r="I840" s="15" t="str">
        <f>IF(O840="","",IF(ISNUMBER(MATCH(O840,$G$5:$G$1000,0)),"",IF(D840=1,B$4,0)+MAX(I$4:I839)+1))</f>
        <v/>
      </c>
      <c r="M840" s="14">
        <f>IF(ROW()-ROW(M$4)&lt;=1000,ROW()-ROW(M$4),"")</f>
        <v>836</v>
      </c>
    </row>
    <row r="841" spans="4:13" ht="12" customHeight="1" x14ac:dyDescent="0.25">
      <c r="D841" s="15" t="str">
        <f>IF(IF(ISNUMBER(B841),"",MAX(D$4:D840)+1)&lt;=D$3,IF(ISNUMBER(B841),"",MAX(D$4:D840)+1),"")</f>
        <v/>
      </c>
      <c r="H841" s="15"/>
      <c r="I841" s="15" t="str">
        <f>IF(O841="","",IF(ISNUMBER(MATCH(O841,$G$5:$G$1000,0)),"",IF(D841=1,B$4,0)+MAX(I$4:I840)+1))</f>
        <v/>
      </c>
      <c r="M841" s="14">
        <f>IF(ROW()-ROW(M$4)&lt;=1000,ROW()-ROW(M$4),"")</f>
        <v>837</v>
      </c>
    </row>
    <row r="842" spans="4:13" ht="12" customHeight="1" x14ac:dyDescent="0.25">
      <c r="D842" s="15" t="str">
        <f>IF(IF(ISNUMBER(B842),"",MAX(D$4:D841)+1)&lt;=D$3,IF(ISNUMBER(B842),"",MAX(D$4:D841)+1),"")</f>
        <v/>
      </c>
      <c r="H842" s="15"/>
      <c r="I842" s="15" t="str">
        <f>IF(O842="","",IF(ISNUMBER(MATCH(O842,$G$5:$G$1000,0)),"",IF(D842=1,B$4,0)+MAX(I$4:I841)+1))</f>
        <v/>
      </c>
      <c r="M842" s="14">
        <f>IF(ROW()-ROW(M$4)&lt;=1000,ROW()-ROW(M$4),"")</f>
        <v>838</v>
      </c>
    </row>
    <row r="843" spans="4:13" ht="12" customHeight="1" x14ac:dyDescent="0.25">
      <c r="D843" s="15" t="str">
        <f>IF(IF(ISNUMBER(B843),"",MAX(D$4:D842)+1)&lt;=D$3,IF(ISNUMBER(B843),"",MAX(D$4:D842)+1),"")</f>
        <v/>
      </c>
      <c r="H843" s="15"/>
      <c r="I843" s="15" t="str">
        <f>IF(O843="","",IF(ISNUMBER(MATCH(O843,$G$5:$G$1000,0)),"",IF(D843=1,B$4,0)+MAX(I$4:I842)+1))</f>
        <v/>
      </c>
      <c r="M843" s="14">
        <f>IF(ROW()-ROW(M$4)&lt;=1000,ROW()-ROW(M$4),"")</f>
        <v>839</v>
      </c>
    </row>
    <row r="844" spans="4:13" ht="12" customHeight="1" x14ac:dyDescent="0.25">
      <c r="D844" s="15" t="str">
        <f>IF(IF(ISNUMBER(B844),"",MAX(D$4:D843)+1)&lt;=D$3,IF(ISNUMBER(B844),"",MAX(D$4:D843)+1),"")</f>
        <v/>
      </c>
      <c r="H844" s="15"/>
      <c r="I844" s="15" t="str">
        <f>IF(O844="","",IF(ISNUMBER(MATCH(O844,$G$5:$G$1000,0)),"",IF(D844=1,B$4,0)+MAX(I$4:I843)+1))</f>
        <v/>
      </c>
      <c r="M844" s="14">
        <f>IF(ROW()-ROW(M$4)&lt;=1000,ROW()-ROW(M$4),"")</f>
        <v>840</v>
      </c>
    </row>
    <row r="845" spans="4:13" ht="12" customHeight="1" x14ac:dyDescent="0.25">
      <c r="D845" s="15" t="str">
        <f>IF(IF(ISNUMBER(B845),"",MAX(D$4:D844)+1)&lt;=D$3,IF(ISNUMBER(B845),"",MAX(D$4:D844)+1),"")</f>
        <v/>
      </c>
      <c r="H845" s="15"/>
      <c r="I845" s="15" t="str">
        <f>IF(O845="","",IF(ISNUMBER(MATCH(O845,$G$5:$G$1000,0)),"",IF(D845=1,B$4,0)+MAX(I$4:I844)+1))</f>
        <v/>
      </c>
      <c r="M845" s="14">
        <f>IF(ROW()-ROW(M$4)&lt;=1000,ROW()-ROW(M$4),"")</f>
        <v>841</v>
      </c>
    </row>
    <row r="846" spans="4:13" ht="12" customHeight="1" x14ac:dyDescent="0.25">
      <c r="D846" s="15" t="str">
        <f>IF(IF(ISNUMBER(B846),"",MAX(D$4:D845)+1)&lt;=D$3,IF(ISNUMBER(B846),"",MAX(D$4:D845)+1),"")</f>
        <v/>
      </c>
      <c r="H846" s="15"/>
      <c r="I846" s="15" t="str">
        <f>IF(O846="","",IF(ISNUMBER(MATCH(O846,$G$5:$G$1000,0)),"",IF(D846=1,B$4,0)+MAX(I$4:I845)+1))</f>
        <v/>
      </c>
      <c r="M846" s="14">
        <f>IF(ROW()-ROW(M$4)&lt;=1000,ROW()-ROW(M$4),"")</f>
        <v>842</v>
      </c>
    </row>
    <row r="847" spans="4:13" ht="12" customHeight="1" x14ac:dyDescent="0.25">
      <c r="D847" s="15" t="str">
        <f>IF(IF(ISNUMBER(B847),"",MAX(D$4:D846)+1)&lt;=D$3,IF(ISNUMBER(B847),"",MAX(D$4:D846)+1),"")</f>
        <v/>
      </c>
      <c r="H847" s="15"/>
      <c r="I847" s="15" t="str">
        <f>IF(O847="","",IF(ISNUMBER(MATCH(O847,$G$5:$G$1000,0)),"",IF(D847=1,B$4,0)+MAX(I$4:I846)+1))</f>
        <v/>
      </c>
      <c r="M847" s="14">
        <f>IF(ROW()-ROW(M$4)&lt;=1000,ROW()-ROW(M$4),"")</f>
        <v>843</v>
      </c>
    </row>
    <row r="848" spans="4:13" ht="12" customHeight="1" x14ac:dyDescent="0.25">
      <c r="D848" s="15" t="str">
        <f>IF(IF(ISNUMBER(B848),"",MAX(D$4:D847)+1)&lt;=D$3,IF(ISNUMBER(B848),"",MAX(D$4:D847)+1),"")</f>
        <v/>
      </c>
      <c r="H848" s="15"/>
      <c r="I848" s="15" t="str">
        <f>IF(O848="","",IF(ISNUMBER(MATCH(O848,$G$5:$G$1000,0)),"",IF(D848=1,B$4,0)+MAX(I$4:I847)+1))</f>
        <v/>
      </c>
      <c r="M848" s="14">
        <f>IF(ROW()-ROW(M$4)&lt;=1000,ROW()-ROW(M$4),"")</f>
        <v>844</v>
      </c>
    </row>
    <row r="849" spans="4:13" ht="12" customHeight="1" x14ac:dyDescent="0.25">
      <c r="D849" s="15" t="str">
        <f>IF(IF(ISNUMBER(B849),"",MAX(D$4:D848)+1)&lt;=D$3,IF(ISNUMBER(B849),"",MAX(D$4:D848)+1),"")</f>
        <v/>
      </c>
      <c r="H849" s="15"/>
      <c r="I849" s="15" t="str">
        <f>IF(O849="","",IF(ISNUMBER(MATCH(O849,$G$5:$G$1000,0)),"",IF(D849=1,B$4,0)+MAX(I$4:I848)+1))</f>
        <v/>
      </c>
      <c r="M849" s="14">
        <f>IF(ROW()-ROW(M$4)&lt;=1000,ROW()-ROW(M$4),"")</f>
        <v>845</v>
      </c>
    </row>
    <row r="850" spans="4:13" ht="12" customHeight="1" x14ac:dyDescent="0.25">
      <c r="D850" s="15" t="str">
        <f>IF(IF(ISNUMBER(B850),"",MAX(D$4:D849)+1)&lt;=D$3,IF(ISNUMBER(B850),"",MAX(D$4:D849)+1),"")</f>
        <v/>
      </c>
      <c r="H850" s="15"/>
      <c r="I850" s="15" t="str">
        <f>IF(O850="","",IF(ISNUMBER(MATCH(O850,$G$5:$G$1000,0)),"",IF(D850=1,B$4,0)+MAX(I$4:I849)+1))</f>
        <v/>
      </c>
      <c r="M850" s="14">
        <f>IF(ROW()-ROW(M$4)&lt;=1000,ROW()-ROW(M$4),"")</f>
        <v>846</v>
      </c>
    </row>
    <row r="851" spans="4:13" ht="12" customHeight="1" x14ac:dyDescent="0.25">
      <c r="D851" s="15" t="str">
        <f>IF(IF(ISNUMBER(B851),"",MAX(D$4:D850)+1)&lt;=D$3,IF(ISNUMBER(B851),"",MAX(D$4:D850)+1),"")</f>
        <v/>
      </c>
      <c r="H851" s="15"/>
      <c r="I851" s="15" t="str">
        <f>IF(O851="","",IF(ISNUMBER(MATCH(O851,$G$5:$G$1000,0)),"",IF(D851=1,B$4,0)+MAX(I$4:I850)+1))</f>
        <v/>
      </c>
      <c r="M851" s="14">
        <f>IF(ROW()-ROW(M$4)&lt;=1000,ROW()-ROW(M$4),"")</f>
        <v>847</v>
      </c>
    </row>
    <row r="852" spans="4:13" ht="12" customHeight="1" x14ac:dyDescent="0.25">
      <c r="D852" s="15" t="str">
        <f>IF(IF(ISNUMBER(B852),"",MAX(D$4:D851)+1)&lt;=D$3,IF(ISNUMBER(B852),"",MAX(D$4:D851)+1),"")</f>
        <v/>
      </c>
      <c r="H852" s="15"/>
      <c r="I852" s="15" t="str">
        <f>IF(O852="","",IF(ISNUMBER(MATCH(O852,$G$5:$G$1000,0)),"",IF(D852=1,B$4,0)+MAX(I$4:I851)+1))</f>
        <v/>
      </c>
      <c r="M852" s="14">
        <f>IF(ROW()-ROW(M$4)&lt;=1000,ROW()-ROW(M$4),"")</f>
        <v>848</v>
      </c>
    </row>
    <row r="853" spans="4:13" ht="12" customHeight="1" x14ac:dyDescent="0.25">
      <c r="D853" s="15" t="str">
        <f>IF(IF(ISNUMBER(B853),"",MAX(D$4:D852)+1)&lt;=D$3,IF(ISNUMBER(B853),"",MAX(D$4:D852)+1),"")</f>
        <v/>
      </c>
      <c r="H853" s="15"/>
      <c r="I853" s="15" t="str">
        <f>IF(O853="","",IF(ISNUMBER(MATCH(O853,$G$5:$G$1000,0)),"",IF(D853=1,B$4,0)+MAX(I$4:I852)+1))</f>
        <v/>
      </c>
      <c r="M853" s="14">
        <f>IF(ROW()-ROW(M$4)&lt;=1000,ROW()-ROW(M$4),"")</f>
        <v>849</v>
      </c>
    </row>
    <row r="854" spans="4:13" ht="12" customHeight="1" x14ac:dyDescent="0.25">
      <c r="D854" s="15" t="str">
        <f>IF(IF(ISNUMBER(B854),"",MAX(D$4:D853)+1)&lt;=D$3,IF(ISNUMBER(B854),"",MAX(D$4:D853)+1),"")</f>
        <v/>
      </c>
      <c r="H854" s="15"/>
      <c r="I854" s="15" t="str">
        <f>IF(O854="","",IF(ISNUMBER(MATCH(O854,$G$5:$G$1000,0)),"",IF(D854=1,B$4,0)+MAX(I$4:I853)+1))</f>
        <v/>
      </c>
      <c r="M854" s="14">
        <f>IF(ROW()-ROW(M$4)&lt;=1000,ROW()-ROW(M$4),"")</f>
        <v>850</v>
      </c>
    </row>
    <row r="855" spans="4:13" ht="12" customHeight="1" x14ac:dyDescent="0.25">
      <c r="D855" s="15" t="str">
        <f>IF(IF(ISNUMBER(B855),"",MAX(D$4:D854)+1)&lt;=D$3,IF(ISNUMBER(B855),"",MAX(D$4:D854)+1),"")</f>
        <v/>
      </c>
      <c r="H855" s="15"/>
      <c r="I855" s="15" t="str">
        <f>IF(O855="","",IF(ISNUMBER(MATCH(O855,$G$5:$G$1000,0)),"",IF(D855=1,B$4,0)+MAX(I$4:I854)+1))</f>
        <v/>
      </c>
      <c r="M855" s="14">
        <f>IF(ROW()-ROW(M$4)&lt;=1000,ROW()-ROW(M$4),"")</f>
        <v>851</v>
      </c>
    </row>
    <row r="856" spans="4:13" ht="12" customHeight="1" x14ac:dyDescent="0.25">
      <c r="D856" s="15" t="str">
        <f>IF(IF(ISNUMBER(B856),"",MAX(D$4:D855)+1)&lt;=D$3,IF(ISNUMBER(B856),"",MAX(D$4:D855)+1),"")</f>
        <v/>
      </c>
      <c r="H856" s="15"/>
      <c r="I856" s="15" t="str">
        <f>IF(O856="","",IF(ISNUMBER(MATCH(O856,$G$5:$G$1000,0)),"",IF(D856=1,B$4,0)+MAX(I$4:I855)+1))</f>
        <v/>
      </c>
      <c r="M856" s="14">
        <f>IF(ROW()-ROW(M$4)&lt;=1000,ROW()-ROW(M$4),"")</f>
        <v>852</v>
      </c>
    </row>
    <row r="857" spans="4:13" ht="12" customHeight="1" x14ac:dyDescent="0.25">
      <c r="D857" s="15" t="str">
        <f>IF(IF(ISNUMBER(B857),"",MAX(D$4:D856)+1)&lt;=D$3,IF(ISNUMBER(B857),"",MAX(D$4:D856)+1),"")</f>
        <v/>
      </c>
      <c r="H857" s="15"/>
      <c r="I857" s="15" t="str">
        <f>IF(O857="","",IF(ISNUMBER(MATCH(O857,$G$5:$G$1000,0)),"",IF(D857=1,B$4,0)+MAX(I$4:I856)+1))</f>
        <v/>
      </c>
      <c r="M857" s="14">
        <f>IF(ROW()-ROW(M$4)&lt;=1000,ROW()-ROW(M$4),"")</f>
        <v>853</v>
      </c>
    </row>
    <row r="858" spans="4:13" ht="12" customHeight="1" x14ac:dyDescent="0.25">
      <c r="D858" s="15" t="str">
        <f>IF(IF(ISNUMBER(B858),"",MAX(D$4:D857)+1)&lt;=D$3,IF(ISNUMBER(B858),"",MAX(D$4:D857)+1),"")</f>
        <v/>
      </c>
      <c r="H858" s="15"/>
      <c r="I858" s="15" t="str">
        <f>IF(O858="","",IF(ISNUMBER(MATCH(O858,$G$5:$G$1000,0)),"",IF(D858=1,B$4,0)+MAX(I$4:I857)+1))</f>
        <v/>
      </c>
      <c r="M858" s="14">
        <f>IF(ROW()-ROW(M$4)&lt;=1000,ROW()-ROW(M$4),"")</f>
        <v>854</v>
      </c>
    </row>
    <row r="859" spans="4:13" ht="12" customHeight="1" x14ac:dyDescent="0.25">
      <c r="D859" s="15" t="str">
        <f>IF(IF(ISNUMBER(B859),"",MAX(D$4:D858)+1)&lt;=D$3,IF(ISNUMBER(B859),"",MAX(D$4:D858)+1),"")</f>
        <v/>
      </c>
      <c r="H859" s="15"/>
      <c r="I859" s="15" t="str">
        <f>IF(O859="","",IF(ISNUMBER(MATCH(O859,$G$5:$G$1000,0)),"",IF(D859=1,B$4,0)+MAX(I$4:I858)+1))</f>
        <v/>
      </c>
      <c r="M859" s="14">
        <f>IF(ROW()-ROW(M$4)&lt;=1000,ROW()-ROW(M$4),"")</f>
        <v>855</v>
      </c>
    </row>
    <row r="860" spans="4:13" ht="12" customHeight="1" x14ac:dyDescent="0.25">
      <c r="D860" s="15" t="str">
        <f>IF(IF(ISNUMBER(B860),"",MAX(D$4:D859)+1)&lt;=D$3,IF(ISNUMBER(B860),"",MAX(D$4:D859)+1),"")</f>
        <v/>
      </c>
      <c r="H860" s="15"/>
      <c r="I860" s="15" t="str">
        <f>IF(O860="","",IF(ISNUMBER(MATCH(O860,$G$5:$G$1000,0)),"",IF(D860=1,B$4,0)+MAX(I$4:I859)+1))</f>
        <v/>
      </c>
      <c r="M860" s="14">
        <f>IF(ROW()-ROW(M$4)&lt;=1000,ROW()-ROW(M$4),"")</f>
        <v>856</v>
      </c>
    </row>
    <row r="861" spans="4:13" ht="12" customHeight="1" x14ac:dyDescent="0.25">
      <c r="D861" s="15" t="str">
        <f>IF(IF(ISNUMBER(B861),"",MAX(D$4:D860)+1)&lt;=D$3,IF(ISNUMBER(B861),"",MAX(D$4:D860)+1),"")</f>
        <v/>
      </c>
      <c r="H861" s="15"/>
      <c r="I861" s="15" t="str">
        <f>IF(O861="","",IF(ISNUMBER(MATCH(O861,$G$5:$G$1000,0)),"",IF(D861=1,B$4,0)+MAX(I$4:I860)+1))</f>
        <v/>
      </c>
      <c r="M861" s="14">
        <f>IF(ROW()-ROW(M$4)&lt;=1000,ROW()-ROW(M$4),"")</f>
        <v>857</v>
      </c>
    </row>
    <row r="862" spans="4:13" ht="12" customHeight="1" x14ac:dyDescent="0.25">
      <c r="D862" s="15" t="str">
        <f>IF(IF(ISNUMBER(B862),"",MAX(D$4:D861)+1)&lt;=D$3,IF(ISNUMBER(B862),"",MAX(D$4:D861)+1),"")</f>
        <v/>
      </c>
      <c r="H862" s="15"/>
      <c r="I862" s="15" t="str">
        <f>IF(O862="","",IF(ISNUMBER(MATCH(O862,$G$5:$G$1000,0)),"",IF(D862=1,B$4,0)+MAX(I$4:I861)+1))</f>
        <v/>
      </c>
      <c r="M862" s="14">
        <f>IF(ROW()-ROW(M$4)&lt;=1000,ROW()-ROW(M$4),"")</f>
        <v>858</v>
      </c>
    </row>
    <row r="863" spans="4:13" ht="12" customHeight="1" x14ac:dyDescent="0.25">
      <c r="D863" s="15" t="str">
        <f>IF(IF(ISNUMBER(B863),"",MAX(D$4:D862)+1)&lt;=D$3,IF(ISNUMBER(B863),"",MAX(D$4:D862)+1),"")</f>
        <v/>
      </c>
      <c r="H863" s="15"/>
      <c r="I863" s="15" t="str">
        <f>IF(O863="","",IF(ISNUMBER(MATCH(O863,$G$5:$G$1000,0)),"",IF(D863=1,B$4,0)+MAX(I$4:I862)+1))</f>
        <v/>
      </c>
      <c r="M863" s="14">
        <f>IF(ROW()-ROW(M$4)&lt;=1000,ROW()-ROW(M$4),"")</f>
        <v>859</v>
      </c>
    </row>
    <row r="864" spans="4:13" ht="12" customHeight="1" x14ac:dyDescent="0.25">
      <c r="D864" s="15" t="str">
        <f>IF(IF(ISNUMBER(B864),"",MAX(D$4:D863)+1)&lt;=D$3,IF(ISNUMBER(B864),"",MAX(D$4:D863)+1),"")</f>
        <v/>
      </c>
      <c r="H864" s="15"/>
      <c r="I864" s="15" t="str">
        <f>IF(O864="","",IF(ISNUMBER(MATCH(O864,$G$5:$G$1000,0)),"",IF(D864=1,B$4,0)+MAX(I$4:I863)+1))</f>
        <v/>
      </c>
      <c r="M864" s="14">
        <f>IF(ROW()-ROW(M$4)&lt;=1000,ROW()-ROW(M$4),"")</f>
        <v>860</v>
      </c>
    </row>
    <row r="865" spans="4:13" ht="12" customHeight="1" x14ac:dyDescent="0.25">
      <c r="D865" s="15" t="str">
        <f>IF(IF(ISNUMBER(B865),"",MAX(D$4:D864)+1)&lt;=D$3,IF(ISNUMBER(B865),"",MAX(D$4:D864)+1),"")</f>
        <v/>
      </c>
      <c r="H865" s="15"/>
      <c r="I865" s="15" t="str">
        <f>IF(O865="","",IF(ISNUMBER(MATCH(O865,$G$5:$G$1000,0)),"",IF(D865=1,B$4,0)+MAX(I$4:I864)+1))</f>
        <v/>
      </c>
      <c r="M865" s="14">
        <f>IF(ROW()-ROW(M$4)&lt;=1000,ROW()-ROW(M$4),"")</f>
        <v>861</v>
      </c>
    </row>
    <row r="866" spans="4:13" ht="12" customHeight="1" x14ac:dyDescent="0.25">
      <c r="D866" s="15" t="str">
        <f>IF(IF(ISNUMBER(B866),"",MAX(D$4:D865)+1)&lt;=D$3,IF(ISNUMBER(B866),"",MAX(D$4:D865)+1),"")</f>
        <v/>
      </c>
      <c r="H866" s="15"/>
      <c r="I866" s="15" t="str">
        <f>IF(O866="","",IF(ISNUMBER(MATCH(O866,$G$5:$G$1000,0)),"",IF(D866=1,B$4,0)+MAX(I$4:I865)+1))</f>
        <v/>
      </c>
      <c r="M866" s="14">
        <f>IF(ROW()-ROW(M$4)&lt;=1000,ROW()-ROW(M$4),"")</f>
        <v>862</v>
      </c>
    </row>
    <row r="867" spans="4:13" ht="12" customHeight="1" x14ac:dyDescent="0.25">
      <c r="D867" s="15" t="str">
        <f>IF(IF(ISNUMBER(B867),"",MAX(D$4:D866)+1)&lt;=D$3,IF(ISNUMBER(B867),"",MAX(D$4:D866)+1),"")</f>
        <v/>
      </c>
      <c r="H867" s="15"/>
      <c r="I867" s="15" t="str">
        <f>IF(O867="","",IF(ISNUMBER(MATCH(O867,$G$5:$G$1000,0)),"",IF(D867=1,B$4,0)+MAX(I$4:I866)+1))</f>
        <v/>
      </c>
      <c r="M867" s="14">
        <f>IF(ROW()-ROW(M$4)&lt;=1000,ROW()-ROW(M$4),"")</f>
        <v>863</v>
      </c>
    </row>
    <row r="868" spans="4:13" ht="12" customHeight="1" x14ac:dyDescent="0.25">
      <c r="D868" s="15" t="str">
        <f>IF(IF(ISNUMBER(B868),"",MAX(D$4:D867)+1)&lt;=D$3,IF(ISNUMBER(B868),"",MAX(D$4:D867)+1),"")</f>
        <v/>
      </c>
      <c r="H868" s="15"/>
      <c r="I868" s="15" t="str">
        <f>IF(O868="","",IF(ISNUMBER(MATCH(O868,$G$5:$G$1000,0)),"",IF(D868=1,B$4,0)+MAX(I$4:I867)+1))</f>
        <v/>
      </c>
      <c r="M868" s="14">
        <f>IF(ROW()-ROW(M$4)&lt;=1000,ROW()-ROW(M$4),"")</f>
        <v>864</v>
      </c>
    </row>
    <row r="869" spans="4:13" ht="12" customHeight="1" x14ac:dyDescent="0.25">
      <c r="D869" s="15" t="str">
        <f>IF(IF(ISNUMBER(B869),"",MAX(D$4:D868)+1)&lt;=D$3,IF(ISNUMBER(B869),"",MAX(D$4:D868)+1),"")</f>
        <v/>
      </c>
      <c r="H869" s="15"/>
      <c r="I869" s="15" t="str">
        <f>IF(O869="","",IF(ISNUMBER(MATCH(O869,$G$5:$G$1000,0)),"",IF(D869=1,B$4,0)+MAX(I$4:I868)+1))</f>
        <v/>
      </c>
      <c r="M869" s="14">
        <f>IF(ROW()-ROW(M$4)&lt;=1000,ROW()-ROW(M$4),"")</f>
        <v>865</v>
      </c>
    </row>
    <row r="870" spans="4:13" ht="12" customHeight="1" x14ac:dyDescent="0.25">
      <c r="D870" s="15" t="str">
        <f>IF(IF(ISNUMBER(B870),"",MAX(D$4:D869)+1)&lt;=D$3,IF(ISNUMBER(B870),"",MAX(D$4:D869)+1),"")</f>
        <v/>
      </c>
      <c r="H870" s="15"/>
      <c r="I870" s="15" t="str">
        <f>IF(O870="","",IF(ISNUMBER(MATCH(O870,$G$5:$G$1000,0)),"",IF(D870=1,B$4,0)+MAX(I$4:I869)+1))</f>
        <v/>
      </c>
      <c r="M870" s="14">
        <f>IF(ROW()-ROW(M$4)&lt;=1000,ROW()-ROW(M$4),"")</f>
        <v>866</v>
      </c>
    </row>
    <row r="871" spans="4:13" ht="12" customHeight="1" x14ac:dyDescent="0.25">
      <c r="D871" s="15" t="str">
        <f>IF(IF(ISNUMBER(B871),"",MAX(D$4:D870)+1)&lt;=D$3,IF(ISNUMBER(B871),"",MAX(D$4:D870)+1),"")</f>
        <v/>
      </c>
      <c r="H871" s="15"/>
      <c r="I871" s="15" t="str">
        <f>IF(O871="","",IF(ISNUMBER(MATCH(O871,$G$5:$G$1000,0)),"",IF(D871=1,B$4,0)+MAX(I$4:I870)+1))</f>
        <v/>
      </c>
      <c r="M871" s="14">
        <f>IF(ROW()-ROW(M$4)&lt;=1000,ROW()-ROW(M$4),"")</f>
        <v>867</v>
      </c>
    </row>
    <row r="872" spans="4:13" ht="12" customHeight="1" x14ac:dyDescent="0.25">
      <c r="D872" s="15" t="str">
        <f>IF(IF(ISNUMBER(B872),"",MAX(D$4:D871)+1)&lt;=D$3,IF(ISNUMBER(B872),"",MAX(D$4:D871)+1),"")</f>
        <v/>
      </c>
      <c r="H872" s="15"/>
      <c r="I872" s="15" t="str">
        <f>IF(O872="","",IF(ISNUMBER(MATCH(O872,$G$5:$G$1000,0)),"",IF(D872=1,B$4,0)+MAX(I$4:I871)+1))</f>
        <v/>
      </c>
      <c r="M872" s="14">
        <f>IF(ROW()-ROW(M$4)&lt;=1000,ROW()-ROW(M$4),"")</f>
        <v>868</v>
      </c>
    </row>
    <row r="873" spans="4:13" ht="12" customHeight="1" x14ac:dyDescent="0.25">
      <c r="D873" s="15" t="str">
        <f>IF(IF(ISNUMBER(B873),"",MAX(D$4:D872)+1)&lt;=D$3,IF(ISNUMBER(B873),"",MAX(D$4:D872)+1),"")</f>
        <v/>
      </c>
      <c r="H873" s="15"/>
      <c r="I873" s="15" t="str">
        <f>IF(O873="","",IF(ISNUMBER(MATCH(O873,$G$5:$G$1000,0)),"",IF(D873=1,B$4,0)+MAX(I$4:I872)+1))</f>
        <v/>
      </c>
      <c r="M873" s="14">
        <f>IF(ROW()-ROW(M$4)&lt;=1000,ROW()-ROW(M$4),"")</f>
        <v>869</v>
      </c>
    </row>
    <row r="874" spans="4:13" ht="12" customHeight="1" x14ac:dyDescent="0.25">
      <c r="D874" s="15" t="str">
        <f>IF(IF(ISNUMBER(B874),"",MAX(D$4:D873)+1)&lt;=D$3,IF(ISNUMBER(B874),"",MAX(D$4:D873)+1),"")</f>
        <v/>
      </c>
      <c r="H874" s="15"/>
      <c r="I874" s="15" t="str">
        <f>IF(O874="","",IF(ISNUMBER(MATCH(O874,$G$5:$G$1000,0)),"",IF(D874=1,B$4,0)+MAX(I$4:I873)+1))</f>
        <v/>
      </c>
      <c r="M874" s="14">
        <f>IF(ROW()-ROW(M$4)&lt;=1000,ROW()-ROW(M$4),"")</f>
        <v>870</v>
      </c>
    </row>
    <row r="875" spans="4:13" ht="12" customHeight="1" x14ac:dyDescent="0.25">
      <c r="D875" s="15" t="str">
        <f>IF(IF(ISNUMBER(B875),"",MAX(D$4:D874)+1)&lt;=D$3,IF(ISNUMBER(B875),"",MAX(D$4:D874)+1),"")</f>
        <v/>
      </c>
      <c r="H875" s="15"/>
      <c r="I875" s="15" t="str">
        <f>IF(O875="","",IF(ISNUMBER(MATCH(O875,$G$5:$G$1000,0)),"",IF(D875=1,B$4,0)+MAX(I$4:I874)+1))</f>
        <v/>
      </c>
      <c r="M875" s="14">
        <f>IF(ROW()-ROW(M$4)&lt;=1000,ROW()-ROW(M$4),"")</f>
        <v>871</v>
      </c>
    </row>
    <row r="876" spans="4:13" ht="12" customHeight="1" x14ac:dyDescent="0.25">
      <c r="D876" s="15" t="str">
        <f>IF(IF(ISNUMBER(B876),"",MAX(D$4:D875)+1)&lt;=D$3,IF(ISNUMBER(B876),"",MAX(D$4:D875)+1),"")</f>
        <v/>
      </c>
      <c r="H876" s="15"/>
      <c r="I876" s="15" t="str">
        <f>IF(O876="","",IF(ISNUMBER(MATCH(O876,$G$5:$G$1000,0)),"",IF(D876=1,B$4,0)+MAX(I$4:I875)+1))</f>
        <v/>
      </c>
      <c r="M876" s="14">
        <f>IF(ROW()-ROW(M$4)&lt;=1000,ROW()-ROW(M$4),"")</f>
        <v>872</v>
      </c>
    </row>
    <row r="877" spans="4:13" ht="12" customHeight="1" x14ac:dyDescent="0.25">
      <c r="D877" s="15" t="str">
        <f>IF(IF(ISNUMBER(B877),"",MAX(D$4:D876)+1)&lt;=D$3,IF(ISNUMBER(B877),"",MAX(D$4:D876)+1),"")</f>
        <v/>
      </c>
      <c r="H877" s="15"/>
      <c r="I877" s="15" t="str">
        <f>IF(O877="","",IF(ISNUMBER(MATCH(O877,$G$5:$G$1000,0)),"",IF(D877=1,B$4,0)+MAX(I$4:I876)+1))</f>
        <v/>
      </c>
      <c r="M877" s="14">
        <f>IF(ROW()-ROW(M$4)&lt;=1000,ROW()-ROW(M$4),"")</f>
        <v>873</v>
      </c>
    </row>
    <row r="878" spans="4:13" ht="12" customHeight="1" x14ac:dyDescent="0.25">
      <c r="D878" s="15" t="str">
        <f>IF(IF(ISNUMBER(B878),"",MAX(D$4:D877)+1)&lt;=D$3,IF(ISNUMBER(B878),"",MAX(D$4:D877)+1),"")</f>
        <v/>
      </c>
      <c r="H878" s="15"/>
      <c r="I878" s="15" t="str">
        <f>IF(O878="","",IF(ISNUMBER(MATCH(O878,$G$5:$G$1000,0)),"",IF(D878=1,B$4,0)+MAX(I$4:I877)+1))</f>
        <v/>
      </c>
      <c r="M878" s="14">
        <f>IF(ROW()-ROW(M$4)&lt;=1000,ROW()-ROW(M$4),"")</f>
        <v>874</v>
      </c>
    </row>
    <row r="879" spans="4:13" ht="12" customHeight="1" x14ac:dyDescent="0.25">
      <c r="D879" s="15" t="str">
        <f>IF(IF(ISNUMBER(B879),"",MAX(D$4:D878)+1)&lt;=D$3,IF(ISNUMBER(B879),"",MAX(D$4:D878)+1),"")</f>
        <v/>
      </c>
      <c r="H879" s="15"/>
      <c r="I879" s="15" t="str">
        <f>IF(O879="","",IF(ISNUMBER(MATCH(O879,$G$5:$G$1000,0)),"",IF(D879=1,B$4,0)+MAX(I$4:I878)+1))</f>
        <v/>
      </c>
      <c r="M879" s="14">
        <f>IF(ROW()-ROW(M$4)&lt;=1000,ROW()-ROW(M$4),"")</f>
        <v>875</v>
      </c>
    </row>
    <row r="880" spans="4:13" ht="12" customHeight="1" x14ac:dyDescent="0.25">
      <c r="D880" s="15" t="str">
        <f>IF(IF(ISNUMBER(B880),"",MAX(D$4:D879)+1)&lt;=D$3,IF(ISNUMBER(B880),"",MAX(D$4:D879)+1),"")</f>
        <v/>
      </c>
      <c r="H880" s="15"/>
      <c r="I880" s="15" t="str">
        <f>IF(O880="","",IF(ISNUMBER(MATCH(O880,$G$5:$G$1000,0)),"",IF(D880=1,B$4,0)+MAX(I$4:I879)+1))</f>
        <v/>
      </c>
      <c r="M880" s="14">
        <f>IF(ROW()-ROW(M$4)&lt;=1000,ROW()-ROW(M$4),"")</f>
        <v>876</v>
      </c>
    </row>
    <row r="881" spans="4:13" ht="12" customHeight="1" x14ac:dyDescent="0.25">
      <c r="D881" s="15" t="str">
        <f>IF(IF(ISNUMBER(B881),"",MAX(D$4:D880)+1)&lt;=D$3,IF(ISNUMBER(B881),"",MAX(D$4:D880)+1),"")</f>
        <v/>
      </c>
      <c r="H881" s="15"/>
      <c r="I881" s="15" t="str">
        <f>IF(O881="","",IF(ISNUMBER(MATCH(O881,$G$5:$G$1000,0)),"",IF(D881=1,B$4,0)+MAX(I$4:I880)+1))</f>
        <v/>
      </c>
      <c r="M881" s="14">
        <f>IF(ROW()-ROW(M$4)&lt;=1000,ROW()-ROW(M$4),"")</f>
        <v>877</v>
      </c>
    </row>
    <row r="882" spans="4:13" ht="12" customHeight="1" x14ac:dyDescent="0.25">
      <c r="D882" s="15" t="str">
        <f>IF(IF(ISNUMBER(B882),"",MAX(D$4:D881)+1)&lt;=D$3,IF(ISNUMBER(B882),"",MAX(D$4:D881)+1),"")</f>
        <v/>
      </c>
      <c r="H882" s="15"/>
      <c r="I882" s="15" t="str">
        <f>IF(O882="","",IF(ISNUMBER(MATCH(O882,$G$5:$G$1000,0)),"",IF(D882=1,B$4,0)+MAX(I$4:I881)+1))</f>
        <v/>
      </c>
      <c r="M882" s="14">
        <f>IF(ROW()-ROW(M$4)&lt;=1000,ROW()-ROW(M$4),"")</f>
        <v>878</v>
      </c>
    </row>
    <row r="883" spans="4:13" ht="12" customHeight="1" x14ac:dyDescent="0.25">
      <c r="D883" s="15" t="str">
        <f>IF(IF(ISNUMBER(B883),"",MAX(D$4:D882)+1)&lt;=D$3,IF(ISNUMBER(B883),"",MAX(D$4:D882)+1),"")</f>
        <v/>
      </c>
      <c r="H883" s="15"/>
      <c r="I883" s="15" t="str">
        <f>IF(O883="","",IF(ISNUMBER(MATCH(O883,$G$5:$G$1000,0)),"",IF(D883=1,B$4,0)+MAX(I$4:I882)+1))</f>
        <v/>
      </c>
      <c r="M883" s="14">
        <f>IF(ROW()-ROW(M$4)&lt;=1000,ROW()-ROW(M$4),"")</f>
        <v>879</v>
      </c>
    </row>
    <row r="884" spans="4:13" ht="12" customHeight="1" x14ac:dyDescent="0.25">
      <c r="D884" s="15" t="str">
        <f>IF(IF(ISNUMBER(B884),"",MAX(D$4:D883)+1)&lt;=D$3,IF(ISNUMBER(B884),"",MAX(D$4:D883)+1),"")</f>
        <v/>
      </c>
      <c r="H884" s="15"/>
      <c r="I884" s="15" t="str">
        <f>IF(O884="","",IF(ISNUMBER(MATCH(O884,$G$5:$G$1000,0)),"",IF(D884=1,B$4,0)+MAX(I$4:I883)+1))</f>
        <v/>
      </c>
      <c r="M884" s="14">
        <f>IF(ROW()-ROW(M$4)&lt;=1000,ROW()-ROW(M$4),"")</f>
        <v>880</v>
      </c>
    </row>
    <row r="885" spans="4:13" ht="12" customHeight="1" x14ac:dyDescent="0.25">
      <c r="D885" s="15" t="str">
        <f>IF(IF(ISNUMBER(B885),"",MAX(D$4:D884)+1)&lt;=D$3,IF(ISNUMBER(B885),"",MAX(D$4:D884)+1),"")</f>
        <v/>
      </c>
      <c r="H885" s="15"/>
      <c r="I885" s="15" t="str">
        <f>IF(O885="","",IF(ISNUMBER(MATCH(O885,$G$5:$G$1000,0)),"",IF(D885=1,B$4,0)+MAX(I$4:I884)+1))</f>
        <v/>
      </c>
      <c r="M885" s="14">
        <f>IF(ROW()-ROW(M$4)&lt;=1000,ROW()-ROW(M$4),"")</f>
        <v>881</v>
      </c>
    </row>
    <row r="886" spans="4:13" ht="12" customHeight="1" x14ac:dyDescent="0.25">
      <c r="D886" s="15" t="str">
        <f>IF(IF(ISNUMBER(B886),"",MAX(D$4:D885)+1)&lt;=D$3,IF(ISNUMBER(B886),"",MAX(D$4:D885)+1),"")</f>
        <v/>
      </c>
      <c r="H886" s="15"/>
      <c r="I886" s="15" t="str">
        <f>IF(O886="","",IF(ISNUMBER(MATCH(O886,$G$5:$G$1000,0)),"",IF(D886=1,B$4,0)+MAX(I$4:I885)+1))</f>
        <v/>
      </c>
      <c r="M886" s="14">
        <f>IF(ROW()-ROW(M$4)&lt;=1000,ROW()-ROW(M$4),"")</f>
        <v>882</v>
      </c>
    </row>
    <row r="887" spans="4:13" ht="12" customHeight="1" x14ac:dyDescent="0.25">
      <c r="D887" s="15" t="str">
        <f>IF(IF(ISNUMBER(B887),"",MAX(D$4:D886)+1)&lt;=D$3,IF(ISNUMBER(B887),"",MAX(D$4:D886)+1),"")</f>
        <v/>
      </c>
      <c r="H887" s="15"/>
      <c r="I887" s="15" t="str">
        <f>IF(O887="","",IF(ISNUMBER(MATCH(O887,$G$5:$G$1000,0)),"",IF(D887=1,B$4,0)+MAX(I$4:I886)+1))</f>
        <v/>
      </c>
      <c r="M887" s="14">
        <f>IF(ROW()-ROW(M$4)&lt;=1000,ROW()-ROW(M$4),"")</f>
        <v>883</v>
      </c>
    </row>
    <row r="888" spans="4:13" ht="12" customHeight="1" x14ac:dyDescent="0.25">
      <c r="D888" s="15" t="str">
        <f>IF(IF(ISNUMBER(B888),"",MAX(D$4:D887)+1)&lt;=D$3,IF(ISNUMBER(B888),"",MAX(D$4:D887)+1),"")</f>
        <v/>
      </c>
      <c r="H888" s="15"/>
      <c r="I888" s="15" t="str">
        <f>IF(O888="","",IF(ISNUMBER(MATCH(O888,$G$5:$G$1000,0)),"",IF(D888=1,B$4,0)+MAX(I$4:I887)+1))</f>
        <v/>
      </c>
      <c r="M888" s="14">
        <f>IF(ROW()-ROW(M$4)&lt;=1000,ROW()-ROW(M$4),"")</f>
        <v>884</v>
      </c>
    </row>
    <row r="889" spans="4:13" ht="12" customHeight="1" x14ac:dyDescent="0.25">
      <c r="D889" s="15" t="str">
        <f>IF(IF(ISNUMBER(B889),"",MAX(D$4:D888)+1)&lt;=D$3,IF(ISNUMBER(B889),"",MAX(D$4:D888)+1),"")</f>
        <v/>
      </c>
      <c r="H889" s="15"/>
      <c r="I889" s="15" t="str">
        <f>IF(O889="","",IF(ISNUMBER(MATCH(O889,$G$5:$G$1000,0)),"",IF(D889=1,B$4,0)+MAX(I$4:I888)+1))</f>
        <v/>
      </c>
      <c r="M889" s="14">
        <f>IF(ROW()-ROW(M$4)&lt;=1000,ROW()-ROW(M$4),"")</f>
        <v>885</v>
      </c>
    </row>
    <row r="890" spans="4:13" ht="12" customHeight="1" x14ac:dyDescent="0.25">
      <c r="D890" s="15" t="str">
        <f>IF(IF(ISNUMBER(B890),"",MAX(D$4:D889)+1)&lt;=D$3,IF(ISNUMBER(B890),"",MAX(D$4:D889)+1),"")</f>
        <v/>
      </c>
      <c r="H890" s="15"/>
      <c r="I890" s="15" t="str">
        <f>IF(O890="","",IF(ISNUMBER(MATCH(O890,$G$5:$G$1000,0)),"",IF(D890=1,B$4,0)+MAX(I$4:I889)+1))</f>
        <v/>
      </c>
      <c r="M890" s="14">
        <f>IF(ROW()-ROW(M$4)&lt;=1000,ROW()-ROW(M$4),"")</f>
        <v>886</v>
      </c>
    </row>
    <row r="891" spans="4:13" ht="12" customHeight="1" x14ac:dyDescent="0.25">
      <c r="D891" s="15" t="str">
        <f>IF(IF(ISNUMBER(B891),"",MAX(D$4:D890)+1)&lt;=D$3,IF(ISNUMBER(B891),"",MAX(D$4:D890)+1),"")</f>
        <v/>
      </c>
      <c r="H891" s="15"/>
      <c r="I891" s="15" t="str">
        <f>IF(O891="","",IF(ISNUMBER(MATCH(O891,$G$5:$G$1000,0)),"",IF(D891=1,B$4,0)+MAX(I$4:I890)+1))</f>
        <v/>
      </c>
      <c r="M891" s="14">
        <f>IF(ROW()-ROW(M$4)&lt;=1000,ROW()-ROW(M$4),"")</f>
        <v>887</v>
      </c>
    </row>
    <row r="892" spans="4:13" ht="12" customHeight="1" x14ac:dyDescent="0.25">
      <c r="D892" s="15" t="str">
        <f>IF(IF(ISNUMBER(B892),"",MAX(D$4:D891)+1)&lt;=D$3,IF(ISNUMBER(B892),"",MAX(D$4:D891)+1),"")</f>
        <v/>
      </c>
      <c r="H892" s="15"/>
      <c r="I892" s="15" t="str">
        <f>IF(O892="","",IF(ISNUMBER(MATCH(O892,$G$5:$G$1000,0)),"",IF(D892=1,B$4,0)+MAX(I$4:I891)+1))</f>
        <v/>
      </c>
      <c r="M892" s="14">
        <f>IF(ROW()-ROW(M$4)&lt;=1000,ROW()-ROW(M$4),"")</f>
        <v>888</v>
      </c>
    </row>
    <row r="893" spans="4:13" ht="12" customHeight="1" x14ac:dyDescent="0.25">
      <c r="D893" s="15" t="str">
        <f>IF(IF(ISNUMBER(B893),"",MAX(D$4:D892)+1)&lt;=D$3,IF(ISNUMBER(B893),"",MAX(D$4:D892)+1),"")</f>
        <v/>
      </c>
      <c r="H893" s="15"/>
      <c r="I893" s="15" t="str">
        <f>IF(O893="","",IF(ISNUMBER(MATCH(O893,$G$5:$G$1000,0)),"",IF(D893=1,B$4,0)+MAX(I$4:I892)+1))</f>
        <v/>
      </c>
      <c r="M893" s="14">
        <f>IF(ROW()-ROW(M$4)&lt;=1000,ROW()-ROW(M$4),"")</f>
        <v>889</v>
      </c>
    </row>
    <row r="894" spans="4:13" ht="12" customHeight="1" x14ac:dyDescent="0.25">
      <c r="D894" s="15" t="str">
        <f>IF(IF(ISNUMBER(B894),"",MAX(D$4:D893)+1)&lt;=D$3,IF(ISNUMBER(B894),"",MAX(D$4:D893)+1),"")</f>
        <v/>
      </c>
      <c r="H894" s="15"/>
      <c r="I894" s="15" t="str">
        <f>IF(O894="","",IF(ISNUMBER(MATCH(O894,$G$5:$G$1000,0)),"",IF(D894=1,B$4,0)+MAX(I$4:I893)+1))</f>
        <v/>
      </c>
      <c r="M894" s="14">
        <f>IF(ROW()-ROW(M$4)&lt;=1000,ROW()-ROW(M$4),"")</f>
        <v>890</v>
      </c>
    </row>
    <row r="895" spans="4:13" ht="12" customHeight="1" x14ac:dyDescent="0.25">
      <c r="D895" s="15" t="str">
        <f>IF(IF(ISNUMBER(B895),"",MAX(D$4:D894)+1)&lt;=D$3,IF(ISNUMBER(B895),"",MAX(D$4:D894)+1),"")</f>
        <v/>
      </c>
      <c r="H895" s="15"/>
      <c r="I895" s="15" t="str">
        <f>IF(O895="","",IF(ISNUMBER(MATCH(O895,$G$5:$G$1000,0)),"",IF(D895=1,B$4,0)+MAX(I$4:I894)+1))</f>
        <v/>
      </c>
      <c r="M895" s="14">
        <f>IF(ROW()-ROW(M$4)&lt;=1000,ROW()-ROW(M$4),"")</f>
        <v>891</v>
      </c>
    </row>
    <row r="896" spans="4:13" ht="12" customHeight="1" x14ac:dyDescent="0.25">
      <c r="D896" s="15" t="str">
        <f>IF(IF(ISNUMBER(B896),"",MAX(D$4:D895)+1)&lt;=D$3,IF(ISNUMBER(B896),"",MAX(D$4:D895)+1),"")</f>
        <v/>
      </c>
      <c r="H896" s="15"/>
      <c r="I896" s="15" t="str">
        <f>IF(O896="","",IF(ISNUMBER(MATCH(O896,$G$5:$G$1000,0)),"",IF(D896=1,B$4,0)+MAX(I$4:I895)+1))</f>
        <v/>
      </c>
      <c r="M896" s="14">
        <f>IF(ROW()-ROW(M$4)&lt;=1000,ROW()-ROW(M$4),"")</f>
        <v>892</v>
      </c>
    </row>
    <row r="897" spans="4:13" ht="12" customHeight="1" x14ac:dyDescent="0.25">
      <c r="D897" s="15" t="str">
        <f>IF(IF(ISNUMBER(B897),"",MAX(D$4:D896)+1)&lt;=D$3,IF(ISNUMBER(B897),"",MAX(D$4:D896)+1),"")</f>
        <v/>
      </c>
      <c r="H897" s="15"/>
      <c r="I897" s="15" t="str">
        <f>IF(O897="","",IF(ISNUMBER(MATCH(O897,$G$5:$G$1000,0)),"",IF(D897=1,B$4,0)+MAX(I$4:I896)+1))</f>
        <v/>
      </c>
      <c r="M897" s="14">
        <f>IF(ROW()-ROW(M$4)&lt;=1000,ROW()-ROW(M$4),"")</f>
        <v>893</v>
      </c>
    </row>
    <row r="898" spans="4:13" ht="12" customHeight="1" x14ac:dyDescent="0.25">
      <c r="D898" s="15" t="str">
        <f>IF(IF(ISNUMBER(B898),"",MAX(D$4:D897)+1)&lt;=D$3,IF(ISNUMBER(B898),"",MAX(D$4:D897)+1),"")</f>
        <v/>
      </c>
      <c r="H898" s="15"/>
      <c r="I898" s="15" t="str">
        <f>IF(O898="","",IF(ISNUMBER(MATCH(O898,$G$5:$G$1000,0)),"",IF(D898=1,B$4,0)+MAX(I$4:I897)+1))</f>
        <v/>
      </c>
      <c r="M898" s="14">
        <f>IF(ROW()-ROW(M$4)&lt;=1000,ROW()-ROW(M$4),"")</f>
        <v>894</v>
      </c>
    </row>
    <row r="899" spans="4:13" ht="12" customHeight="1" x14ac:dyDescent="0.25">
      <c r="D899" s="15" t="str">
        <f>IF(IF(ISNUMBER(B899),"",MAX(D$4:D898)+1)&lt;=D$3,IF(ISNUMBER(B899),"",MAX(D$4:D898)+1),"")</f>
        <v/>
      </c>
      <c r="H899" s="15"/>
      <c r="I899" s="15" t="str">
        <f>IF(O899="","",IF(ISNUMBER(MATCH(O899,$G$5:$G$1000,0)),"",IF(D899=1,B$4,0)+MAX(I$4:I898)+1))</f>
        <v/>
      </c>
      <c r="M899" s="14">
        <f>IF(ROW()-ROW(M$4)&lt;=1000,ROW()-ROW(M$4),"")</f>
        <v>895</v>
      </c>
    </row>
    <row r="900" spans="4:13" ht="12" customHeight="1" x14ac:dyDescent="0.25">
      <c r="D900" s="15" t="str">
        <f>IF(IF(ISNUMBER(B900),"",MAX(D$4:D899)+1)&lt;=D$3,IF(ISNUMBER(B900),"",MAX(D$4:D899)+1),"")</f>
        <v/>
      </c>
      <c r="H900" s="15"/>
      <c r="I900" s="15" t="str">
        <f>IF(O900="","",IF(ISNUMBER(MATCH(O900,$G$5:$G$1000,0)),"",IF(D900=1,B$4,0)+MAX(I$4:I899)+1))</f>
        <v/>
      </c>
      <c r="M900" s="14">
        <f>IF(ROW()-ROW(M$4)&lt;=1000,ROW()-ROW(M$4),"")</f>
        <v>896</v>
      </c>
    </row>
    <row r="901" spans="4:13" ht="12" customHeight="1" x14ac:dyDescent="0.25">
      <c r="D901" s="15" t="str">
        <f>IF(IF(ISNUMBER(B901),"",MAX(D$4:D900)+1)&lt;=D$3,IF(ISNUMBER(B901),"",MAX(D$4:D900)+1),"")</f>
        <v/>
      </c>
      <c r="H901" s="15"/>
      <c r="I901" s="15" t="str">
        <f>IF(O901="","",IF(ISNUMBER(MATCH(O901,$G$5:$G$1000,0)),"",IF(D901=1,B$4,0)+MAX(I$4:I900)+1))</f>
        <v/>
      </c>
      <c r="M901" s="14">
        <f>IF(ROW()-ROW(M$4)&lt;=1000,ROW()-ROW(M$4),"")</f>
        <v>897</v>
      </c>
    </row>
    <row r="902" spans="4:13" ht="12" customHeight="1" x14ac:dyDescent="0.25">
      <c r="D902" s="15" t="str">
        <f>IF(IF(ISNUMBER(B902),"",MAX(D$4:D901)+1)&lt;=D$3,IF(ISNUMBER(B902),"",MAX(D$4:D901)+1),"")</f>
        <v/>
      </c>
      <c r="H902" s="15"/>
      <c r="I902" s="15" t="str">
        <f>IF(O902="","",IF(ISNUMBER(MATCH(O902,$G$5:$G$1000,0)),"",IF(D902=1,B$4,0)+MAX(I$4:I901)+1))</f>
        <v/>
      </c>
      <c r="M902" s="14">
        <f>IF(ROW()-ROW(M$4)&lt;=1000,ROW()-ROW(M$4),"")</f>
        <v>898</v>
      </c>
    </row>
    <row r="903" spans="4:13" ht="12" customHeight="1" x14ac:dyDescent="0.25">
      <c r="D903" s="15" t="str">
        <f>IF(IF(ISNUMBER(B903),"",MAX(D$4:D902)+1)&lt;=D$3,IF(ISNUMBER(B903),"",MAX(D$4:D902)+1),"")</f>
        <v/>
      </c>
      <c r="H903" s="15"/>
      <c r="I903" s="15" t="str">
        <f>IF(O903="","",IF(ISNUMBER(MATCH(O903,$G$5:$G$1000,0)),"",IF(D903=1,B$4,0)+MAX(I$4:I902)+1))</f>
        <v/>
      </c>
      <c r="M903" s="14">
        <f>IF(ROW()-ROW(M$4)&lt;=1000,ROW()-ROW(M$4),"")</f>
        <v>899</v>
      </c>
    </row>
    <row r="904" spans="4:13" ht="12" customHeight="1" x14ac:dyDescent="0.25">
      <c r="D904" s="15" t="str">
        <f>IF(IF(ISNUMBER(B904),"",MAX(D$4:D903)+1)&lt;=D$3,IF(ISNUMBER(B904),"",MAX(D$4:D903)+1),"")</f>
        <v/>
      </c>
      <c r="H904" s="15"/>
      <c r="I904" s="15" t="str">
        <f>IF(O904="","",IF(ISNUMBER(MATCH(O904,$G$5:$G$1000,0)),"",IF(D904=1,B$4,0)+MAX(I$4:I903)+1))</f>
        <v/>
      </c>
      <c r="M904" s="14">
        <f>IF(ROW()-ROW(M$4)&lt;=1000,ROW()-ROW(M$4),"")</f>
        <v>900</v>
      </c>
    </row>
    <row r="905" spans="4:13" ht="12" customHeight="1" x14ac:dyDescent="0.25">
      <c r="D905" s="15" t="str">
        <f>IF(IF(ISNUMBER(B905),"",MAX(D$4:D904)+1)&lt;=D$3,IF(ISNUMBER(B905),"",MAX(D$4:D904)+1),"")</f>
        <v/>
      </c>
      <c r="H905" s="15"/>
      <c r="I905" s="15" t="str">
        <f>IF(O905="","",IF(ISNUMBER(MATCH(O905,$G$5:$G$1000,0)),"",IF(D905=1,B$4,0)+MAX(I$4:I904)+1))</f>
        <v/>
      </c>
      <c r="M905" s="14">
        <f>IF(ROW()-ROW(M$4)&lt;=1000,ROW()-ROW(M$4),"")</f>
        <v>901</v>
      </c>
    </row>
    <row r="906" spans="4:13" ht="12" customHeight="1" x14ac:dyDescent="0.25">
      <c r="D906" s="15" t="str">
        <f>IF(IF(ISNUMBER(B906),"",MAX(D$4:D905)+1)&lt;=D$3,IF(ISNUMBER(B906),"",MAX(D$4:D905)+1),"")</f>
        <v/>
      </c>
      <c r="H906" s="15"/>
      <c r="I906" s="15" t="str">
        <f>IF(O906="","",IF(ISNUMBER(MATCH(O906,$G$5:$G$1000,0)),"",IF(D906=1,B$4,0)+MAX(I$4:I905)+1))</f>
        <v/>
      </c>
      <c r="M906" s="14">
        <f>IF(ROW()-ROW(M$4)&lt;=1000,ROW()-ROW(M$4),"")</f>
        <v>902</v>
      </c>
    </row>
    <row r="907" spans="4:13" ht="12" customHeight="1" x14ac:dyDescent="0.25">
      <c r="D907" s="15" t="str">
        <f>IF(IF(ISNUMBER(B907),"",MAX(D$4:D906)+1)&lt;=D$3,IF(ISNUMBER(B907),"",MAX(D$4:D906)+1),"")</f>
        <v/>
      </c>
      <c r="H907" s="15"/>
      <c r="I907" s="15" t="str">
        <f>IF(O907="","",IF(ISNUMBER(MATCH(O907,$G$5:$G$1000,0)),"",IF(D907=1,B$4,0)+MAX(I$4:I906)+1))</f>
        <v/>
      </c>
      <c r="M907" s="14">
        <f>IF(ROW()-ROW(M$4)&lt;=1000,ROW()-ROW(M$4),"")</f>
        <v>903</v>
      </c>
    </row>
    <row r="908" spans="4:13" ht="12" customHeight="1" x14ac:dyDescent="0.25">
      <c r="D908" s="15" t="str">
        <f>IF(IF(ISNUMBER(B908),"",MAX(D$4:D907)+1)&lt;=D$3,IF(ISNUMBER(B908),"",MAX(D$4:D907)+1),"")</f>
        <v/>
      </c>
      <c r="H908" s="15"/>
      <c r="I908" s="15" t="str">
        <f>IF(O908="","",IF(ISNUMBER(MATCH(O908,$G$5:$G$1000,0)),"",IF(D908=1,B$4,0)+MAX(I$4:I907)+1))</f>
        <v/>
      </c>
      <c r="M908" s="14">
        <f>IF(ROW()-ROW(M$4)&lt;=1000,ROW()-ROW(M$4),"")</f>
        <v>904</v>
      </c>
    </row>
    <row r="909" spans="4:13" ht="12" customHeight="1" x14ac:dyDescent="0.25">
      <c r="D909" s="15" t="str">
        <f>IF(IF(ISNUMBER(B909),"",MAX(D$4:D908)+1)&lt;=D$3,IF(ISNUMBER(B909),"",MAX(D$4:D908)+1),"")</f>
        <v/>
      </c>
      <c r="H909" s="15"/>
      <c r="I909" s="15" t="str">
        <f>IF(O909="","",IF(ISNUMBER(MATCH(O909,$G$5:$G$1000,0)),"",IF(D909=1,B$4,0)+MAX(I$4:I908)+1))</f>
        <v/>
      </c>
      <c r="M909" s="14">
        <f>IF(ROW()-ROW(M$4)&lt;=1000,ROW()-ROW(M$4),"")</f>
        <v>905</v>
      </c>
    </row>
    <row r="910" spans="4:13" ht="12" customHeight="1" x14ac:dyDescent="0.25">
      <c r="D910" s="15" t="str">
        <f>IF(IF(ISNUMBER(B910),"",MAX(D$4:D909)+1)&lt;=D$3,IF(ISNUMBER(B910),"",MAX(D$4:D909)+1),"")</f>
        <v/>
      </c>
      <c r="H910" s="15"/>
      <c r="I910" s="15" t="str">
        <f>IF(O910="","",IF(ISNUMBER(MATCH(O910,$G$5:$G$1000,0)),"",IF(D910=1,B$4,0)+MAX(I$4:I909)+1))</f>
        <v/>
      </c>
      <c r="M910" s="14">
        <f>IF(ROW()-ROW(M$4)&lt;=1000,ROW()-ROW(M$4),"")</f>
        <v>906</v>
      </c>
    </row>
    <row r="911" spans="4:13" ht="12" customHeight="1" x14ac:dyDescent="0.25">
      <c r="D911" s="15" t="str">
        <f>IF(IF(ISNUMBER(B911),"",MAX(D$4:D910)+1)&lt;=D$3,IF(ISNUMBER(B911),"",MAX(D$4:D910)+1),"")</f>
        <v/>
      </c>
      <c r="H911" s="15"/>
      <c r="I911" s="15" t="str">
        <f>IF(O911="","",IF(ISNUMBER(MATCH(O911,$G$5:$G$1000,0)),"",IF(D911=1,B$4,0)+MAX(I$4:I910)+1))</f>
        <v/>
      </c>
      <c r="M911" s="14">
        <f>IF(ROW()-ROW(M$4)&lt;=1000,ROW()-ROW(M$4),"")</f>
        <v>907</v>
      </c>
    </row>
    <row r="912" spans="4:13" ht="12" customHeight="1" x14ac:dyDescent="0.25">
      <c r="D912" s="15" t="str">
        <f>IF(IF(ISNUMBER(B912),"",MAX(D$4:D911)+1)&lt;=D$3,IF(ISNUMBER(B912),"",MAX(D$4:D911)+1),"")</f>
        <v/>
      </c>
      <c r="H912" s="15"/>
      <c r="I912" s="15" t="str">
        <f>IF(O912="","",IF(ISNUMBER(MATCH(O912,$G$5:$G$1000,0)),"",IF(D912=1,B$4,0)+MAX(I$4:I911)+1))</f>
        <v/>
      </c>
      <c r="M912" s="14">
        <f>IF(ROW()-ROW(M$4)&lt;=1000,ROW()-ROW(M$4),"")</f>
        <v>908</v>
      </c>
    </row>
    <row r="913" spans="4:13" ht="12" customHeight="1" x14ac:dyDescent="0.25">
      <c r="D913" s="15" t="str">
        <f>IF(IF(ISNUMBER(B913),"",MAX(D$4:D912)+1)&lt;=D$3,IF(ISNUMBER(B913),"",MAX(D$4:D912)+1),"")</f>
        <v/>
      </c>
      <c r="H913" s="15"/>
      <c r="I913" s="15" t="str">
        <f>IF(O913="","",IF(ISNUMBER(MATCH(O913,$G$5:$G$1000,0)),"",IF(D913=1,B$4,0)+MAX(I$4:I912)+1))</f>
        <v/>
      </c>
      <c r="M913" s="14">
        <f>IF(ROW()-ROW(M$4)&lt;=1000,ROW()-ROW(M$4),"")</f>
        <v>909</v>
      </c>
    </row>
    <row r="914" spans="4:13" ht="12" customHeight="1" x14ac:dyDescent="0.25">
      <c r="D914" s="15" t="str">
        <f>IF(IF(ISNUMBER(B914),"",MAX(D$4:D913)+1)&lt;=D$3,IF(ISNUMBER(B914),"",MAX(D$4:D913)+1),"")</f>
        <v/>
      </c>
      <c r="H914" s="15"/>
      <c r="I914" s="15" t="str">
        <f>IF(O914="","",IF(ISNUMBER(MATCH(O914,$G$5:$G$1000,0)),"",IF(D914=1,B$4,0)+MAX(I$4:I913)+1))</f>
        <v/>
      </c>
      <c r="M914" s="14">
        <f>IF(ROW()-ROW(M$4)&lt;=1000,ROW()-ROW(M$4),"")</f>
        <v>910</v>
      </c>
    </row>
    <row r="915" spans="4:13" ht="12" customHeight="1" x14ac:dyDescent="0.25">
      <c r="D915" s="15" t="str">
        <f>IF(IF(ISNUMBER(B915),"",MAX(D$4:D914)+1)&lt;=D$3,IF(ISNUMBER(B915),"",MAX(D$4:D914)+1),"")</f>
        <v/>
      </c>
      <c r="H915" s="15"/>
      <c r="I915" s="15" t="str">
        <f>IF(O915="","",IF(ISNUMBER(MATCH(O915,$G$5:$G$1000,0)),"",IF(D915=1,B$4,0)+MAX(I$4:I914)+1))</f>
        <v/>
      </c>
      <c r="M915" s="14">
        <f>IF(ROW()-ROW(M$4)&lt;=1000,ROW()-ROW(M$4),"")</f>
        <v>911</v>
      </c>
    </row>
    <row r="916" spans="4:13" ht="12" customHeight="1" x14ac:dyDescent="0.25">
      <c r="D916" s="15" t="str">
        <f>IF(IF(ISNUMBER(B916),"",MAX(D$4:D915)+1)&lt;=D$3,IF(ISNUMBER(B916),"",MAX(D$4:D915)+1),"")</f>
        <v/>
      </c>
      <c r="H916" s="15"/>
      <c r="I916" s="15" t="str">
        <f>IF(O916="","",IF(ISNUMBER(MATCH(O916,$G$5:$G$1000,0)),"",IF(D916=1,B$4,0)+MAX(I$4:I915)+1))</f>
        <v/>
      </c>
      <c r="M916" s="14">
        <f>IF(ROW()-ROW(M$4)&lt;=1000,ROW()-ROW(M$4),"")</f>
        <v>912</v>
      </c>
    </row>
    <row r="917" spans="4:13" ht="12" customHeight="1" x14ac:dyDescent="0.25">
      <c r="D917" s="15" t="str">
        <f>IF(IF(ISNUMBER(B917),"",MAX(D$4:D916)+1)&lt;=D$3,IF(ISNUMBER(B917),"",MAX(D$4:D916)+1),"")</f>
        <v/>
      </c>
      <c r="H917" s="15"/>
      <c r="I917" s="15" t="str">
        <f>IF(O917="","",IF(ISNUMBER(MATCH(O917,$G$5:$G$1000,0)),"",IF(D917=1,B$4,0)+MAX(I$4:I916)+1))</f>
        <v/>
      </c>
      <c r="M917" s="14">
        <f>IF(ROW()-ROW(M$4)&lt;=1000,ROW()-ROW(M$4),"")</f>
        <v>913</v>
      </c>
    </row>
    <row r="918" spans="4:13" ht="12" customHeight="1" x14ac:dyDescent="0.25">
      <c r="D918" s="15" t="str">
        <f>IF(IF(ISNUMBER(B918),"",MAX(D$4:D917)+1)&lt;=D$3,IF(ISNUMBER(B918),"",MAX(D$4:D917)+1),"")</f>
        <v/>
      </c>
      <c r="H918" s="15"/>
      <c r="I918" s="15" t="str">
        <f>IF(O918="","",IF(ISNUMBER(MATCH(O918,$G$5:$G$1000,0)),"",IF(D918=1,B$4,0)+MAX(I$4:I917)+1))</f>
        <v/>
      </c>
      <c r="M918" s="14">
        <f>IF(ROW()-ROW(M$4)&lt;=1000,ROW()-ROW(M$4),"")</f>
        <v>914</v>
      </c>
    </row>
    <row r="919" spans="4:13" ht="12" customHeight="1" x14ac:dyDescent="0.25">
      <c r="D919" s="15" t="str">
        <f>IF(IF(ISNUMBER(B919),"",MAX(D$4:D918)+1)&lt;=D$3,IF(ISNUMBER(B919),"",MAX(D$4:D918)+1),"")</f>
        <v/>
      </c>
      <c r="H919" s="15"/>
      <c r="I919" s="15" t="str">
        <f>IF(O919="","",IF(ISNUMBER(MATCH(O919,$G$5:$G$1000,0)),"",IF(D919=1,B$4,0)+MAX(I$4:I918)+1))</f>
        <v/>
      </c>
      <c r="M919" s="14">
        <f>IF(ROW()-ROW(M$4)&lt;=1000,ROW()-ROW(M$4),"")</f>
        <v>915</v>
      </c>
    </row>
    <row r="920" spans="4:13" ht="12" customHeight="1" x14ac:dyDescent="0.25">
      <c r="D920" s="15" t="str">
        <f>IF(IF(ISNUMBER(B920),"",MAX(D$4:D919)+1)&lt;=D$3,IF(ISNUMBER(B920),"",MAX(D$4:D919)+1),"")</f>
        <v/>
      </c>
      <c r="H920" s="15"/>
      <c r="I920" s="15" t="str">
        <f>IF(O920="","",IF(ISNUMBER(MATCH(O920,$G$5:$G$1000,0)),"",IF(D920=1,B$4,0)+MAX(I$4:I919)+1))</f>
        <v/>
      </c>
      <c r="M920" s="14">
        <f>IF(ROW()-ROW(M$4)&lt;=1000,ROW()-ROW(M$4),"")</f>
        <v>916</v>
      </c>
    </row>
    <row r="921" spans="4:13" ht="12" customHeight="1" x14ac:dyDescent="0.25">
      <c r="D921" s="15" t="str">
        <f>IF(IF(ISNUMBER(B921),"",MAX(D$4:D920)+1)&lt;=D$3,IF(ISNUMBER(B921),"",MAX(D$4:D920)+1),"")</f>
        <v/>
      </c>
      <c r="H921" s="15"/>
      <c r="I921" s="15" t="str">
        <f>IF(O921="","",IF(ISNUMBER(MATCH(O921,$G$5:$G$1000,0)),"",IF(D921=1,B$4,0)+MAX(I$4:I920)+1))</f>
        <v/>
      </c>
      <c r="M921" s="14">
        <f>IF(ROW()-ROW(M$4)&lt;=1000,ROW()-ROW(M$4),"")</f>
        <v>917</v>
      </c>
    </row>
    <row r="922" spans="4:13" ht="12" customHeight="1" x14ac:dyDescent="0.25">
      <c r="D922" s="15" t="str">
        <f>IF(IF(ISNUMBER(B922),"",MAX(D$4:D921)+1)&lt;=D$3,IF(ISNUMBER(B922),"",MAX(D$4:D921)+1),"")</f>
        <v/>
      </c>
      <c r="H922" s="15"/>
      <c r="I922" s="15" t="str">
        <f>IF(O922="","",IF(ISNUMBER(MATCH(O922,$G$5:$G$1000,0)),"",IF(D922=1,B$4,0)+MAX(I$4:I921)+1))</f>
        <v/>
      </c>
      <c r="M922" s="14">
        <f>IF(ROW()-ROW(M$4)&lt;=1000,ROW()-ROW(M$4),"")</f>
        <v>918</v>
      </c>
    </row>
    <row r="923" spans="4:13" ht="12" customHeight="1" x14ac:dyDescent="0.25">
      <c r="D923" s="15" t="str">
        <f>IF(IF(ISNUMBER(B923),"",MAX(D$4:D922)+1)&lt;=D$3,IF(ISNUMBER(B923),"",MAX(D$4:D922)+1),"")</f>
        <v/>
      </c>
      <c r="H923" s="15"/>
      <c r="I923" s="15" t="str">
        <f>IF(O923="","",IF(ISNUMBER(MATCH(O923,$G$5:$G$1000,0)),"",IF(D923=1,B$4,0)+MAX(I$4:I922)+1))</f>
        <v/>
      </c>
      <c r="M923" s="14">
        <f>IF(ROW()-ROW(M$4)&lt;=1000,ROW()-ROW(M$4),"")</f>
        <v>919</v>
      </c>
    </row>
    <row r="924" spans="4:13" ht="12" customHeight="1" x14ac:dyDescent="0.25">
      <c r="D924" s="15" t="str">
        <f>IF(IF(ISNUMBER(B924),"",MAX(D$4:D923)+1)&lt;=D$3,IF(ISNUMBER(B924),"",MAX(D$4:D923)+1),"")</f>
        <v/>
      </c>
      <c r="H924" s="15"/>
      <c r="I924" s="15" t="str">
        <f>IF(O924="","",IF(ISNUMBER(MATCH(O924,$G$5:$G$1000,0)),"",IF(D924=1,B$4,0)+MAX(I$4:I923)+1))</f>
        <v/>
      </c>
      <c r="M924" s="14">
        <f>IF(ROW()-ROW(M$4)&lt;=1000,ROW()-ROW(M$4),"")</f>
        <v>920</v>
      </c>
    </row>
    <row r="925" spans="4:13" ht="12" customHeight="1" x14ac:dyDescent="0.25">
      <c r="D925" s="15" t="str">
        <f>IF(IF(ISNUMBER(B925),"",MAX(D$4:D924)+1)&lt;=D$3,IF(ISNUMBER(B925),"",MAX(D$4:D924)+1),"")</f>
        <v/>
      </c>
      <c r="H925" s="15"/>
      <c r="I925" s="15" t="str">
        <f>IF(O925="","",IF(ISNUMBER(MATCH(O925,$G$5:$G$1000,0)),"",IF(D925=1,B$4,0)+MAX(I$4:I924)+1))</f>
        <v/>
      </c>
      <c r="M925" s="14">
        <f>IF(ROW()-ROW(M$4)&lt;=1000,ROW()-ROW(M$4),"")</f>
        <v>921</v>
      </c>
    </row>
    <row r="926" spans="4:13" ht="12" customHeight="1" x14ac:dyDescent="0.25">
      <c r="D926" s="15" t="str">
        <f>IF(IF(ISNUMBER(B926),"",MAX(D$4:D925)+1)&lt;=D$3,IF(ISNUMBER(B926),"",MAX(D$4:D925)+1),"")</f>
        <v/>
      </c>
      <c r="H926" s="15"/>
      <c r="I926" s="15" t="str">
        <f>IF(O926="","",IF(ISNUMBER(MATCH(O926,$G$5:$G$1000,0)),"",IF(D926=1,B$4,0)+MAX(I$4:I925)+1))</f>
        <v/>
      </c>
      <c r="M926" s="14">
        <f>IF(ROW()-ROW(M$4)&lt;=1000,ROW()-ROW(M$4),"")</f>
        <v>922</v>
      </c>
    </row>
    <row r="927" spans="4:13" ht="12" customHeight="1" x14ac:dyDescent="0.25">
      <c r="D927" s="15" t="str">
        <f>IF(IF(ISNUMBER(B927),"",MAX(D$4:D926)+1)&lt;=D$3,IF(ISNUMBER(B927),"",MAX(D$4:D926)+1),"")</f>
        <v/>
      </c>
      <c r="H927" s="15"/>
      <c r="I927" s="15" t="str">
        <f>IF(O927="","",IF(ISNUMBER(MATCH(O927,$G$5:$G$1000,0)),"",IF(D927=1,B$4,0)+MAX(I$4:I926)+1))</f>
        <v/>
      </c>
      <c r="M927" s="14">
        <f>IF(ROW()-ROW(M$4)&lt;=1000,ROW()-ROW(M$4),"")</f>
        <v>923</v>
      </c>
    </row>
    <row r="928" spans="4:13" ht="12" customHeight="1" x14ac:dyDescent="0.25">
      <c r="D928" s="15" t="str">
        <f>IF(IF(ISNUMBER(B928),"",MAX(D$4:D927)+1)&lt;=D$3,IF(ISNUMBER(B928),"",MAX(D$4:D927)+1),"")</f>
        <v/>
      </c>
      <c r="H928" s="15"/>
      <c r="I928" s="15" t="str">
        <f>IF(O928="","",IF(ISNUMBER(MATCH(O928,$G$5:$G$1000,0)),"",IF(D928=1,B$4,0)+MAX(I$4:I927)+1))</f>
        <v/>
      </c>
      <c r="M928" s="14">
        <f>IF(ROW()-ROW(M$4)&lt;=1000,ROW()-ROW(M$4),"")</f>
        <v>924</v>
      </c>
    </row>
    <row r="929" spans="4:13" ht="12" customHeight="1" x14ac:dyDescent="0.25">
      <c r="D929" s="15" t="str">
        <f>IF(IF(ISNUMBER(B929),"",MAX(D$4:D928)+1)&lt;=D$3,IF(ISNUMBER(B929),"",MAX(D$4:D928)+1),"")</f>
        <v/>
      </c>
      <c r="H929" s="15"/>
      <c r="I929" s="15" t="str">
        <f>IF(O929="","",IF(ISNUMBER(MATCH(O929,$G$5:$G$1000,0)),"",IF(D929=1,B$4,0)+MAX(I$4:I928)+1))</f>
        <v/>
      </c>
      <c r="M929" s="14">
        <f>IF(ROW()-ROW(M$4)&lt;=1000,ROW()-ROW(M$4),"")</f>
        <v>925</v>
      </c>
    </row>
    <row r="930" spans="4:13" ht="12" customHeight="1" x14ac:dyDescent="0.25">
      <c r="D930" s="15" t="str">
        <f>IF(IF(ISNUMBER(B930),"",MAX(D$4:D929)+1)&lt;=D$3,IF(ISNUMBER(B930),"",MAX(D$4:D929)+1),"")</f>
        <v/>
      </c>
      <c r="H930" s="15"/>
      <c r="I930" s="15" t="str">
        <f>IF(O930="","",IF(ISNUMBER(MATCH(O930,$G$5:$G$1000,0)),"",IF(D930=1,B$4,0)+MAX(I$4:I929)+1))</f>
        <v/>
      </c>
      <c r="M930" s="14">
        <f>IF(ROW()-ROW(M$4)&lt;=1000,ROW()-ROW(M$4),"")</f>
        <v>926</v>
      </c>
    </row>
    <row r="931" spans="4:13" ht="12" customHeight="1" x14ac:dyDescent="0.25">
      <c r="D931" s="15" t="str">
        <f>IF(IF(ISNUMBER(B931),"",MAX(D$4:D930)+1)&lt;=D$3,IF(ISNUMBER(B931),"",MAX(D$4:D930)+1),"")</f>
        <v/>
      </c>
      <c r="H931" s="15"/>
      <c r="I931" s="15" t="str">
        <f>IF(O931="","",IF(ISNUMBER(MATCH(O931,$G$5:$G$1000,0)),"",IF(D931=1,B$4,0)+MAX(I$4:I930)+1))</f>
        <v/>
      </c>
      <c r="M931" s="14">
        <f>IF(ROW()-ROW(M$4)&lt;=1000,ROW()-ROW(M$4),"")</f>
        <v>927</v>
      </c>
    </row>
    <row r="932" spans="4:13" ht="12" customHeight="1" x14ac:dyDescent="0.25">
      <c r="D932" s="15" t="str">
        <f>IF(IF(ISNUMBER(B932),"",MAX(D$4:D931)+1)&lt;=D$3,IF(ISNUMBER(B932),"",MAX(D$4:D931)+1),"")</f>
        <v/>
      </c>
      <c r="H932" s="15"/>
      <c r="I932" s="15" t="str">
        <f>IF(O932="","",IF(ISNUMBER(MATCH(O932,$G$5:$G$1000,0)),"",IF(D932=1,B$4,0)+MAX(I$4:I931)+1))</f>
        <v/>
      </c>
      <c r="M932" s="14">
        <f>IF(ROW()-ROW(M$4)&lt;=1000,ROW()-ROW(M$4),"")</f>
        <v>928</v>
      </c>
    </row>
    <row r="933" spans="4:13" ht="12" customHeight="1" x14ac:dyDescent="0.25">
      <c r="D933" s="15" t="str">
        <f>IF(IF(ISNUMBER(B933),"",MAX(D$4:D932)+1)&lt;=D$3,IF(ISNUMBER(B933),"",MAX(D$4:D932)+1),"")</f>
        <v/>
      </c>
      <c r="H933" s="15"/>
      <c r="I933" s="15" t="str">
        <f>IF(O933="","",IF(ISNUMBER(MATCH(O933,$G$5:$G$1000,0)),"",IF(D933=1,B$4,0)+MAX(I$4:I932)+1))</f>
        <v/>
      </c>
      <c r="M933" s="14">
        <f>IF(ROW()-ROW(M$4)&lt;=1000,ROW()-ROW(M$4),"")</f>
        <v>929</v>
      </c>
    </row>
    <row r="934" spans="4:13" ht="12" customHeight="1" x14ac:dyDescent="0.25">
      <c r="D934" s="15" t="str">
        <f>IF(IF(ISNUMBER(B934),"",MAX(D$4:D933)+1)&lt;=D$3,IF(ISNUMBER(B934),"",MAX(D$4:D933)+1),"")</f>
        <v/>
      </c>
      <c r="H934" s="15"/>
      <c r="I934" s="15" t="str">
        <f>IF(O934="","",IF(ISNUMBER(MATCH(O934,$G$5:$G$1000,0)),"",IF(D934=1,B$4,0)+MAX(I$4:I933)+1))</f>
        <v/>
      </c>
      <c r="M934" s="14">
        <f>IF(ROW()-ROW(M$4)&lt;=1000,ROW()-ROW(M$4),"")</f>
        <v>930</v>
      </c>
    </row>
    <row r="935" spans="4:13" ht="12" customHeight="1" x14ac:dyDescent="0.25">
      <c r="D935" s="15" t="str">
        <f>IF(IF(ISNUMBER(B935),"",MAX(D$4:D934)+1)&lt;=D$3,IF(ISNUMBER(B935),"",MAX(D$4:D934)+1),"")</f>
        <v/>
      </c>
      <c r="H935" s="15"/>
      <c r="I935" s="15" t="str">
        <f>IF(O935="","",IF(ISNUMBER(MATCH(O935,$G$5:$G$1000,0)),"",IF(D935=1,B$4,0)+MAX(I$4:I934)+1))</f>
        <v/>
      </c>
      <c r="M935" s="14">
        <f>IF(ROW()-ROW(M$4)&lt;=1000,ROW()-ROW(M$4),"")</f>
        <v>931</v>
      </c>
    </row>
    <row r="936" spans="4:13" ht="12" customHeight="1" x14ac:dyDescent="0.25">
      <c r="D936" s="15" t="str">
        <f>IF(IF(ISNUMBER(B936),"",MAX(D$4:D935)+1)&lt;=D$3,IF(ISNUMBER(B936),"",MAX(D$4:D935)+1),"")</f>
        <v/>
      </c>
      <c r="H936" s="15"/>
      <c r="I936" s="15" t="str">
        <f>IF(O936="","",IF(ISNUMBER(MATCH(O936,$G$5:$G$1000,0)),"",IF(D936=1,B$4,0)+MAX(I$4:I935)+1))</f>
        <v/>
      </c>
      <c r="M936" s="14">
        <f>IF(ROW()-ROW(M$4)&lt;=1000,ROW()-ROW(M$4),"")</f>
        <v>932</v>
      </c>
    </row>
    <row r="937" spans="4:13" ht="12" customHeight="1" x14ac:dyDescent="0.25">
      <c r="D937" s="15" t="str">
        <f>IF(IF(ISNUMBER(B937),"",MAX(D$4:D936)+1)&lt;=D$3,IF(ISNUMBER(B937),"",MAX(D$4:D936)+1),"")</f>
        <v/>
      </c>
      <c r="H937" s="15"/>
      <c r="I937" s="15" t="str">
        <f>IF(O937="","",IF(ISNUMBER(MATCH(O937,$G$5:$G$1000,0)),"",IF(D937=1,B$4,0)+MAX(I$4:I936)+1))</f>
        <v/>
      </c>
      <c r="M937" s="14">
        <f>IF(ROW()-ROW(M$4)&lt;=1000,ROW()-ROW(M$4),"")</f>
        <v>933</v>
      </c>
    </row>
    <row r="938" spans="4:13" ht="12" customHeight="1" x14ac:dyDescent="0.25">
      <c r="D938" s="15" t="str">
        <f>IF(IF(ISNUMBER(B938),"",MAX(D$4:D937)+1)&lt;=D$3,IF(ISNUMBER(B938),"",MAX(D$4:D937)+1),"")</f>
        <v/>
      </c>
      <c r="H938" s="15"/>
      <c r="I938" s="15" t="str">
        <f>IF(O938="","",IF(ISNUMBER(MATCH(O938,$G$5:$G$1000,0)),"",IF(D938=1,B$4,0)+MAX(I$4:I937)+1))</f>
        <v/>
      </c>
      <c r="M938" s="14">
        <f>IF(ROW()-ROW(M$4)&lt;=1000,ROW()-ROW(M$4),"")</f>
        <v>934</v>
      </c>
    </row>
    <row r="939" spans="4:13" ht="12" customHeight="1" x14ac:dyDescent="0.25">
      <c r="D939" s="15" t="str">
        <f>IF(IF(ISNUMBER(B939),"",MAX(D$4:D938)+1)&lt;=D$3,IF(ISNUMBER(B939),"",MAX(D$4:D938)+1),"")</f>
        <v/>
      </c>
      <c r="H939" s="15"/>
      <c r="I939" s="15" t="str">
        <f>IF(O939="","",IF(ISNUMBER(MATCH(O939,$G$5:$G$1000,0)),"",IF(D939=1,B$4,0)+MAX(I$4:I938)+1))</f>
        <v/>
      </c>
      <c r="M939" s="14">
        <f>IF(ROW()-ROW(M$4)&lt;=1000,ROW()-ROW(M$4),"")</f>
        <v>935</v>
      </c>
    </row>
    <row r="940" spans="4:13" ht="12" customHeight="1" x14ac:dyDescent="0.25">
      <c r="D940" s="15" t="str">
        <f>IF(IF(ISNUMBER(B940),"",MAX(D$4:D939)+1)&lt;=D$3,IF(ISNUMBER(B940),"",MAX(D$4:D939)+1),"")</f>
        <v/>
      </c>
      <c r="H940" s="15"/>
      <c r="I940" s="15" t="str">
        <f>IF(O940="","",IF(ISNUMBER(MATCH(O940,$G$5:$G$1000,0)),"",IF(D940=1,B$4,0)+MAX(I$4:I939)+1))</f>
        <v/>
      </c>
      <c r="M940" s="14">
        <f>IF(ROW()-ROW(M$4)&lt;=1000,ROW()-ROW(M$4),"")</f>
        <v>936</v>
      </c>
    </row>
    <row r="941" spans="4:13" ht="12" customHeight="1" x14ac:dyDescent="0.25">
      <c r="D941" s="15" t="str">
        <f>IF(IF(ISNUMBER(B941),"",MAX(D$4:D940)+1)&lt;=D$3,IF(ISNUMBER(B941),"",MAX(D$4:D940)+1),"")</f>
        <v/>
      </c>
      <c r="H941" s="15"/>
      <c r="I941" s="15" t="str">
        <f>IF(O941="","",IF(ISNUMBER(MATCH(O941,$G$5:$G$1000,0)),"",IF(D941=1,B$4,0)+MAX(I$4:I940)+1))</f>
        <v/>
      </c>
      <c r="M941" s="14">
        <f>IF(ROW()-ROW(M$4)&lt;=1000,ROW()-ROW(M$4),"")</f>
        <v>937</v>
      </c>
    </row>
    <row r="942" spans="4:13" ht="12" customHeight="1" x14ac:dyDescent="0.25">
      <c r="D942" s="15" t="str">
        <f>IF(IF(ISNUMBER(B942),"",MAX(D$4:D941)+1)&lt;=D$3,IF(ISNUMBER(B942),"",MAX(D$4:D941)+1),"")</f>
        <v/>
      </c>
      <c r="H942" s="15"/>
      <c r="I942" s="15" t="str">
        <f>IF(O942="","",IF(ISNUMBER(MATCH(O942,$G$5:$G$1000,0)),"",IF(D942=1,B$4,0)+MAX(I$4:I941)+1))</f>
        <v/>
      </c>
      <c r="M942" s="14">
        <f>IF(ROW()-ROW(M$4)&lt;=1000,ROW()-ROW(M$4),"")</f>
        <v>938</v>
      </c>
    </row>
    <row r="943" spans="4:13" ht="12" customHeight="1" x14ac:dyDescent="0.25">
      <c r="D943" s="15" t="str">
        <f>IF(IF(ISNUMBER(B943),"",MAX(D$4:D942)+1)&lt;=D$3,IF(ISNUMBER(B943),"",MAX(D$4:D942)+1),"")</f>
        <v/>
      </c>
      <c r="H943" s="15"/>
      <c r="I943" s="15" t="str">
        <f>IF(O943="","",IF(ISNUMBER(MATCH(O943,$G$5:$G$1000,0)),"",IF(D943=1,B$4,0)+MAX(I$4:I942)+1))</f>
        <v/>
      </c>
      <c r="M943" s="14">
        <f>IF(ROW()-ROW(M$4)&lt;=1000,ROW()-ROW(M$4),"")</f>
        <v>939</v>
      </c>
    </row>
    <row r="944" spans="4:13" ht="12" customHeight="1" x14ac:dyDescent="0.25">
      <c r="D944" s="15" t="str">
        <f>IF(IF(ISNUMBER(B944),"",MAX(D$4:D943)+1)&lt;=D$3,IF(ISNUMBER(B944),"",MAX(D$4:D943)+1),"")</f>
        <v/>
      </c>
      <c r="H944" s="15"/>
      <c r="I944" s="15" t="str">
        <f>IF(O944="","",IF(ISNUMBER(MATCH(O944,$G$5:$G$1000,0)),"",IF(D944=1,B$4,0)+MAX(I$4:I943)+1))</f>
        <v/>
      </c>
      <c r="M944" s="14">
        <f>IF(ROW()-ROW(M$4)&lt;=1000,ROW()-ROW(M$4),"")</f>
        <v>940</v>
      </c>
    </row>
    <row r="945" spans="4:13" ht="12" customHeight="1" x14ac:dyDescent="0.25">
      <c r="D945" s="15" t="str">
        <f>IF(IF(ISNUMBER(B945),"",MAX(D$4:D944)+1)&lt;=D$3,IF(ISNUMBER(B945),"",MAX(D$4:D944)+1),"")</f>
        <v/>
      </c>
      <c r="H945" s="15"/>
      <c r="I945" s="15" t="str">
        <f>IF(O945="","",IF(ISNUMBER(MATCH(O945,$G$5:$G$1000,0)),"",IF(D945=1,B$4,0)+MAX(I$4:I944)+1))</f>
        <v/>
      </c>
      <c r="M945" s="14">
        <f>IF(ROW()-ROW(M$4)&lt;=1000,ROW()-ROW(M$4),"")</f>
        <v>941</v>
      </c>
    </row>
    <row r="946" spans="4:13" ht="12" customHeight="1" x14ac:dyDescent="0.25">
      <c r="D946" s="15" t="str">
        <f>IF(IF(ISNUMBER(B946),"",MAX(D$4:D945)+1)&lt;=D$3,IF(ISNUMBER(B946),"",MAX(D$4:D945)+1),"")</f>
        <v/>
      </c>
      <c r="H946" s="15"/>
      <c r="I946" s="15" t="str">
        <f>IF(O946="","",IF(ISNUMBER(MATCH(O946,$G$5:$G$1000,0)),"",IF(D946=1,B$4,0)+MAX(I$4:I945)+1))</f>
        <v/>
      </c>
      <c r="M946" s="14">
        <f>IF(ROW()-ROW(M$4)&lt;=1000,ROW()-ROW(M$4),"")</f>
        <v>942</v>
      </c>
    </row>
    <row r="947" spans="4:13" ht="12" customHeight="1" x14ac:dyDescent="0.25">
      <c r="D947" s="15" t="str">
        <f>IF(IF(ISNUMBER(B947),"",MAX(D$4:D946)+1)&lt;=D$3,IF(ISNUMBER(B947),"",MAX(D$4:D946)+1),"")</f>
        <v/>
      </c>
      <c r="H947" s="15"/>
      <c r="I947" s="15" t="str">
        <f>IF(O947="","",IF(ISNUMBER(MATCH(O947,$G$5:$G$1000,0)),"",IF(D947=1,B$4,0)+MAX(I$4:I946)+1))</f>
        <v/>
      </c>
      <c r="M947" s="14">
        <f>IF(ROW()-ROW(M$4)&lt;=1000,ROW()-ROW(M$4),"")</f>
        <v>943</v>
      </c>
    </row>
    <row r="948" spans="4:13" ht="12" customHeight="1" x14ac:dyDescent="0.25">
      <c r="D948" s="15" t="str">
        <f>IF(IF(ISNUMBER(B948),"",MAX(D$4:D947)+1)&lt;=D$3,IF(ISNUMBER(B948),"",MAX(D$4:D947)+1),"")</f>
        <v/>
      </c>
      <c r="H948" s="15"/>
      <c r="I948" s="15" t="str">
        <f>IF(O948="","",IF(ISNUMBER(MATCH(O948,$G$5:$G$1000,0)),"",IF(D948=1,B$4,0)+MAX(I$4:I947)+1))</f>
        <v/>
      </c>
      <c r="M948" s="14">
        <f>IF(ROW()-ROW(M$4)&lt;=1000,ROW()-ROW(M$4),"")</f>
        <v>944</v>
      </c>
    </row>
    <row r="949" spans="4:13" ht="12" customHeight="1" x14ac:dyDescent="0.25">
      <c r="D949" s="15" t="str">
        <f>IF(IF(ISNUMBER(B949),"",MAX(D$4:D948)+1)&lt;=D$3,IF(ISNUMBER(B949),"",MAX(D$4:D948)+1),"")</f>
        <v/>
      </c>
      <c r="H949" s="15"/>
      <c r="I949" s="15" t="str">
        <f>IF(O949="","",IF(ISNUMBER(MATCH(O949,$G$5:$G$1000,0)),"",IF(D949=1,B$4,0)+MAX(I$4:I948)+1))</f>
        <v/>
      </c>
      <c r="M949" s="14">
        <f>IF(ROW()-ROW(M$4)&lt;=1000,ROW()-ROW(M$4),"")</f>
        <v>945</v>
      </c>
    </row>
    <row r="950" spans="4:13" ht="12" customHeight="1" x14ac:dyDescent="0.25">
      <c r="D950" s="15" t="str">
        <f>IF(IF(ISNUMBER(B950),"",MAX(D$4:D949)+1)&lt;=D$3,IF(ISNUMBER(B950),"",MAX(D$4:D949)+1),"")</f>
        <v/>
      </c>
      <c r="H950" s="15"/>
      <c r="I950" s="15" t="str">
        <f>IF(O950="","",IF(ISNUMBER(MATCH(O950,$G$5:$G$1000,0)),"",IF(D950=1,B$4,0)+MAX(I$4:I949)+1))</f>
        <v/>
      </c>
      <c r="M950" s="14">
        <f>IF(ROW()-ROW(M$4)&lt;=1000,ROW()-ROW(M$4),"")</f>
        <v>946</v>
      </c>
    </row>
    <row r="951" spans="4:13" ht="12" customHeight="1" x14ac:dyDescent="0.25">
      <c r="D951" s="15" t="str">
        <f>IF(IF(ISNUMBER(B951),"",MAX(D$4:D950)+1)&lt;=D$3,IF(ISNUMBER(B951),"",MAX(D$4:D950)+1),"")</f>
        <v/>
      </c>
      <c r="H951" s="15"/>
      <c r="I951" s="15" t="str">
        <f>IF(O951="","",IF(ISNUMBER(MATCH(O951,$G$5:$G$1000,0)),"",IF(D951=1,B$4,0)+MAX(I$4:I950)+1))</f>
        <v/>
      </c>
      <c r="M951" s="14">
        <f>IF(ROW()-ROW(M$4)&lt;=1000,ROW()-ROW(M$4),"")</f>
        <v>947</v>
      </c>
    </row>
    <row r="952" spans="4:13" ht="12" customHeight="1" x14ac:dyDescent="0.25">
      <c r="D952" s="15" t="str">
        <f>IF(IF(ISNUMBER(B952),"",MAX(D$4:D951)+1)&lt;=D$3,IF(ISNUMBER(B952),"",MAX(D$4:D951)+1),"")</f>
        <v/>
      </c>
      <c r="H952" s="15"/>
      <c r="I952" s="15" t="str">
        <f>IF(O952="","",IF(ISNUMBER(MATCH(O952,$G$5:$G$1000,0)),"",IF(D952=1,B$4,0)+MAX(I$4:I951)+1))</f>
        <v/>
      </c>
      <c r="M952" s="14">
        <f>IF(ROW()-ROW(M$4)&lt;=1000,ROW()-ROW(M$4),"")</f>
        <v>948</v>
      </c>
    </row>
    <row r="953" spans="4:13" ht="12" customHeight="1" x14ac:dyDescent="0.25">
      <c r="D953" s="15" t="str">
        <f>IF(IF(ISNUMBER(B953),"",MAX(D$4:D952)+1)&lt;=D$3,IF(ISNUMBER(B953),"",MAX(D$4:D952)+1),"")</f>
        <v/>
      </c>
      <c r="H953" s="15"/>
      <c r="I953" s="15" t="str">
        <f>IF(O953="","",IF(ISNUMBER(MATCH(O953,$G$5:$G$1000,0)),"",IF(D953=1,B$4,0)+MAX(I$4:I952)+1))</f>
        <v/>
      </c>
      <c r="M953" s="14">
        <f>IF(ROW()-ROW(M$4)&lt;=1000,ROW()-ROW(M$4),"")</f>
        <v>949</v>
      </c>
    </row>
    <row r="954" spans="4:13" ht="12" customHeight="1" x14ac:dyDescent="0.25">
      <c r="D954" s="15" t="str">
        <f>IF(IF(ISNUMBER(B954),"",MAX(D$4:D953)+1)&lt;=D$3,IF(ISNUMBER(B954),"",MAX(D$4:D953)+1),"")</f>
        <v/>
      </c>
      <c r="H954" s="15"/>
      <c r="I954" s="15" t="str">
        <f>IF(O954="","",IF(ISNUMBER(MATCH(O954,$G$5:$G$1000,0)),"",IF(D954=1,B$4,0)+MAX(I$4:I953)+1))</f>
        <v/>
      </c>
      <c r="M954" s="14">
        <f>IF(ROW()-ROW(M$4)&lt;=1000,ROW()-ROW(M$4),"")</f>
        <v>950</v>
      </c>
    </row>
    <row r="955" spans="4:13" ht="12" customHeight="1" x14ac:dyDescent="0.25">
      <c r="D955" s="15" t="str">
        <f>IF(IF(ISNUMBER(B955),"",MAX(D$4:D954)+1)&lt;=D$3,IF(ISNUMBER(B955),"",MAX(D$4:D954)+1),"")</f>
        <v/>
      </c>
      <c r="H955" s="15"/>
      <c r="I955" s="15" t="str">
        <f>IF(O955="","",IF(ISNUMBER(MATCH(O955,$G$5:$G$1000,0)),"",IF(D955=1,B$4,0)+MAX(I$4:I954)+1))</f>
        <v/>
      </c>
      <c r="M955" s="14">
        <f>IF(ROW()-ROW(M$4)&lt;=1000,ROW()-ROW(M$4),"")</f>
        <v>951</v>
      </c>
    </row>
    <row r="956" spans="4:13" ht="12" customHeight="1" x14ac:dyDescent="0.25">
      <c r="D956" s="15" t="str">
        <f>IF(IF(ISNUMBER(B956),"",MAX(D$4:D955)+1)&lt;=D$3,IF(ISNUMBER(B956),"",MAX(D$4:D955)+1),"")</f>
        <v/>
      </c>
      <c r="H956" s="15"/>
      <c r="I956" s="15" t="str">
        <f>IF(O956="","",IF(ISNUMBER(MATCH(O956,$G$5:$G$1000,0)),"",IF(D956=1,B$4,0)+MAX(I$4:I955)+1))</f>
        <v/>
      </c>
      <c r="M956" s="14">
        <f>IF(ROW()-ROW(M$4)&lt;=1000,ROW()-ROW(M$4),"")</f>
        <v>952</v>
      </c>
    </row>
    <row r="957" spans="4:13" ht="12" customHeight="1" x14ac:dyDescent="0.25">
      <c r="D957" s="15" t="str">
        <f>IF(IF(ISNUMBER(B957),"",MAX(D$4:D956)+1)&lt;=D$3,IF(ISNUMBER(B957),"",MAX(D$4:D956)+1),"")</f>
        <v/>
      </c>
      <c r="H957" s="15"/>
      <c r="I957" s="15" t="str">
        <f>IF(O957="","",IF(ISNUMBER(MATCH(O957,$G$5:$G$1000,0)),"",IF(D957=1,B$4,0)+MAX(I$4:I956)+1))</f>
        <v/>
      </c>
      <c r="M957" s="14">
        <f>IF(ROW()-ROW(M$4)&lt;=1000,ROW()-ROW(M$4),"")</f>
        <v>953</v>
      </c>
    </row>
    <row r="958" spans="4:13" ht="12" customHeight="1" x14ac:dyDescent="0.25">
      <c r="D958" s="15" t="str">
        <f>IF(IF(ISNUMBER(B958),"",MAX(D$4:D957)+1)&lt;=D$3,IF(ISNUMBER(B958),"",MAX(D$4:D957)+1),"")</f>
        <v/>
      </c>
      <c r="H958" s="15"/>
      <c r="I958" s="15" t="str">
        <f>IF(O958="","",IF(ISNUMBER(MATCH(O958,$G$5:$G$1000,0)),"",IF(D958=1,B$4,0)+MAX(I$4:I957)+1))</f>
        <v/>
      </c>
      <c r="M958" s="14">
        <f>IF(ROW()-ROW(M$4)&lt;=1000,ROW()-ROW(M$4),"")</f>
        <v>954</v>
      </c>
    </row>
    <row r="959" spans="4:13" ht="12" customHeight="1" x14ac:dyDescent="0.25">
      <c r="D959" s="15" t="str">
        <f>IF(IF(ISNUMBER(B959),"",MAX(D$4:D958)+1)&lt;=D$3,IF(ISNUMBER(B959),"",MAX(D$4:D958)+1),"")</f>
        <v/>
      </c>
      <c r="H959" s="15"/>
      <c r="I959" s="15" t="str">
        <f>IF(O959="","",IF(ISNUMBER(MATCH(O959,$G$5:$G$1000,0)),"",IF(D959=1,B$4,0)+MAX(I$4:I958)+1))</f>
        <v/>
      </c>
      <c r="M959" s="14">
        <f>IF(ROW()-ROW(M$4)&lt;=1000,ROW()-ROW(M$4),"")</f>
        <v>955</v>
      </c>
    </row>
    <row r="960" spans="4:13" ht="12" customHeight="1" x14ac:dyDescent="0.25">
      <c r="D960" s="15" t="str">
        <f>IF(IF(ISNUMBER(B960),"",MAX(D$4:D959)+1)&lt;=D$3,IF(ISNUMBER(B960),"",MAX(D$4:D959)+1),"")</f>
        <v/>
      </c>
      <c r="H960" s="15"/>
      <c r="I960" s="15" t="str">
        <f>IF(O960="","",IF(ISNUMBER(MATCH(O960,$G$5:$G$1000,0)),"",IF(D960=1,B$4,0)+MAX(I$4:I959)+1))</f>
        <v/>
      </c>
      <c r="M960" s="14">
        <f>IF(ROW()-ROW(M$4)&lt;=1000,ROW()-ROW(M$4),"")</f>
        <v>956</v>
      </c>
    </row>
    <row r="961" spans="4:13" ht="12" customHeight="1" x14ac:dyDescent="0.25">
      <c r="D961" s="15" t="str">
        <f>IF(IF(ISNUMBER(B961),"",MAX(D$4:D960)+1)&lt;=D$3,IF(ISNUMBER(B961),"",MAX(D$4:D960)+1),"")</f>
        <v/>
      </c>
      <c r="H961" s="15"/>
      <c r="I961" s="15" t="str">
        <f>IF(O961="","",IF(ISNUMBER(MATCH(O961,$G$5:$G$1000,0)),"",IF(D961=1,B$4,0)+MAX(I$4:I960)+1))</f>
        <v/>
      </c>
      <c r="M961" s="14">
        <f>IF(ROW()-ROW(M$4)&lt;=1000,ROW()-ROW(M$4),"")</f>
        <v>957</v>
      </c>
    </row>
    <row r="962" spans="4:13" ht="12" customHeight="1" x14ac:dyDescent="0.25">
      <c r="D962" s="15" t="str">
        <f>IF(IF(ISNUMBER(B962),"",MAX(D$4:D961)+1)&lt;=D$3,IF(ISNUMBER(B962),"",MAX(D$4:D961)+1),"")</f>
        <v/>
      </c>
      <c r="H962" s="15"/>
      <c r="I962" s="15" t="str">
        <f>IF(O962="","",IF(ISNUMBER(MATCH(O962,$G$5:$G$1000,0)),"",IF(D962=1,B$4,0)+MAX(I$4:I961)+1))</f>
        <v/>
      </c>
      <c r="M962" s="14">
        <f>IF(ROW()-ROW(M$4)&lt;=1000,ROW()-ROW(M$4),"")</f>
        <v>958</v>
      </c>
    </row>
    <row r="963" spans="4:13" ht="12" customHeight="1" x14ac:dyDescent="0.25">
      <c r="D963" s="15" t="str">
        <f>IF(IF(ISNUMBER(B963),"",MAX(D$4:D962)+1)&lt;=D$3,IF(ISNUMBER(B963),"",MAX(D$4:D962)+1),"")</f>
        <v/>
      </c>
      <c r="H963" s="15"/>
      <c r="I963" s="15" t="str">
        <f>IF(O963="","",IF(ISNUMBER(MATCH(O963,$G$5:$G$1000,0)),"",IF(D963=1,B$4,0)+MAX(I$4:I962)+1))</f>
        <v/>
      </c>
      <c r="M963" s="14">
        <f>IF(ROW()-ROW(M$4)&lt;=1000,ROW()-ROW(M$4),"")</f>
        <v>959</v>
      </c>
    </row>
    <row r="964" spans="4:13" ht="12" customHeight="1" x14ac:dyDescent="0.25">
      <c r="D964" s="15" t="str">
        <f>IF(IF(ISNUMBER(B964),"",MAX(D$4:D963)+1)&lt;=D$3,IF(ISNUMBER(B964),"",MAX(D$4:D963)+1),"")</f>
        <v/>
      </c>
      <c r="H964" s="15"/>
      <c r="I964" s="15" t="str">
        <f>IF(O964="","",IF(ISNUMBER(MATCH(O964,$G$5:$G$1000,0)),"",IF(D964=1,B$4,0)+MAX(I$4:I963)+1))</f>
        <v/>
      </c>
      <c r="M964" s="14">
        <f>IF(ROW()-ROW(M$4)&lt;=1000,ROW()-ROW(M$4),"")</f>
        <v>960</v>
      </c>
    </row>
    <row r="965" spans="4:13" ht="12" customHeight="1" x14ac:dyDescent="0.25">
      <c r="D965" s="15" t="str">
        <f>IF(IF(ISNUMBER(B965),"",MAX(D$4:D964)+1)&lt;=D$3,IF(ISNUMBER(B965),"",MAX(D$4:D964)+1),"")</f>
        <v/>
      </c>
      <c r="H965" s="15"/>
      <c r="I965" s="15" t="str">
        <f>IF(O965="","",IF(ISNUMBER(MATCH(O965,$G$5:$G$1000,0)),"",IF(D965=1,B$4,0)+MAX(I$4:I964)+1))</f>
        <v/>
      </c>
      <c r="M965" s="14">
        <f>IF(ROW()-ROW(M$4)&lt;=1000,ROW()-ROW(M$4),"")</f>
        <v>961</v>
      </c>
    </row>
    <row r="966" spans="4:13" ht="12" customHeight="1" x14ac:dyDescent="0.25">
      <c r="D966" s="15" t="str">
        <f>IF(IF(ISNUMBER(B966),"",MAX(D$4:D965)+1)&lt;=D$3,IF(ISNUMBER(B966),"",MAX(D$4:D965)+1),"")</f>
        <v/>
      </c>
      <c r="H966" s="15"/>
      <c r="I966" s="15" t="str">
        <f>IF(O966="","",IF(ISNUMBER(MATCH(O966,$G$5:$G$1000,0)),"",IF(D966=1,B$4,0)+MAX(I$4:I965)+1))</f>
        <v/>
      </c>
      <c r="M966" s="14">
        <f>IF(ROW()-ROW(M$4)&lt;=1000,ROW()-ROW(M$4),"")</f>
        <v>962</v>
      </c>
    </row>
    <row r="967" spans="4:13" ht="12" customHeight="1" x14ac:dyDescent="0.25">
      <c r="D967" s="15" t="str">
        <f>IF(IF(ISNUMBER(B967),"",MAX(D$4:D966)+1)&lt;=D$3,IF(ISNUMBER(B967),"",MAX(D$4:D966)+1),"")</f>
        <v/>
      </c>
      <c r="H967" s="15"/>
      <c r="I967" s="15" t="str">
        <f>IF(O967="","",IF(ISNUMBER(MATCH(O967,$G$5:$G$1000,0)),"",IF(D967=1,B$4,0)+MAX(I$4:I966)+1))</f>
        <v/>
      </c>
      <c r="M967" s="14">
        <f>IF(ROW()-ROW(M$4)&lt;=1000,ROW()-ROW(M$4),"")</f>
        <v>963</v>
      </c>
    </row>
    <row r="968" spans="4:13" ht="12" customHeight="1" x14ac:dyDescent="0.25">
      <c r="D968" s="15" t="str">
        <f>IF(IF(ISNUMBER(B968),"",MAX(D$4:D967)+1)&lt;=D$3,IF(ISNUMBER(B968),"",MAX(D$4:D967)+1),"")</f>
        <v/>
      </c>
      <c r="H968" s="15"/>
      <c r="I968" s="15" t="str">
        <f>IF(O968="","",IF(ISNUMBER(MATCH(O968,$G$5:$G$1000,0)),"",IF(D968=1,B$4,0)+MAX(I$4:I967)+1))</f>
        <v/>
      </c>
      <c r="M968" s="14">
        <f>IF(ROW()-ROW(M$4)&lt;=1000,ROW()-ROW(M$4),"")</f>
        <v>964</v>
      </c>
    </row>
    <row r="969" spans="4:13" ht="12" customHeight="1" x14ac:dyDescent="0.25">
      <c r="D969" s="15" t="str">
        <f>IF(IF(ISNUMBER(B969),"",MAX(D$4:D968)+1)&lt;=D$3,IF(ISNUMBER(B969),"",MAX(D$4:D968)+1),"")</f>
        <v/>
      </c>
      <c r="H969" s="15"/>
      <c r="I969" s="15" t="str">
        <f>IF(O969="","",IF(ISNUMBER(MATCH(O969,$G$5:$G$1000,0)),"",IF(D969=1,B$4,0)+MAX(I$4:I968)+1))</f>
        <v/>
      </c>
      <c r="M969" s="14">
        <f>IF(ROW()-ROW(M$4)&lt;=1000,ROW()-ROW(M$4),"")</f>
        <v>965</v>
      </c>
    </row>
    <row r="970" spans="4:13" ht="12" customHeight="1" x14ac:dyDescent="0.25">
      <c r="D970" s="15" t="str">
        <f>IF(IF(ISNUMBER(B970),"",MAX(D$4:D969)+1)&lt;=D$3,IF(ISNUMBER(B970),"",MAX(D$4:D969)+1),"")</f>
        <v/>
      </c>
      <c r="H970" s="15"/>
      <c r="I970" s="15" t="str">
        <f>IF(O970="","",IF(ISNUMBER(MATCH(O970,$G$5:$G$1000,0)),"",IF(D970=1,B$4,0)+MAX(I$4:I969)+1))</f>
        <v/>
      </c>
      <c r="M970" s="14">
        <f>IF(ROW()-ROW(M$4)&lt;=1000,ROW()-ROW(M$4),"")</f>
        <v>966</v>
      </c>
    </row>
    <row r="971" spans="4:13" ht="12" customHeight="1" x14ac:dyDescent="0.25">
      <c r="D971" s="15" t="str">
        <f>IF(IF(ISNUMBER(B971),"",MAX(D$4:D970)+1)&lt;=D$3,IF(ISNUMBER(B971),"",MAX(D$4:D970)+1),"")</f>
        <v/>
      </c>
      <c r="H971" s="15"/>
      <c r="I971" s="15" t="str">
        <f>IF(O971="","",IF(ISNUMBER(MATCH(O971,$G$5:$G$1000,0)),"",IF(D971=1,B$4,0)+MAX(I$4:I970)+1))</f>
        <v/>
      </c>
      <c r="M971" s="14">
        <f>IF(ROW()-ROW(M$4)&lt;=1000,ROW()-ROW(M$4),"")</f>
        <v>967</v>
      </c>
    </row>
    <row r="972" spans="4:13" ht="12" customHeight="1" x14ac:dyDescent="0.25">
      <c r="D972" s="15" t="str">
        <f>IF(IF(ISNUMBER(B972),"",MAX(D$4:D971)+1)&lt;=D$3,IF(ISNUMBER(B972),"",MAX(D$4:D971)+1),"")</f>
        <v/>
      </c>
      <c r="H972" s="15"/>
      <c r="I972" s="15" t="str">
        <f>IF(O972="","",IF(ISNUMBER(MATCH(O972,$G$5:$G$1000,0)),"",IF(D972=1,B$4,0)+MAX(I$4:I971)+1))</f>
        <v/>
      </c>
      <c r="M972" s="14">
        <f>IF(ROW()-ROW(M$4)&lt;=1000,ROW()-ROW(M$4),"")</f>
        <v>968</v>
      </c>
    </row>
    <row r="973" spans="4:13" ht="12" customHeight="1" x14ac:dyDescent="0.25">
      <c r="D973" s="15" t="str">
        <f>IF(IF(ISNUMBER(B973),"",MAX(D$4:D972)+1)&lt;=D$3,IF(ISNUMBER(B973),"",MAX(D$4:D972)+1),"")</f>
        <v/>
      </c>
      <c r="H973" s="15"/>
      <c r="I973" s="15" t="str">
        <f>IF(O973="","",IF(ISNUMBER(MATCH(O973,$G$5:$G$1000,0)),"",IF(D973=1,B$4,0)+MAX(I$4:I972)+1))</f>
        <v/>
      </c>
      <c r="M973" s="14">
        <f>IF(ROW()-ROW(M$4)&lt;=1000,ROW()-ROW(M$4),"")</f>
        <v>969</v>
      </c>
    </row>
    <row r="974" spans="4:13" ht="12" customHeight="1" x14ac:dyDescent="0.25">
      <c r="D974" s="15" t="str">
        <f>IF(IF(ISNUMBER(B974),"",MAX(D$4:D973)+1)&lt;=D$3,IF(ISNUMBER(B974),"",MAX(D$4:D973)+1),"")</f>
        <v/>
      </c>
      <c r="H974" s="15"/>
      <c r="I974" s="15" t="str">
        <f>IF(O974="","",IF(ISNUMBER(MATCH(O974,$G$5:$G$1000,0)),"",IF(D974=1,B$4,0)+MAX(I$4:I973)+1))</f>
        <v/>
      </c>
      <c r="M974" s="14">
        <f>IF(ROW()-ROW(M$4)&lt;=1000,ROW()-ROW(M$4),"")</f>
        <v>970</v>
      </c>
    </row>
    <row r="975" spans="4:13" ht="12" customHeight="1" x14ac:dyDescent="0.25">
      <c r="D975" s="15" t="str">
        <f>IF(IF(ISNUMBER(B975),"",MAX(D$4:D974)+1)&lt;=D$3,IF(ISNUMBER(B975),"",MAX(D$4:D974)+1),"")</f>
        <v/>
      </c>
      <c r="H975" s="15"/>
      <c r="I975" s="15" t="str">
        <f>IF(O975="","",IF(ISNUMBER(MATCH(O975,$G$5:$G$1000,0)),"",IF(D975=1,B$4,0)+MAX(I$4:I974)+1))</f>
        <v/>
      </c>
      <c r="M975" s="14">
        <f>IF(ROW()-ROW(M$4)&lt;=1000,ROW()-ROW(M$4),"")</f>
        <v>971</v>
      </c>
    </row>
    <row r="976" spans="4:13" ht="12" customHeight="1" x14ac:dyDescent="0.25">
      <c r="D976" s="15" t="str">
        <f>IF(IF(ISNUMBER(B976),"",MAX(D$4:D975)+1)&lt;=D$3,IF(ISNUMBER(B976),"",MAX(D$4:D975)+1),"")</f>
        <v/>
      </c>
      <c r="H976" s="15"/>
      <c r="I976" s="15" t="str">
        <f>IF(O976="","",IF(ISNUMBER(MATCH(O976,$G$5:$G$1000,0)),"",IF(D976=1,B$4,0)+MAX(I$4:I975)+1))</f>
        <v/>
      </c>
      <c r="M976" s="14">
        <f>IF(ROW()-ROW(M$4)&lt;=1000,ROW()-ROW(M$4),"")</f>
        <v>972</v>
      </c>
    </row>
    <row r="977" spans="4:13" ht="12" customHeight="1" x14ac:dyDescent="0.25">
      <c r="D977" s="15" t="str">
        <f>IF(IF(ISNUMBER(B977),"",MAX(D$4:D976)+1)&lt;=D$3,IF(ISNUMBER(B977),"",MAX(D$4:D976)+1),"")</f>
        <v/>
      </c>
      <c r="H977" s="15"/>
      <c r="I977" s="15" t="str">
        <f>IF(O977="","",IF(ISNUMBER(MATCH(O977,$G$5:$G$1000,0)),"",IF(D977=1,B$4,0)+MAX(I$4:I976)+1))</f>
        <v/>
      </c>
      <c r="M977" s="14">
        <f>IF(ROW()-ROW(M$4)&lt;=1000,ROW()-ROW(M$4),"")</f>
        <v>973</v>
      </c>
    </row>
    <row r="978" spans="4:13" ht="12" customHeight="1" x14ac:dyDescent="0.25">
      <c r="D978" s="15" t="str">
        <f>IF(IF(ISNUMBER(B978),"",MAX(D$4:D977)+1)&lt;=D$3,IF(ISNUMBER(B978),"",MAX(D$4:D977)+1),"")</f>
        <v/>
      </c>
      <c r="H978" s="15"/>
      <c r="I978" s="15" t="str">
        <f>IF(O978="","",IF(ISNUMBER(MATCH(O978,$G$5:$G$1000,0)),"",IF(D978=1,B$4,0)+MAX(I$4:I977)+1))</f>
        <v/>
      </c>
      <c r="M978" s="14">
        <f>IF(ROW()-ROW(M$4)&lt;=1000,ROW()-ROW(M$4),"")</f>
        <v>974</v>
      </c>
    </row>
    <row r="979" spans="4:13" ht="12" customHeight="1" x14ac:dyDescent="0.25">
      <c r="D979" s="15" t="str">
        <f>IF(IF(ISNUMBER(B979),"",MAX(D$4:D978)+1)&lt;=D$3,IF(ISNUMBER(B979),"",MAX(D$4:D978)+1),"")</f>
        <v/>
      </c>
      <c r="H979" s="15"/>
      <c r="I979" s="15" t="str">
        <f>IF(O979="","",IF(ISNUMBER(MATCH(O979,$G$5:$G$1000,0)),"",IF(D979=1,B$4,0)+MAX(I$4:I978)+1))</f>
        <v/>
      </c>
      <c r="M979" s="14">
        <f>IF(ROW()-ROW(M$4)&lt;=1000,ROW()-ROW(M$4),"")</f>
        <v>975</v>
      </c>
    </row>
    <row r="980" spans="4:13" ht="12" customHeight="1" x14ac:dyDescent="0.25">
      <c r="D980" s="15" t="str">
        <f>IF(IF(ISNUMBER(B980),"",MAX(D$4:D979)+1)&lt;=D$3,IF(ISNUMBER(B980),"",MAX(D$4:D979)+1),"")</f>
        <v/>
      </c>
      <c r="H980" s="15"/>
      <c r="I980" s="15" t="str">
        <f>IF(O980="","",IF(ISNUMBER(MATCH(O980,$G$5:$G$1000,0)),"",IF(D980=1,B$4,0)+MAX(I$4:I979)+1))</f>
        <v/>
      </c>
      <c r="M980" s="14">
        <f>IF(ROW()-ROW(M$4)&lt;=1000,ROW()-ROW(M$4),"")</f>
        <v>976</v>
      </c>
    </row>
    <row r="981" spans="4:13" ht="12" customHeight="1" x14ac:dyDescent="0.25">
      <c r="D981" s="15" t="str">
        <f>IF(IF(ISNUMBER(B981),"",MAX(D$4:D980)+1)&lt;=D$3,IF(ISNUMBER(B981),"",MAX(D$4:D980)+1),"")</f>
        <v/>
      </c>
      <c r="H981" s="15"/>
      <c r="I981" s="15" t="str">
        <f>IF(O981="","",IF(ISNUMBER(MATCH(O981,$G$5:$G$1000,0)),"",IF(D981=1,B$4,0)+MAX(I$4:I980)+1))</f>
        <v/>
      </c>
      <c r="M981" s="14">
        <f>IF(ROW()-ROW(M$4)&lt;=1000,ROW()-ROW(M$4),"")</f>
        <v>977</v>
      </c>
    </row>
    <row r="982" spans="4:13" ht="12" customHeight="1" x14ac:dyDescent="0.25">
      <c r="D982" s="15" t="str">
        <f>IF(IF(ISNUMBER(B982),"",MAX(D$4:D981)+1)&lt;=D$3,IF(ISNUMBER(B982),"",MAX(D$4:D981)+1),"")</f>
        <v/>
      </c>
      <c r="H982" s="15"/>
      <c r="I982" s="15" t="str">
        <f>IF(O982="","",IF(ISNUMBER(MATCH(O982,$G$5:$G$1000,0)),"",IF(D982=1,B$4,0)+MAX(I$4:I981)+1))</f>
        <v/>
      </c>
      <c r="M982" s="14">
        <f>IF(ROW()-ROW(M$4)&lt;=1000,ROW()-ROW(M$4),"")</f>
        <v>978</v>
      </c>
    </row>
    <row r="983" spans="4:13" ht="12" customHeight="1" x14ac:dyDescent="0.25">
      <c r="D983" s="15" t="str">
        <f>IF(IF(ISNUMBER(B983),"",MAX(D$4:D982)+1)&lt;=D$3,IF(ISNUMBER(B983),"",MAX(D$4:D982)+1),"")</f>
        <v/>
      </c>
      <c r="H983" s="15"/>
      <c r="I983" s="15" t="str">
        <f>IF(O983="","",IF(ISNUMBER(MATCH(O983,$G$5:$G$1000,0)),"",IF(D983=1,B$4,0)+MAX(I$4:I982)+1))</f>
        <v/>
      </c>
      <c r="M983" s="14">
        <f>IF(ROW()-ROW(M$4)&lt;=1000,ROW()-ROW(M$4),"")</f>
        <v>979</v>
      </c>
    </row>
    <row r="984" spans="4:13" ht="12" customHeight="1" x14ac:dyDescent="0.25">
      <c r="D984" s="15" t="str">
        <f>IF(IF(ISNUMBER(B984),"",MAX(D$4:D983)+1)&lt;=D$3,IF(ISNUMBER(B984),"",MAX(D$4:D983)+1),"")</f>
        <v/>
      </c>
      <c r="H984" s="15"/>
      <c r="I984" s="15" t="str">
        <f>IF(O984="","",IF(ISNUMBER(MATCH(O984,$G$5:$G$1000,0)),"",IF(D984=1,B$4,0)+MAX(I$4:I983)+1))</f>
        <v/>
      </c>
      <c r="M984" s="14">
        <f>IF(ROW()-ROW(M$4)&lt;=1000,ROW()-ROW(M$4),"")</f>
        <v>980</v>
      </c>
    </row>
    <row r="985" spans="4:13" ht="12" customHeight="1" x14ac:dyDescent="0.25">
      <c r="D985" s="15" t="str">
        <f>IF(IF(ISNUMBER(B985),"",MAX(D$4:D984)+1)&lt;=D$3,IF(ISNUMBER(B985),"",MAX(D$4:D984)+1),"")</f>
        <v/>
      </c>
      <c r="H985" s="15"/>
      <c r="I985" s="15" t="str">
        <f>IF(O985="","",IF(ISNUMBER(MATCH(O985,$G$5:$G$1000,0)),"",IF(D985=1,B$4,0)+MAX(I$4:I984)+1))</f>
        <v/>
      </c>
      <c r="M985" s="14">
        <f>IF(ROW()-ROW(M$4)&lt;=1000,ROW()-ROW(M$4),"")</f>
        <v>981</v>
      </c>
    </row>
    <row r="986" spans="4:13" ht="12" customHeight="1" x14ac:dyDescent="0.25">
      <c r="D986" s="15" t="str">
        <f>IF(IF(ISNUMBER(B986),"",MAX(D$4:D985)+1)&lt;=D$3,IF(ISNUMBER(B986),"",MAX(D$4:D985)+1),"")</f>
        <v/>
      </c>
      <c r="H986" s="15"/>
      <c r="I986" s="15" t="str">
        <f>IF(O986="","",IF(ISNUMBER(MATCH(O986,$G$5:$G$1000,0)),"",IF(D986=1,B$4,0)+MAX(I$4:I985)+1))</f>
        <v/>
      </c>
      <c r="M986" s="14">
        <f>IF(ROW()-ROW(M$4)&lt;=1000,ROW()-ROW(M$4),"")</f>
        <v>982</v>
      </c>
    </row>
    <row r="987" spans="4:13" ht="12" customHeight="1" x14ac:dyDescent="0.25">
      <c r="D987" s="15" t="str">
        <f>IF(IF(ISNUMBER(B987),"",MAX(D$4:D986)+1)&lt;=D$3,IF(ISNUMBER(B987),"",MAX(D$4:D986)+1),"")</f>
        <v/>
      </c>
      <c r="H987" s="15"/>
      <c r="I987" s="15" t="str">
        <f>IF(O987="","",IF(ISNUMBER(MATCH(O987,$G$5:$G$1000,0)),"",IF(D987=1,B$4,0)+MAX(I$4:I986)+1))</f>
        <v/>
      </c>
      <c r="M987" s="14">
        <f>IF(ROW()-ROW(M$4)&lt;=1000,ROW()-ROW(M$4),"")</f>
        <v>983</v>
      </c>
    </row>
    <row r="988" spans="4:13" ht="12" customHeight="1" x14ac:dyDescent="0.25">
      <c r="D988" s="15" t="str">
        <f>IF(IF(ISNUMBER(B988),"",MAX(D$4:D987)+1)&lt;=D$3,IF(ISNUMBER(B988),"",MAX(D$4:D987)+1),"")</f>
        <v/>
      </c>
      <c r="H988" s="15"/>
      <c r="I988" s="15" t="str">
        <f>IF(O988="","",IF(ISNUMBER(MATCH(O988,$G$5:$G$1000,0)),"",IF(D988=1,B$4,0)+MAX(I$4:I987)+1))</f>
        <v/>
      </c>
      <c r="M988" s="14">
        <f>IF(ROW()-ROW(M$4)&lt;=1000,ROW()-ROW(M$4),"")</f>
        <v>984</v>
      </c>
    </row>
    <row r="989" spans="4:13" ht="12" customHeight="1" x14ac:dyDescent="0.25">
      <c r="D989" s="15" t="str">
        <f>IF(IF(ISNUMBER(B989),"",MAX(D$4:D988)+1)&lt;=D$3,IF(ISNUMBER(B989),"",MAX(D$4:D988)+1),"")</f>
        <v/>
      </c>
      <c r="H989" s="15"/>
      <c r="I989" s="15" t="str">
        <f>IF(O989="","",IF(ISNUMBER(MATCH(O989,$G$5:$G$1000,0)),"",IF(D989=1,B$4,0)+MAX(I$4:I988)+1))</f>
        <v/>
      </c>
      <c r="M989" s="14">
        <f>IF(ROW()-ROW(M$4)&lt;=1000,ROW()-ROW(M$4),"")</f>
        <v>985</v>
      </c>
    </row>
    <row r="990" spans="4:13" ht="12" customHeight="1" x14ac:dyDescent="0.25">
      <c r="D990" s="15" t="str">
        <f>IF(IF(ISNUMBER(B990),"",MAX(D$4:D989)+1)&lt;=D$3,IF(ISNUMBER(B990),"",MAX(D$4:D989)+1),"")</f>
        <v/>
      </c>
      <c r="H990" s="15"/>
      <c r="I990" s="15" t="str">
        <f>IF(O990="","",IF(ISNUMBER(MATCH(O990,$G$5:$G$1000,0)),"",IF(D990=1,B$4,0)+MAX(I$4:I989)+1))</f>
        <v/>
      </c>
      <c r="M990" s="14">
        <f>IF(ROW()-ROW(M$4)&lt;=1000,ROW()-ROW(M$4),"")</f>
        <v>986</v>
      </c>
    </row>
    <row r="991" spans="4:13" ht="12" customHeight="1" x14ac:dyDescent="0.25">
      <c r="D991" s="15" t="str">
        <f>IF(IF(ISNUMBER(B991),"",MAX(D$4:D990)+1)&lt;=D$3,IF(ISNUMBER(B991),"",MAX(D$4:D990)+1),"")</f>
        <v/>
      </c>
      <c r="H991" s="15"/>
      <c r="I991" s="15" t="str">
        <f>IF(O991="","",IF(ISNUMBER(MATCH(O991,$G$5:$G$1000,0)),"",IF(D991=1,B$4,0)+MAX(I$4:I990)+1))</f>
        <v/>
      </c>
      <c r="M991" s="14">
        <f>IF(ROW()-ROW(M$4)&lt;=1000,ROW()-ROW(M$4),"")</f>
        <v>987</v>
      </c>
    </row>
    <row r="992" spans="4:13" ht="12" customHeight="1" x14ac:dyDescent="0.25">
      <c r="D992" s="15" t="str">
        <f>IF(IF(ISNUMBER(B992),"",MAX(D$4:D991)+1)&lt;=D$3,IF(ISNUMBER(B992),"",MAX(D$4:D991)+1),"")</f>
        <v/>
      </c>
      <c r="H992" s="15"/>
      <c r="I992" s="15" t="str">
        <f>IF(O992="","",IF(ISNUMBER(MATCH(O992,$G$5:$G$1000,0)),"",IF(D992=1,B$4,0)+MAX(I$4:I991)+1))</f>
        <v/>
      </c>
      <c r="M992" s="14">
        <f>IF(ROW()-ROW(M$4)&lt;=1000,ROW()-ROW(M$4),"")</f>
        <v>988</v>
      </c>
    </row>
    <row r="993" spans="4:13" ht="12" customHeight="1" x14ac:dyDescent="0.25">
      <c r="D993" s="15" t="str">
        <f>IF(IF(ISNUMBER(B993),"",MAX(D$4:D992)+1)&lt;=D$3,IF(ISNUMBER(B993),"",MAX(D$4:D992)+1),"")</f>
        <v/>
      </c>
      <c r="H993" s="15"/>
      <c r="I993" s="15" t="str">
        <f>IF(O993="","",IF(ISNUMBER(MATCH(O993,$G$5:$G$1000,0)),"",IF(D993=1,B$4,0)+MAX(I$4:I992)+1))</f>
        <v/>
      </c>
      <c r="M993" s="14">
        <f>IF(ROW()-ROW(M$4)&lt;=1000,ROW()-ROW(M$4),"")</f>
        <v>989</v>
      </c>
    </row>
    <row r="994" spans="4:13" ht="12" customHeight="1" x14ac:dyDescent="0.25">
      <c r="D994" s="15" t="str">
        <f>IF(IF(ISNUMBER(B994),"",MAX(D$4:D993)+1)&lt;=D$3,IF(ISNUMBER(B994),"",MAX(D$4:D993)+1),"")</f>
        <v/>
      </c>
      <c r="H994" s="15"/>
      <c r="I994" s="15" t="str">
        <f>IF(O994="","",IF(ISNUMBER(MATCH(O994,$G$5:$G$1000,0)),"",IF(D994=1,B$4,0)+MAX(I$4:I993)+1))</f>
        <v/>
      </c>
      <c r="M994" s="14">
        <f>IF(ROW()-ROW(M$4)&lt;=1000,ROW()-ROW(M$4),"")</f>
        <v>990</v>
      </c>
    </row>
    <row r="995" spans="4:13" ht="12" customHeight="1" x14ac:dyDescent="0.25">
      <c r="D995" s="15" t="str">
        <f>IF(IF(ISNUMBER(B995),"",MAX(D$4:D994)+1)&lt;=D$3,IF(ISNUMBER(B995),"",MAX(D$4:D994)+1),"")</f>
        <v/>
      </c>
      <c r="H995" s="15"/>
      <c r="I995" s="15" t="str">
        <f>IF(O995="","",IF(ISNUMBER(MATCH(O995,$G$5:$G$1000,0)),"",IF(D995=1,B$4,0)+MAX(I$4:I994)+1))</f>
        <v/>
      </c>
      <c r="M995" s="14">
        <f>IF(ROW()-ROW(M$4)&lt;=1000,ROW()-ROW(M$4),"")</f>
        <v>991</v>
      </c>
    </row>
    <row r="996" spans="4:13" ht="12" customHeight="1" x14ac:dyDescent="0.25">
      <c r="D996" s="15" t="str">
        <f>IF(IF(ISNUMBER(B996),"",MAX(D$4:D995)+1)&lt;=D$3,IF(ISNUMBER(B996),"",MAX(D$4:D995)+1),"")</f>
        <v/>
      </c>
      <c r="H996" s="15"/>
      <c r="I996" s="15" t="str">
        <f>IF(O996="","",IF(ISNUMBER(MATCH(O996,$G$5:$G$1000,0)),"",IF(D996=1,B$4,0)+MAX(I$4:I995)+1))</f>
        <v/>
      </c>
      <c r="M996" s="14">
        <f>IF(ROW()-ROW(M$4)&lt;=1000,ROW()-ROW(M$4),"")</f>
        <v>992</v>
      </c>
    </row>
    <row r="997" spans="4:13" ht="12" customHeight="1" x14ac:dyDescent="0.25">
      <c r="D997" s="15" t="str">
        <f>IF(IF(ISNUMBER(B997),"",MAX(D$4:D996)+1)&lt;=D$3,IF(ISNUMBER(B997),"",MAX(D$4:D996)+1),"")</f>
        <v/>
      </c>
      <c r="H997" s="15"/>
      <c r="I997" s="15" t="str">
        <f>IF(O997="","",IF(ISNUMBER(MATCH(O997,$G$5:$G$1000,0)),"",IF(D997=1,B$4,0)+MAX(I$4:I996)+1))</f>
        <v/>
      </c>
      <c r="M997" s="14">
        <f>IF(ROW()-ROW(M$4)&lt;=1000,ROW()-ROW(M$4),"")</f>
        <v>993</v>
      </c>
    </row>
    <row r="998" spans="4:13" ht="12" customHeight="1" x14ac:dyDescent="0.25">
      <c r="D998" s="15" t="str">
        <f>IF(IF(ISNUMBER(B998),"",MAX(D$4:D997)+1)&lt;=D$3,IF(ISNUMBER(B998),"",MAX(D$4:D997)+1),"")</f>
        <v/>
      </c>
      <c r="H998" s="15"/>
      <c r="I998" s="15" t="str">
        <f>IF(O998="","",IF(ISNUMBER(MATCH(O998,$G$5:$G$1000,0)),"",IF(D998=1,B$4,0)+MAX(I$4:I997)+1))</f>
        <v/>
      </c>
      <c r="M998" s="14">
        <f>IF(ROW()-ROW(M$4)&lt;=1000,ROW()-ROW(M$4),"")</f>
        <v>994</v>
      </c>
    </row>
    <row r="999" spans="4:13" ht="12" customHeight="1" x14ac:dyDescent="0.25">
      <c r="D999" s="15" t="str">
        <f>IF(IF(ISNUMBER(B999),"",MAX(D$4:D998)+1)&lt;=D$3,IF(ISNUMBER(B999),"",MAX(D$4:D998)+1),"")</f>
        <v/>
      </c>
      <c r="H999" s="15"/>
      <c r="I999" s="15" t="str">
        <f>IF(O999="","",IF(ISNUMBER(MATCH(O999,$G$5:$G$1000,0)),"",IF(D999=1,B$4,0)+MAX(I$4:I998)+1))</f>
        <v/>
      </c>
      <c r="M999" s="14">
        <f>IF(ROW()-ROW(M$4)&lt;=1000,ROW()-ROW(M$4),"")</f>
        <v>995</v>
      </c>
    </row>
    <row r="1000" spans="4:13" ht="12" customHeight="1" x14ac:dyDescent="0.25">
      <c r="D1000" s="15" t="str">
        <f>IF(IF(ISNUMBER(B1000),"",MAX(D$4:D999)+1)&lt;=D$3,IF(ISNUMBER(B1000),"",MAX(D$4:D999)+1),"")</f>
        <v/>
      </c>
      <c r="H1000" s="15"/>
      <c r="I1000" s="15" t="str">
        <f>IF(O1000="","",IF(ISNUMBER(MATCH(O1000,$G$5:$G$1000,0)),"",IF(D1000=1,B$4,0)+MAX(I$4:I999)+1))</f>
        <v/>
      </c>
      <c r="M1000" s="14">
        <f>IF(ROW()-ROW(M$4)&lt;=1000,ROW()-ROW(M$4),"")</f>
        <v>996</v>
      </c>
    </row>
    <row r="1001" spans="4:13" ht="12" customHeight="1" x14ac:dyDescent="0.25">
      <c r="D1001" s="15" t="str">
        <f>IF(IF(ISNUMBER(B1001),"",MAX(D$4:D1000)+1)&lt;=D$3,IF(ISNUMBER(B1001),"",MAX(D$4:D1000)+1),"")</f>
        <v/>
      </c>
      <c r="H1001" s="15"/>
      <c r="I1001" s="15" t="str">
        <f>IF(O1001="","",IF(ISNUMBER(MATCH(O1001,$G$5:$G$1000,0)),"",IF(D1001=1,B$4,0)+MAX(I$4:I1000)+1))</f>
        <v/>
      </c>
      <c r="M1001" s="14">
        <f>IF(ROW()-ROW(M$4)&lt;=1000,ROW()-ROW(M$4),"")</f>
        <v>997</v>
      </c>
    </row>
    <row r="1002" spans="4:13" ht="12" customHeight="1" x14ac:dyDescent="0.25">
      <c r="D1002" s="15" t="str">
        <f>IF(IF(ISNUMBER(B1002),"",MAX(D$4:D1001)+1)&lt;=D$3,IF(ISNUMBER(B1002),"",MAX(D$4:D1001)+1),"")</f>
        <v/>
      </c>
      <c r="H1002" s="15"/>
      <c r="I1002" s="15" t="str">
        <f>IF(O1002="","",IF(ISNUMBER(MATCH(O1002,$G$5:$G$1000,0)),"",IF(D1002=1,B$4,0)+MAX(I$4:I1001)+1))</f>
        <v/>
      </c>
      <c r="M1002" s="14">
        <f>IF(ROW()-ROW(M$4)&lt;=1000,ROW()-ROW(M$4),"")</f>
        <v>998</v>
      </c>
    </row>
    <row r="1003" spans="4:13" ht="12" customHeight="1" x14ac:dyDescent="0.25">
      <c r="D1003" s="15" t="str">
        <f>IF(IF(ISNUMBER(B1003),"",MAX(D$4:D1002)+1)&lt;=D$3,IF(ISNUMBER(B1003),"",MAX(D$4:D1002)+1),"")</f>
        <v/>
      </c>
      <c r="H1003" s="15"/>
      <c r="I1003" s="15" t="str">
        <f>IF(O1003="","",IF(ISNUMBER(MATCH(O1003,$G$5:$G$1000,0)),"",IF(D1003=1,B$4,0)+MAX(I$4:I1002)+1))</f>
        <v/>
      </c>
      <c r="M1003" s="14">
        <f>IF(ROW()-ROW(M$4)&lt;=1000,ROW()-ROW(M$4),"")</f>
        <v>999</v>
      </c>
    </row>
    <row r="1004" spans="4:13" ht="12" customHeight="1" x14ac:dyDescent="0.25">
      <c r="D1004" s="15" t="str">
        <f>IF(IF(ISNUMBER(B1004),"",MAX(D$4:D1003)+1)&lt;=D$3,IF(ISNUMBER(B1004),"",MAX(D$4:D1003)+1),"")</f>
        <v/>
      </c>
      <c r="H1004" s="15"/>
      <c r="I1004" s="15" t="str">
        <f>IF(O1004="","",IF(ISNUMBER(MATCH(O1004,$G$5:$G$1000,0)),"",IF(D1004=1,B$4,0)+MAX(I$4:I1003)+1))</f>
        <v/>
      </c>
      <c r="M1004" s="14">
        <f>IF(ROW()-ROW(M$4)&lt;=1000,ROW()-ROW(M$4),"")</f>
        <v>1000</v>
      </c>
    </row>
    <row r="1005" spans="4:13" ht="12" customHeight="1" x14ac:dyDescent="0.25">
      <c r="D1005" s="15" t="str">
        <f>IF(IF(ISNUMBER(B1005),"",MAX(D$4:D1004)+1)&lt;=D$3,IF(ISNUMBER(B1005),"",MAX(D$4:D1004)+1),"")</f>
        <v/>
      </c>
      <c r="H1005" s="15"/>
      <c r="I1005" s="15" t="str">
        <f>IF(O1005="","",IF(ISNUMBER(MATCH(O1005,$G$5:$G$1000,0)),"",IF(D1005=1,B$4,0)+MAX(I$4:I1004)+1))</f>
        <v/>
      </c>
      <c r="M1005" s="14" t="str">
        <f>IF(ROW()-ROW(M$4)&lt;=1000,ROW()-ROW(M$4),"")</f>
        <v/>
      </c>
    </row>
    <row r="1006" spans="4:13" ht="12" customHeight="1" x14ac:dyDescent="0.25">
      <c r="D1006" s="15" t="str">
        <f>IF(IF(ISNUMBER(B1006),"",MAX(D$4:D1005)+1)&lt;=D$3,IF(ISNUMBER(B1006),"",MAX(D$4:D1005)+1),"")</f>
        <v/>
      </c>
      <c r="H1006" s="15"/>
      <c r="I1006" s="15" t="str">
        <f>IF(O1006="","",IF(ISNUMBER(MATCH(O1006,$G$5:$G$1000,0)),"",IF(D1006=1,B$4,0)+MAX(I$4:I1005)+1))</f>
        <v/>
      </c>
      <c r="M1006" s="14" t="str">
        <f>IF(ROW()-ROW(M$4)&lt;=1000,ROW()-ROW(M$4),"")</f>
        <v/>
      </c>
    </row>
    <row r="1007" spans="4:13" ht="12" customHeight="1" x14ac:dyDescent="0.25">
      <c r="D1007" s="15" t="str">
        <f>IF(IF(ISNUMBER(B1007),"",MAX(D$4:D1006)+1)&lt;=D$3,IF(ISNUMBER(B1007),"",MAX(D$4:D1006)+1),"")</f>
        <v/>
      </c>
      <c r="H1007" s="15"/>
      <c r="I1007" s="15" t="str">
        <f>IF(O1007="","",IF(ISNUMBER(MATCH(O1007,$G$5:$G$1000,0)),"",IF(D1007=1,B$4,0)+MAX(I$4:I1006)+1))</f>
        <v/>
      </c>
      <c r="M1007" s="14" t="str">
        <f>IF(ROW()-ROW(M$4)&lt;=1000,ROW()-ROW(M$4),"")</f>
        <v/>
      </c>
    </row>
    <row r="1008" spans="4:13" ht="12" customHeight="1" x14ac:dyDescent="0.25">
      <c r="D1008" s="15" t="str">
        <f>IF(IF(ISNUMBER(B1008),"",MAX(D$4:D1007)+1)&lt;=D$3,IF(ISNUMBER(B1008),"",MAX(D$4:D1007)+1),"")</f>
        <v/>
      </c>
      <c r="H1008" s="15"/>
      <c r="I1008" s="15" t="str">
        <f>IF(O1008="","",IF(ISNUMBER(MATCH(O1008,$G$5:$G$1000,0)),"",IF(D1008=1,B$4,0)+MAX(I$4:I1007)+1))</f>
        <v/>
      </c>
      <c r="M1008" s="14" t="str">
        <f>IF(ROW()-ROW(M$4)&lt;=1000,ROW()-ROW(M$4),"")</f>
        <v/>
      </c>
    </row>
    <row r="1009" spans="4:13" ht="12" customHeight="1" x14ac:dyDescent="0.25">
      <c r="D1009" s="15" t="str">
        <f>IF(IF(ISNUMBER(B1009),"",MAX(D$4:D1008)+1)&lt;=D$3,IF(ISNUMBER(B1009),"",MAX(D$4:D1008)+1),"")</f>
        <v/>
      </c>
      <c r="H1009" s="15"/>
      <c r="I1009" s="15" t="str">
        <f>IF(O1009="","",IF(ISNUMBER(MATCH(O1009,$G$5:$G$1000,0)),"",IF(D1009=1,B$4,0)+MAX(I$4:I1008)+1))</f>
        <v/>
      </c>
      <c r="M1009" s="14" t="str">
        <f>IF(ROW()-ROW(M$4)&lt;=1000,ROW()-ROW(M$4),"")</f>
        <v/>
      </c>
    </row>
    <row r="1010" spans="4:13" ht="12" customHeight="1" x14ac:dyDescent="0.25">
      <c r="D1010" s="15" t="str">
        <f>IF(IF(ISNUMBER(B1010),"",MAX(D$4:D1009)+1)&lt;=D$3,IF(ISNUMBER(B1010),"",MAX(D$4:D1009)+1),"")</f>
        <v/>
      </c>
      <c r="H1010" s="15"/>
      <c r="I1010" s="15" t="str">
        <f>IF(O1010="","",IF(ISNUMBER(MATCH(O1010,$G$5:$G$1000,0)),"",IF(D1010=1,B$4,0)+MAX(I$4:I1009)+1))</f>
        <v/>
      </c>
      <c r="M1010" s="14" t="str">
        <f>IF(ROW()-ROW(M$4)&lt;=1000,ROW()-ROW(M$4),"")</f>
        <v/>
      </c>
    </row>
    <row r="1011" spans="4:13" ht="12" customHeight="1" x14ac:dyDescent="0.25">
      <c r="D1011" s="15" t="str">
        <f>IF(IF(ISNUMBER(B1011),"",MAX(D$4:D1010)+1)&lt;=D$3,IF(ISNUMBER(B1011),"",MAX(D$4:D1010)+1),"")</f>
        <v/>
      </c>
      <c r="H1011" s="15"/>
      <c r="I1011" s="15" t="str">
        <f>IF(O1011="","",IF(ISNUMBER(MATCH(O1011,$G$5:$G$1000,0)),"",IF(D1011=1,B$4,0)+MAX(I$4:I1010)+1))</f>
        <v/>
      </c>
      <c r="M1011" s="14" t="str">
        <f>IF(ROW()-ROW(M$4)&lt;=1000,ROW()-ROW(M$4),"")</f>
        <v/>
      </c>
    </row>
    <row r="1012" spans="4:13" ht="12" customHeight="1" x14ac:dyDescent="0.25">
      <c r="D1012" s="15" t="str">
        <f>IF(IF(ISNUMBER(B1012),"",MAX(D$4:D1011)+1)&lt;=D$3,IF(ISNUMBER(B1012),"",MAX(D$4:D1011)+1),"")</f>
        <v/>
      </c>
      <c r="H1012" s="15"/>
      <c r="I1012" s="15" t="str">
        <f>IF(O1012="","",IF(ISNUMBER(MATCH(O1012,$G$5:$G$1000,0)),"",IF(D1012=1,B$4,0)+MAX(I$4:I1011)+1))</f>
        <v/>
      </c>
      <c r="M1012" s="14" t="str">
        <f>IF(ROW()-ROW(M$4)&lt;=1000,ROW()-ROW(M$4),"")</f>
        <v/>
      </c>
    </row>
    <row r="1013" spans="4:13" ht="12" customHeight="1" x14ac:dyDescent="0.25">
      <c r="D1013" s="15" t="str">
        <f>IF(IF(ISNUMBER(B1013),"",MAX(D$4:D1012)+1)&lt;=D$3,IF(ISNUMBER(B1013),"",MAX(D$4:D1012)+1),"")</f>
        <v/>
      </c>
      <c r="H1013" s="15"/>
      <c r="I1013" s="15" t="str">
        <f>IF(O1013="","",IF(ISNUMBER(MATCH(O1013,$G$5:$G$1000,0)),"",IF(D1013=1,B$4,0)+MAX(I$4:I1012)+1))</f>
        <v/>
      </c>
      <c r="M1013" s="14" t="str">
        <f>IF(ROW()-ROW(M$4)&lt;=1000,ROW()-ROW(M$4),"")</f>
        <v/>
      </c>
    </row>
    <row r="1014" spans="4:13" ht="12" customHeight="1" x14ac:dyDescent="0.25">
      <c r="D1014" s="15" t="str">
        <f>IF(IF(ISNUMBER(B1014),"",MAX(D$4:D1013)+1)&lt;=D$3,IF(ISNUMBER(B1014),"",MAX(D$4:D1013)+1),"")</f>
        <v/>
      </c>
      <c r="H1014" s="15"/>
      <c r="I1014" s="15" t="str">
        <f>IF(O1014="","",IF(ISNUMBER(MATCH(O1014,$G$5:$G$1000,0)),"",IF(D1014=1,B$4,0)+MAX(I$4:I1013)+1))</f>
        <v/>
      </c>
      <c r="M1014" s="14" t="str">
        <f>IF(ROW()-ROW(M$4)&lt;=1000,ROW()-ROW(M$4),"")</f>
        <v/>
      </c>
    </row>
    <row r="1015" spans="4:13" ht="12" customHeight="1" x14ac:dyDescent="0.25">
      <c r="D1015" s="15" t="str">
        <f>IF(IF(ISNUMBER(B1015),"",MAX(D$4:D1014)+1)&lt;=D$3,IF(ISNUMBER(B1015),"",MAX(D$4:D1014)+1),"")</f>
        <v/>
      </c>
      <c r="H1015" s="15"/>
      <c r="I1015" s="15" t="str">
        <f>IF(O1015="","",IF(ISNUMBER(MATCH(O1015,$G$5:$G$1000,0)),"",IF(D1015=1,B$4,0)+MAX(I$4:I1014)+1))</f>
        <v/>
      </c>
      <c r="M1015" s="14" t="str">
        <f>IF(ROW()-ROW(M$4)&lt;=1000,ROW()-ROW(M$4),"")</f>
        <v/>
      </c>
    </row>
    <row r="1016" spans="4:13" ht="12" customHeight="1" x14ac:dyDescent="0.25">
      <c r="D1016" s="15" t="str">
        <f>IF(IF(ISNUMBER(B1016),"",MAX(D$4:D1015)+1)&lt;=D$3,IF(ISNUMBER(B1016),"",MAX(D$4:D1015)+1),"")</f>
        <v/>
      </c>
      <c r="H1016" s="15"/>
      <c r="I1016" s="15" t="str">
        <f>IF(O1016="","",IF(ISNUMBER(MATCH(O1016,$G$5:$G$1000,0)),"",IF(D1016=1,B$4,0)+MAX(I$4:I1015)+1))</f>
        <v/>
      </c>
      <c r="M1016" s="14" t="str">
        <f>IF(ROW()-ROW(M$4)&lt;=1000,ROW()-ROW(M$4),"")</f>
        <v/>
      </c>
    </row>
    <row r="1017" spans="4:13" ht="12" customHeight="1" x14ac:dyDescent="0.25">
      <c r="D1017" s="15" t="str">
        <f>IF(IF(ISNUMBER(B1017),"",MAX(D$4:D1016)+1)&lt;=D$3,IF(ISNUMBER(B1017),"",MAX(D$4:D1016)+1),"")</f>
        <v/>
      </c>
      <c r="H1017" s="15"/>
      <c r="I1017" s="15" t="str">
        <f>IF(O1017="","",IF(ISNUMBER(MATCH(O1017,$G$5:$G$1000,0)),"",IF(D1017=1,B$4,0)+MAX(I$4:I1016)+1))</f>
        <v/>
      </c>
      <c r="M1017" s="14" t="str">
        <f>IF(ROW()-ROW(M$4)&lt;=1000,ROW()-ROW(M$4),"")</f>
        <v/>
      </c>
    </row>
    <row r="1018" spans="4:13" ht="12" customHeight="1" x14ac:dyDescent="0.25">
      <c r="D1018" s="15" t="str">
        <f>IF(IF(ISNUMBER(B1018),"",MAX(D$4:D1017)+1)&lt;=D$3,IF(ISNUMBER(B1018),"",MAX(D$4:D1017)+1),"")</f>
        <v/>
      </c>
      <c r="H1018" s="15"/>
      <c r="I1018" s="15" t="str">
        <f>IF(O1018="","",IF(ISNUMBER(MATCH(O1018,$G$5:$G$1000,0)),"",IF(D1018=1,B$4,0)+MAX(I$4:I1017)+1))</f>
        <v/>
      </c>
      <c r="M1018" s="14" t="str">
        <f>IF(ROW()-ROW(M$4)&lt;=1000,ROW()-ROW(M$4),"")</f>
        <v/>
      </c>
    </row>
    <row r="1019" spans="4:13" ht="12" customHeight="1" x14ac:dyDescent="0.25">
      <c r="D1019" s="15" t="str">
        <f>IF(IF(ISNUMBER(B1019),"",MAX(D$4:D1018)+1)&lt;=D$3,IF(ISNUMBER(B1019),"",MAX(D$4:D1018)+1),"")</f>
        <v/>
      </c>
      <c r="H1019" s="15"/>
      <c r="I1019" s="15" t="str">
        <f>IF(O1019="","",IF(ISNUMBER(MATCH(O1019,$G$5:$G$1000,0)),"",IF(D1019=1,B$4,0)+MAX(I$4:I1018)+1))</f>
        <v/>
      </c>
      <c r="M1019" s="14" t="str">
        <f>IF(ROW()-ROW(M$4)&lt;=1000,ROW()-ROW(M$4),"")</f>
        <v/>
      </c>
    </row>
    <row r="1020" spans="4:13" ht="12" customHeight="1" x14ac:dyDescent="0.25">
      <c r="D1020" s="15" t="str">
        <f>IF(IF(ISNUMBER(B1020),"",MAX(D$4:D1019)+1)&lt;=D$3,IF(ISNUMBER(B1020),"",MAX(D$4:D1019)+1),"")</f>
        <v/>
      </c>
      <c r="H1020" s="15"/>
      <c r="I1020" s="15" t="str">
        <f>IF(O1020="","",IF(ISNUMBER(MATCH(O1020,$G$5:$G$1000,0)),"",IF(D1020=1,B$4,0)+MAX(I$4:I1019)+1))</f>
        <v/>
      </c>
      <c r="M1020" s="14" t="str">
        <f>IF(ROW()-ROW(M$4)&lt;=1000,ROW()-ROW(M$4),"")</f>
        <v/>
      </c>
    </row>
    <row r="1021" spans="4:13" ht="12" customHeight="1" x14ac:dyDescent="0.25">
      <c r="D1021" s="15" t="str">
        <f>IF(IF(ISNUMBER(B1021),"",MAX(D$4:D1020)+1)&lt;=D$3,IF(ISNUMBER(B1021),"",MAX(D$4:D1020)+1),"")</f>
        <v/>
      </c>
      <c r="H1021" s="15"/>
      <c r="I1021" s="15" t="str">
        <f>IF(O1021="","",IF(ISNUMBER(MATCH(O1021,$G$5:$G$1000,0)),"",IF(D1021=1,B$4,0)+MAX(I$4:I1020)+1))</f>
        <v/>
      </c>
      <c r="M1021" s="14" t="str">
        <f>IF(ROW()-ROW(M$4)&lt;=1000,ROW()-ROW(M$4),"")</f>
        <v/>
      </c>
    </row>
    <row r="1022" spans="4:13" ht="12" customHeight="1" x14ac:dyDescent="0.25">
      <c r="D1022" s="15" t="str">
        <f>IF(IF(ISNUMBER(B1022),"",MAX(D$4:D1021)+1)&lt;=D$3,IF(ISNUMBER(B1022),"",MAX(D$4:D1021)+1),"")</f>
        <v/>
      </c>
      <c r="H1022" s="15"/>
      <c r="I1022" s="15" t="str">
        <f>IF(O1022="","",IF(ISNUMBER(MATCH(O1022,$G$5:$G$1000,0)),"",IF(D1022=1,B$4,0)+MAX(I$4:I1021)+1))</f>
        <v/>
      </c>
      <c r="M1022" s="14" t="str">
        <f>IF(ROW()-ROW(M$4)&lt;=1000,ROW()-ROW(M$4),"")</f>
        <v/>
      </c>
    </row>
    <row r="1023" spans="4:13" ht="12" customHeight="1" x14ac:dyDescent="0.25">
      <c r="D1023" s="15" t="str">
        <f>IF(IF(ISNUMBER(B1023),"",MAX(D$4:D1022)+1)&lt;=D$3,IF(ISNUMBER(B1023),"",MAX(D$4:D1022)+1),"")</f>
        <v/>
      </c>
      <c r="H1023" s="15"/>
      <c r="I1023" s="15" t="str">
        <f>IF(O1023="","",IF(ISNUMBER(MATCH(O1023,$G$5:$G$1000,0)),"",IF(D1023=1,B$4,0)+MAX(I$4:I1022)+1))</f>
        <v/>
      </c>
      <c r="M1023" s="14" t="str">
        <f>IF(ROW()-ROW(M$4)&lt;=1000,ROW()-ROW(M$4),"")</f>
        <v/>
      </c>
    </row>
    <row r="1024" spans="4:13" ht="12" customHeight="1" x14ac:dyDescent="0.25">
      <c r="D1024" s="15" t="str">
        <f>IF(IF(ISNUMBER(B1024),"",MAX(D$4:D1023)+1)&lt;=D$3,IF(ISNUMBER(B1024),"",MAX(D$4:D1023)+1),"")</f>
        <v/>
      </c>
      <c r="H1024" s="15"/>
      <c r="I1024" s="15" t="str">
        <f>IF(O1024="","",IF(ISNUMBER(MATCH(O1024,$G$5:$G$1000,0)),"",IF(D1024=1,B$4,0)+MAX(I$4:I1023)+1))</f>
        <v/>
      </c>
      <c r="M1024" s="14" t="str">
        <f>IF(ROW()-ROW(M$4)&lt;=1000,ROW()-ROW(M$4),"")</f>
        <v/>
      </c>
    </row>
    <row r="1025" spans="4:13" ht="12" customHeight="1" x14ac:dyDescent="0.25">
      <c r="D1025" s="15" t="str">
        <f>IF(IF(ISNUMBER(B1025),"",MAX(D$4:D1024)+1)&lt;=D$3,IF(ISNUMBER(B1025),"",MAX(D$4:D1024)+1),"")</f>
        <v/>
      </c>
      <c r="H1025" s="15"/>
      <c r="I1025" s="15" t="str">
        <f>IF(O1025="","",IF(ISNUMBER(MATCH(O1025,$G$5:$G$1000,0)),"",IF(D1025=1,B$4,0)+MAX(I$4:I1024)+1))</f>
        <v/>
      </c>
      <c r="M1025" s="14" t="str">
        <f>IF(ROW()-ROW(M$4)&lt;=1000,ROW()-ROW(M$4),"")</f>
        <v/>
      </c>
    </row>
    <row r="1026" spans="4:13" ht="12" customHeight="1" x14ac:dyDescent="0.25">
      <c r="D1026" s="15" t="str">
        <f>IF(IF(ISNUMBER(B1026),"",MAX(D$4:D1025)+1)&lt;=D$3,IF(ISNUMBER(B1026),"",MAX(D$4:D1025)+1),"")</f>
        <v/>
      </c>
      <c r="H1026" s="15"/>
      <c r="I1026" s="15" t="str">
        <f>IF(O1026="","",IF(ISNUMBER(MATCH(O1026,$G$5:$G$1000,0)),"",IF(D1026=1,B$4,0)+MAX(I$4:I1025)+1))</f>
        <v/>
      </c>
      <c r="M1026" s="14" t="str">
        <f>IF(ROW()-ROW(M$4)&lt;=1000,ROW()-ROW(M$4),"")</f>
        <v/>
      </c>
    </row>
    <row r="1027" spans="4:13" ht="12" customHeight="1" x14ac:dyDescent="0.25">
      <c r="D1027" s="15" t="str">
        <f>IF(IF(ISNUMBER(B1027),"",MAX(D$4:D1026)+1)&lt;=D$3,IF(ISNUMBER(B1027),"",MAX(D$4:D1026)+1),"")</f>
        <v/>
      </c>
      <c r="H1027" s="15"/>
      <c r="I1027" s="15" t="str">
        <f>IF(O1027="","",IF(ISNUMBER(MATCH(O1027,$G$5:$G$1000,0)),"",IF(D1027=1,B$4,0)+MAX(I$4:I1026)+1))</f>
        <v/>
      </c>
      <c r="M1027" s="14" t="str">
        <f>IF(ROW()-ROW(M$4)&lt;=1000,ROW()-ROW(M$4),"")</f>
        <v/>
      </c>
    </row>
    <row r="1028" spans="4:13" ht="12" customHeight="1" x14ac:dyDescent="0.25">
      <c r="D1028" s="15" t="str">
        <f>IF(IF(ISNUMBER(B1028),"",MAX(D$4:D1027)+1)&lt;=D$3,IF(ISNUMBER(B1028),"",MAX(D$4:D1027)+1),"")</f>
        <v/>
      </c>
      <c r="H1028" s="15"/>
      <c r="I1028" s="15" t="str">
        <f>IF(O1028="","",IF(ISNUMBER(MATCH(O1028,$G$5:$G$1000,0)),"",IF(D1028=1,B$4,0)+MAX(I$4:I1027)+1))</f>
        <v/>
      </c>
      <c r="M1028" s="14" t="str">
        <f>IF(ROW()-ROW(M$4)&lt;=1000,ROW()-ROW(M$4),"")</f>
        <v/>
      </c>
    </row>
    <row r="1029" spans="4:13" ht="12" customHeight="1" x14ac:dyDescent="0.25">
      <c r="D1029" s="15" t="str">
        <f>IF(IF(ISNUMBER(B1029),"",MAX(D$4:D1028)+1)&lt;=D$3,IF(ISNUMBER(B1029),"",MAX(D$4:D1028)+1),"")</f>
        <v/>
      </c>
      <c r="H1029" s="15"/>
      <c r="I1029" s="15" t="str">
        <f>IF(O1029="","",IF(ISNUMBER(MATCH(O1029,$G$5:$G$1000,0)),"",IF(D1029=1,B$4,0)+MAX(I$4:I1028)+1))</f>
        <v/>
      </c>
      <c r="M1029" s="14" t="str">
        <f>IF(ROW()-ROW(M$4)&lt;=1000,ROW()-ROW(M$4),"")</f>
        <v/>
      </c>
    </row>
    <row r="1030" spans="4:13" ht="12" customHeight="1" x14ac:dyDescent="0.25">
      <c r="D1030" s="15" t="str">
        <f>IF(IF(ISNUMBER(B1030),"",MAX(D$4:D1029)+1)&lt;=D$3,IF(ISNUMBER(B1030),"",MAX(D$4:D1029)+1),"")</f>
        <v/>
      </c>
      <c r="H1030" s="15"/>
      <c r="I1030" s="15" t="str">
        <f>IF(O1030="","",IF(ISNUMBER(MATCH(O1030,$G$5:$G$1000,0)),"",IF(D1030=1,B$4,0)+MAX(I$4:I1029)+1))</f>
        <v/>
      </c>
      <c r="M1030" s="14" t="str">
        <f>IF(ROW()-ROW(M$4)&lt;=1000,ROW()-ROW(M$4),"")</f>
        <v/>
      </c>
    </row>
    <row r="1031" spans="4:13" ht="12" customHeight="1" x14ac:dyDescent="0.25">
      <c r="D1031" s="15" t="str">
        <f>IF(IF(ISNUMBER(B1031),"",MAX(D$4:D1030)+1)&lt;=D$3,IF(ISNUMBER(B1031),"",MAX(D$4:D1030)+1),"")</f>
        <v/>
      </c>
      <c r="H1031" s="15"/>
      <c r="I1031" s="15" t="str">
        <f>IF(O1031="","",IF(ISNUMBER(MATCH(O1031,$G$5:$G$1000,0)),"",IF(D1031=1,B$4,0)+MAX(I$4:I1030)+1))</f>
        <v/>
      </c>
      <c r="M1031" s="14" t="str">
        <f>IF(ROW()-ROW(M$4)&lt;=1000,ROW()-ROW(M$4),"")</f>
        <v/>
      </c>
    </row>
    <row r="1032" spans="4:13" ht="12" customHeight="1" x14ac:dyDescent="0.25">
      <c r="D1032" s="15" t="str">
        <f>IF(IF(ISNUMBER(B1032),"",MAX(D$4:D1031)+1)&lt;=D$3,IF(ISNUMBER(B1032),"",MAX(D$4:D1031)+1),"")</f>
        <v/>
      </c>
      <c r="H1032" s="15"/>
      <c r="I1032" s="15" t="str">
        <f>IF(O1032="","",IF(ISNUMBER(MATCH(O1032,$G$5:$G$1000,0)),"",IF(D1032=1,B$4,0)+MAX(I$4:I1031)+1))</f>
        <v/>
      </c>
      <c r="M1032" s="14" t="str">
        <f>IF(ROW()-ROW(M$4)&lt;=1000,ROW()-ROW(M$4),"")</f>
        <v/>
      </c>
    </row>
    <row r="1033" spans="4:13" ht="12" customHeight="1" x14ac:dyDescent="0.25">
      <c r="D1033" s="15" t="str">
        <f>IF(IF(ISNUMBER(B1033),"",MAX(D$4:D1032)+1)&lt;=D$3,IF(ISNUMBER(B1033),"",MAX(D$4:D1032)+1),"")</f>
        <v/>
      </c>
      <c r="H1033" s="15"/>
      <c r="I1033" s="15" t="str">
        <f>IF(O1033="","",IF(ISNUMBER(MATCH(O1033,$G$5:$G$1000,0)),"",IF(D1033=1,B$4,0)+MAX(I$4:I1032)+1))</f>
        <v/>
      </c>
      <c r="M1033" s="14" t="str">
        <f>IF(ROW()-ROW(M$4)&lt;=1000,ROW()-ROW(M$4),"")</f>
        <v/>
      </c>
    </row>
    <row r="1034" spans="4:13" ht="12" customHeight="1" x14ac:dyDescent="0.25">
      <c r="D1034" s="15" t="str">
        <f>IF(IF(ISNUMBER(B1034),"",MAX(D$4:D1033)+1)&lt;=D$3,IF(ISNUMBER(B1034),"",MAX(D$4:D1033)+1),"")</f>
        <v/>
      </c>
      <c r="H1034" s="15"/>
      <c r="I1034" s="15" t="str">
        <f>IF(O1034="","",IF(ISNUMBER(MATCH(O1034,$G$5:$G$1000,0)),"",IF(D1034=1,B$4,0)+MAX(I$4:I1033)+1))</f>
        <v/>
      </c>
      <c r="M1034" s="14" t="str">
        <f>IF(ROW()-ROW(M$4)&lt;=1000,ROW()-ROW(M$4),"")</f>
        <v/>
      </c>
    </row>
    <row r="1035" spans="4:13" ht="12" customHeight="1" x14ac:dyDescent="0.25">
      <c r="D1035" s="15" t="str">
        <f>IF(IF(ISNUMBER(B1035),"",MAX(D$4:D1034)+1)&lt;=D$3,IF(ISNUMBER(B1035),"",MAX(D$4:D1034)+1),"")</f>
        <v/>
      </c>
      <c r="H1035" s="15"/>
      <c r="I1035" s="15" t="str">
        <f>IF(O1035="","",IF(ISNUMBER(MATCH(O1035,$G$5:$G$1000,0)),"",IF(D1035=1,B$4,0)+MAX(I$4:I1034)+1))</f>
        <v/>
      </c>
      <c r="M1035" s="14" t="str">
        <f>IF(ROW()-ROW(M$4)&lt;=1000,ROW()-ROW(M$4),"")</f>
        <v/>
      </c>
    </row>
    <row r="1036" spans="4:13" ht="12" customHeight="1" x14ac:dyDescent="0.25">
      <c r="D1036" s="15" t="str">
        <f>IF(IF(ISNUMBER(B1036),"",MAX(D$4:D1035)+1)&lt;=D$3,IF(ISNUMBER(B1036),"",MAX(D$4:D1035)+1),"")</f>
        <v/>
      </c>
      <c r="H1036" s="15"/>
      <c r="I1036" s="15" t="str">
        <f>IF(O1036="","",IF(ISNUMBER(MATCH(O1036,$G$5:$G$1000,0)),"",IF(D1036=1,B$4,0)+MAX(I$4:I1035)+1))</f>
        <v/>
      </c>
      <c r="M1036" s="14" t="str">
        <f>IF(ROW()-ROW(M$4)&lt;=1000,ROW()-ROW(M$4),"")</f>
        <v/>
      </c>
    </row>
    <row r="1037" spans="4:13" ht="12" customHeight="1" x14ac:dyDescent="0.25">
      <c r="D1037" s="15" t="str">
        <f>IF(IF(ISNUMBER(B1037),"",MAX(D$4:D1036)+1)&lt;=D$3,IF(ISNUMBER(B1037),"",MAX(D$4:D1036)+1),"")</f>
        <v/>
      </c>
      <c r="H1037" s="15"/>
      <c r="I1037" s="15" t="str">
        <f>IF(O1037="","",IF(ISNUMBER(MATCH(O1037,$G$5:$G$1000,0)),"",IF(D1037=1,B$4,0)+MAX(I$4:I1036)+1))</f>
        <v/>
      </c>
      <c r="M1037" s="14" t="str">
        <f>IF(ROW()-ROW(M$4)&lt;=1000,ROW()-ROW(M$4),"")</f>
        <v/>
      </c>
    </row>
    <row r="1038" spans="4:13" ht="12" customHeight="1" x14ac:dyDescent="0.25">
      <c r="D1038" s="15" t="str">
        <f>IF(IF(ISNUMBER(B1038),"",MAX(D$4:D1037)+1)&lt;=D$3,IF(ISNUMBER(B1038),"",MAX(D$4:D1037)+1),"")</f>
        <v/>
      </c>
      <c r="H1038" s="15"/>
      <c r="I1038" s="15" t="str">
        <f>IF(O1038="","",IF(ISNUMBER(MATCH(O1038,$G$5:$G$1000,0)),"",IF(D1038=1,B$4,0)+MAX(I$4:I1037)+1))</f>
        <v/>
      </c>
      <c r="M1038" s="14" t="str">
        <f>IF(ROW()-ROW(M$4)&lt;=1000,ROW()-ROW(M$4),"")</f>
        <v/>
      </c>
    </row>
    <row r="1039" spans="4:13" ht="12" customHeight="1" x14ac:dyDescent="0.25">
      <c r="D1039" s="15" t="str">
        <f>IF(IF(ISNUMBER(B1039),"",MAX(D$4:D1038)+1)&lt;=D$3,IF(ISNUMBER(B1039),"",MAX(D$4:D1038)+1),"")</f>
        <v/>
      </c>
      <c r="H1039" s="15"/>
      <c r="I1039" s="15" t="str">
        <f>IF(O1039="","",IF(ISNUMBER(MATCH(O1039,$G$5:$G$1000,0)),"",IF(D1039=1,B$4,0)+MAX(I$4:I1038)+1))</f>
        <v/>
      </c>
      <c r="M1039" s="14" t="str">
        <f>IF(ROW()-ROW(M$4)&lt;=1000,ROW()-ROW(M$4),"")</f>
        <v/>
      </c>
    </row>
    <row r="1040" spans="4:13" ht="12" customHeight="1" x14ac:dyDescent="0.25">
      <c r="D1040" s="15" t="str">
        <f>IF(IF(ISNUMBER(B1040),"",MAX(D$4:D1039)+1)&lt;=D$3,IF(ISNUMBER(B1040),"",MAX(D$4:D1039)+1),"")</f>
        <v/>
      </c>
      <c r="H1040" s="15"/>
      <c r="I1040" s="15" t="str">
        <f>IF(O1040="","",IF(ISNUMBER(MATCH(O1040,$G$5:$G$1000,0)),"",IF(D1040=1,B$4,0)+MAX(I$4:I1039)+1))</f>
        <v/>
      </c>
      <c r="M1040" s="14" t="str">
        <f>IF(ROW()-ROW(M$4)&lt;=1000,ROW()-ROW(M$4),"")</f>
        <v/>
      </c>
    </row>
    <row r="1041" spans="4:13" ht="12" customHeight="1" x14ac:dyDescent="0.25">
      <c r="D1041" s="15" t="str">
        <f>IF(IF(ISNUMBER(B1041),"",MAX(D$4:D1040)+1)&lt;=D$3,IF(ISNUMBER(B1041),"",MAX(D$4:D1040)+1),"")</f>
        <v/>
      </c>
      <c r="H1041" s="15"/>
      <c r="I1041" s="15" t="str">
        <f>IF(O1041="","",IF(ISNUMBER(MATCH(O1041,$G$5:$G$1000,0)),"",IF(D1041=1,B$4,0)+MAX(I$4:I1040)+1))</f>
        <v/>
      </c>
      <c r="M1041" s="14" t="str">
        <f>IF(ROW()-ROW(M$4)&lt;=1000,ROW()-ROW(M$4),"")</f>
        <v/>
      </c>
    </row>
    <row r="1042" spans="4:13" ht="12" customHeight="1" x14ac:dyDescent="0.25">
      <c r="D1042" s="15" t="str">
        <f>IF(IF(ISNUMBER(B1042),"",MAX(D$4:D1041)+1)&lt;=D$3,IF(ISNUMBER(B1042),"",MAX(D$4:D1041)+1),"")</f>
        <v/>
      </c>
      <c r="H1042" s="15"/>
      <c r="I1042" s="15" t="str">
        <f>IF(O1042="","",IF(ISNUMBER(MATCH(O1042,$G$5:$G$1000,0)),"",IF(D1042=1,B$4,0)+MAX(I$4:I1041)+1))</f>
        <v/>
      </c>
      <c r="M1042" s="14" t="str">
        <f>IF(ROW()-ROW(M$4)&lt;=1000,ROW()-ROW(M$4),"")</f>
        <v/>
      </c>
    </row>
    <row r="1043" spans="4:13" ht="12" customHeight="1" x14ac:dyDescent="0.25">
      <c r="D1043" s="15" t="str">
        <f>IF(IF(ISNUMBER(B1043),"",MAX(D$4:D1042)+1)&lt;=D$3,IF(ISNUMBER(B1043),"",MAX(D$4:D1042)+1),"")</f>
        <v/>
      </c>
      <c r="H1043" s="15"/>
      <c r="I1043" s="15" t="str">
        <f>IF(O1043="","",IF(ISNUMBER(MATCH(O1043,$G$5:$G$1000,0)),"",IF(D1043=1,B$4,0)+MAX(I$4:I1042)+1))</f>
        <v/>
      </c>
      <c r="M1043" s="14" t="str">
        <f>IF(ROW()-ROW(M$4)&lt;=1000,ROW()-ROW(M$4),"")</f>
        <v/>
      </c>
    </row>
    <row r="1044" spans="4:13" ht="12" customHeight="1" x14ac:dyDescent="0.25">
      <c r="D1044" s="15" t="str">
        <f>IF(IF(ISNUMBER(B1044),"",MAX(D$4:D1043)+1)&lt;=D$3,IF(ISNUMBER(B1044),"",MAX(D$4:D1043)+1),"")</f>
        <v/>
      </c>
      <c r="H1044" s="15"/>
      <c r="I1044" s="15" t="str">
        <f>IF(O1044="","",IF(ISNUMBER(MATCH(O1044,$G$5:$G$1000,0)),"",IF(D1044=1,B$4,0)+MAX(I$4:I1043)+1))</f>
        <v/>
      </c>
      <c r="M1044" s="14" t="str">
        <f>IF(ROW()-ROW(M$4)&lt;=1000,ROW()-ROW(M$4),"")</f>
        <v/>
      </c>
    </row>
    <row r="1045" spans="4:13" ht="12" customHeight="1" x14ac:dyDescent="0.25">
      <c r="D1045" s="15" t="str">
        <f>IF(IF(ISNUMBER(B1045),"",MAX(D$4:D1044)+1)&lt;=D$3,IF(ISNUMBER(B1045),"",MAX(D$4:D1044)+1),"")</f>
        <v/>
      </c>
      <c r="H1045" s="15"/>
      <c r="I1045" s="15" t="str">
        <f>IF(O1045="","",IF(ISNUMBER(MATCH(O1045,$G$5:$G$1000,0)),"",IF(D1045=1,B$4,0)+MAX(I$4:I1044)+1))</f>
        <v/>
      </c>
      <c r="M1045" s="14" t="str">
        <f>IF(ROW()-ROW(M$4)&lt;=1000,ROW()-ROW(M$4),"")</f>
        <v/>
      </c>
    </row>
    <row r="1046" spans="4:13" ht="12" customHeight="1" x14ac:dyDescent="0.25">
      <c r="D1046" s="15" t="str">
        <f>IF(IF(ISNUMBER(B1046),"",MAX(D$4:D1045)+1)&lt;=D$3,IF(ISNUMBER(B1046),"",MAX(D$4:D1045)+1),"")</f>
        <v/>
      </c>
      <c r="H1046" s="15"/>
      <c r="I1046" s="15" t="str">
        <f>IF(O1046="","",IF(ISNUMBER(MATCH(O1046,$G$5:$G$1000,0)),"",IF(D1046=1,B$4,0)+MAX(I$4:I1045)+1))</f>
        <v/>
      </c>
      <c r="M1046" s="14" t="str">
        <f>IF(ROW()-ROW(M$4)&lt;=1000,ROW()-ROW(M$4),"")</f>
        <v/>
      </c>
    </row>
    <row r="1047" spans="4:13" ht="12" customHeight="1" x14ac:dyDescent="0.25">
      <c r="D1047" s="15" t="str">
        <f>IF(IF(ISNUMBER(B1047),"",MAX(D$4:D1046)+1)&lt;=D$3,IF(ISNUMBER(B1047),"",MAX(D$4:D1046)+1),"")</f>
        <v/>
      </c>
      <c r="H1047" s="15"/>
      <c r="I1047" s="15" t="str">
        <f>IF(O1047="","",IF(ISNUMBER(MATCH(O1047,$G$5:$G$1000,0)),"",IF(D1047=1,B$4,0)+MAX(I$4:I1046)+1))</f>
        <v/>
      </c>
      <c r="M1047" s="14" t="str">
        <f>IF(ROW()-ROW(M$4)&lt;=1000,ROW()-ROW(M$4),"")</f>
        <v/>
      </c>
    </row>
    <row r="1048" spans="4:13" ht="12" customHeight="1" x14ac:dyDescent="0.25">
      <c r="D1048" s="15" t="str">
        <f>IF(IF(ISNUMBER(B1048),"",MAX(D$4:D1047)+1)&lt;=D$3,IF(ISNUMBER(B1048),"",MAX(D$4:D1047)+1),"")</f>
        <v/>
      </c>
      <c r="H1048" s="15"/>
      <c r="I1048" s="15" t="str">
        <f>IF(O1048="","",IF(ISNUMBER(MATCH(O1048,$G$5:$G$1000,0)),"",IF(D1048=1,B$4,0)+MAX(I$4:I1047)+1))</f>
        <v/>
      </c>
      <c r="M1048" s="14" t="str">
        <f>IF(ROW()-ROW(M$4)&lt;=1000,ROW()-ROW(M$4),"")</f>
        <v/>
      </c>
    </row>
    <row r="1049" spans="4:13" ht="12" customHeight="1" x14ac:dyDescent="0.25">
      <c r="D1049" s="15" t="str">
        <f>IF(IF(ISNUMBER(B1049),"",MAX(D$4:D1048)+1)&lt;=D$3,IF(ISNUMBER(B1049),"",MAX(D$4:D1048)+1),"")</f>
        <v/>
      </c>
      <c r="H1049" s="15"/>
      <c r="I1049" s="15" t="str">
        <f>IF(O1049="","",IF(ISNUMBER(MATCH(O1049,$G$5:$G$1000,0)),"",IF(D1049=1,B$4,0)+MAX(I$4:I1048)+1))</f>
        <v/>
      </c>
      <c r="M1049" s="14" t="str">
        <f>IF(ROW()-ROW(M$4)&lt;=1000,ROW()-ROW(M$4),"")</f>
        <v/>
      </c>
    </row>
    <row r="1050" spans="4:13" ht="12" customHeight="1" x14ac:dyDescent="0.25">
      <c r="D1050" s="15" t="str">
        <f>IF(IF(ISNUMBER(B1050),"",MAX(D$4:D1049)+1)&lt;=D$3,IF(ISNUMBER(B1050),"",MAX(D$4:D1049)+1),"")</f>
        <v/>
      </c>
      <c r="H1050" s="15"/>
      <c r="I1050" s="15" t="str">
        <f>IF(O1050="","",IF(ISNUMBER(MATCH(O1050,$G$5:$G$1000,0)),"",IF(D1050=1,B$4,0)+MAX(I$4:I1049)+1))</f>
        <v/>
      </c>
      <c r="M1050" s="14" t="str">
        <f>IF(ROW()-ROW(M$4)&lt;=1000,ROW()-ROW(M$4),"")</f>
        <v/>
      </c>
    </row>
    <row r="1051" spans="4:13" ht="12" customHeight="1" x14ac:dyDescent="0.25">
      <c r="D1051" s="15" t="str">
        <f>IF(IF(ISNUMBER(B1051),"",MAX(D$4:D1050)+1)&lt;=D$3,IF(ISNUMBER(B1051),"",MAX(D$4:D1050)+1),"")</f>
        <v/>
      </c>
      <c r="H1051" s="15"/>
      <c r="I1051" s="15" t="str">
        <f>IF(O1051="","",IF(ISNUMBER(MATCH(O1051,$G$5:$G$1000,0)),"",IF(D1051=1,B$4,0)+MAX(I$4:I1050)+1))</f>
        <v/>
      </c>
      <c r="M1051" s="14" t="str">
        <f>IF(ROW()-ROW(M$4)&lt;=1000,ROW()-ROW(M$4),"")</f>
        <v/>
      </c>
    </row>
    <row r="1052" spans="4:13" ht="12" customHeight="1" x14ac:dyDescent="0.25">
      <c r="D1052" s="15" t="str">
        <f>IF(IF(ISNUMBER(B1052),"",MAX(D$4:D1051)+1)&lt;=D$3,IF(ISNUMBER(B1052),"",MAX(D$4:D1051)+1),"")</f>
        <v/>
      </c>
      <c r="H1052" s="15"/>
      <c r="I1052" s="15" t="str">
        <f>IF(O1052="","",IF(ISNUMBER(MATCH(O1052,$G$5:$G$1000,0)),"",IF(D1052=1,B$4,0)+MAX(I$4:I1051)+1))</f>
        <v/>
      </c>
      <c r="M1052" s="14" t="str">
        <f>IF(ROW()-ROW(M$4)&lt;=1000,ROW()-ROW(M$4),"")</f>
        <v/>
      </c>
    </row>
    <row r="1053" spans="4:13" ht="12" customHeight="1" x14ac:dyDescent="0.25">
      <c r="D1053" s="15" t="str">
        <f>IF(IF(ISNUMBER(B1053),"",MAX(D$4:D1052)+1)&lt;=D$3,IF(ISNUMBER(B1053),"",MAX(D$4:D1052)+1),"")</f>
        <v/>
      </c>
      <c r="H1053" s="15"/>
      <c r="I1053" s="15" t="str">
        <f>IF(O1053="","",IF(ISNUMBER(MATCH(O1053,$G$5:$G$1000,0)),"",IF(D1053=1,B$4,0)+MAX(I$4:I1052)+1))</f>
        <v/>
      </c>
      <c r="M1053" s="14" t="str">
        <f>IF(ROW()-ROW(M$4)&lt;=1000,ROW()-ROW(M$4),"")</f>
        <v/>
      </c>
    </row>
    <row r="1054" spans="4:13" ht="12" customHeight="1" x14ac:dyDescent="0.25">
      <c r="D1054" s="15" t="str">
        <f>IF(IF(ISNUMBER(B1054),"",MAX(D$4:D1053)+1)&lt;=D$3,IF(ISNUMBER(B1054),"",MAX(D$4:D1053)+1),"")</f>
        <v/>
      </c>
      <c r="H1054" s="15"/>
      <c r="I1054" s="15" t="str">
        <f>IF(O1054="","",IF(ISNUMBER(MATCH(O1054,$G$5:$G$1000,0)),"",IF(D1054=1,B$4,0)+MAX(I$4:I1053)+1))</f>
        <v/>
      </c>
      <c r="M1054" s="14" t="str">
        <f>IF(ROW()-ROW(M$4)&lt;=1000,ROW()-ROW(M$4),"")</f>
        <v/>
      </c>
    </row>
    <row r="1055" spans="4:13" ht="12" customHeight="1" x14ac:dyDescent="0.25">
      <c r="D1055" s="15" t="str">
        <f>IF(IF(ISNUMBER(B1055),"",MAX(D$4:D1054)+1)&lt;=D$3,IF(ISNUMBER(B1055),"",MAX(D$4:D1054)+1),"")</f>
        <v/>
      </c>
      <c r="H1055" s="15"/>
      <c r="I1055" s="15" t="str">
        <f>IF(O1055="","",IF(ISNUMBER(MATCH(O1055,$G$5:$G$1000,0)),"",IF(D1055=1,B$4,0)+MAX(I$4:I1054)+1))</f>
        <v/>
      </c>
      <c r="M1055" s="14" t="str">
        <f>IF(ROW()-ROW(M$4)&lt;=1000,ROW()-ROW(M$4),"")</f>
        <v/>
      </c>
    </row>
    <row r="1056" spans="4:13" ht="12" customHeight="1" x14ac:dyDescent="0.25">
      <c r="D1056" s="15" t="str">
        <f>IF(IF(ISNUMBER(B1056),"",MAX(D$4:D1055)+1)&lt;=D$3,IF(ISNUMBER(B1056),"",MAX(D$4:D1055)+1),"")</f>
        <v/>
      </c>
      <c r="H1056" s="15"/>
      <c r="I1056" s="15" t="str">
        <f>IF(O1056="","",IF(ISNUMBER(MATCH(O1056,$G$5:$G$1000,0)),"",IF(D1056=1,B$4,0)+MAX(I$4:I1055)+1))</f>
        <v/>
      </c>
      <c r="M1056" s="14" t="str">
        <f>IF(ROW()-ROW(M$4)&lt;=1000,ROW()-ROW(M$4),"")</f>
        <v/>
      </c>
    </row>
    <row r="1057" spans="4:13" ht="12" customHeight="1" x14ac:dyDescent="0.25">
      <c r="D1057" s="15" t="str">
        <f>IF(IF(ISNUMBER(B1057),"",MAX(D$4:D1056)+1)&lt;=D$3,IF(ISNUMBER(B1057),"",MAX(D$4:D1056)+1),"")</f>
        <v/>
      </c>
      <c r="H1057" s="15"/>
      <c r="I1057" s="15" t="str">
        <f>IF(O1057="","",IF(ISNUMBER(MATCH(O1057,$G$5:$G$1000,0)),"",IF(D1057=1,B$4,0)+MAX(I$4:I1056)+1))</f>
        <v/>
      </c>
      <c r="M1057" s="14" t="str">
        <f>IF(ROW()-ROW(M$4)&lt;=1000,ROW()-ROW(M$4),"")</f>
        <v/>
      </c>
    </row>
    <row r="1058" spans="4:13" ht="12" customHeight="1" x14ac:dyDescent="0.25">
      <c r="D1058" s="15" t="str">
        <f>IF(IF(ISNUMBER(B1058),"",MAX(D$4:D1057)+1)&lt;=D$3,IF(ISNUMBER(B1058),"",MAX(D$4:D1057)+1),"")</f>
        <v/>
      </c>
      <c r="H1058" s="15"/>
      <c r="I1058" s="15" t="str">
        <f>IF(O1058="","",IF(ISNUMBER(MATCH(O1058,$G$5:$G$1000,0)),"",IF(D1058=1,B$4,0)+MAX(I$4:I1057)+1))</f>
        <v/>
      </c>
      <c r="M1058" s="14" t="str">
        <f>IF(ROW()-ROW(M$4)&lt;=1000,ROW()-ROW(M$4),"")</f>
        <v/>
      </c>
    </row>
    <row r="1059" spans="4:13" ht="12" customHeight="1" x14ac:dyDescent="0.25">
      <c r="D1059" s="15" t="str">
        <f>IF(IF(ISNUMBER(B1059),"",MAX(D$4:D1058)+1)&lt;=D$3,IF(ISNUMBER(B1059),"",MAX(D$4:D1058)+1),"")</f>
        <v/>
      </c>
      <c r="H1059" s="15"/>
      <c r="I1059" s="15" t="str">
        <f>IF(O1059="","",IF(ISNUMBER(MATCH(O1059,$G$5:$G$1000,0)),"",IF(D1059=1,B$4,0)+MAX(I$4:I1058)+1))</f>
        <v/>
      </c>
      <c r="M1059" s="14" t="str">
        <f>IF(ROW()-ROW(M$4)&lt;=1000,ROW()-ROW(M$4),"")</f>
        <v/>
      </c>
    </row>
    <row r="1060" spans="4:13" ht="12" customHeight="1" x14ac:dyDescent="0.25">
      <c r="D1060" s="15" t="str">
        <f>IF(IF(ISNUMBER(B1060),"",MAX(D$4:D1059)+1)&lt;=D$3,IF(ISNUMBER(B1060),"",MAX(D$4:D1059)+1),"")</f>
        <v/>
      </c>
      <c r="H1060" s="15"/>
      <c r="I1060" s="15" t="str">
        <f>IF(O1060="","",IF(ISNUMBER(MATCH(O1060,$G$5:$G$1000,0)),"",IF(D1060=1,B$4,0)+MAX(I$4:I1059)+1))</f>
        <v/>
      </c>
      <c r="M1060" s="14" t="str">
        <f>IF(ROW()-ROW(M$4)&lt;=1000,ROW()-ROW(M$4),"")</f>
        <v/>
      </c>
    </row>
    <row r="1061" spans="4:13" ht="12" customHeight="1" x14ac:dyDescent="0.25">
      <c r="D1061" s="15" t="str">
        <f>IF(IF(ISNUMBER(B1061),"",MAX(D$4:D1060)+1)&lt;=D$3,IF(ISNUMBER(B1061),"",MAX(D$4:D1060)+1),"")</f>
        <v/>
      </c>
      <c r="H1061" s="15"/>
      <c r="I1061" s="15" t="str">
        <f>IF(O1061="","",IF(ISNUMBER(MATCH(O1061,$G$5:$G$1000,0)),"",IF(D1061=1,B$4,0)+MAX(I$4:I1060)+1))</f>
        <v/>
      </c>
      <c r="M1061" s="14" t="str">
        <f>IF(ROW()-ROW(M$4)&lt;=1000,ROW()-ROW(M$4),"")</f>
        <v/>
      </c>
    </row>
    <row r="1062" spans="4:13" ht="12" customHeight="1" x14ac:dyDescent="0.25">
      <c r="D1062" s="15" t="str">
        <f>IF(IF(ISNUMBER(B1062),"",MAX(D$4:D1061)+1)&lt;=D$3,IF(ISNUMBER(B1062),"",MAX(D$4:D1061)+1),"")</f>
        <v/>
      </c>
      <c r="H1062" s="15"/>
      <c r="I1062" s="15" t="str">
        <f>IF(O1062="","",IF(ISNUMBER(MATCH(O1062,$G$5:$G$1000,0)),"",IF(D1062=1,B$4,0)+MAX(I$4:I1061)+1))</f>
        <v/>
      </c>
      <c r="M1062" s="14" t="str">
        <f>IF(ROW()-ROW(M$4)&lt;=1000,ROW()-ROW(M$4),"")</f>
        <v/>
      </c>
    </row>
    <row r="1063" spans="4:13" ht="12" customHeight="1" x14ac:dyDescent="0.25">
      <c r="D1063" s="15" t="str">
        <f>IF(IF(ISNUMBER(B1063),"",MAX(D$4:D1062)+1)&lt;=D$3,IF(ISNUMBER(B1063),"",MAX(D$4:D1062)+1),"")</f>
        <v/>
      </c>
      <c r="H1063" s="15"/>
      <c r="I1063" s="15" t="str">
        <f>IF(O1063="","",IF(ISNUMBER(MATCH(O1063,$G$5:$G$1000,0)),"",IF(D1063=1,B$4,0)+MAX(I$4:I1062)+1))</f>
        <v/>
      </c>
      <c r="M1063" s="14" t="str">
        <f>IF(ROW()-ROW(M$4)&lt;=1000,ROW()-ROW(M$4),"")</f>
        <v/>
      </c>
    </row>
    <row r="1064" spans="4:13" ht="12" customHeight="1" x14ac:dyDescent="0.25">
      <c r="D1064" s="15" t="str">
        <f>IF(IF(ISNUMBER(B1064),"",MAX(D$4:D1063)+1)&lt;=D$3,IF(ISNUMBER(B1064),"",MAX(D$4:D1063)+1),"")</f>
        <v/>
      </c>
      <c r="H1064" s="15"/>
      <c r="I1064" s="15" t="str">
        <f>IF(O1064="","",IF(ISNUMBER(MATCH(O1064,$G$5:$G$1000,0)),"",IF(D1064=1,B$4,0)+MAX(I$4:I1063)+1))</f>
        <v/>
      </c>
      <c r="M1064" s="14" t="str">
        <f>IF(ROW()-ROW(M$4)&lt;=1000,ROW()-ROW(M$4),"")</f>
        <v/>
      </c>
    </row>
    <row r="1065" spans="4:13" ht="12" customHeight="1" x14ac:dyDescent="0.25">
      <c r="D1065" s="15" t="str">
        <f>IF(IF(ISNUMBER(B1065),"",MAX(D$4:D1064)+1)&lt;=D$3,IF(ISNUMBER(B1065),"",MAX(D$4:D1064)+1),"")</f>
        <v/>
      </c>
      <c r="H1065" s="15"/>
      <c r="I1065" s="15" t="str">
        <f>IF(O1065="","",IF(ISNUMBER(MATCH(O1065,$G$5:$G$1000,0)),"",IF(D1065=1,B$4,0)+MAX(I$4:I1064)+1))</f>
        <v/>
      </c>
      <c r="M1065" s="14" t="str">
        <f>IF(ROW()-ROW(M$4)&lt;=1000,ROW()-ROW(M$4),"")</f>
        <v/>
      </c>
    </row>
    <row r="1066" spans="4:13" ht="12" customHeight="1" x14ac:dyDescent="0.25">
      <c r="D1066" s="15" t="str">
        <f>IF(IF(ISNUMBER(B1066),"",MAX(D$4:D1065)+1)&lt;=D$3,IF(ISNUMBER(B1066),"",MAX(D$4:D1065)+1),"")</f>
        <v/>
      </c>
      <c r="H1066" s="15"/>
      <c r="I1066" s="15" t="str">
        <f>IF(O1066="","",IF(ISNUMBER(MATCH(O1066,$G$5:$G$1000,0)),"",IF(D1066=1,B$4,0)+MAX(I$4:I1065)+1))</f>
        <v/>
      </c>
      <c r="M1066" s="14" t="str">
        <f>IF(ROW()-ROW(M$4)&lt;=1000,ROW()-ROW(M$4),"")</f>
        <v/>
      </c>
    </row>
    <row r="1067" spans="4:13" ht="12" customHeight="1" x14ac:dyDescent="0.25">
      <c r="D1067" s="15" t="str">
        <f>IF(IF(ISNUMBER(B1067),"",MAX(D$4:D1066)+1)&lt;=D$3,IF(ISNUMBER(B1067),"",MAX(D$4:D1066)+1),"")</f>
        <v/>
      </c>
      <c r="H1067" s="15"/>
      <c r="I1067" s="15" t="str">
        <f>IF(O1067="","",IF(ISNUMBER(MATCH(O1067,$G$5:$G$1000,0)),"",IF(D1067=1,B$4,0)+MAX(I$4:I1066)+1))</f>
        <v/>
      </c>
      <c r="M1067" s="14" t="str">
        <f>IF(ROW()-ROW(M$4)&lt;=1000,ROW()-ROW(M$4),"")</f>
        <v/>
      </c>
    </row>
    <row r="1068" spans="4:13" ht="12" customHeight="1" x14ac:dyDescent="0.25">
      <c r="D1068" s="15" t="str">
        <f>IF(IF(ISNUMBER(B1068),"",MAX(D$4:D1067)+1)&lt;=D$3,IF(ISNUMBER(B1068),"",MAX(D$4:D1067)+1),"")</f>
        <v/>
      </c>
      <c r="H1068" s="15"/>
      <c r="I1068" s="15" t="str">
        <f>IF(O1068="","",IF(ISNUMBER(MATCH(O1068,$G$5:$G$1000,0)),"",IF(D1068=1,B$4,0)+MAX(I$4:I1067)+1))</f>
        <v/>
      </c>
      <c r="M1068" s="14" t="str">
        <f>IF(ROW()-ROW(M$4)&lt;=1000,ROW()-ROW(M$4),"")</f>
        <v/>
      </c>
    </row>
    <row r="1069" spans="4:13" ht="12" customHeight="1" x14ac:dyDescent="0.25">
      <c r="D1069" s="15" t="str">
        <f>IF(IF(ISNUMBER(B1069),"",MAX(D$4:D1068)+1)&lt;=D$3,IF(ISNUMBER(B1069),"",MAX(D$4:D1068)+1),"")</f>
        <v/>
      </c>
      <c r="H1069" s="15"/>
      <c r="I1069" s="15" t="str">
        <f>IF(O1069="","",IF(ISNUMBER(MATCH(O1069,$G$5:$G$1000,0)),"",IF(D1069=1,B$4,0)+MAX(I$4:I1068)+1))</f>
        <v/>
      </c>
      <c r="M1069" s="14" t="str">
        <f>IF(ROW()-ROW(M$4)&lt;=1000,ROW()-ROW(M$4),"")</f>
        <v/>
      </c>
    </row>
    <row r="1070" spans="4:13" ht="12" customHeight="1" x14ac:dyDescent="0.25">
      <c r="D1070" s="15" t="str">
        <f>IF(IF(ISNUMBER(B1070),"",MAX(D$4:D1069)+1)&lt;=D$3,IF(ISNUMBER(B1070),"",MAX(D$4:D1069)+1),"")</f>
        <v/>
      </c>
      <c r="H1070" s="15"/>
      <c r="I1070" s="15" t="str">
        <f>IF(O1070="","",IF(ISNUMBER(MATCH(O1070,$G$5:$G$1000,0)),"",IF(D1070=1,B$4,0)+MAX(I$4:I1069)+1))</f>
        <v/>
      </c>
      <c r="M1070" s="14" t="str">
        <f>IF(ROW()-ROW(M$4)&lt;=1000,ROW()-ROW(M$4),"")</f>
        <v/>
      </c>
    </row>
    <row r="1071" spans="4:13" ht="12" customHeight="1" x14ac:dyDescent="0.25">
      <c r="D1071" s="15" t="str">
        <f>IF(IF(ISNUMBER(B1071),"",MAX(D$4:D1070)+1)&lt;=D$3,IF(ISNUMBER(B1071),"",MAX(D$4:D1070)+1),"")</f>
        <v/>
      </c>
      <c r="H1071" s="15"/>
      <c r="I1071" s="15" t="str">
        <f>IF(O1071="","",IF(ISNUMBER(MATCH(O1071,$G$5:$G$1000,0)),"",IF(D1071=1,B$4,0)+MAX(I$4:I1070)+1))</f>
        <v/>
      </c>
      <c r="M1071" s="14" t="str">
        <f>IF(ROW()-ROW(M$4)&lt;=1000,ROW()-ROW(M$4),"")</f>
        <v/>
      </c>
    </row>
    <row r="1072" spans="4:13" ht="12" customHeight="1" x14ac:dyDescent="0.25">
      <c r="D1072" s="15" t="str">
        <f>IF(IF(ISNUMBER(B1072),"",MAX(D$4:D1071)+1)&lt;=D$3,IF(ISNUMBER(B1072),"",MAX(D$4:D1071)+1),"")</f>
        <v/>
      </c>
      <c r="H1072" s="15"/>
      <c r="I1072" s="15" t="str">
        <f>IF(O1072="","",IF(ISNUMBER(MATCH(O1072,$G$5:$G$1000,0)),"",IF(D1072=1,B$4,0)+MAX(I$4:I1071)+1))</f>
        <v/>
      </c>
      <c r="M1072" s="14" t="str">
        <f>IF(ROW()-ROW(M$4)&lt;=1000,ROW()-ROW(M$4),"")</f>
        <v/>
      </c>
    </row>
    <row r="1073" spans="4:13" ht="12" customHeight="1" x14ac:dyDescent="0.25">
      <c r="D1073" s="15" t="str">
        <f>IF(IF(ISNUMBER(B1073),"",MAX(D$4:D1072)+1)&lt;=D$3,IF(ISNUMBER(B1073),"",MAX(D$4:D1072)+1),"")</f>
        <v/>
      </c>
      <c r="H1073" s="15"/>
      <c r="I1073" s="15" t="str">
        <f>IF(O1073="","",IF(ISNUMBER(MATCH(O1073,$G$5:$G$1000,0)),"",IF(D1073=1,B$4,0)+MAX(I$4:I1072)+1))</f>
        <v/>
      </c>
      <c r="M1073" s="14" t="str">
        <f>IF(ROW()-ROW(M$4)&lt;=1000,ROW()-ROW(M$4),"")</f>
        <v/>
      </c>
    </row>
    <row r="1074" spans="4:13" ht="12" customHeight="1" x14ac:dyDescent="0.25">
      <c r="D1074" s="15" t="str">
        <f>IF(IF(ISNUMBER(B1074),"",MAX(D$4:D1073)+1)&lt;=D$3,IF(ISNUMBER(B1074),"",MAX(D$4:D1073)+1),"")</f>
        <v/>
      </c>
      <c r="H1074" s="15"/>
      <c r="I1074" s="15" t="str">
        <f>IF(O1074="","",IF(ISNUMBER(MATCH(O1074,$G$5:$G$1000,0)),"",IF(D1074=1,B$4,0)+MAX(I$4:I1073)+1))</f>
        <v/>
      </c>
      <c r="M1074" s="14" t="str">
        <f>IF(ROW()-ROW(M$4)&lt;=1000,ROW()-ROW(M$4),"")</f>
        <v/>
      </c>
    </row>
    <row r="1075" spans="4:13" ht="12" customHeight="1" x14ac:dyDescent="0.25">
      <c r="D1075" s="15" t="str">
        <f>IF(IF(ISNUMBER(B1075),"",MAX(D$4:D1074)+1)&lt;=D$3,IF(ISNUMBER(B1075),"",MAX(D$4:D1074)+1),"")</f>
        <v/>
      </c>
      <c r="H1075" s="15"/>
      <c r="I1075" s="15" t="str">
        <f>IF(O1075="","",IF(ISNUMBER(MATCH(O1075,$G$5:$G$1000,0)),"",IF(D1075=1,B$4,0)+MAX(I$4:I1074)+1))</f>
        <v/>
      </c>
      <c r="M1075" s="14" t="str">
        <f>IF(ROW()-ROW(M$4)&lt;=1000,ROW()-ROW(M$4),"")</f>
        <v/>
      </c>
    </row>
    <row r="1076" spans="4:13" ht="12" customHeight="1" x14ac:dyDescent="0.25">
      <c r="D1076" s="15" t="str">
        <f>IF(IF(ISNUMBER(B1076),"",MAX(D$4:D1075)+1)&lt;=D$3,IF(ISNUMBER(B1076),"",MAX(D$4:D1075)+1),"")</f>
        <v/>
      </c>
      <c r="H1076" s="15"/>
      <c r="I1076" s="15" t="str">
        <f>IF(O1076="","",IF(ISNUMBER(MATCH(O1076,$G$5:$G$1000,0)),"",IF(D1076=1,B$4,0)+MAX(I$4:I1075)+1))</f>
        <v/>
      </c>
      <c r="M1076" s="14" t="str">
        <f>IF(ROW()-ROW(M$4)&lt;=1000,ROW()-ROW(M$4),"")</f>
        <v/>
      </c>
    </row>
    <row r="1077" spans="4:13" ht="12" customHeight="1" x14ac:dyDescent="0.25">
      <c r="D1077" s="15" t="str">
        <f>IF(IF(ISNUMBER(B1077),"",MAX(D$4:D1076)+1)&lt;=D$3,IF(ISNUMBER(B1077),"",MAX(D$4:D1076)+1),"")</f>
        <v/>
      </c>
      <c r="H1077" s="15"/>
      <c r="I1077" s="15" t="str">
        <f>IF(O1077="","",IF(ISNUMBER(MATCH(O1077,$G$5:$G$1000,0)),"",IF(D1077=1,B$4,0)+MAX(I$4:I1076)+1))</f>
        <v/>
      </c>
      <c r="M1077" s="14" t="str">
        <f>IF(ROW()-ROW(M$4)&lt;=1000,ROW()-ROW(M$4),"")</f>
        <v/>
      </c>
    </row>
    <row r="1078" spans="4:13" ht="12" customHeight="1" x14ac:dyDescent="0.25">
      <c r="D1078" s="15" t="str">
        <f>IF(IF(ISNUMBER(B1078),"",MAX(D$4:D1077)+1)&lt;=D$3,IF(ISNUMBER(B1078),"",MAX(D$4:D1077)+1),"")</f>
        <v/>
      </c>
      <c r="H1078" s="15"/>
      <c r="I1078" s="15" t="str">
        <f>IF(O1078="","",IF(ISNUMBER(MATCH(O1078,$G$5:$G$1000,0)),"",IF(D1078=1,B$4,0)+MAX(I$4:I1077)+1))</f>
        <v/>
      </c>
      <c r="M1078" s="14" t="str">
        <f>IF(ROW()-ROW(M$4)&lt;=1000,ROW()-ROW(M$4),"")</f>
        <v/>
      </c>
    </row>
    <row r="1079" spans="4:13" ht="12" customHeight="1" x14ac:dyDescent="0.25">
      <c r="D1079" s="15" t="str">
        <f>IF(IF(ISNUMBER(B1079),"",MAX(D$4:D1078)+1)&lt;=D$3,IF(ISNUMBER(B1079),"",MAX(D$4:D1078)+1),"")</f>
        <v/>
      </c>
      <c r="H1079" s="15"/>
      <c r="I1079" s="15" t="str">
        <f>IF(O1079="","",IF(ISNUMBER(MATCH(O1079,$G$5:$G$1000,0)),"",IF(D1079=1,B$4,0)+MAX(I$4:I1078)+1))</f>
        <v/>
      </c>
      <c r="M1079" s="14" t="str">
        <f>IF(ROW()-ROW(M$4)&lt;=1000,ROW()-ROW(M$4),"")</f>
        <v/>
      </c>
    </row>
    <row r="1080" spans="4:13" ht="12" customHeight="1" x14ac:dyDescent="0.25">
      <c r="D1080" s="15" t="str">
        <f>IF(IF(ISNUMBER(B1080),"",MAX(D$4:D1079)+1)&lt;=D$3,IF(ISNUMBER(B1080),"",MAX(D$4:D1079)+1),"")</f>
        <v/>
      </c>
      <c r="H1080" s="15"/>
      <c r="I1080" s="15" t="str">
        <f>IF(O1080="","",IF(ISNUMBER(MATCH(O1080,$G$5:$G$1000,0)),"",IF(D1080=1,B$4,0)+MAX(I$4:I1079)+1))</f>
        <v/>
      </c>
      <c r="M1080" s="14" t="str">
        <f>IF(ROW()-ROW(M$4)&lt;=1000,ROW()-ROW(M$4),"")</f>
        <v/>
      </c>
    </row>
    <row r="1081" spans="4:13" ht="12" customHeight="1" x14ac:dyDescent="0.25">
      <c r="D1081" s="15" t="str">
        <f>IF(IF(ISNUMBER(B1081),"",MAX(D$4:D1080)+1)&lt;=D$3,IF(ISNUMBER(B1081),"",MAX(D$4:D1080)+1),"")</f>
        <v/>
      </c>
      <c r="H1081" s="15"/>
      <c r="I1081" s="15" t="str">
        <f>IF(O1081="","",IF(ISNUMBER(MATCH(O1081,$G$5:$G$1000,0)),"",IF(D1081=1,B$4,0)+MAX(I$4:I1080)+1))</f>
        <v/>
      </c>
      <c r="M1081" s="14" t="str">
        <f>IF(ROW()-ROW(M$4)&lt;=1000,ROW()-ROW(M$4),"")</f>
        <v/>
      </c>
    </row>
    <row r="1082" spans="4:13" ht="12" customHeight="1" x14ac:dyDescent="0.25">
      <c r="D1082" s="15" t="str">
        <f>IF(IF(ISNUMBER(B1082),"",MAX(D$4:D1081)+1)&lt;=D$3,IF(ISNUMBER(B1082),"",MAX(D$4:D1081)+1),"")</f>
        <v/>
      </c>
      <c r="H1082" s="15"/>
      <c r="I1082" s="15" t="str">
        <f>IF(O1082="","",IF(ISNUMBER(MATCH(O1082,$G$5:$G$1000,0)),"",IF(D1082=1,B$4,0)+MAX(I$4:I1081)+1))</f>
        <v/>
      </c>
      <c r="M1082" s="14" t="str">
        <f>IF(ROW()-ROW(M$4)&lt;=1000,ROW()-ROW(M$4),"")</f>
        <v/>
      </c>
    </row>
    <row r="1083" spans="4:13" ht="12" customHeight="1" x14ac:dyDescent="0.25">
      <c r="D1083" s="15" t="str">
        <f>IF(IF(ISNUMBER(B1083),"",MAX(D$4:D1082)+1)&lt;=D$3,IF(ISNUMBER(B1083),"",MAX(D$4:D1082)+1),"")</f>
        <v/>
      </c>
      <c r="H1083" s="15"/>
      <c r="I1083" s="15" t="str">
        <f>IF(O1083="","",IF(ISNUMBER(MATCH(O1083,$G$5:$G$1000,0)),"",IF(D1083=1,B$4,0)+MAX(I$4:I1082)+1))</f>
        <v/>
      </c>
      <c r="M1083" s="14" t="str">
        <f>IF(ROW()-ROW(M$4)&lt;=1000,ROW()-ROW(M$4),"")</f>
        <v/>
      </c>
    </row>
    <row r="1084" spans="4:13" ht="12" customHeight="1" x14ac:dyDescent="0.25">
      <c r="D1084" s="15" t="str">
        <f>IF(IF(ISNUMBER(B1084),"",MAX(D$4:D1083)+1)&lt;=D$3,IF(ISNUMBER(B1084),"",MAX(D$4:D1083)+1),"")</f>
        <v/>
      </c>
      <c r="H1084" s="15"/>
      <c r="I1084" s="15" t="str">
        <f>IF(O1084="","",IF(ISNUMBER(MATCH(O1084,$G$5:$G$1000,0)),"",IF(D1084=1,B$4,0)+MAX(I$4:I1083)+1))</f>
        <v/>
      </c>
      <c r="M1084" s="14" t="str">
        <f>IF(ROW()-ROW(M$4)&lt;=1000,ROW()-ROW(M$4),"")</f>
        <v/>
      </c>
    </row>
    <row r="1085" spans="4:13" ht="12" customHeight="1" x14ac:dyDescent="0.25">
      <c r="D1085" s="15" t="str">
        <f>IF(IF(ISNUMBER(B1085),"",MAX(D$4:D1084)+1)&lt;=D$3,IF(ISNUMBER(B1085),"",MAX(D$4:D1084)+1),"")</f>
        <v/>
      </c>
      <c r="H1085" s="15"/>
      <c r="I1085" s="15" t="str">
        <f>IF(O1085="","",IF(ISNUMBER(MATCH(O1085,$G$5:$G$1000,0)),"",IF(D1085=1,B$4,0)+MAX(I$4:I1084)+1))</f>
        <v/>
      </c>
      <c r="M1085" s="14" t="str">
        <f>IF(ROW()-ROW(M$4)&lt;=1000,ROW()-ROW(M$4),"")</f>
        <v/>
      </c>
    </row>
    <row r="1086" spans="4:13" ht="12" customHeight="1" x14ac:dyDescent="0.25">
      <c r="D1086" s="15" t="str">
        <f>IF(IF(ISNUMBER(B1086),"",MAX(D$4:D1085)+1)&lt;=D$3,IF(ISNUMBER(B1086),"",MAX(D$4:D1085)+1),"")</f>
        <v/>
      </c>
      <c r="H1086" s="15"/>
      <c r="I1086" s="15" t="str">
        <f>IF(O1086="","",IF(ISNUMBER(MATCH(O1086,$G$5:$G$1000,0)),"",IF(D1086=1,B$4,0)+MAX(I$4:I1085)+1))</f>
        <v/>
      </c>
      <c r="M1086" s="14" t="str">
        <f>IF(ROW()-ROW(M$4)&lt;=1000,ROW()-ROW(M$4),"")</f>
        <v/>
      </c>
    </row>
    <row r="1087" spans="4:13" ht="12" customHeight="1" x14ac:dyDescent="0.25">
      <c r="D1087" s="15" t="str">
        <f>IF(IF(ISNUMBER(B1087),"",MAX(D$4:D1086)+1)&lt;=D$3,IF(ISNUMBER(B1087),"",MAX(D$4:D1086)+1),"")</f>
        <v/>
      </c>
      <c r="H1087" s="15"/>
      <c r="I1087" s="15" t="str">
        <f>IF(O1087="","",IF(ISNUMBER(MATCH(O1087,$G$5:$G$1000,0)),"",IF(D1087=1,B$4,0)+MAX(I$4:I1086)+1))</f>
        <v/>
      </c>
      <c r="M1087" s="14" t="str">
        <f>IF(ROW()-ROW(M$4)&lt;=1000,ROW()-ROW(M$4),"")</f>
        <v/>
      </c>
    </row>
    <row r="1088" spans="4:13" ht="12" customHeight="1" x14ac:dyDescent="0.25">
      <c r="D1088" s="15" t="str">
        <f>IF(IF(ISNUMBER(B1088),"",MAX(D$4:D1087)+1)&lt;=D$3,IF(ISNUMBER(B1088),"",MAX(D$4:D1087)+1),"")</f>
        <v/>
      </c>
      <c r="H1088" s="15"/>
      <c r="I1088" s="15" t="str">
        <f>IF(O1088="","",IF(ISNUMBER(MATCH(O1088,$G$5:$G$1000,0)),"",IF(D1088=1,B$4,0)+MAX(I$4:I1087)+1))</f>
        <v/>
      </c>
      <c r="M1088" s="14" t="str">
        <f>IF(ROW()-ROW(M$4)&lt;=1000,ROW()-ROW(M$4),"")</f>
        <v/>
      </c>
    </row>
    <row r="1089" spans="4:13" ht="12" customHeight="1" x14ac:dyDescent="0.25">
      <c r="D1089" s="15" t="str">
        <f>IF(IF(ISNUMBER(B1089),"",MAX(D$4:D1088)+1)&lt;=D$3,IF(ISNUMBER(B1089),"",MAX(D$4:D1088)+1),"")</f>
        <v/>
      </c>
      <c r="H1089" s="15"/>
      <c r="I1089" s="15" t="str">
        <f>IF(O1089="","",IF(ISNUMBER(MATCH(O1089,$G$5:$G$1000,0)),"",IF(D1089=1,B$4,0)+MAX(I$4:I1088)+1))</f>
        <v/>
      </c>
      <c r="M1089" s="14" t="str">
        <f>IF(ROW()-ROW(M$4)&lt;=1000,ROW()-ROW(M$4),"")</f>
        <v/>
      </c>
    </row>
    <row r="1090" spans="4:13" ht="12" customHeight="1" x14ac:dyDescent="0.25">
      <c r="D1090" s="15" t="str">
        <f>IF(IF(ISNUMBER(B1090),"",MAX(D$4:D1089)+1)&lt;=D$3,IF(ISNUMBER(B1090),"",MAX(D$4:D1089)+1),"")</f>
        <v/>
      </c>
      <c r="H1090" s="15"/>
      <c r="I1090" s="15" t="str">
        <f>IF(O1090="","",IF(ISNUMBER(MATCH(O1090,$G$5:$G$1000,0)),"",IF(D1090=1,B$4,0)+MAX(I$4:I1089)+1))</f>
        <v/>
      </c>
      <c r="M1090" s="14" t="str">
        <f>IF(ROW()-ROW(M$4)&lt;=1000,ROW()-ROW(M$4),"")</f>
        <v/>
      </c>
    </row>
    <row r="1091" spans="4:13" ht="12" customHeight="1" x14ac:dyDescent="0.25">
      <c r="D1091" s="15" t="str">
        <f>IF(IF(ISNUMBER(B1091),"",MAX(D$4:D1090)+1)&lt;=D$3,IF(ISNUMBER(B1091),"",MAX(D$4:D1090)+1),"")</f>
        <v/>
      </c>
      <c r="H1091" s="15"/>
      <c r="I1091" s="15" t="str">
        <f>IF(O1091="","",IF(ISNUMBER(MATCH(O1091,$G$5:$G$1000,0)),"",IF(D1091=1,B$4,0)+MAX(I$4:I1090)+1))</f>
        <v/>
      </c>
      <c r="M1091" s="14" t="str">
        <f>IF(ROW()-ROW(M$4)&lt;=1000,ROW()-ROW(M$4),"")</f>
        <v/>
      </c>
    </row>
    <row r="1092" spans="4:13" ht="12" customHeight="1" x14ac:dyDescent="0.25">
      <c r="D1092" s="15" t="str">
        <f>IF(IF(ISNUMBER(B1092),"",MAX(D$4:D1091)+1)&lt;=D$3,IF(ISNUMBER(B1092),"",MAX(D$4:D1091)+1),"")</f>
        <v/>
      </c>
      <c r="H1092" s="15"/>
      <c r="I1092" s="15" t="str">
        <f>IF(O1092="","",IF(ISNUMBER(MATCH(O1092,$G$5:$G$1000,0)),"",IF(D1092=1,B$4,0)+MAX(I$4:I1091)+1))</f>
        <v/>
      </c>
      <c r="M1092" s="14" t="str">
        <f>IF(ROW()-ROW(M$4)&lt;=1000,ROW()-ROW(M$4),"")</f>
        <v/>
      </c>
    </row>
    <row r="1093" spans="4:13" ht="12" customHeight="1" x14ac:dyDescent="0.25">
      <c r="D1093" s="15" t="str">
        <f>IF(IF(ISNUMBER(B1093),"",MAX(D$4:D1092)+1)&lt;=D$3,IF(ISNUMBER(B1093),"",MAX(D$4:D1092)+1),"")</f>
        <v/>
      </c>
      <c r="H1093" s="15"/>
      <c r="I1093" s="15" t="str">
        <f>IF(O1093="","",IF(ISNUMBER(MATCH(O1093,$G$5:$G$1000,0)),"",IF(D1093=1,B$4,0)+MAX(I$4:I1092)+1))</f>
        <v/>
      </c>
      <c r="M1093" s="14" t="str">
        <f>IF(ROW()-ROW(M$4)&lt;=1000,ROW()-ROW(M$4),"")</f>
        <v/>
      </c>
    </row>
    <row r="1094" spans="4:13" ht="12" customHeight="1" x14ac:dyDescent="0.25">
      <c r="D1094" s="15" t="str">
        <f>IF(IF(ISNUMBER(B1094),"",MAX(D$4:D1093)+1)&lt;=D$3,IF(ISNUMBER(B1094),"",MAX(D$4:D1093)+1),"")</f>
        <v/>
      </c>
      <c r="H1094" s="15"/>
      <c r="I1094" s="15" t="str">
        <f>IF(O1094="","",IF(ISNUMBER(MATCH(O1094,$G$5:$G$1000,0)),"",IF(D1094=1,B$4,0)+MAX(I$4:I1093)+1))</f>
        <v/>
      </c>
      <c r="M1094" s="14" t="str">
        <f>IF(ROW()-ROW(M$4)&lt;=1000,ROW()-ROW(M$4),"")</f>
        <v/>
      </c>
    </row>
    <row r="1095" spans="4:13" ht="12" customHeight="1" x14ac:dyDescent="0.25">
      <c r="D1095" s="15" t="str">
        <f>IF(IF(ISNUMBER(B1095),"",MAX(D$4:D1094)+1)&lt;=D$3,IF(ISNUMBER(B1095),"",MAX(D$4:D1094)+1),"")</f>
        <v/>
      </c>
      <c r="H1095" s="15"/>
      <c r="I1095" s="15" t="str">
        <f>IF(O1095="","",IF(ISNUMBER(MATCH(O1095,$G$5:$G$1000,0)),"",IF(D1095=1,B$4,0)+MAX(I$4:I1094)+1))</f>
        <v/>
      </c>
      <c r="M1095" s="14" t="str">
        <f>IF(ROW()-ROW(M$4)&lt;=1000,ROW()-ROW(M$4),"")</f>
        <v/>
      </c>
    </row>
    <row r="1096" spans="4:13" ht="12" customHeight="1" x14ac:dyDescent="0.25">
      <c r="D1096" s="15" t="str">
        <f>IF(IF(ISNUMBER(B1096),"",MAX(D$4:D1095)+1)&lt;=D$3,IF(ISNUMBER(B1096),"",MAX(D$4:D1095)+1),"")</f>
        <v/>
      </c>
      <c r="H1096" s="15"/>
      <c r="I1096" s="15" t="str">
        <f>IF(O1096="","",IF(ISNUMBER(MATCH(O1096,$G$5:$G$1000,0)),"",IF(D1096=1,B$4,0)+MAX(I$4:I1095)+1))</f>
        <v/>
      </c>
      <c r="M1096" s="14" t="str">
        <f>IF(ROW()-ROW(M$4)&lt;=1000,ROW()-ROW(M$4),"")</f>
        <v/>
      </c>
    </row>
    <row r="1097" spans="4:13" ht="12" customHeight="1" x14ac:dyDescent="0.25">
      <c r="D1097" s="15" t="str">
        <f>IF(IF(ISNUMBER(B1097),"",MAX(D$4:D1096)+1)&lt;=D$3,IF(ISNUMBER(B1097),"",MAX(D$4:D1096)+1),"")</f>
        <v/>
      </c>
      <c r="H1097" s="15"/>
      <c r="I1097" s="15" t="str">
        <f>IF(O1097="","",IF(ISNUMBER(MATCH(O1097,$G$5:$G$1000,0)),"",IF(D1097=1,B$4,0)+MAX(I$4:I1096)+1))</f>
        <v/>
      </c>
      <c r="M1097" s="14" t="str">
        <f>IF(ROW()-ROW(M$4)&lt;=1000,ROW()-ROW(M$4),"")</f>
        <v/>
      </c>
    </row>
    <row r="1098" spans="4:13" ht="12" customHeight="1" x14ac:dyDescent="0.25">
      <c r="D1098" s="15" t="str">
        <f>IF(IF(ISNUMBER(B1098),"",MAX(D$4:D1097)+1)&lt;=D$3,IF(ISNUMBER(B1098),"",MAX(D$4:D1097)+1),"")</f>
        <v/>
      </c>
      <c r="H1098" s="15"/>
      <c r="I1098" s="15" t="str">
        <f>IF(O1098="","",IF(ISNUMBER(MATCH(O1098,$G$5:$G$1000,0)),"",IF(D1098=1,B$4,0)+MAX(I$4:I1097)+1))</f>
        <v/>
      </c>
      <c r="M1098" s="14" t="str">
        <f>IF(ROW()-ROW(M$4)&lt;=1000,ROW()-ROW(M$4),"")</f>
        <v/>
      </c>
    </row>
    <row r="1099" spans="4:13" ht="12" customHeight="1" x14ac:dyDescent="0.25">
      <c r="D1099" s="15" t="str">
        <f>IF(IF(ISNUMBER(B1099),"",MAX(D$4:D1098)+1)&lt;=D$3,IF(ISNUMBER(B1099),"",MAX(D$4:D1098)+1),"")</f>
        <v/>
      </c>
      <c r="H1099" s="15"/>
      <c r="I1099" s="15" t="str">
        <f>IF(O1099="","",IF(ISNUMBER(MATCH(O1099,$G$5:$G$1000,0)),"",IF(D1099=1,B$4,0)+MAX(I$4:I1098)+1))</f>
        <v/>
      </c>
      <c r="M1099" s="14" t="str">
        <f>IF(ROW()-ROW(M$4)&lt;=1000,ROW()-ROW(M$4),"")</f>
        <v/>
      </c>
    </row>
    <row r="1100" spans="4:13" ht="12" customHeight="1" x14ac:dyDescent="0.25">
      <c r="D1100" s="15" t="str">
        <f>IF(IF(ISNUMBER(B1100),"",MAX(D$4:D1099)+1)&lt;=D$3,IF(ISNUMBER(B1100),"",MAX(D$4:D1099)+1),"")</f>
        <v/>
      </c>
      <c r="H1100" s="15"/>
      <c r="I1100" s="15" t="str">
        <f>IF(O1100="","",IF(ISNUMBER(MATCH(O1100,$G$5:$G$1000,0)),"",IF(D1100=1,B$4,0)+MAX(I$4:I1099)+1))</f>
        <v/>
      </c>
      <c r="M1100" s="14" t="str">
        <f>IF(ROW()-ROW(M$4)&lt;=1000,ROW()-ROW(M$4),"")</f>
        <v/>
      </c>
    </row>
    <row r="1101" spans="4:13" ht="12" customHeight="1" x14ac:dyDescent="0.25">
      <c r="D1101" s="15" t="str">
        <f>IF(IF(ISNUMBER(B1101),"",MAX(D$4:D1100)+1)&lt;=D$3,IF(ISNUMBER(B1101),"",MAX(D$4:D1100)+1),"")</f>
        <v/>
      </c>
      <c r="H1101" s="15"/>
      <c r="I1101" s="15" t="str">
        <f>IF(O1101="","",IF(ISNUMBER(MATCH(O1101,$G$5:$G$1000,0)),"",IF(D1101=1,B$4,0)+MAX(I$4:I1100)+1))</f>
        <v/>
      </c>
      <c r="M1101" s="14" t="str">
        <f>IF(ROW()-ROW(M$4)&lt;=1000,ROW()-ROW(M$4),"")</f>
        <v/>
      </c>
    </row>
    <row r="1102" spans="4:13" ht="12" customHeight="1" x14ac:dyDescent="0.25">
      <c r="D1102" s="15" t="str">
        <f>IF(IF(ISNUMBER(B1102),"",MAX(D$4:D1101)+1)&lt;=D$3,IF(ISNUMBER(B1102),"",MAX(D$4:D1101)+1),"")</f>
        <v/>
      </c>
      <c r="H1102" s="15"/>
      <c r="I1102" s="15" t="str">
        <f>IF(O1102="","",IF(ISNUMBER(MATCH(O1102,$G$5:$G$1000,0)),"",IF(D1102=1,B$4,0)+MAX(I$4:I1101)+1))</f>
        <v/>
      </c>
      <c r="M1102" s="14" t="str">
        <f>IF(ROW()-ROW(M$4)&lt;=1000,ROW()-ROW(M$4),"")</f>
        <v/>
      </c>
    </row>
    <row r="1103" spans="4:13" ht="12" customHeight="1" x14ac:dyDescent="0.25">
      <c r="D1103" s="15" t="str">
        <f>IF(IF(ISNUMBER(B1103),"",MAX(D$4:D1102)+1)&lt;=D$3,IF(ISNUMBER(B1103),"",MAX(D$4:D1102)+1),"")</f>
        <v/>
      </c>
      <c r="H1103" s="15"/>
      <c r="I1103" s="15" t="str">
        <f>IF(O1103="","",IF(ISNUMBER(MATCH(O1103,$G$5:$G$1000,0)),"",IF(D1103=1,B$4,0)+MAX(I$4:I1102)+1))</f>
        <v/>
      </c>
      <c r="M1103" s="14" t="str">
        <f>IF(ROW()-ROW(M$4)&lt;=1000,ROW()-ROW(M$4),"")</f>
        <v/>
      </c>
    </row>
    <row r="1104" spans="4:13" ht="12" customHeight="1" x14ac:dyDescent="0.25">
      <c r="D1104" s="15" t="str">
        <f>IF(IF(ISNUMBER(B1104),"",MAX(D$4:D1103)+1)&lt;=D$3,IF(ISNUMBER(B1104),"",MAX(D$4:D1103)+1),"")</f>
        <v/>
      </c>
      <c r="H1104" s="15"/>
      <c r="I1104" s="15" t="str">
        <f>IF(O1104="","",IF(ISNUMBER(MATCH(O1104,$G$5:$G$1000,0)),"",IF(D1104=1,B$4,0)+MAX(I$4:I1103)+1))</f>
        <v/>
      </c>
      <c r="M1104" s="14" t="str">
        <f>IF(ROW()-ROW(M$4)&lt;=1000,ROW()-ROW(M$4),"")</f>
        <v/>
      </c>
    </row>
    <row r="1105" spans="4:13" ht="12" customHeight="1" x14ac:dyDescent="0.25">
      <c r="D1105" s="15" t="str">
        <f>IF(IF(ISNUMBER(B1105),"",MAX(D$4:D1104)+1)&lt;=D$3,IF(ISNUMBER(B1105),"",MAX(D$4:D1104)+1),"")</f>
        <v/>
      </c>
      <c r="H1105" s="15"/>
      <c r="I1105" s="15" t="str">
        <f>IF(O1105="","",IF(ISNUMBER(MATCH(O1105,$G$5:$G$1000,0)),"",IF(D1105=1,B$4,0)+MAX(I$4:I1104)+1))</f>
        <v/>
      </c>
      <c r="M1105" s="14" t="str">
        <f>IF(ROW()-ROW(M$4)&lt;=1000,ROW()-ROW(M$4),"")</f>
        <v/>
      </c>
    </row>
    <row r="1106" spans="4:13" ht="12" customHeight="1" x14ac:dyDescent="0.25">
      <c r="D1106" s="15" t="str">
        <f>IF(IF(ISNUMBER(B1106),"",MAX(D$4:D1105)+1)&lt;=D$3,IF(ISNUMBER(B1106),"",MAX(D$4:D1105)+1),"")</f>
        <v/>
      </c>
      <c r="H1106" s="15"/>
      <c r="I1106" s="15" t="str">
        <f>IF(O1106="","",IF(ISNUMBER(MATCH(O1106,$G$5:$G$1000,0)),"",IF(D1106=1,B$4,0)+MAX(I$4:I1105)+1))</f>
        <v/>
      </c>
      <c r="M1106" s="14" t="str">
        <f>IF(ROW()-ROW(M$4)&lt;=1000,ROW()-ROW(M$4),"")</f>
        <v/>
      </c>
    </row>
    <row r="1107" spans="4:13" ht="12" customHeight="1" x14ac:dyDescent="0.25">
      <c r="D1107" s="15" t="str">
        <f>IF(IF(ISNUMBER(B1107),"",MAX(D$4:D1106)+1)&lt;=D$3,IF(ISNUMBER(B1107),"",MAX(D$4:D1106)+1),"")</f>
        <v/>
      </c>
      <c r="H1107" s="15"/>
      <c r="I1107" s="15" t="str">
        <f>IF(O1107="","",IF(ISNUMBER(MATCH(O1107,$G$5:$G$1000,0)),"",IF(D1107=1,B$4,0)+MAX(I$4:I1106)+1))</f>
        <v/>
      </c>
      <c r="M1107" s="14" t="str">
        <f>IF(ROW()-ROW(M$4)&lt;=1000,ROW()-ROW(M$4),"")</f>
        <v/>
      </c>
    </row>
    <row r="1108" spans="4:13" ht="12" customHeight="1" x14ac:dyDescent="0.25">
      <c r="D1108" s="15" t="str">
        <f>IF(IF(ISNUMBER(B1108),"",MAX(D$4:D1107)+1)&lt;=D$3,IF(ISNUMBER(B1108),"",MAX(D$4:D1107)+1),"")</f>
        <v/>
      </c>
      <c r="H1108" s="15"/>
      <c r="I1108" s="15" t="str">
        <f>IF(O1108="","",IF(ISNUMBER(MATCH(O1108,$G$5:$G$1000,0)),"",IF(D1108=1,B$4,0)+MAX(I$4:I1107)+1))</f>
        <v/>
      </c>
      <c r="M1108" s="14" t="str">
        <f>IF(ROW()-ROW(M$4)&lt;=1000,ROW()-ROW(M$4),"")</f>
        <v/>
      </c>
    </row>
    <row r="1109" spans="4:13" ht="12" customHeight="1" x14ac:dyDescent="0.25">
      <c r="D1109" s="15" t="str">
        <f>IF(IF(ISNUMBER(B1109),"",MAX(D$4:D1108)+1)&lt;=D$3,IF(ISNUMBER(B1109),"",MAX(D$4:D1108)+1),"")</f>
        <v/>
      </c>
      <c r="H1109" s="15"/>
      <c r="I1109" s="15" t="str">
        <f>IF(O1109="","",IF(ISNUMBER(MATCH(O1109,$G$5:$G$1000,0)),"",IF(D1109=1,B$4,0)+MAX(I$4:I1108)+1))</f>
        <v/>
      </c>
      <c r="M1109" s="14" t="str">
        <f>IF(ROW()-ROW(M$4)&lt;=1000,ROW()-ROW(M$4),"")</f>
        <v/>
      </c>
    </row>
    <row r="1110" spans="4:13" ht="12" customHeight="1" x14ac:dyDescent="0.25">
      <c r="D1110" s="15" t="str">
        <f>IF(IF(ISNUMBER(B1110),"",MAX(D$4:D1109)+1)&lt;=D$3,IF(ISNUMBER(B1110),"",MAX(D$4:D1109)+1),"")</f>
        <v/>
      </c>
      <c r="H1110" s="15"/>
      <c r="I1110" s="15" t="str">
        <f>IF(O1110="","",IF(ISNUMBER(MATCH(O1110,$G$5:$G$1000,0)),"",IF(D1110=1,B$4,0)+MAX(I$4:I1109)+1))</f>
        <v/>
      </c>
      <c r="M1110" s="14" t="str">
        <f>IF(ROW()-ROW(M$4)&lt;=1000,ROW()-ROW(M$4),"")</f>
        <v/>
      </c>
    </row>
    <row r="1111" spans="4:13" ht="12" customHeight="1" x14ac:dyDescent="0.25">
      <c r="D1111" s="15" t="str">
        <f>IF(IF(ISNUMBER(B1111),"",MAX(D$4:D1110)+1)&lt;=D$3,IF(ISNUMBER(B1111),"",MAX(D$4:D1110)+1),"")</f>
        <v/>
      </c>
      <c r="H1111" s="15"/>
      <c r="I1111" s="15" t="str">
        <f>IF(O1111="","",IF(ISNUMBER(MATCH(O1111,$G$5:$G$1000,0)),"",IF(D1111=1,B$4,0)+MAX(I$4:I1110)+1))</f>
        <v/>
      </c>
      <c r="M1111" s="14" t="str">
        <f>IF(ROW()-ROW(M$4)&lt;=1000,ROW()-ROW(M$4),"")</f>
        <v/>
      </c>
    </row>
    <row r="1112" spans="4:13" ht="12" customHeight="1" x14ac:dyDescent="0.25">
      <c r="D1112" s="15" t="str">
        <f>IF(IF(ISNUMBER(B1112),"",MAX(D$4:D1111)+1)&lt;=D$3,IF(ISNUMBER(B1112),"",MAX(D$4:D1111)+1),"")</f>
        <v/>
      </c>
      <c r="H1112" s="15"/>
      <c r="I1112" s="15" t="str">
        <f>IF(O1112="","",IF(ISNUMBER(MATCH(O1112,$G$5:$G$1000,0)),"",IF(D1112=1,B$4,0)+MAX(I$4:I1111)+1))</f>
        <v/>
      </c>
      <c r="M1112" s="14" t="str">
        <f>IF(ROW()-ROW(M$4)&lt;=1000,ROW()-ROW(M$4),"")</f>
        <v/>
      </c>
    </row>
    <row r="1113" spans="4:13" ht="12" customHeight="1" x14ac:dyDescent="0.25">
      <c r="D1113" s="15" t="str">
        <f>IF(IF(ISNUMBER(B1113),"",MAX(D$4:D1112)+1)&lt;=D$3,IF(ISNUMBER(B1113),"",MAX(D$4:D1112)+1),"")</f>
        <v/>
      </c>
      <c r="H1113" s="15"/>
      <c r="I1113" s="15" t="str">
        <f>IF(O1113="","",IF(ISNUMBER(MATCH(O1113,$G$5:$G$1000,0)),"",IF(D1113=1,B$4,0)+MAX(I$4:I1112)+1))</f>
        <v/>
      </c>
      <c r="M1113" s="14" t="str">
        <f>IF(ROW()-ROW(M$4)&lt;=1000,ROW()-ROW(M$4),"")</f>
        <v/>
      </c>
    </row>
    <row r="1114" spans="4:13" ht="12" customHeight="1" x14ac:dyDescent="0.25">
      <c r="D1114" s="15" t="str">
        <f>IF(IF(ISNUMBER(B1114),"",MAX(D$4:D1113)+1)&lt;=D$3,IF(ISNUMBER(B1114),"",MAX(D$4:D1113)+1),"")</f>
        <v/>
      </c>
      <c r="H1114" s="15"/>
      <c r="I1114" s="15" t="str">
        <f>IF(O1114="","",IF(ISNUMBER(MATCH(O1114,$G$5:$G$1000,0)),"",IF(D1114=1,B$4,0)+MAX(I$4:I1113)+1))</f>
        <v/>
      </c>
      <c r="M1114" s="14" t="str">
        <f>IF(ROW()-ROW(M$4)&lt;=1000,ROW()-ROW(M$4),"")</f>
        <v/>
      </c>
    </row>
    <row r="1115" spans="4:13" ht="12" customHeight="1" x14ac:dyDescent="0.25">
      <c r="D1115" s="15" t="str">
        <f>IF(IF(ISNUMBER(B1115),"",MAX(D$4:D1114)+1)&lt;=D$3,IF(ISNUMBER(B1115),"",MAX(D$4:D1114)+1),"")</f>
        <v/>
      </c>
      <c r="H1115" s="15"/>
      <c r="I1115" s="15" t="str">
        <f>IF(O1115="","",IF(ISNUMBER(MATCH(O1115,$G$5:$G$1000,0)),"",IF(D1115=1,B$4,0)+MAX(I$4:I1114)+1))</f>
        <v/>
      </c>
      <c r="M1115" s="14" t="str">
        <f>IF(ROW()-ROW(M$4)&lt;=1000,ROW()-ROW(M$4),"")</f>
        <v/>
      </c>
    </row>
    <row r="1116" spans="4:13" ht="12" customHeight="1" x14ac:dyDescent="0.25">
      <c r="D1116" s="15" t="str">
        <f>IF(IF(ISNUMBER(B1116),"",MAX(D$4:D1115)+1)&lt;=D$3,IF(ISNUMBER(B1116),"",MAX(D$4:D1115)+1),"")</f>
        <v/>
      </c>
      <c r="H1116" s="15"/>
      <c r="I1116" s="15" t="str">
        <f>IF(O1116="","",IF(ISNUMBER(MATCH(O1116,$G$5:$G$1000,0)),"",IF(D1116=1,B$4,0)+MAX(I$4:I1115)+1))</f>
        <v/>
      </c>
      <c r="M1116" s="14" t="str">
        <f>IF(ROW()-ROW(M$4)&lt;=1000,ROW()-ROW(M$4),"")</f>
        <v/>
      </c>
    </row>
    <row r="1117" spans="4:13" ht="12" customHeight="1" x14ac:dyDescent="0.25">
      <c r="D1117" s="15" t="str">
        <f>IF(IF(ISNUMBER(B1117),"",MAX(D$4:D1116)+1)&lt;=D$3,IF(ISNUMBER(B1117),"",MAX(D$4:D1116)+1),"")</f>
        <v/>
      </c>
      <c r="H1117" s="15"/>
      <c r="I1117" s="15" t="str">
        <f>IF(O1117="","",IF(ISNUMBER(MATCH(O1117,$G$5:$G$1000,0)),"",IF(D1117=1,B$4,0)+MAX(I$4:I1116)+1))</f>
        <v/>
      </c>
      <c r="M1117" s="14" t="str">
        <f>IF(ROW()-ROW(M$4)&lt;=1000,ROW()-ROW(M$4),"")</f>
        <v/>
      </c>
    </row>
    <row r="1118" spans="4:13" ht="12" customHeight="1" x14ac:dyDescent="0.25">
      <c r="D1118" s="15" t="str">
        <f>IF(IF(ISNUMBER(B1118),"",MAX(D$4:D1117)+1)&lt;=D$3,IF(ISNUMBER(B1118),"",MAX(D$4:D1117)+1),"")</f>
        <v/>
      </c>
      <c r="H1118" s="15"/>
      <c r="I1118" s="15" t="str">
        <f>IF(O1118="","",IF(ISNUMBER(MATCH(O1118,$G$5:$G$1000,0)),"",IF(D1118=1,B$4,0)+MAX(I$4:I1117)+1))</f>
        <v/>
      </c>
      <c r="M1118" s="14" t="str">
        <f>IF(ROW()-ROW(M$4)&lt;=1000,ROW()-ROW(M$4),"")</f>
        <v/>
      </c>
    </row>
    <row r="1119" spans="4:13" ht="12" customHeight="1" x14ac:dyDescent="0.25">
      <c r="D1119" s="15" t="str">
        <f>IF(IF(ISNUMBER(B1119),"",MAX(D$4:D1118)+1)&lt;=D$3,IF(ISNUMBER(B1119),"",MAX(D$4:D1118)+1),"")</f>
        <v/>
      </c>
      <c r="H1119" s="15"/>
      <c r="I1119" s="15" t="str">
        <f>IF(O1119="","",IF(ISNUMBER(MATCH(O1119,$G$5:$G$1000,0)),"",IF(D1119=1,B$4,0)+MAX(I$4:I1118)+1))</f>
        <v/>
      </c>
      <c r="M1119" s="14" t="str">
        <f>IF(ROW()-ROW(M$4)&lt;=1000,ROW()-ROW(M$4),"")</f>
        <v/>
      </c>
    </row>
    <row r="1120" spans="4:13" ht="12" customHeight="1" x14ac:dyDescent="0.25">
      <c r="D1120" s="15" t="str">
        <f>IF(IF(ISNUMBER(B1120),"",MAX(D$4:D1119)+1)&lt;=D$3,IF(ISNUMBER(B1120),"",MAX(D$4:D1119)+1),"")</f>
        <v/>
      </c>
      <c r="H1120" s="15"/>
      <c r="I1120" s="15" t="str">
        <f>IF(O1120="","",IF(ISNUMBER(MATCH(O1120,$G$5:$G$1000,0)),"",IF(D1120=1,B$4,0)+MAX(I$4:I1119)+1))</f>
        <v/>
      </c>
      <c r="M1120" s="14" t="str">
        <f>IF(ROW()-ROW(M$4)&lt;=1000,ROW()-ROW(M$4),"")</f>
        <v/>
      </c>
    </row>
    <row r="1121" spans="4:13" ht="12" customHeight="1" x14ac:dyDescent="0.25">
      <c r="D1121" s="15" t="str">
        <f>IF(IF(ISNUMBER(B1121),"",MAX(D$4:D1120)+1)&lt;=D$3,IF(ISNUMBER(B1121),"",MAX(D$4:D1120)+1),"")</f>
        <v/>
      </c>
      <c r="H1121" s="15"/>
      <c r="I1121" s="15" t="str">
        <f>IF(O1121="","",IF(ISNUMBER(MATCH(O1121,$G$5:$G$1000,0)),"",IF(D1121=1,B$4,0)+MAX(I$4:I1120)+1))</f>
        <v/>
      </c>
      <c r="M1121" s="14" t="str">
        <f>IF(ROW()-ROW(M$4)&lt;=1000,ROW()-ROW(M$4),"")</f>
        <v/>
      </c>
    </row>
    <row r="1122" spans="4:13" ht="12" customHeight="1" x14ac:dyDescent="0.25">
      <c r="D1122" s="15" t="str">
        <f>IF(IF(ISNUMBER(B1122),"",MAX(D$4:D1121)+1)&lt;=D$3,IF(ISNUMBER(B1122),"",MAX(D$4:D1121)+1),"")</f>
        <v/>
      </c>
      <c r="H1122" s="15"/>
      <c r="I1122" s="15" t="str">
        <f>IF(O1122="","",IF(ISNUMBER(MATCH(O1122,$G$5:$G$1000,0)),"",IF(D1122=1,B$4,0)+MAX(I$4:I1121)+1))</f>
        <v/>
      </c>
      <c r="M1122" s="14" t="str">
        <f>IF(ROW()-ROW(M$4)&lt;=1000,ROW()-ROW(M$4),"")</f>
        <v/>
      </c>
    </row>
    <row r="1123" spans="4:13" ht="12" customHeight="1" x14ac:dyDescent="0.25">
      <c r="D1123" s="15" t="str">
        <f>IF(IF(ISNUMBER(B1123),"",MAX(D$4:D1122)+1)&lt;=D$3,IF(ISNUMBER(B1123),"",MAX(D$4:D1122)+1),"")</f>
        <v/>
      </c>
      <c r="H1123" s="15"/>
      <c r="I1123" s="15" t="str">
        <f>IF(O1123="","",IF(ISNUMBER(MATCH(O1123,$G$5:$G$1000,0)),"",IF(D1123=1,B$4,0)+MAX(I$4:I1122)+1))</f>
        <v/>
      </c>
      <c r="M1123" s="14" t="str">
        <f>IF(ROW()-ROW(M$4)&lt;=1000,ROW()-ROW(M$4),"")</f>
        <v/>
      </c>
    </row>
    <row r="1124" spans="4:13" ht="12" customHeight="1" x14ac:dyDescent="0.25">
      <c r="D1124" s="15" t="str">
        <f>IF(IF(ISNUMBER(B1124),"",MAX(D$4:D1123)+1)&lt;=D$3,IF(ISNUMBER(B1124),"",MAX(D$4:D1123)+1),"")</f>
        <v/>
      </c>
      <c r="H1124" s="15"/>
      <c r="I1124" s="15" t="str">
        <f>IF(O1124="","",IF(ISNUMBER(MATCH(O1124,$G$5:$G$1000,0)),"",IF(D1124=1,B$4,0)+MAX(I$4:I1123)+1))</f>
        <v/>
      </c>
      <c r="M1124" s="14" t="str">
        <f>IF(ROW()-ROW(M$4)&lt;=1000,ROW()-ROW(M$4),"")</f>
        <v/>
      </c>
    </row>
    <row r="1125" spans="4:13" ht="12" customHeight="1" x14ac:dyDescent="0.25">
      <c r="D1125" s="15" t="str">
        <f>IF(IF(ISNUMBER(B1125),"",MAX(D$4:D1124)+1)&lt;=D$3,IF(ISNUMBER(B1125),"",MAX(D$4:D1124)+1),"")</f>
        <v/>
      </c>
      <c r="H1125" s="15"/>
      <c r="I1125" s="15" t="str">
        <f>IF(O1125="","",IF(ISNUMBER(MATCH(O1125,$G$5:$G$1000,0)),"",IF(D1125=1,B$4,0)+MAX(I$4:I1124)+1))</f>
        <v/>
      </c>
      <c r="M1125" s="14" t="str">
        <f>IF(ROW()-ROW(M$4)&lt;=1000,ROW()-ROW(M$4),"")</f>
        <v/>
      </c>
    </row>
    <row r="1126" spans="4:13" ht="12" customHeight="1" x14ac:dyDescent="0.25">
      <c r="D1126" s="15" t="str">
        <f>IF(IF(ISNUMBER(B1126),"",MAX(D$4:D1125)+1)&lt;=D$3,IF(ISNUMBER(B1126),"",MAX(D$4:D1125)+1),"")</f>
        <v/>
      </c>
      <c r="H1126" s="15"/>
      <c r="I1126" s="15" t="str">
        <f>IF(O1126="","",IF(ISNUMBER(MATCH(O1126,$G$5:$G$1000,0)),"",IF(D1126=1,B$4,0)+MAX(I$4:I1125)+1))</f>
        <v/>
      </c>
      <c r="M1126" s="14" t="str">
        <f>IF(ROW()-ROW(M$4)&lt;=1000,ROW()-ROW(M$4),"")</f>
        <v/>
      </c>
    </row>
    <row r="1127" spans="4:13" ht="12" customHeight="1" x14ac:dyDescent="0.25">
      <c r="D1127" s="15" t="str">
        <f>IF(IF(ISNUMBER(B1127),"",MAX(D$4:D1126)+1)&lt;=D$3,IF(ISNUMBER(B1127),"",MAX(D$4:D1126)+1),"")</f>
        <v/>
      </c>
      <c r="H1127" s="15"/>
      <c r="I1127" s="15" t="str">
        <f>IF(O1127="","",IF(ISNUMBER(MATCH(O1127,$G$5:$G$1000,0)),"",IF(D1127=1,B$4,0)+MAX(I$4:I1126)+1))</f>
        <v/>
      </c>
      <c r="M1127" s="14" t="str">
        <f>IF(ROW()-ROW(M$4)&lt;=1000,ROW()-ROW(M$4),"")</f>
        <v/>
      </c>
    </row>
    <row r="1128" spans="4:13" ht="12" customHeight="1" x14ac:dyDescent="0.25">
      <c r="D1128" s="15" t="str">
        <f>IF(IF(ISNUMBER(B1128),"",MAX(D$4:D1127)+1)&lt;=D$3,IF(ISNUMBER(B1128),"",MAX(D$4:D1127)+1),"")</f>
        <v/>
      </c>
      <c r="H1128" s="15"/>
      <c r="I1128" s="15" t="str">
        <f>IF(O1128="","",IF(ISNUMBER(MATCH(O1128,$G$5:$G$1000,0)),"",IF(D1128=1,B$4,0)+MAX(I$4:I1127)+1))</f>
        <v/>
      </c>
      <c r="M1128" s="14" t="str">
        <f>IF(ROW()-ROW(M$4)&lt;=1000,ROW()-ROW(M$4),"")</f>
        <v/>
      </c>
    </row>
    <row r="1129" spans="4:13" ht="12" customHeight="1" x14ac:dyDescent="0.25">
      <c r="D1129" s="15" t="str">
        <f>IF(IF(ISNUMBER(B1129),"",MAX(D$4:D1128)+1)&lt;=D$3,IF(ISNUMBER(B1129),"",MAX(D$4:D1128)+1),"")</f>
        <v/>
      </c>
      <c r="H1129" s="15"/>
      <c r="I1129" s="15" t="str">
        <f>IF(O1129="","",IF(ISNUMBER(MATCH(O1129,$G$5:$G$1000,0)),"",IF(D1129=1,B$4,0)+MAX(I$4:I1128)+1))</f>
        <v/>
      </c>
      <c r="M1129" s="14" t="str">
        <f>IF(ROW()-ROW(M$4)&lt;=1000,ROW()-ROW(M$4),"")</f>
        <v/>
      </c>
    </row>
    <row r="1130" spans="4:13" ht="12" customHeight="1" x14ac:dyDescent="0.25">
      <c r="D1130" s="15" t="str">
        <f>IF(IF(ISNUMBER(B1130),"",MAX(D$4:D1129)+1)&lt;=D$3,IF(ISNUMBER(B1130),"",MAX(D$4:D1129)+1),"")</f>
        <v/>
      </c>
      <c r="H1130" s="15"/>
      <c r="I1130" s="15" t="str">
        <f>IF(O1130="","",IF(ISNUMBER(MATCH(O1130,$G$5:$G$1000,0)),"",IF(D1130=1,B$4,0)+MAX(I$4:I1129)+1))</f>
        <v/>
      </c>
      <c r="M1130" s="14" t="str">
        <f>IF(ROW()-ROW(M$4)&lt;=1000,ROW()-ROW(M$4),"")</f>
        <v/>
      </c>
    </row>
    <row r="1131" spans="4:13" ht="12" customHeight="1" x14ac:dyDescent="0.25">
      <c r="D1131" s="15" t="str">
        <f>IF(IF(ISNUMBER(B1131),"",MAX(D$4:D1130)+1)&lt;=D$3,IF(ISNUMBER(B1131),"",MAX(D$4:D1130)+1),"")</f>
        <v/>
      </c>
      <c r="H1131" s="15"/>
      <c r="I1131" s="15" t="str">
        <f>IF(O1131="","",IF(ISNUMBER(MATCH(O1131,$G$5:$G$1000,0)),"",IF(D1131=1,B$4,0)+MAX(I$4:I1130)+1))</f>
        <v/>
      </c>
      <c r="M1131" s="14" t="str">
        <f>IF(ROW()-ROW(M$4)&lt;=1000,ROW()-ROW(M$4),"")</f>
        <v/>
      </c>
    </row>
    <row r="1132" spans="4:13" ht="12" customHeight="1" x14ac:dyDescent="0.25">
      <c r="D1132" s="15" t="str">
        <f>IF(IF(ISNUMBER(B1132),"",MAX(D$4:D1131)+1)&lt;=D$3,IF(ISNUMBER(B1132),"",MAX(D$4:D1131)+1),"")</f>
        <v/>
      </c>
      <c r="H1132" s="15"/>
      <c r="I1132" s="15" t="str">
        <f>IF(O1132="","",IF(ISNUMBER(MATCH(O1132,$G$5:$G$1000,0)),"",IF(D1132=1,B$4,0)+MAX(I$4:I1131)+1))</f>
        <v/>
      </c>
      <c r="M1132" s="14" t="str">
        <f>IF(ROW()-ROW(M$4)&lt;=1000,ROW()-ROW(M$4),"")</f>
        <v/>
      </c>
    </row>
    <row r="1133" spans="4:13" ht="12" customHeight="1" x14ac:dyDescent="0.25">
      <c r="D1133" s="15" t="str">
        <f>IF(IF(ISNUMBER(B1133),"",MAX(D$4:D1132)+1)&lt;=D$3,IF(ISNUMBER(B1133),"",MAX(D$4:D1132)+1),"")</f>
        <v/>
      </c>
      <c r="H1133" s="15"/>
      <c r="I1133" s="15" t="str">
        <f>IF(O1133="","",IF(ISNUMBER(MATCH(O1133,$G$5:$G$1000,0)),"",IF(D1133=1,B$4,0)+MAX(I$4:I1132)+1))</f>
        <v/>
      </c>
      <c r="M1133" s="14" t="str">
        <f>IF(ROW()-ROW(M$4)&lt;=1000,ROW()-ROW(M$4),"")</f>
        <v/>
      </c>
    </row>
    <row r="1134" spans="4:13" ht="12" customHeight="1" x14ac:dyDescent="0.25">
      <c r="D1134" s="15" t="str">
        <f>IF(IF(ISNUMBER(B1134),"",MAX(D$4:D1133)+1)&lt;=D$3,IF(ISNUMBER(B1134),"",MAX(D$4:D1133)+1),"")</f>
        <v/>
      </c>
      <c r="H1134" s="15"/>
      <c r="I1134" s="15" t="str">
        <f>IF(O1134="","",IF(ISNUMBER(MATCH(O1134,$G$5:$G$1000,0)),"",IF(D1134=1,B$4,0)+MAX(I$4:I1133)+1))</f>
        <v/>
      </c>
      <c r="M1134" s="14" t="str">
        <f>IF(ROW()-ROW(M$4)&lt;=1000,ROW()-ROW(M$4),"")</f>
        <v/>
      </c>
    </row>
    <row r="1135" spans="4:13" ht="12" customHeight="1" x14ac:dyDescent="0.25">
      <c r="D1135" s="15" t="str">
        <f>IF(IF(ISNUMBER(B1135),"",MAX(D$4:D1134)+1)&lt;=D$3,IF(ISNUMBER(B1135),"",MAX(D$4:D1134)+1),"")</f>
        <v/>
      </c>
      <c r="H1135" s="15"/>
      <c r="I1135" s="15" t="str">
        <f>IF(O1135="","",IF(ISNUMBER(MATCH(O1135,$G$5:$G$1000,0)),"",IF(D1135=1,B$4,0)+MAX(I$4:I1134)+1))</f>
        <v/>
      </c>
      <c r="M1135" s="14" t="str">
        <f>IF(ROW()-ROW(M$4)&lt;=1000,ROW()-ROW(M$4),"")</f>
        <v/>
      </c>
    </row>
    <row r="1136" spans="4:13" ht="12" customHeight="1" x14ac:dyDescent="0.25">
      <c r="D1136" s="15" t="str">
        <f>IF(IF(ISNUMBER(B1136),"",MAX(D$4:D1135)+1)&lt;=D$3,IF(ISNUMBER(B1136),"",MAX(D$4:D1135)+1),"")</f>
        <v/>
      </c>
      <c r="H1136" s="15"/>
      <c r="I1136" s="15" t="str">
        <f>IF(O1136="","",IF(ISNUMBER(MATCH(O1136,$G$5:$G$1000,0)),"",IF(D1136=1,B$4,0)+MAX(I$4:I1135)+1))</f>
        <v/>
      </c>
      <c r="M1136" s="14" t="str">
        <f>IF(ROW()-ROW(M$4)&lt;=1000,ROW()-ROW(M$4),"")</f>
        <v/>
      </c>
    </row>
    <row r="1137" spans="4:13" ht="12" customHeight="1" x14ac:dyDescent="0.25">
      <c r="D1137" s="15" t="str">
        <f>IF(IF(ISNUMBER(B1137),"",MAX(D$4:D1136)+1)&lt;=D$3,IF(ISNUMBER(B1137),"",MAX(D$4:D1136)+1),"")</f>
        <v/>
      </c>
      <c r="H1137" s="15"/>
      <c r="I1137" s="15" t="str">
        <f>IF(O1137="","",IF(ISNUMBER(MATCH(O1137,$G$5:$G$1000,0)),"",IF(D1137=1,B$4,0)+MAX(I$4:I1136)+1))</f>
        <v/>
      </c>
      <c r="M1137" s="14" t="str">
        <f>IF(ROW()-ROW(M$4)&lt;=1000,ROW()-ROW(M$4),"")</f>
        <v/>
      </c>
    </row>
    <row r="1138" spans="4:13" ht="12" customHeight="1" x14ac:dyDescent="0.25">
      <c r="D1138" s="15" t="str">
        <f>IF(IF(ISNUMBER(B1138),"",MAX(D$4:D1137)+1)&lt;=D$3,IF(ISNUMBER(B1138),"",MAX(D$4:D1137)+1),"")</f>
        <v/>
      </c>
      <c r="H1138" s="15"/>
      <c r="I1138" s="15" t="str">
        <f>IF(O1138="","",IF(ISNUMBER(MATCH(O1138,$G$5:$G$1000,0)),"",IF(D1138=1,B$4,0)+MAX(I$4:I1137)+1))</f>
        <v/>
      </c>
      <c r="M1138" s="14" t="str">
        <f>IF(ROW()-ROW(M$4)&lt;=1000,ROW()-ROW(M$4),"")</f>
        <v/>
      </c>
    </row>
    <row r="1139" spans="4:13" ht="12" customHeight="1" x14ac:dyDescent="0.25">
      <c r="D1139" s="15" t="str">
        <f>IF(IF(ISNUMBER(B1139),"",MAX(D$4:D1138)+1)&lt;=D$3,IF(ISNUMBER(B1139),"",MAX(D$4:D1138)+1),"")</f>
        <v/>
      </c>
      <c r="H1139" s="15"/>
      <c r="I1139" s="15" t="str">
        <f>IF(O1139="","",IF(ISNUMBER(MATCH(O1139,$G$5:$G$1000,0)),"",IF(D1139=1,B$4,0)+MAX(I$4:I1138)+1))</f>
        <v/>
      </c>
      <c r="M1139" s="14" t="str">
        <f>IF(ROW()-ROW(M$4)&lt;=1000,ROW()-ROW(M$4),"")</f>
        <v/>
      </c>
    </row>
    <row r="1140" spans="4:13" ht="12" customHeight="1" x14ac:dyDescent="0.25">
      <c r="D1140" s="15" t="str">
        <f>IF(IF(ISNUMBER(B1140),"",MAX(D$4:D1139)+1)&lt;=D$3,IF(ISNUMBER(B1140),"",MAX(D$4:D1139)+1),"")</f>
        <v/>
      </c>
      <c r="H1140" s="15"/>
      <c r="I1140" s="15" t="str">
        <f>IF(O1140="","",IF(ISNUMBER(MATCH(O1140,$G$5:$G$1000,0)),"",IF(D1140=1,B$4,0)+MAX(I$4:I1139)+1))</f>
        <v/>
      </c>
      <c r="M1140" s="14" t="str">
        <f>IF(ROW()-ROW(M$4)&lt;=1000,ROW()-ROW(M$4),"")</f>
        <v/>
      </c>
    </row>
    <row r="1141" spans="4:13" ht="12" customHeight="1" x14ac:dyDescent="0.25">
      <c r="D1141" s="15" t="str">
        <f>IF(IF(ISNUMBER(B1141),"",MAX(D$4:D1140)+1)&lt;=D$3,IF(ISNUMBER(B1141),"",MAX(D$4:D1140)+1),"")</f>
        <v/>
      </c>
      <c r="H1141" s="15"/>
      <c r="I1141" s="15" t="str">
        <f>IF(O1141="","",IF(ISNUMBER(MATCH(O1141,$G$5:$G$1000,0)),"",IF(D1141=1,B$4,0)+MAX(I$4:I1140)+1))</f>
        <v/>
      </c>
      <c r="M1141" s="14" t="str">
        <f>IF(ROW()-ROW(M$4)&lt;=1000,ROW()-ROW(M$4),"")</f>
        <v/>
      </c>
    </row>
    <row r="1142" spans="4:13" ht="12" customHeight="1" x14ac:dyDescent="0.25">
      <c r="D1142" s="15" t="str">
        <f>IF(IF(ISNUMBER(B1142),"",MAX(D$4:D1141)+1)&lt;=D$3,IF(ISNUMBER(B1142),"",MAX(D$4:D1141)+1),"")</f>
        <v/>
      </c>
      <c r="H1142" s="15"/>
      <c r="I1142" s="15" t="str">
        <f>IF(O1142="","",IF(ISNUMBER(MATCH(O1142,$G$5:$G$1000,0)),"",IF(D1142=1,B$4,0)+MAX(I$4:I1141)+1))</f>
        <v/>
      </c>
      <c r="M1142" s="14" t="str">
        <f>IF(ROW()-ROW(M$4)&lt;=1000,ROW()-ROW(M$4),"")</f>
        <v/>
      </c>
    </row>
    <row r="1143" spans="4:13" ht="12" customHeight="1" x14ac:dyDescent="0.25">
      <c r="D1143" s="15" t="str">
        <f>IF(IF(ISNUMBER(B1143),"",MAX(D$4:D1142)+1)&lt;=D$3,IF(ISNUMBER(B1143),"",MAX(D$4:D1142)+1),"")</f>
        <v/>
      </c>
      <c r="H1143" s="15"/>
      <c r="I1143" s="15" t="str">
        <f>IF(O1143="","",IF(ISNUMBER(MATCH(O1143,$G$5:$G$1000,0)),"",IF(D1143=1,B$4,0)+MAX(I$4:I1142)+1))</f>
        <v/>
      </c>
      <c r="M1143" s="14" t="str">
        <f>IF(ROW()-ROW(M$4)&lt;=1000,ROW()-ROW(M$4),"")</f>
        <v/>
      </c>
    </row>
    <row r="1144" spans="4:13" ht="12" customHeight="1" x14ac:dyDescent="0.25">
      <c r="D1144" s="15" t="str">
        <f>IF(IF(ISNUMBER(B1144),"",MAX(D$4:D1143)+1)&lt;=D$3,IF(ISNUMBER(B1144),"",MAX(D$4:D1143)+1),"")</f>
        <v/>
      </c>
      <c r="H1144" s="15"/>
      <c r="I1144" s="15" t="str">
        <f>IF(O1144="","",IF(ISNUMBER(MATCH(O1144,$G$5:$G$1000,0)),"",IF(D1144=1,B$4,0)+MAX(I$4:I1143)+1))</f>
        <v/>
      </c>
      <c r="M1144" s="14" t="str">
        <f>IF(ROW()-ROW(M$4)&lt;=1000,ROW()-ROW(M$4),"")</f>
        <v/>
      </c>
    </row>
    <row r="1145" spans="4:13" ht="12" customHeight="1" x14ac:dyDescent="0.25">
      <c r="D1145" s="15" t="str">
        <f>IF(IF(ISNUMBER(B1145),"",MAX(D$4:D1144)+1)&lt;=D$3,IF(ISNUMBER(B1145),"",MAX(D$4:D1144)+1),"")</f>
        <v/>
      </c>
      <c r="H1145" s="15"/>
      <c r="I1145" s="15" t="str">
        <f>IF(O1145="","",IF(ISNUMBER(MATCH(O1145,$G$5:$G$1000,0)),"",IF(D1145=1,B$4,0)+MAX(I$4:I1144)+1))</f>
        <v/>
      </c>
      <c r="M1145" s="14" t="str">
        <f>IF(ROW()-ROW(M$4)&lt;=1000,ROW()-ROW(M$4),"")</f>
        <v/>
      </c>
    </row>
    <row r="1146" spans="4:13" ht="12" customHeight="1" x14ac:dyDescent="0.25">
      <c r="D1146" s="15" t="str">
        <f>IF(IF(ISNUMBER(B1146),"",MAX(D$4:D1145)+1)&lt;=D$3,IF(ISNUMBER(B1146),"",MAX(D$4:D1145)+1),"")</f>
        <v/>
      </c>
      <c r="H1146" s="15"/>
      <c r="I1146" s="15" t="str">
        <f>IF(O1146="","",IF(ISNUMBER(MATCH(O1146,$G$5:$G$1000,0)),"",IF(D1146=1,B$4,0)+MAX(I$4:I1145)+1))</f>
        <v/>
      </c>
      <c r="M1146" s="14" t="str">
        <f>IF(ROW()-ROW(M$4)&lt;=1000,ROW()-ROW(M$4),"")</f>
        <v/>
      </c>
    </row>
    <row r="1147" spans="4:13" ht="12" customHeight="1" x14ac:dyDescent="0.25">
      <c r="D1147" s="15" t="str">
        <f>IF(IF(ISNUMBER(B1147),"",MAX(D$4:D1146)+1)&lt;=D$3,IF(ISNUMBER(B1147),"",MAX(D$4:D1146)+1),"")</f>
        <v/>
      </c>
      <c r="H1147" s="15"/>
      <c r="I1147" s="15" t="str">
        <f>IF(O1147="","",IF(ISNUMBER(MATCH(O1147,$G$5:$G$1000,0)),"",IF(D1147=1,B$4,0)+MAX(I$4:I1146)+1))</f>
        <v/>
      </c>
      <c r="M1147" s="14" t="str">
        <f>IF(ROW()-ROW(M$4)&lt;=1000,ROW()-ROW(M$4),"")</f>
        <v/>
      </c>
    </row>
    <row r="1148" spans="4:13" ht="12" customHeight="1" x14ac:dyDescent="0.25">
      <c r="D1148" s="15" t="str">
        <f>IF(IF(ISNUMBER(B1148),"",MAX(D$4:D1147)+1)&lt;=D$3,IF(ISNUMBER(B1148),"",MAX(D$4:D1147)+1),"")</f>
        <v/>
      </c>
      <c r="H1148" s="15"/>
      <c r="I1148" s="15" t="str">
        <f>IF(O1148="","",IF(ISNUMBER(MATCH(O1148,$G$5:$G$1000,0)),"",IF(D1148=1,B$4,0)+MAX(I$4:I1147)+1))</f>
        <v/>
      </c>
      <c r="M1148" s="14" t="str">
        <f>IF(ROW()-ROW(M$4)&lt;=1000,ROW()-ROW(M$4),"")</f>
        <v/>
      </c>
    </row>
    <row r="1149" spans="4:13" ht="12" customHeight="1" x14ac:dyDescent="0.25">
      <c r="D1149" s="15" t="str">
        <f>IF(IF(ISNUMBER(B1149),"",MAX(D$4:D1148)+1)&lt;=D$3,IF(ISNUMBER(B1149),"",MAX(D$4:D1148)+1),"")</f>
        <v/>
      </c>
      <c r="H1149" s="15"/>
      <c r="I1149" s="15" t="str">
        <f>IF(O1149="","",IF(ISNUMBER(MATCH(O1149,$G$5:$G$1000,0)),"",IF(D1149=1,B$4,0)+MAX(I$4:I1148)+1))</f>
        <v/>
      </c>
      <c r="M1149" s="14" t="str">
        <f>IF(ROW()-ROW(M$4)&lt;=1000,ROW()-ROW(M$4),"")</f>
        <v/>
      </c>
    </row>
    <row r="1150" spans="4:13" ht="12" customHeight="1" x14ac:dyDescent="0.25">
      <c r="D1150" s="15" t="str">
        <f>IF(IF(ISNUMBER(B1150),"",MAX(D$4:D1149)+1)&lt;=D$3,IF(ISNUMBER(B1150),"",MAX(D$4:D1149)+1),"")</f>
        <v/>
      </c>
      <c r="H1150" s="15"/>
      <c r="I1150" s="15" t="str">
        <f>IF(O1150="","",IF(ISNUMBER(MATCH(O1150,$G$5:$G$1000,0)),"",IF(D1150=1,B$4,0)+MAX(I$4:I1149)+1))</f>
        <v/>
      </c>
      <c r="M1150" s="14" t="str">
        <f>IF(ROW()-ROW(M$4)&lt;=1000,ROW()-ROW(M$4),"")</f>
        <v/>
      </c>
    </row>
    <row r="1151" spans="4:13" ht="12" customHeight="1" x14ac:dyDescent="0.25">
      <c r="D1151" s="15" t="str">
        <f>IF(IF(ISNUMBER(B1151),"",MAX(D$4:D1150)+1)&lt;=D$3,IF(ISNUMBER(B1151),"",MAX(D$4:D1150)+1),"")</f>
        <v/>
      </c>
      <c r="H1151" s="15"/>
      <c r="I1151" s="15" t="str">
        <f>IF(O1151="","",IF(ISNUMBER(MATCH(O1151,$G$5:$G$1000,0)),"",IF(D1151=1,B$4,0)+MAX(I$4:I1150)+1))</f>
        <v/>
      </c>
      <c r="M1151" s="14" t="str">
        <f>IF(ROW()-ROW(M$4)&lt;=1000,ROW()-ROW(M$4),"")</f>
        <v/>
      </c>
    </row>
    <row r="1152" spans="4:13" ht="12" customHeight="1" x14ac:dyDescent="0.25">
      <c r="D1152" s="15" t="str">
        <f>IF(IF(ISNUMBER(B1152),"",MAX(D$4:D1151)+1)&lt;=D$3,IF(ISNUMBER(B1152),"",MAX(D$4:D1151)+1),"")</f>
        <v/>
      </c>
      <c r="H1152" s="15"/>
      <c r="I1152" s="15" t="str">
        <f>IF(O1152="","",IF(ISNUMBER(MATCH(O1152,$G$5:$G$1000,0)),"",IF(D1152=1,B$4,0)+MAX(I$4:I1151)+1))</f>
        <v/>
      </c>
      <c r="M1152" s="14" t="str">
        <f>IF(ROW()-ROW(M$4)&lt;=1000,ROW()-ROW(M$4),"")</f>
        <v/>
      </c>
    </row>
    <row r="1153" spans="4:13" ht="12" customHeight="1" x14ac:dyDescent="0.25">
      <c r="D1153" s="15" t="str">
        <f>IF(IF(ISNUMBER(B1153),"",MAX(D$4:D1152)+1)&lt;=D$3,IF(ISNUMBER(B1153),"",MAX(D$4:D1152)+1),"")</f>
        <v/>
      </c>
      <c r="H1153" s="15"/>
      <c r="I1153" s="15" t="str">
        <f>IF(O1153="","",IF(ISNUMBER(MATCH(O1153,$G$5:$G$1000,0)),"",IF(D1153=1,B$4,0)+MAX(I$4:I1152)+1))</f>
        <v/>
      </c>
      <c r="M1153" s="14" t="str">
        <f>IF(ROW()-ROW(M$4)&lt;=1000,ROW()-ROW(M$4),"")</f>
        <v/>
      </c>
    </row>
    <row r="1154" spans="4:13" ht="12" customHeight="1" x14ac:dyDescent="0.25">
      <c r="D1154" s="15" t="str">
        <f>IF(IF(ISNUMBER(B1154),"",MAX(D$4:D1153)+1)&lt;=D$3,IF(ISNUMBER(B1154),"",MAX(D$4:D1153)+1),"")</f>
        <v/>
      </c>
      <c r="H1154" s="15"/>
      <c r="I1154" s="15" t="str">
        <f>IF(O1154="","",IF(ISNUMBER(MATCH(O1154,$G$5:$G$1000,0)),"",IF(D1154=1,B$4,0)+MAX(I$4:I1153)+1))</f>
        <v/>
      </c>
      <c r="M1154" s="14" t="str">
        <f>IF(ROW()-ROW(M$4)&lt;=1000,ROW()-ROW(M$4),"")</f>
        <v/>
      </c>
    </row>
    <row r="1155" spans="4:13" ht="12" customHeight="1" x14ac:dyDescent="0.25">
      <c r="D1155" s="15" t="str">
        <f>IF(IF(ISNUMBER(B1155),"",MAX(D$4:D1154)+1)&lt;=D$3,IF(ISNUMBER(B1155),"",MAX(D$4:D1154)+1),"")</f>
        <v/>
      </c>
      <c r="H1155" s="15"/>
      <c r="I1155" s="15" t="str">
        <f>IF(O1155="","",IF(ISNUMBER(MATCH(O1155,$G$5:$G$1000,0)),"",IF(D1155=1,B$4,0)+MAX(I$4:I1154)+1))</f>
        <v/>
      </c>
      <c r="M1155" s="14" t="str">
        <f>IF(ROW()-ROW(M$4)&lt;=1000,ROW()-ROW(M$4),"")</f>
        <v/>
      </c>
    </row>
    <row r="1156" spans="4:13" ht="12" customHeight="1" x14ac:dyDescent="0.25">
      <c r="D1156" s="15" t="str">
        <f>IF(IF(ISNUMBER(B1156),"",MAX(D$4:D1155)+1)&lt;=D$3,IF(ISNUMBER(B1156),"",MAX(D$4:D1155)+1),"")</f>
        <v/>
      </c>
      <c r="H1156" s="15"/>
      <c r="I1156" s="15" t="str">
        <f>IF(O1156="","",IF(ISNUMBER(MATCH(O1156,$G$5:$G$1000,0)),"",IF(D1156=1,B$4,0)+MAX(I$4:I1155)+1))</f>
        <v/>
      </c>
      <c r="M1156" s="14" t="str">
        <f>IF(ROW()-ROW(M$4)&lt;=1000,ROW()-ROW(M$4),"")</f>
        <v/>
      </c>
    </row>
    <row r="1157" spans="4:13" ht="12" customHeight="1" x14ac:dyDescent="0.25">
      <c r="D1157" s="15" t="str">
        <f>IF(IF(ISNUMBER(B1157),"",MAX(D$4:D1156)+1)&lt;=D$3,IF(ISNUMBER(B1157),"",MAX(D$4:D1156)+1),"")</f>
        <v/>
      </c>
      <c r="H1157" s="15"/>
      <c r="I1157" s="15" t="str">
        <f>IF(O1157="","",IF(ISNUMBER(MATCH(O1157,$G$5:$G$1000,0)),"",IF(D1157=1,B$4,0)+MAX(I$4:I1156)+1))</f>
        <v/>
      </c>
      <c r="M1157" s="14" t="str">
        <f>IF(ROW()-ROW(M$4)&lt;=1000,ROW()-ROW(M$4),"")</f>
        <v/>
      </c>
    </row>
    <row r="1158" spans="4:13" ht="12" customHeight="1" x14ac:dyDescent="0.25">
      <c r="D1158" s="15" t="str">
        <f>IF(IF(ISNUMBER(B1158),"",MAX(D$4:D1157)+1)&lt;=D$3,IF(ISNUMBER(B1158),"",MAX(D$4:D1157)+1),"")</f>
        <v/>
      </c>
      <c r="H1158" s="15"/>
      <c r="I1158" s="15" t="str">
        <f>IF(O1158="","",IF(ISNUMBER(MATCH(O1158,$G$5:$G$1000,0)),"",IF(D1158=1,B$4,0)+MAX(I$4:I1157)+1))</f>
        <v/>
      </c>
      <c r="M1158" s="14" t="str">
        <f>IF(ROW()-ROW(M$4)&lt;=1000,ROW()-ROW(M$4),"")</f>
        <v/>
      </c>
    </row>
    <row r="1159" spans="4:13" ht="12" customHeight="1" x14ac:dyDescent="0.25">
      <c r="D1159" s="15" t="str">
        <f>IF(IF(ISNUMBER(B1159),"",MAX(D$4:D1158)+1)&lt;=D$3,IF(ISNUMBER(B1159),"",MAX(D$4:D1158)+1),"")</f>
        <v/>
      </c>
      <c r="H1159" s="15"/>
      <c r="I1159" s="15" t="str">
        <f>IF(O1159="","",IF(ISNUMBER(MATCH(O1159,$G$5:$G$1000,0)),"",IF(D1159=1,B$4,0)+MAX(I$4:I1158)+1))</f>
        <v/>
      </c>
      <c r="M1159" s="14" t="str">
        <f>IF(ROW()-ROW(M$4)&lt;=1000,ROW()-ROW(M$4),"")</f>
        <v/>
      </c>
    </row>
    <row r="1160" spans="4:13" ht="12" customHeight="1" x14ac:dyDescent="0.25">
      <c r="D1160" s="15" t="str">
        <f>IF(IF(ISNUMBER(B1160),"",MAX(D$4:D1159)+1)&lt;=D$3,IF(ISNUMBER(B1160),"",MAX(D$4:D1159)+1),"")</f>
        <v/>
      </c>
      <c r="H1160" s="15"/>
      <c r="I1160" s="15" t="str">
        <f>IF(O1160="","",IF(ISNUMBER(MATCH(O1160,$G$5:$G$1000,0)),"",IF(D1160=1,B$4,0)+MAX(I$4:I1159)+1))</f>
        <v/>
      </c>
      <c r="M1160" s="14" t="str">
        <f>IF(ROW()-ROW(M$4)&lt;=1000,ROW()-ROW(M$4),"")</f>
        <v/>
      </c>
    </row>
    <row r="1161" spans="4:13" ht="12" customHeight="1" x14ac:dyDescent="0.25">
      <c r="D1161" s="15" t="str">
        <f>IF(IF(ISNUMBER(B1161),"",MAX(D$4:D1160)+1)&lt;=D$3,IF(ISNUMBER(B1161),"",MAX(D$4:D1160)+1),"")</f>
        <v/>
      </c>
      <c r="H1161" s="15"/>
      <c r="I1161" s="15" t="str">
        <f>IF(O1161="","",IF(ISNUMBER(MATCH(O1161,$G$5:$G$1000,0)),"",IF(D1161=1,B$4,0)+MAX(I$4:I1160)+1))</f>
        <v/>
      </c>
      <c r="M1161" s="14" t="str">
        <f>IF(ROW()-ROW(M$4)&lt;=1000,ROW()-ROW(M$4),"")</f>
        <v/>
      </c>
    </row>
    <row r="1162" spans="4:13" ht="12" customHeight="1" x14ac:dyDescent="0.25">
      <c r="D1162" s="15" t="str">
        <f>IF(IF(ISNUMBER(B1162),"",MAX(D$4:D1161)+1)&lt;=D$3,IF(ISNUMBER(B1162),"",MAX(D$4:D1161)+1),"")</f>
        <v/>
      </c>
      <c r="H1162" s="15"/>
      <c r="I1162" s="15" t="str">
        <f>IF(O1162="","",IF(ISNUMBER(MATCH(O1162,$G$5:$G$1000,0)),"",IF(D1162=1,B$4,0)+MAX(I$4:I1161)+1))</f>
        <v/>
      </c>
      <c r="M1162" s="14" t="str">
        <f>IF(ROW()-ROW(M$4)&lt;=1000,ROW()-ROW(M$4),"")</f>
        <v/>
      </c>
    </row>
    <row r="1163" spans="4:13" ht="12" customHeight="1" x14ac:dyDescent="0.25">
      <c r="D1163" s="15" t="str">
        <f>IF(IF(ISNUMBER(B1163),"",MAX(D$4:D1162)+1)&lt;=D$3,IF(ISNUMBER(B1163),"",MAX(D$4:D1162)+1),"")</f>
        <v/>
      </c>
      <c r="H1163" s="15"/>
      <c r="I1163" s="15" t="str">
        <f>IF(O1163="","",IF(ISNUMBER(MATCH(O1163,$G$5:$G$1000,0)),"",IF(D1163=1,B$4,0)+MAX(I$4:I1162)+1))</f>
        <v/>
      </c>
      <c r="M1163" s="14" t="str">
        <f>IF(ROW()-ROW(M$4)&lt;=1000,ROW()-ROW(M$4),"")</f>
        <v/>
      </c>
    </row>
    <row r="1164" spans="4:13" ht="12" customHeight="1" x14ac:dyDescent="0.25">
      <c r="D1164" s="15" t="str">
        <f>IF(IF(ISNUMBER(B1164),"",MAX(D$4:D1163)+1)&lt;=D$3,IF(ISNUMBER(B1164),"",MAX(D$4:D1163)+1),"")</f>
        <v/>
      </c>
      <c r="H1164" s="15"/>
      <c r="I1164" s="15" t="str">
        <f>IF(O1164="","",IF(ISNUMBER(MATCH(O1164,$G$5:$G$1000,0)),"",IF(D1164=1,B$4,0)+MAX(I$4:I1163)+1))</f>
        <v/>
      </c>
      <c r="M1164" s="14" t="str">
        <f>IF(ROW()-ROW(M$4)&lt;=1000,ROW()-ROW(M$4),"")</f>
        <v/>
      </c>
    </row>
    <row r="1165" spans="4:13" ht="12" customHeight="1" x14ac:dyDescent="0.25">
      <c r="D1165" s="15" t="str">
        <f>IF(IF(ISNUMBER(B1165),"",MAX(D$4:D1164)+1)&lt;=D$3,IF(ISNUMBER(B1165),"",MAX(D$4:D1164)+1),"")</f>
        <v/>
      </c>
      <c r="H1165" s="15"/>
      <c r="I1165" s="15" t="str">
        <f>IF(O1165="","",IF(ISNUMBER(MATCH(O1165,$G$5:$G$1000,0)),"",IF(D1165=1,B$4,0)+MAX(I$4:I1164)+1))</f>
        <v/>
      </c>
      <c r="M1165" s="14" t="str">
        <f>IF(ROW()-ROW(M$4)&lt;=1000,ROW()-ROW(M$4),"")</f>
        <v/>
      </c>
    </row>
    <row r="1166" spans="4:13" ht="12" customHeight="1" x14ac:dyDescent="0.25">
      <c r="D1166" s="15" t="str">
        <f>IF(IF(ISNUMBER(B1166),"",MAX(D$4:D1165)+1)&lt;=D$3,IF(ISNUMBER(B1166),"",MAX(D$4:D1165)+1),"")</f>
        <v/>
      </c>
      <c r="H1166" s="15"/>
      <c r="I1166" s="15" t="str">
        <f>IF(O1166="","",IF(ISNUMBER(MATCH(O1166,$G$5:$G$1000,0)),"",IF(D1166=1,B$4,0)+MAX(I$4:I1165)+1))</f>
        <v/>
      </c>
      <c r="M1166" s="14" t="str">
        <f>IF(ROW()-ROW(M$4)&lt;=1000,ROW()-ROW(M$4),"")</f>
        <v/>
      </c>
    </row>
    <row r="1167" spans="4:13" ht="12" customHeight="1" x14ac:dyDescent="0.25">
      <c r="D1167" s="15" t="str">
        <f>IF(IF(ISNUMBER(B1167),"",MAX(D$4:D1166)+1)&lt;=D$3,IF(ISNUMBER(B1167),"",MAX(D$4:D1166)+1),"")</f>
        <v/>
      </c>
      <c r="H1167" s="15"/>
      <c r="I1167" s="15" t="str">
        <f>IF(O1167="","",IF(ISNUMBER(MATCH(O1167,$G$5:$G$1000,0)),"",IF(D1167=1,B$4,0)+MAX(I$4:I1166)+1))</f>
        <v/>
      </c>
      <c r="M1167" s="14" t="str">
        <f>IF(ROW()-ROW(M$4)&lt;=1000,ROW()-ROW(M$4),"")</f>
        <v/>
      </c>
    </row>
    <row r="1168" spans="4:13" ht="12" customHeight="1" x14ac:dyDescent="0.25">
      <c r="D1168" s="15" t="str">
        <f>IF(IF(ISNUMBER(B1168),"",MAX(D$4:D1167)+1)&lt;=D$3,IF(ISNUMBER(B1168),"",MAX(D$4:D1167)+1),"")</f>
        <v/>
      </c>
      <c r="H1168" s="15"/>
      <c r="I1168" s="15" t="str">
        <f>IF(O1168="","",IF(ISNUMBER(MATCH(O1168,$G$5:$G$1000,0)),"",IF(D1168=1,B$4,0)+MAX(I$4:I1167)+1))</f>
        <v/>
      </c>
      <c r="M1168" s="14" t="str">
        <f>IF(ROW()-ROW(M$4)&lt;=1000,ROW()-ROW(M$4),"")</f>
        <v/>
      </c>
    </row>
    <row r="1169" spans="4:13" ht="12" customHeight="1" x14ac:dyDescent="0.25">
      <c r="D1169" s="15" t="str">
        <f>IF(IF(ISNUMBER(B1169),"",MAX(D$4:D1168)+1)&lt;=D$3,IF(ISNUMBER(B1169),"",MAX(D$4:D1168)+1),"")</f>
        <v/>
      </c>
      <c r="H1169" s="15"/>
      <c r="I1169" s="15" t="str">
        <f>IF(O1169="","",IF(ISNUMBER(MATCH(O1169,$G$5:$G$1000,0)),"",IF(D1169=1,B$4,0)+MAX(I$4:I1168)+1))</f>
        <v/>
      </c>
      <c r="M1169" s="14" t="str">
        <f>IF(ROW()-ROW(M$4)&lt;=1000,ROW()-ROW(M$4),"")</f>
        <v/>
      </c>
    </row>
    <row r="1170" spans="4:13" ht="12" customHeight="1" x14ac:dyDescent="0.25">
      <c r="D1170" s="15" t="str">
        <f>IF(IF(ISNUMBER(B1170),"",MAX(D$4:D1169)+1)&lt;=D$3,IF(ISNUMBER(B1170),"",MAX(D$4:D1169)+1),"")</f>
        <v/>
      </c>
      <c r="H1170" s="15"/>
      <c r="I1170" s="15" t="str">
        <f>IF(O1170="","",IF(ISNUMBER(MATCH(O1170,$G$5:$G$1000,0)),"",IF(D1170=1,B$4,0)+MAX(I$4:I1169)+1))</f>
        <v/>
      </c>
      <c r="M1170" s="14" t="str">
        <f>IF(ROW()-ROW(M$4)&lt;=1000,ROW()-ROW(M$4),"")</f>
        <v/>
      </c>
    </row>
    <row r="1171" spans="4:13" ht="12" customHeight="1" x14ac:dyDescent="0.25">
      <c r="D1171" s="15" t="str">
        <f>IF(IF(ISNUMBER(B1171),"",MAX(D$4:D1170)+1)&lt;=D$3,IF(ISNUMBER(B1171),"",MAX(D$4:D1170)+1),"")</f>
        <v/>
      </c>
      <c r="H1171" s="15"/>
      <c r="I1171" s="15" t="str">
        <f>IF(O1171="","",IF(ISNUMBER(MATCH(O1171,$G$5:$G$1000,0)),"",IF(D1171=1,B$4,0)+MAX(I$4:I1170)+1))</f>
        <v/>
      </c>
      <c r="M1171" s="14" t="str">
        <f>IF(ROW()-ROW(M$4)&lt;=1000,ROW()-ROW(M$4),"")</f>
        <v/>
      </c>
    </row>
    <row r="1172" spans="4:13" ht="12" customHeight="1" x14ac:dyDescent="0.25">
      <c r="D1172" s="15" t="str">
        <f>IF(IF(ISNUMBER(B1172),"",MAX(D$4:D1171)+1)&lt;=D$3,IF(ISNUMBER(B1172),"",MAX(D$4:D1171)+1),"")</f>
        <v/>
      </c>
      <c r="H1172" s="15"/>
      <c r="I1172" s="15" t="str">
        <f>IF(O1172="","",IF(ISNUMBER(MATCH(O1172,$G$5:$G$1000,0)),"",IF(D1172=1,B$4,0)+MAX(I$4:I1171)+1))</f>
        <v/>
      </c>
      <c r="M1172" s="14" t="str">
        <f>IF(ROW()-ROW(M$4)&lt;=1000,ROW()-ROW(M$4),"")</f>
        <v/>
      </c>
    </row>
    <row r="1173" spans="4:13" ht="12" customHeight="1" x14ac:dyDescent="0.25">
      <c r="D1173" s="15" t="str">
        <f>IF(IF(ISNUMBER(B1173),"",MAX(D$4:D1172)+1)&lt;=D$3,IF(ISNUMBER(B1173),"",MAX(D$4:D1172)+1),"")</f>
        <v/>
      </c>
      <c r="H1173" s="15"/>
      <c r="I1173" s="15" t="str">
        <f>IF(O1173="","",IF(ISNUMBER(MATCH(O1173,$G$5:$G$1000,0)),"",IF(D1173=1,B$4,0)+MAX(I$4:I1172)+1))</f>
        <v/>
      </c>
      <c r="M1173" s="14" t="str">
        <f>IF(ROW()-ROW(M$4)&lt;=1000,ROW()-ROW(M$4),"")</f>
        <v/>
      </c>
    </row>
    <row r="1174" spans="4:13" ht="12" customHeight="1" x14ac:dyDescent="0.25">
      <c r="D1174" s="15" t="str">
        <f>IF(IF(ISNUMBER(B1174),"",MAX(D$4:D1173)+1)&lt;=D$3,IF(ISNUMBER(B1174),"",MAX(D$4:D1173)+1),"")</f>
        <v/>
      </c>
      <c r="H1174" s="15"/>
      <c r="I1174" s="15" t="str">
        <f>IF(O1174="","",IF(ISNUMBER(MATCH(O1174,$G$5:$G$1000,0)),"",IF(D1174=1,B$4,0)+MAX(I$4:I1173)+1))</f>
        <v/>
      </c>
      <c r="M1174" s="14" t="str">
        <f>IF(ROW()-ROW(M$4)&lt;=1000,ROW()-ROW(M$4),"")</f>
        <v/>
      </c>
    </row>
    <row r="1175" spans="4:13" ht="12" customHeight="1" x14ac:dyDescent="0.25">
      <c r="D1175" s="15" t="str">
        <f>IF(IF(ISNUMBER(B1175),"",MAX(D$4:D1174)+1)&lt;=D$3,IF(ISNUMBER(B1175),"",MAX(D$4:D1174)+1),"")</f>
        <v/>
      </c>
      <c r="H1175" s="15"/>
      <c r="I1175" s="15" t="str">
        <f>IF(O1175="","",IF(ISNUMBER(MATCH(O1175,$G$5:$G$1000,0)),"",IF(D1175=1,B$4,0)+MAX(I$4:I1174)+1))</f>
        <v/>
      </c>
      <c r="M1175" s="14" t="str">
        <f>IF(ROW()-ROW(M$4)&lt;=1000,ROW()-ROW(M$4),"")</f>
        <v/>
      </c>
    </row>
    <row r="1176" spans="4:13" ht="12" customHeight="1" x14ac:dyDescent="0.25">
      <c r="D1176" s="15" t="str">
        <f>IF(IF(ISNUMBER(B1176),"",MAX(D$4:D1175)+1)&lt;=D$3,IF(ISNUMBER(B1176),"",MAX(D$4:D1175)+1),"")</f>
        <v/>
      </c>
      <c r="H1176" s="15"/>
      <c r="I1176" s="15" t="str">
        <f>IF(O1176="","",IF(ISNUMBER(MATCH(O1176,$G$5:$G$1000,0)),"",IF(D1176=1,B$4,0)+MAX(I$4:I1175)+1))</f>
        <v/>
      </c>
      <c r="M1176" s="14" t="str">
        <f>IF(ROW()-ROW(M$4)&lt;=1000,ROW()-ROW(M$4),"")</f>
        <v/>
      </c>
    </row>
    <row r="1177" spans="4:13" ht="12" customHeight="1" x14ac:dyDescent="0.25">
      <c r="D1177" s="15" t="str">
        <f>IF(IF(ISNUMBER(B1177),"",MAX(D$4:D1176)+1)&lt;=D$3,IF(ISNUMBER(B1177),"",MAX(D$4:D1176)+1),"")</f>
        <v/>
      </c>
      <c r="H1177" s="15"/>
      <c r="I1177" s="15" t="str">
        <f>IF(O1177="","",IF(ISNUMBER(MATCH(O1177,$G$5:$G$1000,0)),"",IF(D1177=1,B$4,0)+MAX(I$4:I1176)+1))</f>
        <v/>
      </c>
      <c r="M1177" s="14" t="str">
        <f>IF(ROW()-ROW(M$4)&lt;=1000,ROW()-ROW(M$4),"")</f>
        <v/>
      </c>
    </row>
    <row r="1178" spans="4:13" ht="12" customHeight="1" x14ac:dyDescent="0.25">
      <c r="D1178" s="15" t="str">
        <f>IF(IF(ISNUMBER(B1178),"",MAX(D$4:D1177)+1)&lt;=D$3,IF(ISNUMBER(B1178),"",MAX(D$4:D1177)+1),"")</f>
        <v/>
      </c>
      <c r="H1178" s="15"/>
      <c r="I1178" s="15" t="str">
        <f>IF(O1178="","",IF(ISNUMBER(MATCH(O1178,$G$5:$G$1000,0)),"",IF(D1178=1,B$4,0)+MAX(I$4:I1177)+1))</f>
        <v/>
      </c>
      <c r="M1178" s="14" t="str">
        <f>IF(ROW()-ROW(M$4)&lt;=1000,ROW()-ROW(M$4),"")</f>
        <v/>
      </c>
    </row>
    <row r="1179" spans="4:13" ht="12" customHeight="1" x14ac:dyDescent="0.25">
      <c r="D1179" s="15" t="str">
        <f>IF(IF(ISNUMBER(B1179),"",MAX(D$4:D1178)+1)&lt;=D$3,IF(ISNUMBER(B1179),"",MAX(D$4:D1178)+1),"")</f>
        <v/>
      </c>
      <c r="H1179" s="15"/>
      <c r="I1179" s="15" t="str">
        <f>IF(O1179="","",IF(ISNUMBER(MATCH(O1179,$G$5:$G$1000,0)),"",IF(D1179=1,B$4,0)+MAX(I$4:I1178)+1))</f>
        <v/>
      </c>
      <c r="M1179" s="14" t="str">
        <f>IF(ROW()-ROW(M$4)&lt;=1000,ROW()-ROW(M$4),"")</f>
        <v/>
      </c>
    </row>
    <row r="1180" spans="4:13" ht="12" customHeight="1" x14ac:dyDescent="0.25">
      <c r="D1180" s="15" t="str">
        <f>IF(IF(ISNUMBER(B1180),"",MAX(D$4:D1179)+1)&lt;=D$3,IF(ISNUMBER(B1180),"",MAX(D$4:D1179)+1),"")</f>
        <v/>
      </c>
      <c r="H1180" s="15"/>
      <c r="I1180" s="15" t="str">
        <f>IF(O1180="","",IF(ISNUMBER(MATCH(O1180,$G$5:$G$1000,0)),"",IF(D1180=1,B$4,0)+MAX(I$4:I1179)+1))</f>
        <v/>
      </c>
      <c r="M1180" s="14" t="str">
        <f>IF(ROW()-ROW(M$4)&lt;=1000,ROW()-ROW(M$4),"")</f>
        <v/>
      </c>
    </row>
    <row r="1181" spans="4:13" ht="12" customHeight="1" x14ac:dyDescent="0.25">
      <c r="D1181" s="15" t="str">
        <f>IF(IF(ISNUMBER(B1181),"",MAX(D$4:D1180)+1)&lt;=D$3,IF(ISNUMBER(B1181),"",MAX(D$4:D1180)+1),"")</f>
        <v/>
      </c>
      <c r="H1181" s="15"/>
      <c r="I1181" s="15" t="str">
        <f>IF(O1181="","",IF(ISNUMBER(MATCH(O1181,$G$5:$G$1000,0)),"",IF(D1181=1,B$4,0)+MAX(I$4:I1180)+1))</f>
        <v/>
      </c>
      <c r="M1181" s="14" t="str">
        <f>IF(ROW()-ROW(M$4)&lt;=1000,ROW()-ROW(M$4),"")</f>
        <v/>
      </c>
    </row>
    <row r="1182" spans="4:13" ht="12" customHeight="1" x14ac:dyDescent="0.25">
      <c r="D1182" s="15" t="str">
        <f>IF(IF(ISNUMBER(B1182),"",MAX(D$4:D1181)+1)&lt;=D$3,IF(ISNUMBER(B1182),"",MAX(D$4:D1181)+1),"")</f>
        <v/>
      </c>
      <c r="H1182" s="15"/>
      <c r="I1182" s="15" t="str">
        <f>IF(O1182="","",IF(ISNUMBER(MATCH(O1182,$G$5:$G$1000,0)),"",IF(D1182=1,B$4,0)+MAX(I$4:I1181)+1))</f>
        <v/>
      </c>
      <c r="M1182" s="14" t="str">
        <f>IF(ROW()-ROW(M$4)&lt;=1000,ROW()-ROW(M$4),"")</f>
        <v/>
      </c>
    </row>
    <row r="1183" spans="4:13" ht="12" customHeight="1" x14ac:dyDescent="0.25">
      <c r="D1183" s="15" t="str">
        <f>IF(IF(ISNUMBER(B1183),"",MAX(D$4:D1182)+1)&lt;=D$3,IF(ISNUMBER(B1183),"",MAX(D$4:D1182)+1),"")</f>
        <v/>
      </c>
      <c r="H1183" s="15"/>
      <c r="I1183" s="15" t="str">
        <f>IF(O1183="","",IF(ISNUMBER(MATCH(O1183,$G$5:$G$1000,0)),"",IF(D1183=1,B$4,0)+MAX(I$4:I1182)+1))</f>
        <v/>
      </c>
      <c r="M1183" s="14" t="str">
        <f>IF(ROW()-ROW(M$4)&lt;=1000,ROW()-ROW(M$4),"")</f>
        <v/>
      </c>
    </row>
    <row r="1184" spans="4:13" ht="12" customHeight="1" x14ac:dyDescent="0.25">
      <c r="D1184" s="15" t="str">
        <f>IF(IF(ISNUMBER(B1184),"",MAX(D$4:D1183)+1)&lt;=D$3,IF(ISNUMBER(B1184),"",MAX(D$4:D1183)+1),"")</f>
        <v/>
      </c>
      <c r="H1184" s="15"/>
      <c r="I1184" s="15" t="str">
        <f>IF(O1184="","",IF(ISNUMBER(MATCH(O1184,$G$5:$G$1000,0)),"",IF(D1184=1,B$4,0)+MAX(I$4:I1183)+1))</f>
        <v/>
      </c>
      <c r="M1184" s="14" t="str">
        <f>IF(ROW()-ROW(M$4)&lt;=1000,ROW()-ROW(M$4),"")</f>
        <v/>
      </c>
    </row>
    <row r="1185" spans="4:13" ht="12" customHeight="1" x14ac:dyDescent="0.25">
      <c r="D1185" s="15" t="str">
        <f>IF(IF(ISNUMBER(B1185),"",MAX(D$4:D1184)+1)&lt;=D$3,IF(ISNUMBER(B1185),"",MAX(D$4:D1184)+1),"")</f>
        <v/>
      </c>
      <c r="H1185" s="15"/>
      <c r="I1185" s="15" t="str">
        <f>IF(O1185="","",IF(ISNUMBER(MATCH(O1185,$G$5:$G$1000,0)),"",IF(D1185=1,B$4,0)+MAX(I$4:I1184)+1))</f>
        <v/>
      </c>
      <c r="M1185" s="14" t="str">
        <f>IF(ROW()-ROW(M$4)&lt;=1000,ROW()-ROW(M$4),"")</f>
        <v/>
      </c>
    </row>
    <row r="1186" spans="4:13" ht="12" customHeight="1" x14ac:dyDescent="0.25">
      <c r="D1186" s="15" t="str">
        <f>IF(IF(ISNUMBER(B1186),"",MAX(D$4:D1185)+1)&lt;=D$3,IF(ISNUMBER(B1186),"",MAX(D$4:D1185)+1),"")</f>
        <v/>
      </c>
      <c r="H1186" s="15"/>
      <c r="I1186" s="15" t="str">
        <f>IF(O1186="","",IF(ISNUMBER(MATCH(O1186,$G$5:$G$1000,0)),"",IF(D1186=1,B$4,0)+MAX(I$4:I1185)+1))</f>
        <v/>
      </c>
      <c r="M1186" s="14" t="str">
        <f>IF(ROW()-ROW(M$4)&lt;=1000,ROW()-ROW(M$4),"")</f>
        <v/>
      </c>
    </row>
    <row r="1187" spans="4:13" ht="12" customHeight="1" x14ac:dyDescent="0.25">
      <c r="D1187" s="15" t="str">
        <f>IF(IF(ISNUMBER(B1187),"",MAX(D$4:D1186)+1)&lt;=D$3,IF(ISNUMBER(B1187),"",MAX(D$4:D1186)+1),"")</f>
        <v/>
      </c>
      <c r="H1187" s="15"/>
      <c r="I1187" s="15" t="str">
        <f>IF(O1187="","",IF(ISNUMBER(MATCH(O1187,$G$5:$G$1000,0)),"",IF(D1187=1,B$4,0)+MAX(I$4:I1186)+1))</f>
        <v/>
      </c>
      <c r="M1187" s="14" t="str">
        <f>IF(ROW()-ROW(M$4)&lt;=1000,ROW()-ROW(M$4),"")</f>
        <v/>
      </c>
    </row>
    <row r="1188" spans="4:13" ht="12" customHeight="1" x14ac:dyDescent="0.25">
      <c r="D1188" s="15" t="str">
        <f>IF(IF(ISNUMBER(B1188),"",MAX(D$4:D1187)+1)&lt;=D$3,IF(ISNUMBER(B1188),"",MAX(D$4:D1187)+1),"")</f>
        <v/>
      </c>
      <c r="H1188" s="15"/>
      <c r="I1188" s="15" t="str">
        <f>IF(O1188="","",IF(ISNUMBER(MATCH(O1188,$G$5:$G$1000,0)),"",IF(D1188=1,B$4,0)+MAX(I$4:I1187)+1))</f>
        <v/>
      </c>
      <c r="M1188" s="14" t="str">
        <f>IF(ROW()-ROW(M$4)&lt;=1000,ROW()-ROW(M$4),"")</f>
        <v/>
      </c>
    </row>
    <row r="1189" spans="4:13" ht="12" customHeight="1" x14ac:dyDescent="0.25">
      <c r="D1189" s="15" t="str">
        <f>IF(IF(ISNUMBER(B1189),"",MAX(D$4:D1188)+1)&lt;=D$3,IF(ISNUMBER(B1189),"",MAX(D$4:D1188)+1),"")</f>
        <v/>
      </c>
      <c r="H1189" s="15"/>
      <c r="I1189" s="15" t="str">
        <f>IF(O1189="","",IF(ISNUMBER(MATCH(O1189,$G$5:$G$1000,0)),"",IF(D1189=1,B$4,0)+MAX(I$4:I1188)+1))</f>
        <v/>
      </c>
      <c r="M1189" s="14" t="str">
        <f>IF(ROW()-ROW(M$4)&lt;=1000,ROW()-ROW(M$4),"")</f>
        <v/>
      </c>
    </row>
    <row r="1190" spans="4:13" ht="12" customHeight="1" x14ac:dyDescent="0.25">
      <c r="D1190" s="15" t="str">
        <f>IF(IF(ISNUMBER(B1190),"",MAX(D$4:D1189)+1)&lt;=D$3,IF(ISNUMBER(B1190),"",MAX(D$4:D1189)+1),"")</f>
        <v/>
      </c>
      <c r="H1190" s="15"/>
      <c r="I1190" s="15" t="str">
        <f>IF(O1190="","",IF(ISNUMBER(MATCH(O1190,$G$5:$G$1000,0)),"",IF(D1190=1,B$4,0)+MAX(I$4:I1189)+1))</f>
        <v/>
      </c>
      <c r="M1190" s="14" t="str">
        <f>IF(ROW()-ROW(M$4)&lt;=1000,ROW()-ROW(M$4),"")</f>
        <v/>
      </c>
    </row>
    <row r="1191" spans="4:13" ht="12" customHeight="1" x14ac:dyDescent="0.25">
      <c r="D1191" s="15" t="str">
        <f>IF(IF(ISNUMBER(B1191),"",MAX(D$4:D1190)+1)&lt;=D$3,IF(ISNUMBER(B1191),"",MAX(D$4:D1190)+1),"")</f>
        <v/>
      </c>
      <c r="H1191" s="15"/>
      <c r="I1191" s="15" t="str">
        <f>IF(O1191="","",IF(ISNUMBER(MATCH(O1191,$G$5:$G$1000,0)),"",IF(D1191=1,B$4,0)+MAX(I$4:I1190)+1))</f>
        <v/>
      </c>
      <c r="M1191" s="14" t="str">
        <f>IF(ROW()-ROW(M$4)&lt;=1000,ROW()-ROW(M$4),"")</f>
        <v/>
      </c>
    </row>
    <row r="1192" spans="4:13" ht="12" customHeight="1" x14ac:dyDescent="0.25">
      <c r="D1192" s="15" t="str">
        <f>IF(IF(ISNUMBER(B1192),"",MAX(D$4:D1191)+1)&lt;=D$3,IF(ISNUMBER(B1192),"",MAX(D$4:D1191)+1),"")</f>
        <v/>
      </c>
      <c r="H1192" s="15"/>
      <c r="I1192" s="15" t="str">
        <f>IF(O1192="","",IF(ISNUMBER(MATCH(O1192,$G$5:$G$1000,0)),"",IF(D1192=1,B$4,0)+MAX(I$4:I1191)+1))</f>
        <v/>
      </c>
      <c r="M1192" s="14" t="str">
        <f>IF(ROW()-ROW(M$4)&lt;=1000,ROW()-ROW(M$4),"")</f>
        <v/>
      </c>
    </row>
    <row r="1193" spans="4:13" ht="12" customHeight="1" x14ac:dyDescent="0.25">
      <c r="D1193" s="15" t="str">
        <f>IF(IF(ISNUMBER(B1193),"",MAX(D$4:D1192)+1)&lt;=D$3,IF(ISNUMBER(B1193),"",MAX(D$4:D1192)+1),"")</f>
        <v/>
      </c>
      <c r="H1193" s="15"/>
      <c r="I1193" s="15" t="str">
        <f>IF(O1193="","",IF(ISNUMBER(MATCH(O1193,$G$5:$G$1000,0)),"",IF(D1193=1,B$4,0)+MAX(I$4:I1192)+1))</f>
        <v/>
      </c>
      <c r="M1193" s="14" t="str">
        <f>IF(ROW()-ROW(M$4)&lt;=1000,ROW()-ROW(M$4),"")</f>
        <v/>
      </c>
    </row>
    <row r="1194" spans="4:13" ht="12" customHeight="1" x14ac:dyDescent="0.25">
      <c r="D1194" s="15" t="str">
        <f>IF(IF(ISNUMBER(B1194),"",MAX(D$4:D1193)+1)&lt;=D$3,IF(ISNUMBER(B1194),"",MAX(D$4:D1193)+1),"")</f>
        <v/>
      </c>
      <c r="H1194" s="15"/>
      <c r="I1194" s="15" t="str">
        <f>IF(O1194="","",IF(ISNUMBER(MATCH(O1194,$G$5:$G$1000,0)),"",IF(D1194=1,B$4,0)+MAX(I$4:I1193)+1))</f>
        <v/>
      </c>
      <c r="M1194" s="14" t="str">
        <f>IF(ROW()-ROW(M$4)&lt;=1000,ROW()-ROW(M$4),"")</f>
        <v/>
      </c>
    </row>
    <row r="1195" spans="4:13" ht="12" customHeight="1" x14ac:dyDescent="0.25">
      <c r="D1195" s="15" t="str">
        <f>IF(IF(ISNUMBER(B1195),"",MAX(D$4:D1194)+1)&lt;=D$3,IF(ISNUMBER(B1195),"",MAX(D$4:D1194)+1),"")</f>
        <v/>
      </c>
      <c r="H1195" s="15"/>
      <c r="I1195" s="15" t="str">
        <f>IF(O1195="","",IF(ISNUMBER(MATCH(O1195,$G$5:$G$1000,0)),"",IF(D1195=1,B$4,0)+MAX(I$4:I1194)+1))</f>
        <v/>
      </c>
      <c r="M1195" s="14" t="str">
        <f>IF(ROW()-ROW(M$4)&lt;=1000,ROW()-ROW(M$4),"")</f>
        <v/>
      </c>
    </row>
    <row r="1196" spans="4:13" ht="12" customHeight="1" x14ac:dyDescent="0.25">
      <c r="D1196" s="15" t="str">
        <f>IF(IF(ISNUMBER(B1196),"",MAX(D$4:D1195)+1)&lt;=D$3,IF(ISNUMBER(B1196),"",MAX(D$4:D1195)+1),"")</f>
        <v/>
      </c>
      <c r="H1196" s="15"/>
      <c r="I1196" s="15" t="str">
        <f>IF(O1196="","",IF(ISNUMBER(MATCH(O1196,$G$5:$G$1000,0)),"",IF(D1196=1,B$4,0)+MAX(I$4:I1195)+1))</f>
        <v/>
      </c>
      <c r="M1196" s="14" t="str">
        <f>IF(ROW()-ROW(M$4)&lt;=1000,ROW()-ROW(M$4),"")</f>
        <v/>
      </c>
    </row>
    <row r="1197" spans="4:13" ht="12" customHeight="1" x14ac:dyDescent="0.25">
      <c r="D1197" s="15" t="str">
        <f>IF(IF(ISNUMBER(B1197),"",MAX(D$4:D1196)+1)&lt;=D$3,IF(ISNUMBER(B1197),"",MAX(D$4:D1196)+1),"")</f>
        <v/>
      </c>
      <c r="H1197" s="15"/>
      <c r="I1197" s="15" t="str">
        <f>IF(O1197="","",IF(ISNUMBER(MATCH(O1197,$G$5:$G$1000,0)),"",IF(D1197=1,B$4,0)+MAX(I$4:I1196)+1))</f>
        <v/>
      </c>
      <c r="M1197" s="14" t="str">
        <f>IF(ROW()-ROW(M$4)&lt;=1000,ROW()-ROW(M$4),"")</f>
        <v/>
      </c>
    </row>
    <row r="1198" spans="4:13" ht="12" customHeight="1" x14ac:dyDescent="0.25">
      <c r="D1198" s="15" t="str">
        <f>IF(IF(ISNUMBER(B1198),"",MAX(D$4:D1197)+1)&lt;=D$3,IF(ISNUMBER(B1198),"",MAX(D$4:D1197)+1),"")</f>
        <v/>
      </c>
      <c r="H1198" s="15"/>
      <c r="I1198" s="15" t="str">
        <f>IF(O1198="","",IF(ISNUMBER(MATCH(O1198,$G$5:$G$1000,0)),"",IF(D1198=1,B$4,0)+MAX(I$4:I1197)+1))</f>
        <v/>
      </c>
      <c r="M1198" s="14" t="str">
        <f>IF(ROW()-ROW(M$4)&lt;=1000,ROW()-ROW(M$4),"")</f>
        <v/>
      </c>
    </row>
    <row r="1199" spans="4:13" ht="12" customHeight="1" x14ac:dyDescent="0.25">
      <c r="D1199" s="15" t="str">
        <f>IF(IF(ISNUMBER(B1199),"",MAX(D$4:D1198)+1)&lt;=D$3,IF(ISNUMBER(B1199),"",MAX(D$4:D1198)+1),"")</f>
        <v/>
      </c>
      <c r="H1199" s="15"/>
      <c r="I1199" s="15" t="str">
        <f>IF(O1199="","",IF(ISNUMBER(MATCH(O1199,$G$5:$G$1000,0)),"",IF(D1199=1,B$4,0)+MAX(I$4:I1198)+1))</f>
        <v/>
      </c>
      <c r="M1199" s="14" t="str">
        <f>IF(ROW()-ROW(M$4)&lt;=1000,ROW()-ROW(M$4),"")</f>
        <v/>
      </c>
    </row>
    <row r="1200" spans="4:13" ht="12" customHeight="1" x14ac:dyDescent="0.25">
      <c r="D1200" s="15" t="str">
        <f>IF(IF(ISNUMBER(B1200),"",MAX(D$4:D1199)+1)&lt;=D$3,IF(ISNUMBER(B1200),"",MAX(D$4:D1199)+1),"")</f>
        <v/>
      </c>
      <c r="H1200" s="15"/>
      <c r="I1200" s="15" t="str">
        <f>IF(O1200="","",IF(ISNUMBER(MATCH(O1200,$G$5:$G$1000,0)),"",IF(D1200=1,B$4,0)+MAX(I$4:I1199)+1))</f>
        <v/>
      </c>
      <c r="M1200" s="14" t="str">
        <f>IF(ROW()-ROW(M$4)&lt;=1000,ROW()-ROW(M$4),"")</f>
        <v/>
      </c>
    </row>
    <row r="1201" spans="4:13" ht="12" customHeight="1" x14ac:dyDescent="0.25">
      <c r="D1201" s="15" t="str">
        <f>IF(IF(ISNUMBER(B1201),"",MAX(D$4:D1200)+1)&lt;=D$3,IF(ISNUMBER(B1201),"",MAX(D$4:D1200)+1),"")</f>
        <v/>
      </c>
      <c r="H1201" s="15"/>
      <c r="I1201" s="15" t="str">
        <f>IF(O1201="","",IF(ISNUMBER(MATCH(O1201,$G$5:$G$1000,0)),"",IF(D1201=1,B$4,0)+MAX(I$4:I1200)+1))</f>
        <v/>
      </c>
      <c r="M1201" s="14" t="str">
        <f>IF(ROW()-ROW(M$4)&lt;=1000,ROW()-ROW(M$4),"")</f>
        <v/>
      </c>
    </row>
    <row r="1202" spans="4:13" ht="12" customHeight="1" x14ac:dyDescent="0.25">
      <c r="D1202" s="15" t="str">
        <f>IF(IF(ISNUMBER(B1202),"",MAX(D$4:D1201)+1)&lt;=D$3,IF(ISNUMBER(B1202),"",MAX(D$4:D1201)+1),"")</f>
        <v/>
      </c>
      <c r="H1202" s="15"/>
      <c r="I1202" s="15" t="str">
        <f>IF(O1202="","",IF(ISNUMBER(MATCH(O1202,$G$5:$G$1000,0)),"",IF(D1202=1,B$4,0)+MAX(I$4:I1201)+1))</f>
        <v/>
      </c>
      <c r="M1202" s="14" t="str">
        <f>IF(ROW()-ROW(M$4)&lt;=1000,ROW()-ROW(M$4),"")</f>
        <v/>
      </c>
    </row>
    <row r="1203" spans="4:13" ht="12" customHeight="1" x14ac:dyDescent="0.25">
      <c r="D1203" s="15" t="str">
        <f>IF(IF(ISNUMBER(B1203),"",MAX(D$4:D1202)+1)&lt;=D$3,IF(ISNUMBER(B1203),"",MAX(D$4:D1202)+1),"")</f>
        <v/>
      </c>
      <c r="H1203" s="15"/>
      <c r="I1203" s="15" t="str">
        <f>IF(O1203="","",IF(ISNUMBER(MATCH(O1203,$G$5:$G$1000,0)),"",IF(D1203=1,B$4,0)+MAX(I$4:I1202)+1))</f>
        <v/>
      </c>
      <c r="M1203" s="14" t="str">
        <f>IF(ROW()-ROW(M$4)&lt;=1000,ROW()-ROW(M$4),"")</f>
        <v/>
      </c>
    </row>
    <row r="1204" spans="4:13" ht="12" customHeight="1" x14ac:dyDescent="0.25">
      <c r="D1204" s="15" t="str">
        <f>IF(IF(ISNUMBER(B1204),"",MAX(D$4:D1203)+1)&lt;=D$3,IF(ISNUMBER(B1204),"",MAX(D$4:D1203)+1),"")</f>
        <v/>
      </c>
      <c r="H1204" s="15"/>
      <c r="I1204" s="15" t="str">
        <f>IF(O1204="","",IF(ISNUMBER(MATCH(O1204,$G$5:$G$1000,0)),"",IF(D1204=1,B$4,0)+MAX(I$4:I1203)+1))</f>
        <v/>
      </c>
      <c r="M1204" s="14" t="str">
        <f>IF(ROW()-ROW(M$4)&lt;=1000,ROW()-ROW(M$4),"")</f>
        <v/>
      </c>
    </row>
    <row r="1205" spans="4:13" ht="12" customHeight="1" x14ac:dyDescent="0.25">
      <c r="D1205" s="15" t="str">
        <f>IF(IF(ISNUMBER(B1205),"",MAX(D$4:D1204)+1)&lt;=D$3,IF(ISNUMBER(B1205),"",MAX(D$4:D1204)+1),"")</f>
        <v/>
      </c>
      <c r="H1205" s="15"/>
      <c r="I1205" s="15" t="str">
        <f>IF(O1205="","",IF(ISNUMBER(MATCH(O1205,$G$5:$G$1000,0)),"",IF(D1205=1,B$4,0)+MAX(I$4:I1204)+1))</f>
        <v/>
      </c>
      <c r="M1205" s="14" t="str">
        <f>IF(ROW()-ROW(M$4)&lt;=1000,ROW()-ROW(M$4),"")</f>
        <v/>
      </c>
    </row>
    <row r="1206" spans="4:13" ht="12" customHeight="1" x14ac:dyDescent="0.25">
      <c r="D1206" s="15" t="str">
        <f>IF(IF(ISNUMBER(B1206),"",MAX(D$4:D1205)+1)&lt;=D$3,IF(ISNUMBER(B1206),"",MAX(D$4:D1205)+1),"")</f>
        <v/>
      </c>
      <c r="H1206" s="15"/>
      <c r="I1206" s="15" t="str">
        <f>IF(O1206="","",IF(ISNUMBER(MATCH(O1206,$G$5:$G$1000,0)),"",IF(D1206=1,B$4,0)+MAX(I$4:I1205)+1))</f>
        <v/>
      </c>
      <c r="M1206" s="14" t="str">
        <f>IF(ROW()-ROW(M$4)&lt;=1000,ROW()-ROW(M$4),"")</f>
        <v/>
      </c>
    </row>
    <row r="1207" spans="4:13" ht="12" customHeight="1" x14ac:dyDescent="0.25">
      <c r="D1207" s="15" t="str">
        <f>IF(IF(ISNUMBER(B1207),"",MAX(D$4:D1206)+1)&lt;=D$3,IF(ISNUMBER(B1207),"",MAX(D$4:D1206)+1),"")</f>
        <v/>
      </c>
      <c r="H1207" s="15"/>
      <c r="I1207" s="15" t="str">
        <f>IF(O1207="","",IF(ISNUMBER(MATCH(O1207,$G$5:$G$1000,0)),"",IF(D1207=1,B$4,0)+MAX(I$4:I1206)+1))</f>
        <v/>
      </c>
      <c r="M1207" s="14" t="str">
        <f>IF(ROW()-ROW(M$4)&lt;=1000,ROW()-ROW(M$4),"")</f>
        <v/>
      </c>
    </row>
    <row r="1208" spans="4:13" ht="12" customHeight="1" x14ac:dyDescent="0.25">
      <c r="D1208" s="15" t="str">
        <f>IF(IF(ISNUMBER(B1208),"",MAX(D$4:D1207)+1)&lt;=D$3,IF(ISNUMBER(B1208),"",MAX(D$4:D1207)+1),"")</f>
        <v/>
      </c>
      <c r="H1208" s="15"/>
      <c r="I1208" s="15" t="str">
        <f>IF(O1208="","",IF(ISNUMBER(MATCH(O1208,$G$5:$G$1000,0)),"",IF(D1208=1,B$4,0)+MAX(I$4:I1207)+1))</f>
        <v/>
      </c>
      <c r="M1208" s="14" t="str">
        <f>IF(ROW()-ROW(M$4)&lt;=1000,ROW()-ROW(M$4),"")</f>
        <v/>
      </c>
    </row>
    <row r="1209" spans="4:13" ht="12" customHeight="1" x14ac:dyDescent="0.25">
      <c r="D1209" s="15" t="str">
        <f>IF(IF(ISNUMBER(B1209),"",MAX(D$4:D1208)+1)&lt;=D$3,IF(ISNUMBER(B1209),"",MAX(D$4:D1208)+1),"")</f>
        <v/>
      </c>
      <c r="H1209" s="15"/>
      <c r="I1209" s="15" t="str">
        <f>IF(O1209="","",IF(ISNUMBER(MATCH(O1209,$G$5:$G$1000,0)),"",IF(D1209=1,B$4,0)+MAX(I$4:I1208)+1))</f>
        <v/>
      </c>
      <c r="M1209" s="14" t="str">
        <f>IF(ROW()-ROW(M$4)&lt;=1000,ROW()-ROW(M$4),"")</f>
        <v/>
      </c>
    </row>
    <row r="1210" spans="4:13" ht="12" customHeight="1" x14ac:dyDescent="0.25">
      <c r="D1210" s="15" t="str">
        <f>IF(IF(ISNUMBER(B1210),"",MAX(D$4:D1209)+1)&lt;=D$3,IF(ISNUMBER(B1210),"",MAX(D$4:D1209)+1),"")</f>
        <v/>
      </c>
      <c r="H1210" s="15"/>
      <c r="I1210" s="15" t="str">
        <f>IF(O1210="","",IF(ISNUMBER(MATCH(O1210,$G$5:$G$1000,0)),"",IF(D1210=1,B$4,0)+MAX(I$4:I1209)+1))</f>
        <v/>
      </c>
      <c r="M1210" s="14" t="str">
        <f>IF(ROW()-ROW(M$4)&lt;=1000,ROW()-ROW(M$4),"")</f>
        <v/>
      </c>
    </row>
    <row r="1211" spans="4:13" ht="12" customHeight="1" x14ac:dyDescent="0.25">
      <c r="D1211" s="15" t="str">
        <f>IF(IF(ISNUMBER(B1211),"",MAX(D$4:D1210)+1)&lt;=D$3,IF(ISNUMBER(B1211),"",MAX(D$4:D1210)+1),"")</f>
        <v/>
      </c>
      <c r="H1211" s="15"/>
      <c r="I1211" s="15" t="str">
        <f>IF(O1211="","",IF(ISNUMBER(MATCH(O1211,$G$5:$G$1000,0)),"",IF(D1211=1,B$4,0)+MAX(I$4:I1210)+1))</f>
        <v/>
      </c>
      <c r="M1211" s="14" t="str">
        <f>IF(ROW()-ROW(M$4)&lt;=1000,ROW()-ROW(M$4),"")</f>
        <v/>
      </c>
    </row>
    <row r="1212" spans="4:13" ht="12" customHeight="1" x14ac:dyDescent="0.25">
      <c r="D1212" s="15" t="str">
        <f>IF(IF(ISNUMBER(B1212),"",MAX(D$4:D1211)+1)&lt;=D$3,IF(ISNUMBER(B1212),"",MAX(D$4:D1211)+1),"")</f>
        <v/>
      </c>
      <c r="H1212" s="15"/>
      <c r="I1212" s="15" t="str">
        <f>IF(O1212="","",IF(ISNUMBER(MATCH(O1212,$G$5:$G$1000,0)),"",IF(D1212=1,B$4,0)+MAX(I$4:I1211)+1))</f>
        <v/>
      </c>
      <c r="M1212" s="14" t="str">
        <f>IF(ROW()-ROW(M$4)&lt;=1000,ROW()-ROW(M$4),"")</f>
        <v/>
      </c>
    </row>
    <row r="1213" spans="4:13" ht="12" customHeight="1" x14ac:dyDescent="0.25">
      <c r="D1213" s="15" t="str">
        <f>IF(IF(ISNUMBER(B1213),"",MAX(D$4:D1212)+1)&lt;=D$3,IF(ISNUMBER(B1213),"",MAX(D$4:D1212)+1),"")</f>
        <v/>
      </c>
      <c r="H1213" s="15"/>
      <c r="I1213" s="15" t="str">
        <f>IF(O1213="","",IF(ISNUMBER(MATCH(O1213,$G$5:$G$1000,0)),"",IF(D1213=1,B$4,0)+MAX(I$4:I1212)+1))</f>
        <v/>
      </c>
      <c r="M1213" s="14" t="str">
        <f>IF(ROW()-ROW(M$4)&lt;=1000,ROW()-ROW(M$4),"")</f>
        <v/>
      </c>
    </row>
    <row r="1214" spans="4:13" ht="12" customHeight="1" x14ac:dyDescent="0.25">
      <c r="D1214" s="15" t="str">
        <f>IF(IF(ISNUMBER(B1214),"",MAX(D$4:D1213)+1)&lt;=D$3,IF(ISNUMBER(B1214),"",MAX(D$4:D1213)+1),"")</f>
        <v/>
      </c>
      <c r="H1214" s="15"/>
      <c r="I1214" s="15" t="str">
        <f>IF(O1214="","",IF(ISNUMBER(MATCH(O1214,$G$5:$G$1000,0)),"",IF(D1214=1,B$4,0)+MAX(I$4:I1213)+1))</f>
        <v/>
      </c>
      <c r="M1214" s="14" t="str">
        <f>IF(ROW()-ROW(M$4)&lt;=1000,ROW()-ROW(M$4),"")</f>
        <v/>
      </c>
    </row>
    <row r="1215" spans="4:13" ht="12" customHeight="1" x14ac:dyDescent="0.25">
      <c r="D1215" s="15" t="str">
        <f>IF(IF(ISNUMBER(B1215),"",MAX(D$4:D1214)+1)&lt;=D$3,IF(ISNUMBER(B1215),"",MAX(D$4:D1214)+1),"")</f>
        <v/>
      </c>
      <c r="H1215" s="15"/>
      <c r="I1215" s="15" t="str">
        <f>IF(O1215="","",IF(ISNUMBER(MATCH(O1215,$G$5:$G$1000,0)),"",IF(D1215=1,B$4,0)+MAX(I$4:I1214)+1))</f>
        <v/>
      </c>
      <c r="M1215" s="14" t="str">
        <f>IF(ROW()-ROW(M$4)&lt;=1000,ROW()-ROW(M$4),"")</f>
        <v/>
      </c>
    </row>
    <row r="1216" spans="4:13" ht="12" customHeight="1" x14ac:dyDescent="0.25">
      <c r="D1216" s="15" t="str">
        <f>IF(IF(ISNUMBER(B1216),"",MAX(D$4:D1215)+1)&lt;=D$3,IF(ISNUMBER(B1216),"",MAX(D$4:D1215)+1),"")</f>
        <v/>
      </c>
      <c r="H1216" s="15"/>
      <c r="I1216" s="15" t="str">
        <f>IF(O1216="","",IF(ISNUMBER(MATCH(O1216,$G$5:$G$1000,0)),"",IF(D1216=1,B$4,0)+MAX(I$4:I1215)+1))</f>
        <v/>
      </c>
      <c r="M1216" s="14" t="str">
        <f>IF(ROW()-ROW(M$4)&lt;=1000,ROW()-ROW(M$4),"")</f>
        <v/>
      </c>
    </row>
    <row r="1217" spans="4:13" ht="12" customHeight="1" x14ac:dyDescent="0.25">
      <c r="D1217" s="15" t="str">
        <f>IF(IF(ISNUMBER(B1217),"",MAX(D$4:D1216)+1)&lt;=D$3,IF(ISNUMBER(B1217),"",MAX(D$4:D1216)+1),"")</f>
        <v/>
      </c>
      <c r="H1217" s="15"/>
      <c r="I1217" s="15" t="str">
        <f>IF(O1217="","",IF(ISNUMBER(MATCH(O1217,$G$5:$G$1000,0)),"",IF(D1217=1,B$4,0)+MAX(I$4:I1216)+1))</f>
        <v/>
      </c>
      <c r="M1217" s="14" t="str">
        <f>IF(ROW()-ROW(M$4)&lt;=1000,ROW()-ROW(M$4),"")</f>
        <v/>
      </c>
    </row>
    <row r="1218" spans="4:13" ht="12" customHeight="1" x14ac:dyDescent="0.25">
      <c r="D1218" s="15" t="str">
        <f>IF(IF(ISNUMBER(B1218),"",MAX(D$4:D1217)+1)&lt;=D$3,IF(ISNUMBER(B1218),"",MAX(D$4:D1217)+1),"")</f>
        <v/>
      </c>
      <c r="H1218" s="15"/>
      <c r="I1218" s="15" t="str">
        <f>IF(O1218="","",IF(ISNUMBER(MATCH(O1218,$G$5:$G$1000,0)),"",IF(D1218=1,B$4,0)+MAX(I$4:I1217)+1))</f>
        <v/>
      </c>
      <c r="M1218" s="14" t="str">
        <f>IF(ROW()-ROW(M$4)&lt;=1000,ROW()-ROW(M$4),"")</f>
        <v/>
      </c>
    </row>
    <row r="1219" spans="4:13" ht="12" customHeight="1" x14ac:dyDescent="0.25">
      <c r="D1219" s="15" t="str">
        <f>IF(IF(ISNUMBER(B1219),"",MAX(D$4:D1218)+1)&lt;=D$3,IF(ISNUMBER(B1219),"",MAX(D$4:D1218)+1),"")</f>
        <v/>
      </c>
      <c r="H1219" s="15"/>
      <c r="I1219" s="15" t="str">
        <f>IF(O1219="","",IF(ISNUMBER(MATCH(O1219,$G$5:$G$1000,0)),"",IF(D1219=1,B$4,0)+MAX(I$4:I1218)+1))</f>
        <v/>
      </c>
      <c r="M1219" s="14" t="str">
        <f>IF(ROW()-ROW(M$4)&lt;=1000,ROW()-ROW(M$4),"")</f>
        <v/>
      </c>
    </row>
    <row r="1220" spans="4:13" ht="12" customHeight="1" x14ac:dyDescent="0.25">
      <c r="D1220" s="15" t="str">
        <f>IF(IF(ISNUMBER(B1220),"",MAX(D$4:D1219)+1)&lt;=D$3,IF(ISNUMBER(B1220),"",MAX(D$4:D1219)+1),"")</f>
        <v/>
      </c>
      <c r="H1220" s="15"/>
      <c r="I1220" s="15" t="str">
        <f>IF(O1220="","",IF(ISNUMBER(MATCH(O1220,$G$5:$G$1000,0)),"",IF(D1220=1,B$4,0)+MAX(I$4:I1219)+1))</f>
        <v/>
      </c>
      <c r="M1220" s="14" t="str">
        <f>IF(ROW()-ROW(M$4)&lt;=1000,ROW()-ROW(M$4),"")</f>
        <v/>
      </c>
    </row>
    <row r="1221" spans="4:13" ht="12" customHeight="1" x14ac:dyDescent="0.25">
      <c r="D1221" s="15" t="str">
        <f>IF(IF(ISNUMBER(B1221),"",MAX(D$4:D1220)+1)&lt;=D$3,IF(ISNUMBER(B1221),"",MAX(D$4:D1220)+1),"")</f>
        <v/>
      </c>
      <c r="H1221" s="15"/>
      <c r="I1221" s="15" t="str">
        <f>IF(O1221="","",IF(ISNUMBER(MATCH(O1221,$G$5:$G$1000,0)),"",IF(D1221=1,B$4,0)+MAX(I$4:I1220)+1))</f>
        <v/>
      </c>
      <c r="M1221" s="14" t="str">
        <f>IF(ROW()-ROW(M$4)&lt;=1000,ROW()-ROW(M$4),"")</f>
        <v/>
      </c>
    </row>
    <row r="1222" spans="4:13" ht="12" customHeight="1" x14ac:dyDescent="0.25">
      <c r="D1222" s="15" t="str">
        <f>IF(IF(ISNUMBER(B1222),"",MAX(D$4:D1221)+1)&lt;=D$3,IF(ISNUMBER(B1222),"",MAX(D$4:D1221)+1),"")</f>
        <v/>
      </c>
      <c r="H1222" s="15"/>
      <c r="I1222" s="15" t="str">
        <f>IF(O1222="","",IF(ISNUMBER(MATCH(O1222,$G$5:$G$1000,0)),"",IF(D1222=1,B$4,0)+MAX(I$4:I1221)+1))</f>
        <v/>
      </c>
      <c r="M1222" s="14" t="str">
        <f>IF(ROW()-ROW(M$4)&lt;=1000,ROW()-ROW(M$4),"")</f>
        <v/>
      </c>
    </row>
    <row r="1223" spans="4:13" ht="12" customHeight="1" x14ac:dyDescent="0.25">
      <c r="D1223" s="15" t="str">
        <f>IF(IF(ISNUMBER(B1223),"",MAX(D$4:D1222)+1)&lt;=D$3,IF(ISNUMBER(B1223),"",MAX(D$4:D1222)+1),"")</f>
        <v/>
      </c>
      <c r="H1223" s="15"/>
      <c r="I1223" s="15" t="str">
        <f>IF(O1223="","",IF(ISNUMBER(MATCH(O1223,$G$5:$G$1000,0)),"",IF(D1223=1,B$4,0)+MAX(I$4:I1222)+1))</f>
        <v/>
      </c>
      <c r="M1223" s="14" t="str">
        <f>IF(ROW()-ROW(M$4)&lt;=1000,ROW()-ROW(M$4),"")</f>
        <v/>
      </c>
    </row>
    <row r="1224" spans="4:13" ht="12" customHeight="1" x14ac:dyDescent="0.25">
      <c r="D1224" s="15" t="str">
        <f>IF(IF(ISNUMBER(B1224),"",MAX(D$4:D1223)+1)&lt;=D$3,IF(ISNUMBER(B1224),"",MAX(D$4:D1223)+1),"")</f>
        <v/>
      </c>
      <c r="H1224" s="15"/>
      <c r="I1224" s="15" t="str">
        <f>IF(O1224="","",IF(ISNUMBER(MATCH(O1224,$G$5:$G$1000,0)),"",IF(D1224=1,B$4,0)+MAX(I$4:I1223)+1))</f>
        <v/>
      </c>
      <c r="M1224" s="14" t="str">
        <f>IF(ROW()-ROW(M$4)&lt;=1000,ROW()-ROW(M$4),"")</f>
        <v/>
      </c>
    </row>
    <row r="1225" spans="4:13" ht="12" customHeight="1" x14ac:dyDescent="0.25">
      <c r="D1225" s="15" t="str">
        <f>IF(IF(ISNUMBER(B1225),"",MAX(D$4:D1224)+1)&lt;=D$3,IF(ISNUMBER(B1225),"",MAX(D$4:D1224)+1),"")</f>
        <v/>
      </c>
      <c r="H1225" s="15"/>
      <c r="I1225" s="15" t="str">
        <f>IF(O1225="","",IF(ISNUMBER(MATCH(O1225,$G$5:$G$1000,0)),"",IF(D1225=1,B$4,0)+MAX(I$4:I1224)+1))</f>
        <v/>
      </c>
      <c r="M1225" s="14" t="str">
        <f>IF(ROW()-ROW(M$4)&lt;=1000,ROW()-ROW(M$4),"")</f>
        <v/>
      </c>
    </row>
    <row r="1226" spans="4:13" ht="12" customHeight="1" x14ac:dyDescent="0.25">
      <c r="D1226" s="15" t="str">
        <f>IF(IF(ISNUMBER(B1226),"",MAX(D$4:D1225)+1)&lt;=D$3,IF(ISNUMBER(B1226),"",MAX(D$4:D1225)+1),"")</f>
        <v/>
      </c>
      <c r="H1226" s="15"/>
      <c r="I1226" s="15" t="str">
        <f>IF(O1226="","",IF(ISNUMBER(MATCH(O1226,$G$5:$G$1000,0)),"",IF(D1226=1,B$4,0)+MAX(I$4:I1225)+1))</f>
        <v/>
      </c>
      <c r="M1226" s="14" t="str">
        <f>IF(ROW()-ROW(M$4)&lt;=1000,ROW()-ROW(M$4),"")</f>
        <v/>
      </c>
    </row>
    <row r="1227" spans="4:13" ht="12" customHeight="1" x14ac:dyDescent="0.25">
      <c r="D1227" s="15" t="str">
        <f>IF(IF(ISNUMBER(B1227),"",MAX(D$4:D1226)+1)&lt;=D$3,IF(ISNUMBER(B1227),"",MAX(D$4:D1226)+1),"")</f>
        <v/>
      </c>
      <c r="H1227" s="15"/>
      <c r="I1227" s="15" t="str">
        <f>IF(O1227="","",IF(ISNUMBER(MATCH(O1227,$G$5:$G$1000,0)),"",IF(D1227=1,B$4,0)+MAX(I$4:I1226)+1))</f>
        <v/>
      </c>
      <c r="M1227" s="14" t="str">
        <f>IF(ROW()-ROW(M$4)&lt;=1000,ROW()-ROW(M$4),"")</f>
        <v/>
      </c>
    </row>
    <row r="1228" spans="4:13" ht="12" customHeight="1" x14ac:dyDescent="0.25">
      <c r="D1228" s="15" t="str">
        <f>IF(IF(ISNUMBER(B1228),"",MAX(D$4:D1227)+1)&lt;=D$3,IF(ISNUMBER(B1228),"",MAX(D$4:D1227)+1),"")</f>
        <v/>
      </c>
      <c r="H1228" s="15"/>
      <c r="I1228" s="15" t="str">
        <f>IF(O1228="","",IF(ISNUMBER(MATCH(O1228,$G$5:$G$1000,0)),"",IF(D1228=1,B$4,0)+MAX(I$4:I1227)+1))</f>
        <v/>
      </c>
      <c r="M1228" s="14" t="str">
        <f>IF(ROW()-ROW(M$4)&lt;=1000,ROW()-ROW(M$4),"")</f>
        <v/>
      </c>
    </row>
    <row r="1229" spans="4:13" ht="12" customHeight="1" x14ac:dyDescent="0.25">
      <c r="D1229" s="15" t="str">
        <f>IF(IF(ISNUMBER(B1229),"",MAX(D$4:D1228)+1)&lt;=D$3,IF(ISNUMBER(B1229),"",MAX(D$4:D1228)+1),"")</f>
        <v/>
      </c>
      <c r="H1229" s="15"/>
      <c r="I1229" s="15" t="str">
        <f>IF(O1229="","",IF(ISNUMBER(MATCH(O1229,$G$5:$G$1000,0)),"",IF(D1229=1,B$4,0)+MAX(I$4:I1228)+1))</f>
        <v/>
      </c>
      <c r="M1229" s="14" t="str">
        <f>IF(ROW()-ROW(M$4)&lt;=1000,ROW()-ROW(M$4),"")</f>
        <v/>
      </c>
    </row>
    <row r="1230" spans="4:13" ht="12" customHeight="1" x14ac:dyDescent="0.25">
      <c r="D1230" s="15" t="str">
        <f>IF(IF(ISNUMBER(B1230),"",MAX(D$4:D1229)+1)&lt;=D$3,IF(ISNUMBER(B1230),"",MAX(D$4:D1229)+1),"")</f>
        <v/>
      </c>
      <c r="H1230" s="15"/>
      <c r="I1230" s="15" t="str">
        <f>IF(O1230="","",IF(ISNUMBER(MATCH(O1230,$G$5:$G$1000,0)),"",IF(D1230=1,B$4,0)+MAX(I$4:I1229)+1))</f>
        <v/>
      </c>
      <c r="M1230" s="14" t="str">
        <f>IF(ROW()-ROW(M$4)&lt;=1000,ROW()-ROW(M$4),"")</f>
        <v/>
      </c>
    </row>
    <row r="1231" spans="4:13" ht="12" customHeight="1" x14ac:dyDescent="0.25">
      <c r="D1231" s="15" t="str">
        <f>IF(IF(ISNUMBER(B1231),"",MAX(D$4:D1230)+1)&lt;=D$3,IF(ISNUMBER(B1231),"",MAX(D$4:D1230)+1),"")</f>
        <v/>
      </c>
      <c r="H1231" s="15"/>
      <c r="I1231" s="15" t="str">
        <f>IF(O1231="","",IF(ISNUMBER(MATCH(O1231,$G$5:$G$1000,0)),"",IF(D1231=1,B$4,0)+MAX(I$4:I1230)+1))</f>
        <v/>
      </c>
      <c r="M1231" s="14" t="str">
        <f>IF(ROW()-ROW(M$4)&lt;=1000,ROW()-ROW(M$4),"")</f>
        <v/>
      </c>
    </row>
    <row r="1232" spans="4:13" ht="12" customHeight="1" x14ac:dyDescent="0.25">
      <c r="D1232" s="15" t="str">
        <f>IF(IF(ISNUMBER(B1232),"",MAX(D$4:D1231)+1)&lt;=D$3,IF(ISNUMBER(B1232),"",MAX(D$4:D1231)+1),"")</f>
        <v/>
      </c>
      <c r="H1232" s="15"/>
      <c r="I1232" s="15" t="str">
        <f>IF(O1232="","",IF(ISNUMBER(MATCH(O1232,$G$5:$G$1000,0)),"",IF(D1232=1,B$4,0)+MAX(I$4:I1231)+1))</f>
        <v/>
      </c>
      <c r="M1232" s="14" t="str">
        <f>IF(ROW()-ROW(M$4)&lt;=1000,ROW()-ROW(M$4),"")</f>
        <v/>
      </c>
    </row>
    <row r="1233" spans="4:13" ht="12" customHeight="1" x14ac:dyDescent="0.25">
      <c r="D1233" s="15" t="str">
        <f>IF(IF(ISNUMBER(B1233),"",MAX(D$4:D1232)+1)&lt;=D$3,IF(ISNUMBER(B1233),"",MAX(D$4:D1232)+1),"")</f>
        <v/>
      </c>
      <c r="H1233" s="15"/>
      <c r="I1233" s="15" t="str">
        <f>IF(O1233="","",IF(ISNUMBER(MATCH(O1233,$G$5:$G$1000,0)),"",IF(D1233=1,B$4,0)+MAX(I$4:I1232)+1))</f>
        <v/>
      </c>
      <c r="M1233" s="14" t="str">
        <f>IF(ROW()-ROW(M$4)&lt;=1000,ROW()-ROW(M$4),"")</f>
        <v/>
      </c>
    </row>
    <row r="1234" spans="4:13" ht="12" customHeight="1" x14ac:dyDescent="0.25">
      <c r="D1234" s="15" t="str">
        <f>IF(IF(ISNUMBER(B1234),"",MAX(D$4:D1233)+1)&lt;=D$3,IF(ISNUMBER(B1234),"",MAX(D$4:D1233)+1),"")</f>
        <v/>
      </c>
      <c r="H1234" s="15"/>
      <c r="I1234" s="15" t="str">
        <f>IF(O1234="","",IF(ISNUMBER(MATCH(O1234,$G$5:$G$1000,0)),"",IF(D1234=1,B$4,0)+MAX(I$4:I1233)+1))</f>
        <v/>
      </c>
      <c r="M1234" s="14" t="str">
        <f>IF(ROW()-ROW(M$4)&lt;=1000,ROW()-ROW(M$4),"")</f>
        <v/>
      </c>
    </row>
    <row r="1235" spans="4:13" ht="12" customHeight="1" x14ac:dyDescent="0.25">
      <c r="D1235" s="15" t="str">
        <f>IF(IF(ISNUMBER(B1235),"",MAX(D$4:D1234)+1)&lt;=D$3,IF(ISNUMBER(B1235),"",MAX(D$4:D1234)+1),"")</f>
        <v/>
      </c>
      <c r="H1235" s="15"/>
      <c r="I1235" s="15" t="str">
        <f>IF(O1235="","",IF(ISNUMBER(MATCH(O1235,$G$5:$G$1000,0)),"",IF(D1235=1,B$4,0)+MAX(I$4:I1234)+1))</f>
        <v/>
      </c>
      <c r="M1235" s="14" t="str">
        <f>IF(ROW()-ROW(M$4)&lt;=1000,ROW()-ROW(M$4),"")</f>
        <v/>
      </c>
    </row>
    <row r="1236" spans="4:13" ht="12" customHeight="1" x14ac:dyDescent="0.25">
      <c r="D1236" s="15" t="str">
        <f>IF(IF(ISNUMBER(B1236),"",MAX(D$4:D1235)+1)&lt;=D$3,IF(ISNUMBER(B1236),"",MAX(D$4:D1235)+1),"")</f>
        <v/>
      </c>
      <c r="H1236" s="15"/>
      <c r="I1236" s="15" t="str">
        <f>IF(O1236="","",IF(ISNUMBER(MATCH(O1236,$G$5:$G$1000,0)),"",IF(D1236=1,B$4,0)+MAX(I$4:I1235)+1))</f>
        <v/>
      </c>
      <c r="M1236" s="14" t="str">
        <f>IF(ROW()-ROW(M$4)&lt;=1000,ROW()-ROW(M$4),"")</f>
        <v/>
      </c>
    </row>
    <row r="1237" spans="4:13" ht="12" customHeight="1" x14ac:dyDescent="0.25">
      <c r="D1237" s="15" t="str">
        <f>IF(IF(ISNUMBER(B1237),"",MAX(D$4:D1236)+1)&lt;=D$3,IF(ISNUMBER(B1237),"",MAX(D$4:D1236)+1),"")</f>
        <v/>
      </c>
      <c r="H1237" s="15"/>
      <c r="I1237" s="15" t="str">
        <f>IF(O1237="","",IF(ISNUMBER(MATCH(O1237,$G$5:$G$1000,0)),"",IF(D1237=1,B$4,0)+MAX(I$4:I1236)+1))</f>
        <v/>
      </c>
      <c r="M1237" s="14" t="str">
        <f>IF(ROW()-ROW(M$4)&lt;=1000,ROW()-ROW(M$4),"")</f>
        <v/>
      </c>
    </row>
    <row r="1238" spans="4:13" ht="12" customHeight="1" x14ac:dyDescent="0.25">
      <c r="D1238" s="15" t="str">
        <f>IF(IF(ISNUMBER(B1238),"",MAX(D$4:D1237)+1)&lt;=D$3,IF(ISNUMBER(B1238),"",MAX(D$4:D1237)+1),"")</f>
        <v/>
      </c>
      <c r="H1238" s="15"/>
      <c r="I1238" s="15" t="str">
        <f>IF(O1238="","",IF(ISNUMBER(MATCH(O1238,$G$5:$G$1000,0)),"",IF(D1238=1,B$4,0)+MAX(I$4:I1237)+1))</f>
        <v/>
      </c>
      <c r="M1238" s="14" t="str">
        <f>IF(ROW()-ROW(M$4)&lt;=1000,ROW()-ROW(M$4),"")</f>
        <v/>
      </c>
    </row>
    <row r="1239" spans="4:13" ht="12" customHeight="1" x14ac:dyDescent="0.25">
      <c r="D1239" s="15" t="str">
        <f>IF(IF(ISNUMBER(B1239),"",MAX(D$4:D1238)+1)&lt;=D$3,IF(ISNUMBER(B1239),"",MAX(D$4:D1238)+1),"")</f>
        <v/>
      </c>
      <c r="H1239" s="15"/>
      <c r="I1239" s="15" t="str">
        <f>IF(O1239="","",IF(ISNUMBER(MATCH(O1239,$G$5:$G$1000,0)),"",IF(D1239=1,B$4,0)+MAX(I$4:I1238)+1))</f>
        <v/>
      </c>
      <c r="M1239" s="14" t="str">
        <f>IF(ROW()-ROW(M$4)&lt;=1000,ROW()-ROW(M$4),"")</f>
        <v/>
      </c>
    </row>
    <row r="1240" spans="4:13" ht="12" customHeight="1" x14ac:dyDescent="0.25">
      <c r="D1240" s="15" t="str">
        <f>IF(IF(ISNUMBER(B1240),"",MAX(D$4:D1239)+1)&lt;=D$3,IF(ISNUMBER(B1240),"",MAX(D$4:D1239)+1),"")</f>
        <v/>
      </c>
      <c r="H1240" s="15"/>
      <c r="I1240" s="15" t="str">
        <f>IF(O1240="","",IF(ISNUMBER(MATCH(O1240,$G$5:$G$1000,0)),"",IF(D1240=1,B$4,0)+MAX(I$4:I1239)+1))</f>
        <v/>
      </c>
      <c r="M1240" s="14" t="str">
        <f>IF(ROW()-ROW(M$4)&lt;=1000,ROW()-ROW(M$4),"")</f>
        <v/>
      </c>
    </row>
    <row r="1241" spans="4:13" ht="12" customHeight="1" x14ac:dyDescent="0.25">
      <c r="D1241" s="15" t="str">
        <f>IF(IF(ISNUMBER(B1241),"",MAX(D$4:D1240)+1)&lt;=D$3,IF(ISNUMBER(B1241),"",MAX(D$4:D1240)+1),"")</f>
        <v/>
      </c>
      <c r="H1241" s="15"/>
      <c r="I1241" s="15" t="str">
        <f>IF(O1241="","",IF(ISNUMBER(MATCH(O1241,$G$5:$G$1000,0)),"",IF(D1241=1,B$4,0)+MAX(I$4:I1240)+1))</f>
        <v/>
      </c>
      <c r="M1241" s="14" t="str">
        <f>IF(ROW()-ROW(M$4)&lt;=1000,ROW()-ROW(M$4),"")</f>
        <v/>
      </c>
    </row>
    <row r="1242" spans="4:13" ht="12" customHeight="1" x14ac:dyDescent="0.25">
      <c r="D1242" s="15" t="str">
        <f>IF(IF(ISNUMBER(B1242),"",MAX(D$4:D1241)+1)&lt;=D$3,IF(ISNUMBER(B1242),"",MAX(D$4:D1241)+1),"")</f>
        <v/>
      </c>
      <c r="H1242" s="15"/>
      <c r="I1242" s="15" t="str">
        <f>IF(O1242="","",IF(ISNUMBER(MATCH(O1242,$G$5:$G$1000,0)),"",IF(D1242=1,B$4,0)+MAX(I$4:I1241)+1))</f>
        <v/>
      </c>
      <c r="M1242" s="14" t="str">
        <f>IF(ROW()-ROW(M$4)&lt;=1000,ROW()-ROW(M$4),"")</f>
        <v/>
      </c>
    </row>
    <row r="1243" spans="4:13" ht="12" customHeight="1" x14ac:dyDescent="0.25">
      <c r="D1243" s="15" t="str">
        <f>IF(IF(ISNUMBER(B1243),"",MAX(D$4:D1242)+1)&lt;=D$3,IF(ISNUMBER(B1243),"",MAX(D$4:D1242)+1),"")</f>
        <v/>
      </c>
      <c r="H1243" s="15"/>
      <c r="I1243" s="15" t="str">
        <f>IF(O1243="","",IF(ISNUMBER(MATCH(O1243,$G$5:$G$1000,0)),"",IF(D1243=1,B$4,0)+MAX(I$4:I1242)+1))</f>
        <v/>
      </c>
      <c r="M1243" s="14" t="str">
        <f>IF(ROW()-ROW(M$4)&lt;=1000,ROW()-ROW(M$4),"")</f>
        <v/>
      </c>
    </row>
    <row r="1244" spans="4:13" ht="12" customHeight="1" x14ac:dyDescent="0.25">
      <c r="D1244" s="15" t="str">
        <f>IF(IF(ISNUMBER(B1244),"",MAX(D$4:D1243)+1)&lt;=D$3,IF(ISNUMBER(B1244),"",MAX(D$4:D1243)+1),"")</f>
        <v/>
      </c>
      <c r="H1244" s="15"/>
      <c r="I1244" s="15" t="str">
        <f>IF(O1244="","",IF(ISNUMBER(MATCH(O1244,$G$5:$G$1000,0)),"",IF(D1244=1,B$4,0)+MAX(I$4:I1243)+1))</f>
        <v/>
      </c>
      <c r="M1244" s="14" t="str">
        <f>IF(ROW()-ROW(M$4)&lt;=1000,ROW()-ROW(M$4),"")</f>
        <v/>
      </c>
    </row>
    <row r="1245" spans="4:13" ht="12" customHeight="1" x14ac:dyDescent="0.25">
      <c r="D1245" s="15" t="str">
        <f>IF(IF(ISNUMBER(B1245),"",MAX(D$4:D1244)+1)&lt;=D$3,IF(ISNUMBER(B1245),"",MAX(D$4:D1244)+1),"")</f>
        <v/>
      </c>
      <c r="H1245" s="15"/>
      <c r="I1245" s="15" t="str">
        <f>IF(O1245="","",IF(ISNUMBER(MATCH(O1245,$G$5:$G$1000,0)),"",IF(D1245=1,B$4,0)+MAX(I$4:I1244)+1))</f>
        <v/>
      </c>
      <c r="M1245" s="14" t="str">
        <f>IF(ROW()-ROW(M$4)&lt;=1000,ROW()-ROW(M$4),"")</f>
        <v/>
      </c>
    </row>
    <row r="1246" spans="4:13" ht="12" customHeight="1" x14ac:dyDescent="0.25">
      <c r="D1246" s="15" t="str">
        <f>IF(IF(ISNUMBER(B1246),"",MAX(D$4:D1245)+1)&lt;=D$3,IF(ISNUMBER(B1246),"",MAX(D$4:D1245)+1),"")</f>
        <v/>
      </c>
      <c r="H1246" s="15"/>
      <c r="I1246" s="15" t="str">
        <f>IF(O1246="","",IF(ISNUMBER(MATCH(O1246,$G$5:$G$1000,0)),"",IF(D1246=1,B$4,0)+MAX(I$4:I1245)+1))</f>
        <v/>
      </c>
      <c r="M1246" s="14" t="str">
        <f>IF(ROW()-ROW(M$4)&lt;=1000,ROW()-ROW(M$4),"")</f>
        <v/>
      </c>
    </row>
    <row r="1247" spans="4:13" ht="12" customHeight="1" x14ac:dyDescent="0.25">
      <c r="D1247" s="15" t="str">
        <f>IF(IF(ISNUMBER(B1247),"",MAX(D$4:D1246)+1)&lt;=D$3,IF(ISNUMBER(B1247),"",MAX(D$4:D1246)+1),"")</f>
        <v/>
      </c>
      <c r="H1247" s="15"/>
      <c r="I1247" s="15" t="str">
        <f>IF(O1247="","",IF(ISNUMBER(MATCH(O1247,$G$5:$G$1000,0)),"",IF(D1247=1,B$4,0)+MAX(I$4:I1246)+1))</f>
        <v/>
      </c>
      <c r="M1247" s="14" t="str">
        <f>IF(ROW()-ROW(M$4)&lt;=1000,ROW()-ROW(M$4),"")</f>
        <v/>
      </c>
    </row>
    <row r="1248" spans="4:13" ht="12" customHeight="1" x14ac:dyDescent="0.25">
      <c r="D1248" s="15" t="str">
        <f>IF(IF(ISNUMBER(B1248),"",MAX(D$4:D1247)+1)&lt;=D$3,IF(ISNUMBER(B1248),"",MAX(D$4:D1247)+1),"")</f>
        <v/>
      </c>
      <c r="H1248" s="15"/>
      <c r="I1248" s="15" t="str">
        <f>IF(O1248="","",IF(ISNUMBER(MATCH(O1248,$G$5:$G$1000,0)),"",IF(D1248=1,B$4,0)+MAX(I$4:I1247)+1))</f>
        <v/>
      </c>
      <c r="M1248" s="14" t="str">
        <f>IF(ROW()-ROW(M$4)&lt;=1000,ROW()-ROW(M$4),"")</f>
        <v/>
      </c>
    </row>
    <row r="1249" spans="4:13" ht="12" customHeight="1" x14ac:dyDescent="0.25">
      <c r="D1249" s="15" t="str">
        <f>IF(IF(ISNUMBER(B1249),"",MAX(D$4:D1248)+1)&lt;=D$3,IF(ISNUMBER(B1249),"",MAX(D$4:D1248)+1),"")</f>
        <v/>
      </c>
      <c r="H1249" s="15"/>
      <c r="I1249" s="15" t="str">
        <f>IF(O1249="","",IF(ISNUMBER(MATCH(O1249,$G$5:$G$1000,0)),"",IF(D1249=1,B$4,0)+MAX(I$4:I1248)+1))</f>
        <v/>
      </c>
      <c r="M1249" s="14" t="str">
        <f>IF(ROW()-ROW(M$4)&lt;=1000,ROW()-ROW(M$4),"")</f>
        <v/>
      </c>
    </row>
    <row r="1250" spans="4:13" ht="12" customHeight="1" x14ac:dyDescent="0.25">
      <c r="D1250" s="15" t="str">
        <f>IF(IF(ISNUMBER(B1250),"",MAX(D$4:D1249)+1)&lt;=D$3,IF(ISNUMBER(B1250),"",MAX(D$4:D1249)+1),"")</f>
        <v/>
      </c>
      <c r="H1250" s="15"/>
      <c r="I1250" s="15" t="str">
        <f>IF(O1250="","",IF(ISNUMBER(MATCH(O1250,$G$5:$G$1000,0)),"",IF(D1250=1,B$4,0)+MAX(I$4:I1249)+1))</f>
        <v/>
      </c>
      <c r="M1250" s="14" t="str">
        <f>IF(ROW()-ROW(M$4)&lt;=1000,ROW()-ROW(M$4),"")</f>
        <v/>
      </c>
    </row>
    <row r="1251" spans="4:13" ht="12" customHeight="1" x14ac:dyDescent="0.25">
      <c r="D1251" s="15" t="str">
        <f>IF(IF(ISNUMBER(B1251),"",MAX(D$4:D1250)+1)&lt;=D$3,IF(ISNUMBER(B1251),"",MAX(D$4:D1250)+1),"")</f>
        <v/>
      </c>
      <c r="H1251" s="15"/>
      <c r="I1251" s="15" t="str">
        <f>IF(O1251="","",IF(ISNUMBER(MATCH(O1251,$G$5:$G$1000,0)),"",IF(D1251=1,B$4,0)+MAX(I$4:I1250)+1))</f>
        <v/>
      </c>
      <c r="M1251" s="14" t="str">
        <f>IF(ROW()-ROW(M$4)&lt;=1000,ROW()-ROW(M$4),"")</f>
        <v/>
      </c>
    </row>
    <row r="1252" spans="4:13" ht="12" customHeight="1" x14ac:dyDescent="0.25">
      <c r="D1252" s="15" t="str">
        <f>IF(IF(ISNUMBER(B1252),"",MAX(D$4:D1251)+1)&lt;=D$3,IF(ISNUMBER(B1252),"",MAX(D$4:D1251)+1),"")</f>
        <v/>
      </c>
      <c r="H1252" s="15"/>
      <c r="I1252" s="15" t="str">
        <f>IF(O1252="","",IF(ISNUMBER(MATCH(O1252,$G$5:$G$1000,0)),"",IF(D1252=1,B$4,0)+MAX(I$4:I1251)+1))</f>
        <v/>
      </c>
      <c r="M1252" s="14" t="str">
        <f>IF(ROW()-ROW(M$4)&lt;=1000,ROW()-ROW(M$4),"")</f>
        <v/>
      </c>
    </row>
    <row r="1253" spans="4:13" ht="12" customHeight="1" x14ac:dyDescent="0.25">
      <c r="D1253" s="15" t="str">
        <f>IF(IF(ISNUMBER(B1253),"",MAX(D$4:D1252)+1)&lt;=D$3,IF(ISNUMBER(B1253),"",MAX(D$4:D1252)+1),"")</f>
        <v/>
      </c>
      <c r="H1253" s="15"/>
      <c r="I1253" s="15" t="str">
        <f>IF(O1253="","",IF(ISNUMBER(MATCH(O1253,$G$5:$G$1000,0)),"",IF(D1253=1,B$4,0)+MAX(I$4:I1252)+1))</f>
        <v/>
      </c>
      <c r="M1253" s="14" t="str">
        <f>IF(ROW()-ROW(M$4)&lt;=1000,ROW()-ROW(M$4),"")</f>
        <v/>
      </c>
    </row>
    <row r="1254" spans="4:13" ht="12" customHeight="1" x14ac:dyDescent="0.25">
      <c r="D1254" s="15" t="str">
        <f>IF(IF(ISNUMBER(B1254),"",MAX(D$4:D1253)+1)&lt;=D$3,IF(ISNUMBER(B1254),"",MAX(D$4:D1253)+1),"")</f>
        <v/>
      </c>
      <c r="H1254" s="15"/>
      <c r="I1254" s="15" t="str">
        <f>IF(O1254="","",IF(ISNUMBER(MATCH(O1254,$G$5:$G$1000,0)),"",IF(D1254=1,B$4,0)+MAX(I$4:I1253)+1))</f>
        <v/>
      </c>
      <c r="M1254" s="14" t="str">
        <f>IF(ROW()-ROW(M$4)&lt;=1000,ROW()-ROW(M$4),"")</f>
        <v/>
      </c>
    </row>
    <row r="1255" spans="4:13" ht="12" customHeight="1" x14ac:dyDescent="0.25">
      <c r="D1255" s="15" t="str">
        <f>IF(IF(ISNUMBER(B1255),"",MAX(D$4:D1254)+1)&lt;=D$3,IF(ISNUMBER(B1255),"",MAX(D$4:D1254)+1),"")</f>
        <v/>
      </c>
      <c r="H1255" s="15"/>
      <c r="I1255" s="15" t="str">
        <f>IF(O1255="","",IF(ISNUMBER(MATCH(O1255,$G$5:$G$1000,0)),"",IF(D1255=1,B$4,0)+MAX(I$4:I1254)+1))</f>
        <v/>
      </c>
      <c r="M1255" s="14" t="str">
        <f>IF(ROW()-ROW(M$4)&lt;=1000,ROW()-ROW(M$4),"")</f>
        <v/>
      </c>
    </row>
    <row r="1256" spans="4:13" ht="12" customHeight="1" x14ac:dyDescent="0.25">
      <c r="D1256" s="15" t="str">
        <f>IF(IF(ISNUMBER(B1256),"",MAX(D$4:D1255)+1)&lt;=D$3,IF(ISNUMBER(B1256),"",MAX(D$4:D1255)+1),"")</f>
        <v/>
      </c>
      <c r="H1256" s="15"/>
      <c r="I1256" s="15" t="str">
        <f>IF(O1256="","",IF(ISNUMBER(MATCH(O1256,$G$5:$G$1000,0)),"",IF(D1256=1,B$4,0)+MAX(I$4:I1255)+1))</f>
        <v/>
      </c>
      <c r="M1256" s="14" t="str">
        <f>IF(ROW()-ROW(M$4)&lt;=1000,ROW()-ROW(M$4),"")</f>
        <v/>
      </c>
    </row>
    <row r="1257" spans="4:13" ht="12" customHeight="1" x14ac:dyDescent="0.25">
      <c r="D1257" s="15" t="str">
        <f>IF(IF(ISNUMBER(B1257),"",MAX(D$4:D1256)+1)&lt;=D$3,IF(ISNUMBER(B1257),"",MAX(D$4:D1256)+1),"")</f>
        <v/>
      </c>
      <c r="H1257" s="15"/>
      <c r="I1257" s="15" t="str">
        <f>IF(O1257="","",IF(ISNUMBER(MATCH(O1257,$G$5:$G$1000,0)),"",IF(D1257=1,B$4,0)+MAX(I$4:I1256)+1))</f>
        <v/>
      </c>
      <c r="M1257" s="14" t="str">
        <f>IF(ROW()-ROW(M$4)&lt;=1000,ROW()-ROW(M$4),"")</f>
        <v/>
      </c>
    </row>
    <row r="1258" spans="4:13" ht="12" customHeight="1" x14ac:dyDescent="0.25">
      <c r="D1258" s="15" t="str">
        <f>IF(IF(ISNUMBER(B1258),"",MAX(D$4:D1257)+1)&lt;=D$3,IF(ISNUMBER(B1258),"",MAX(D$4:D1257)+1),"")</f>
        <v/>
      </c>
      <c r="H1258" s="15"/>
      <c r="I1258" s="15" t="str">
        <f>IF(O1258="","",IF(ISNUMBER(MATCH(O1258,$G$5:$G$1000,0)),"",IF(D1258=1,B$4,0)+MAX(I$4:I1257)+1))</f>
        <v/>
      </c>
      <c r="M1258" s="14" t="str">
        <f>IF(ROW()-ROW(M$4)&lt;=1000,ROW()-ROW(M$4),"")</f>
        <v/>
      </c>
    </row>
    <row r="1259" spans="4:13" ht="12" customHeight="1" x14ac:dyDescent="0.25">
      <c r="D1259" s="15" t="str">
        <f>IF(IF(ISNUMBER(B1259),"",MAX(D$4:D1258)+1)&lt;=D$3,IF(ISNUMBER(B1259),"",MAX(D$4:D1258)+1),"")</f>
        <v/>
      </c>
      <c r="H1259" s="15"/>
      <c r="I1259" s="15" t="str">
        <f>IF(O1259="","",IF(ISNUMBER(MATCH(O1259,$G$5:$G$1000,0)),"",IF(D1259=1,B$4,0)+MAX(I$4:I1258)+1))</f>
        <v/>
      </c>
      <c r="M1259" s="14" t="str">
        <f>IF(ROW()-ROW(M$4)&lt;=1000,ROW()-ROW(M$4),"")</f>
        <v/>
      </c>
    </row>
    <row r="1260" spans="4:13" ht="12" customHeight="1" x14ac:dyDescent="0.25">
      <c r="D1260" s="15" t="str">
        <f>IF(IF(ISNUMBER(B1260),"",MAX(D$4:D1259)+1)&lt;=D$3,IF(ISNUMBER(B1260),"",MAX(D$4:D1259)+1),"")</f>
        <v/>
      </c>
      <c r="H1260" s="15"/>
      <c r="I1260" s="15" t="str">
        <f>IF(O1260="","",IF(ISNUMBER(MATCH(O1260,$G$5:$G$1000,0)),"",IF(D1260=1,B$4,0)+MAX(I$4:I1259)+1))</f>
        <v/>
      </c>
      <c r="M1260" s="14" t="str">
        <f>IF(ROW()-ROW(M$4)&lt;=1000,ROW()-ROW(M$4),"")</f>
        <v/>
      </c>
    </row>
    <row r="1261" spans="4:13" ht="12" customHeight="1" x14ac:dyDescent="0.25">
      <c r="D1261" s="15" t="str">
        <f>IF(IF(ISNUMBER(B1261),"",MAX(D$4:D1260)+1)&lt;=D$3,IF(ISNUMBER(B1261),"",MAX(D$4:D1260)+1),"")</f>
        <v/>
      </c>
      <c r="H1261" s="15"/>
      <c r="I1261" s="15" t="str">
        <f>IF(O1261="","",IF(ISNUMBER(MATCH(O1261,$G$5:$G$1000,0)),"",IF(D1261=1,B$4,0)+MAX(I$4:I1260)+1))</f>
        <v/>
      </c>
      <c r="M1261" s="14" t="str">
        <f>IF(ROW()-ROW(M$4)&lt;=1000,ROW()-ROW(M$4),"")</f>
        <v/>
      </c>
    </row>
    <row r="1262" spans="4:13" ht="12" customHeight="1" x14ac:dyDescent="0.25">
      <c r="D1262" s="15" t="str">
        <f>IF(IF(ISNUMBER(B1262),"",MAX(D$4:D1261)+1)&lt;=D$3,IF(ISNUMBER(B1262),"",MAX(D$4:D1261)+1),"")</f>
        <v/>
      </c>
      <c r="H1262" s="15"/>
      <c r="I1262" s="15" t="str">
        <f>IF(O1262="","",IF(ISNUMBER(MATCH(O1262,$G$5:$G$1000,0)),"",IF(D1262=1,B$4,0)+MAX(I$4:I1261)+1))</f>
        <v/>
      </c>
      <c r="M1262" s="14" t="str">
        <f>IF(ROW()-ROW(M$4)&lt;=1000,ROW()-ROW(M$4),"")</f>
        <v/>
      </c>
    </row>
    <row r="1263" spans="4:13" ht="12" customHeight="1" x14ac:dyDescent="0.25">
      <c r="D1263" s="15" t="str">
        <f>IF(IF(ISNUMBER(B1263),"",MAX(D$4:D1262)+1)&lt;=D$3,IF(ISNUMBER(B1263),"",MAX(D$4:D1262)+1),"")</f>
        <v/>
      </c>
      <c r="H1263" s="15"/>
      <c r="I1263" s="15" t="str">
        <f>IF(O1263="","",IF(ISNUMBER(MATCH(O1263,$G$5:$G$1000,0)),"",IF(D1263=1,B$4,0)+MAX(I$4:I1262)+1))</f>
        <v/>
      </c>
      <c r="M1263" s="14" t="str">
        <f>IF(ROW()-ROW(M$4)&lt;=1000,ROW()-ROW(M$4),"")</f>
        <v/>
      </c>
    </row>
    <row r="1264" spans="4:13" ht="12" customHeight="1" x14ac:dyDescent="0.25">
      <c r="D1264" s="15" t="str">
        <f>IF(IF(ISNUMBER(B1264),"",MAX(D$4:D1263)+1)&lt;=D$3,IF(ISNUMBER(B1264),"",MAX(D$4:D1263)+1),"")</f>
        <v/>
      </c>
      <c r="H1264" s="15"/>
      <c r="I1264" s="15" t="str">
        <f>IF(O1264="","",IF(ISNUMBER(MATCH(O1264,$G$5:$G$1000,0)),"",IF(D1264=1,B$4,0)+MAX(I$4:I1263)+1))</f>
        <v/>
      </c>
      <c r="M1264" s="14" t="str">
        <f>IF(ROW()-ROW(M$4)&lt;=1000,ROW()-ROW(M$4),"")</f>
        <v/>
      </c>
    </row>
    <row r="1265" spans="4:13" ht="12" customHeight="1" x14ac:dyDescent="0.25">
      <c r="D1265" s="15" t="str">
        <f>IF(IF(ISNUMBER(B1265),"",MAX(D$4:D1264)+1)&lt;=D$3,IF(ISNUMBER(B1265),"",MAX(D$4:D1264)+1),"")</f>
        <v/>
      </c>
      <c r="H1265" s="15"/>
      <c r="I1265" s="15" t="str">
        <f>IF(O1265="","",IF(ISNUMBER(MATCH(O1265,$G$5:$G$1000,0)),"",IF(D1265=1,B$4,0)+MAX(I$4:I1264)+1))</f>
        <v/>
      </c>
      <c r="M1265" s="14" t="str">
        <f>IF(ROW()-ROW(M$4)&lt;=1000,ROW()-ROW(M$4),"")</f>
        <v/>
      </c>
    </row>
    <row r="1266" spans="4:13" ht="12" customHeight="1" x14ac:dyDescent="0.25">
      <c r="D1266" s="15" t="str">
        <f>IF(IF(ISNUMBER(B1266),"",MAX(D$4:D1265)+1)&lt;=D$3,IF(ISNUMBER(B1266),"",MAX(D$4:D1265)+1),"")</f>
        <v/>
      </c>
      <c r="H1266" s="15"/>
      <c r="I1266" s="15" t="str">
        <f>IF(O1266="","",IF(ISNUMBER(MATCH(O1266,$G$5:$G$1000,0)),"",IF(D1266=1,B$4,0)+MAX(I$4:I1265)+1))</f>
        <v/>
      </c>
      <c r="M1266" s="14" t="str">
        <f>IF(ROW()-ROW(M$4)&lt;=1000,ROW()-ROW(M$4),"")</f>
        <v/>
      </c>
    </row>
    <row r="1267" spans="4:13" ht="12" customHeight="1" x14ac:dyDescent="0.25">
      <c r="D1267" s="15" t="str">
        <f>IF(IF(ISNUMBER(B1267),"",MAX(D$4:D1266)+1)&lt;=D$3,IF(ISNUMBER(B1267),"",MAX(D$4:D1266)+1),"")</f>
        <v/>
      </c>
      <c r="H1267" s="15"/>
      <c r="I1267" s="15" t="str">
        <f>IF(O1267="","",IF(ISNUMBER(MATCH(O1267,$G$5:$G$1000,0)),"",IF(D1267=1,B$4,0)+MAX(I$4:I1266)+1))</f>
        <v/>
      </c>
      <c r="M1267" s="14" t="str">
        <f>IF(ROW()-ROW(M$4)&lt;=1000,ROW()-ROW(M$4),"")</f>
        <v/>
      </c>
    </row>
    <row r="1268" spans="4:13" ht="12" customHeight="1" x14ac:dyDescent="0.25">
      <c r="D1268" s="15" t="str">
        <f>IF(IF(ISNUMBER(B1268),"",MAX(D$4:D1267)+1)&lt;=D$3,IF(ISNUMBER(B1268),"",MAX(D$4:D1267)+1),"")</f>
        <v/>
      </c>
      <c r="H1268" s="15"/>
      <c r="I1268" s="15" t="str">
        <f>IF(O1268="","",IF(ISNUMBER(MATCH(O1268,$G$5:$G$1000,0)),"",IF(D1268=1,B$4,0)+MAX(I$4:I1267)+1))</f>
        <v/>
      </c>
      <c r="M1268" s="14" t="str">
        <f>IF(ROW()-ROW(M$4)&lt;=1000,ROW()-ROW(M$4),"")</f>
        <v/>
      </c>
    </row>
    <row r="1269" spans="4:13" ht="12" customHeight="1" x14ac:dyDescent="0.25">
      <c r="D1269" s="15" t="str">
        <f>IF(IF(ISNUMBER(B1269),"",MAX(D$4:D1268)+1)&lt;=D$3,IF(ISNUMBER(B1269),"",MAX(D$4:D1268)+1),"")</f>
        <v/>
      </c>
      <c r="H1269" s="15"/>
      <c r="I1269" s="15" t="str">
        <f>IF(O1269="","",IF(ISNUMBER(MATCH(O1269,$G$5:$G$1000,0)),"",IF(D1269=1,B$4,0)+MAX(I$4:I1268)+1))</f>
        <v/>
      </c>
      <c r="M1269" s="14" t="str">
        <f>IF(ROW()-ROW(M$4)&lt;=1000,ROW()-ROW(M$4),"")</f>
        <v/>
      </c>
    </row>
    <row r="1270" spans="4:13" ht="12" customHeight="1" x14ac:dyDescent="0.25">
      <c r="D1270" s="15" t="str">
        <f>IF(IF(ISNUMBER(B1270),"",MAX(D$4:D1269)+1)&lt;=D$3,IF(ISNUMBER(B1270),"",MAX(D$4:D1269)+1),"")</f>
        <v/>
      </c>
      <c r="H1270" s="15"/>
      <c r="I1270" s="15" t="str">
        <f>IF(O1270="","",IF(ISNUMBER(MATCH(O1270,$G$5:$G$1000,0)),"",IF(D1270=1,B$4,0)+MAX(I$4:I1269)+1))</f>
        <v/>
      </c>
      <c r="M1270" s="14" t="str">
        <f>IF(ROW()-ROW(M$4)&lt;=1000,ROW()-ROW(M$4),"")</f>
        <v/>
      </c>
    </row>
    <row r="1271" spans="4:13" ht="12" customHeight="1" x14ac:dyDescent="0.25">
      <c r="D1271" s="15" t="str">
        <f>IF(IF(ISNUMBER(B1271),"",MAX(D$4:D1270)+1)&lt;=D$3,IF(ISNUMBER(B1271),"",MAX(D$4:D1270)+1),"")</f>
        <v/>
      </c>
      <c r="H1271" s="15"/>
      <c r="I1271" s="15" t="str">
        <f>IF(O1271="","",IF(ISNUMBER(MATCH(O1271,$G$5:$G$1000,0)),"",IF(D1271=1,B$4,0)+MAX(I$4:I1270)+1))</f>
        <v/>
      </c>
      <c r="M1271" s="14" t="str">
        <f>IF(ROW()-ROW(M$4)&lt;=1000,ROW()-ROW(M$4),"")</f>
        <v/>
      </c>
    </row>
    <row r="1272" spans="4:13" ht="12" customHeight="1" x14ac:dyDescent="0.25">
      <c r="D1272" s="15" t="str">
        <f>IF(IF(ISNUMBER(B1272),"",MAX(D$4:D1271)+1)&lt;=D$3,IF(ISNUMBER(B1272),"",MAX(D$4:D1271)+1),"")</f>
        <v/>
      </c>
      <c r="H1272" s="15"/>
      <c r="I1272" s="15" t="str">
        <f>IF(O1272="","",IF(ISNUMBER(MATCH(O1272,$G$5:$G$1000,0)),"",IF(D1272=1,B$4,0)+MAX(I$4:I1271)+1))</f>
        <v/>
      </c>
      <c r="M1272" s="14" t="str">
        <f>IF(ROW()-ROW(M$4)&lt;=1000,ROW()-ROW(M$4),"")</f>
        <v/>
      </c>
    </row>
    <row r="1273" spans="4:13" ht="12" customHeight="1" x14ac:dyDescent="0.25">
      <c r="D1273" s="15" t="str">
        <f>IF(IF(ISNUMBER(B1273),"",MAX(D$4:D1272)+1)&lt;=D$3,IF(ISNUMBER(B1273),"",MAX(D$4:D1272)+1),"")</f>
        <v/>
      </c>
      <c r="H1273" s="15"/>
      <c r="I1273" s="15" t="str">
        <f>IF(O1273="","",IF(ISNUMBER(MATCH(O1273,$G$5:$G$1000,0)),"",IF(D1273=1,B$4,0)+MAX(I$4:I1272)+1))</f>
        <v/>
      </c>
      <c r="M1273" s="14" t="str">
        <f>IF(ROW()-ROW(M$4)&lt;=1000,ROW()-ROW(M$4),"")</f>
        <v/>
      </c>
    </row>
    <row r="1274" spans="4:13" ht="12" customHeight="1" x14ac:dyDescent="0.25">
      <c r="D1274" s="15" t="str">
        <f>IF(IF(ISNUMBER(B1274),"",MAX(D$4:D1273)+1)&lt;=D$3,IF(ISNUMBER(B1274),"",MAX(D$4:D1273)+1),"")</f>
        <v/>
      </c>
      <c r="H1274" s="15"/>
      <c r="I1274" s="15" t="str">
        <f>IF(O1274="","",IF(ISNUMBER(MATCH(O1274,$G$5:$G$1000,0)),"",IF(D1274=1,B$4,0)+MAX(I$4:I1273)+1))</f>
        <v/>
      </c>
      <c r="M1274" s="14" t="str">
        <f>IF(ROW()-ROW(M$4)&lt;=1000,ROW()-ROW(M$4),"")</f>
        <v/>
      </c>
    </row>
    <row r="1275" spans="4:13" ht="12" customHeight="1" x14ac:dyDescent="0.25">
      <c r="D1275" s="15" t="str">
        <f>IF(IF(ISNUMBER(B1275),"",MAX(D$4:D1274)+1)&lt;=D$3,IF(ISNUMBER(B1275),"",MAX(D$4:D1274)+1),"")</f>
        <v/>
      </c>
      <c r="H1275" s="15"/>
      <c r="I1275" s="15" t="str">
        <f>IF(O1275="","",IF(ISNUMBER(MATCH(O1275,$G$5:$G$1000,0)),"",IF(D1275=1,B$4,0)+MAX(I$4:I1274)+1))</f>
        <v/>
      </c>
      <c r="M1275" s="14" t="str">
        <f>IF(ROW()-ROW(M$4)&lt;=1000,ROW()-ROW(M$4),"")</f>
        <v/>
      </c>
    </row>
    <row r="1276" spans="4:13" ht="12" customHeight="1" x14ac:dyDescent="0.25">
      <c r="D1276" s="15" t="str">
        <f>IF(IF(ISNUMBER(B1276),"",MAX(D$4:D1275)+1)&lt;=D$3,IF(ISNUMBER(B1276),"",MAX(D$4:D1275)+1),"")</f>
        <v/>
      </c>
      <c r="H1276" s="15"/>
      <c r="I1276" s="15" t="str">
        <f>IF(O1276="","",IF(ISNUMBER(MATCH(O1276,$G$5:$G$1000,0)),"",IF(D1276=1,B$4,0)+MAX(I$4:I1275)+1))</f>
        <v/>
      </c>
      <c r="M1276" s="14" t="str">
        <f>IF(ROW()-ROW(M$4)&lt;=1000,ROW()-ROW(M$4),"")</f>
        <v/>
      </c>
    </row>
    <row r="1277" spans="4:13" ht="12" customHeight="1" x14ac:dyDescent="0.25">
      <c r="D1277" s="15" t="str">
        <f>IF(IF(ISNUMBER(B1277),"",MAX(D$4:D1276)+1)&lt;=D$3,IF(ISNUMBER(B1277),"",MAX(D$4:D1276)+1),"")</f>
        <v/>
      </c>
      <c r="H1277" s="15"/>
      <c r="I1277" s="15" t="str">
        <f>IF(O1277="","",IF(ISNUMBER(MATCH(O1277,$G$5:$G$1000,0)),"",IF(D1277=1,B$4,0)+MAX(I$4:I1276)+1))</f>
        <v/>
      </c>
      <c r="M1277" s="14" t="str">
        <f>IF(ROW()-ROW(M$4)&lt;=1000,ROW()-ROW(M$4),"")</f>
        <v/>
      </c>
    </row>
    <row r="1278" spans="4:13" ht="12" customHeight="1" x14ac:dyDescent="0.25">
      <c r="D1278" s="15" t="str">
        <f>IF(IF(ISNUMBER(B1278),"",MAX(D$4:D1277)+1)&lt;=D$3,IF(ISNUMBER(B1278),"",MAX(D$4:D1277)+1),"")</f>
        <v/>
      </c>
      <c r="H1278" s="15"/>
      <c r="I1278" s="15" t="str">
        <f>IF(O1278="","",IF(ISNUMBER(MATCH(O1278,$G$5:$G$1000,0)),"",IF(D1278=1,B$4,0)+MAX(I$4:I1277)+1))</f>
        <v/>
      </c>
      <c r="M1278" s="14" t="str">
        <f>IF(ROW()-ROW(M$4)&lt;=1000,ROW()-ROW(M$4),"")</f>
        <v/>
      </c>
    </row>
    <row r="1279" spans="4:13" ht="12" customHeight="1" x14ac:dyDescent="0.25">
      <c r="D1279" s="15" t="str">
        <f>IF(IF(ISNUMBER(B1279),"",MAX(D$4:D1278)+1)&lt;=D$3,IF(ISNUMBER(B1279),"",MAX(D$4:D1278)+1),"")</f>
        <v/>
      </c>
      <c r="H1279" s="15"/>
      <c r="I1279" s="15" t="str">
        <f>IF(O1279="","",IF(ISNUMBER(MATCH(O1279,$G$5:$G$1000,0)),"",IF(D1279=1,B$4,0)+MAX(I$4:I1278)+1))</f>
        <v/>
      </c>
      <c r="M1279" s="14" t="str">
        <f>IF(ROW()-ROW(M$4)&lt;=1000,ROW()-ROW(M$4),"")</f>
        <v/>
      </c>
    </row>
    <row r="1280" spans="4:13" ht="12" customHeight="1" x14ac:dyDescent="0.25">
      <c r="D1280" s="15" t="str">
        <f>IF(IF(ISNUMBER(B1280),"",MAX(D$4:D1279)+1)&lt;=D$3,IF(ISNUMBER(B1280),"",MAX(D$4:D1279)+1),"")</f>
        <v/>
      </c>
      <c r="H1280" s="15"/>
      <c r="I1280" s="15" t="str">
        <f>IF(O1280="","",IF(ISNUMBER(MATCH(O1280,$G$5:$G$1000,0)),"",IF(D1280=1,B$4,0)+MAX(I$4:I1279)+1))</f>
        <v/>
      </c>
      <c r="M1280" s="14" t="str">
        <f>IF(ROW()-ROW(M$4)&lt;=1000,ROW()-ROW(M$4),"")</f>
        <v/>
      </c>
    </row>
    <row r="1281" spans="4:13" ht="12" customHeight="1" x14ac:dyDescent="0.25">
      <c r="D1281" s="15" t="str">
        <f>IF(IF(ISNUMBER(B1281),"",MAX(D$4:D1280)+1)&lt;=D$3,IF(ISNUMBER(B1281),"",MAX(D$4:D1280)+1),"")</f>
        <v/>
      </c>
      <c r="H1281" s="15"/>
      <c r="I1281" s="15" t="str">
        <f>IF(O1281="","",IF(ISNUMBER(MATCH(O1281,$G$5:$G$1000,0)),"",IF(D1281=1,B$4,0)+MAX(I$4:I1280)+1))</f>
        <v/>
      </c>
      <c r="M1281" s="14" t="str">
        <f>IF(ROW()-ROW(M$4)&lt;=1000,ROW()-ROW(M$4),"")</f>
        <v/>
      </c>
    </row>
    <row r="1282" spans="4:13" ht="12" customHeight="1" x14ac:dyDescent="0.25">
      <c r="D1282" s="15" t="str">
        <f>IF(IF(ISNUMBER(B1282),"",MAX(D$4:D1281)+1)&lt;=D$3,IF(ISNUMBER(B1282),"",MAX(D$4:D1281)+1),"")</f>
        <v/>
      </c>
      <c r="H1282" s="15"/>
      <c r="I1282" s="15" t="str">
        <f>IF(O1282="","",IF(ISNUMBER(MATCH(O1282,$G$5:$G$1000,0)),"",IF(D1282=1,B$4,0)+MAX(I$4:I1281)+1))</f>
        <v/>
      </c>
      <c r="M1282" s="14" t="str">
        <f>IF(ROW()-ROW(M$4)&lt;=1000,ROW()-ROW(M$4),"")</f>
        <v/>
      </c>
    </row>
    <row r="1283" spans="4:13" ht="12" customHeight="1" x14ac:dyDescent="0.25">
      <c r="D1283" s="15" t="str">
        <f>IF(IF(ISNUMBER(B1283),"",MAX(D$4:D1282)+1)&lt;=D$3,IF(ISNUMBER(B1283),"",MAX(D$4:D1282)+1),"")</f>
        <v/>
      </c>
      <c r="H1283" s="15"/>
      <c r="I1283" s="15" t="str">
        <f>IF(O1283="","",IF(ISNUMBER(MATCH(O1283,$G$5:$G$1000,0)),"",IF(D1283=1,B$4,0)+MAX(I$4:I1282)+1))</f>
        <v/>
      </c>
      <c r="M1283" s="14" t="str">
        <f>IF(ROW()-ROW(M$4)&lt;=1000,ROW()-ROW(M$4),"")</f>
        <v/>
      </c>
    </row>
    <row r="1284" spans="4:13" ht="12" customHeight="1" x14ac:dyDescent="0.25">
      <c r="D1284" s="15" t="str">
        <f>IF(IF(ISNUMBER(B1284),"",MAX(D$4:D1283)+1)&lt;=D$3,IF(ISNUMBER(B1284),"",MAX(D$4:D1283)+1),"")</f>
        <v/>
      </c>
      <c r="H1284" s="15"/>
      <c r="I1284" s="15" t="str">
        <f>IF(O1284="","",IF(ISNUMBER(MATCH(O1284,$G$5:$G$1000,0)),"",IF(D1284=1,B$4,0)+MAX(I$4:I1283)+1))</f>
        <v/>
      </c>
      <c r="M1284" s="14" t="str">
        <f>IF(ROW()-ROW(M$4)&lt;=1000,ROW()-ROW(M$4),"")</f>
        <v/>
      </c>
    </row>
    <row r="1285" spans="4:13" ht="12" customHeight="1" x14ac:dyDescent="0.25">
      <c r="D1285" s="15" t="str">
        <f>IF(IF(ISNUMBER(B1285),"",MAX(D$4:D1284)+1)&lt;=D$3,IF(ISNUMBER(B1285),"",MAX(D$4:D1284)+1),"")</f>
        <v/>
      </c>
      <c r="H1285" s="15"/>
      <c r="I1285" s="15" t="str">
        <f>IF(O1285="","",IF(ISNUMBER(MATCH(O1285,$G$5:$G$1000,0)),"",IF(D1285=1,B$4,0)+MAX(I$4:I1284)+1))</f>
        <v/>
      </c>
      <c r="M1285" s="14" t="str">
        <f>IF(ROW()-ROW(M$4)&lt;=1000,ROW()-ROW(M$4),"")</f>
        <v/>
      </c>
    </row>
    <row r="1286" spans="4:13" ht="12" customHeight="1" x14ac:dyDescent="0.25">
      <c r="D1286" s="15" t="str">
        <f>IF(IF(ISNUMBER(B1286),"",MAX(D$4:D1285)+1)&lt;=D$3,IF(ISNUMBER(B1286),"",MAX(D$4:D1285)+1),"")</f>
        <v/>
      </c>
      <c r="H1286" s="15"/>
      <c r="I1286" s="15" t="str">
        <f>IF(O1286="","",IF(ISNUMBER(MATCH(O1286,$G$5:$G$1000,0)),"",IF(D1286=1,B$4,0)+MAX(I$4:I1285)+1))</f>
        <v/>
      </c>
      <c r="M1286" s="14" t="str">
        <f>IF(ROW()-ROW(M$4)&lt;=1000,ROW()-ROW(M$4),"")</f>
        <v/>
      </c>
    </row>
    <row r="1287" spans="4:13" ht="12" customHeight="1" x14ac:dyDescent="0.25">
      <c r="D1287" s="15" t="str">
        <f>IF(IF(ISNUMBER(B1287),"",MAX(D$4:D1286)+1)&lt;=D$3,IF(ISNUMBER(B1287),"",MAX(D$4:D1286)+1),"")</f>
        <v/>
      </c>
      <c r="H1287" s="15"/>
      <c r="I1287" s="15" t="str">
        <f>IF(O1287="","",IF(ISNUMBER(MATCH(O1287,$G$5:$G$1000,0)),"",IF(D1287=1,B$4,0)+MAX(I$4:I1286)+1))</f>
        <v/>
      </c>
      <c r="M1287" s="14" t="str">
        <f>IF(ROW()-ROW(M$4)&lt;=1000,ROW()-ROW(M$4),"")</f>
        <v/>
      </c>
    </row>
    <row r="1288" spans="4:13" ht="12" customHeight="1" x14ac:dyDescent="0.25">
      <c r="D1288" s="15" t="str">
        <f>IF(IF(ISNUMBER(B1288),"",MAX(D$4:D1287)+1)&lt;=D$3,IF(ISNUMBER(B1288),"",MAX(D$4:D1287)+1),"")</f>
        <v/>
      </c>
      <c r="H1288" s="15"/>
      <c r="I1288" s="15" t="str">
        <f>IF(O1288="","",IF(ISNUMBER(MATCH(O1288,$G$5:$G$1000,0)),"",IF(D1288=1,B$4,0)+MAX(I$4:I1287)+1))</f>
        <v/>
      </c>
      <c r="M1288" s="14" t="str">
        <f>IF(ROW()-ROW(M$4)&lt;=1000,ROW()-ROW(M$4),"")</f>
        <v/>
      </c>
    </row>
    <row r="1289" spans="4:13" ht="12" customHeight="1" x14ac:dyDescent="0.25">
      <c r="D1289" s="15" t="str">
        <f>IF(IF(ISNUMBER(B1289),"",MAX(D$4:D1288)+1)&lt;=D$3,IF(ISNUMBER(B1289),"",MAX(D$4:D1288)+1),"")</f>
        <v/>
      </c>
      <c r="H1289" s="15"/>
      <c r="I1289" s="15" t="str">
        <f>IF(O1289="","",IF(ISNUMBER(MATCH(O1289,$G$5:$G$1000,0)),"",IF(D1289=1,B$4,0)+MAX(I$4:I1288)+1))</f>
        <v/>
      </c>
      <c r="M1289" s="14" t="str">
        <f>IF(ROW()-ROW(M$4)&lt;=1000,ROW()-ROW(M$4),"")</f>
        <v/>
      </c>
    </row>
    <row r="1290" spans="4:13" ht="12" customHeight="1" x14ac:dyDescent="0.25">
      <c r="D1290" s="15" t="str">
        <f>IF(IF(ISNUMBER(B1290),"",MAX(D$4:D1289)+1)&lt;=D$3,IF(ISNUMBER(B1290),"",MAX(D$4:D1289)+1),"")</f>
        <v/>
      </c>
      <c r="H1290" s="15"/>
      <c r="I1290" s="15" t="str">
        <f>IF(O1290="","",IF(ISNUMBER(MATCH(O1290,$G$5:$G$1000,0)),"",IF(D1290=1,B$4,0)+MAX(I$4:I1289)+1))</f>
        <v/>
      </c>
      <c r="M1290" s="14" t="str">
        <f>IF(ROW()-ROW(M$4)&lt;=1000,ROW()-ROW(M$4),"")</f>
        <v/>
      </c>
    </row>
    <row r="1291" spans="4:13" ht="12" customHeight="1" x14ac:dyDescent="0.25">
      <c r="D1291" s="15" t="str">
        <f>IF(IF(ISNUMBER(B1291),"",MAX(D$4:D1290)+1)&lt;=D$3,IF(ISNUMBER(B1291),"",MAX(D$4:D1290)+1),"")</f>
        <v/>
      </c>
      <c r="H1291" s="15"/>
      <c r="I1291" s="15" t="str">
        <f>IF(O1291="","",IF(ISNUMBER(MATCH(O1291,$G$5:$G$1000,0)),"",IF(D1291=1,B$4,0)+MAX(I$4:I1290)+1))</f>
        <v/>
      </c>
      <c r="M1291" s="14" t="str">
        <f>IF(ROW()-ROW(M$4)&lt;=1000,ROW()-ROW(M$4),"")</f>
        <v/>
      </c>
    </row>
    <row r="1292" spans="4:13" ht="12" customHeight="1" x14ac:dyDescent="0.25">
      <c r="D1292" s="15" t="str">
        <f>IF(IF(ISNUMBER(B1292),"",MAX(D$4:D1291)+1)&lt;=D$3,IF(ISNUMBER(B1292),"",MAX(D$4:D1291)+1),"")</f>
        <v/>
      </c>
      <c r="H1292" s="15"/>
      <c r="I1292" s="15" t="str">
        <f>IF(O1292="","",IF(ISNUMBER(MATCH(O1292,$G$5:$G$1000,0)),"",IF(D1292=1,B$4,0)+MAX(I$4:I1291)+1))</f>
        <v/>
      </c>
      <c r="M1292" s="14" t="str">
        <f>IF(ROW()-ROW(M$4)&lt;=1000,ROW()-ROW(M$4),"")</f>
        <v/>
      </c>
    </row>
    <row r="1293" spans="4:13" ht="12" customHeight="1" x14ac:dyDescent="0.25">
      <c r="D1293" s="15" t="str">
        <f>IF(IF(ISNUMBER(B1293),"",MAX(D$4:D1292)+1)&lt;=D$3,IF(ISNUMBER(B1293),"",MAX(D$4:D1292)+1),"")</f>
        <v/>
      </c>
      <c r="H1293" s="15"/>
      <c r="I1293" s="15" t="str">
        <f>IF(O1293="","",IF(ISNUMBER(MATCH(O1293,$G$5:$G$1000,0)),"",IF(D1293=1,B$4,0)+MAX(I$4:I1292)+1))</f>
        <v/>
      </c>
      <c r="M1293" s="14" t="str">
        <f>IF(ROW()-ROW(M$4)&lt;=1000,ROW()-ROW(M$4),"")</f>
        <v/>
      </c>
    </row>
    <row r="1294" spans="4:13" ht="12" customHeight="1" x14ac:dyDescent="0.25">
      <c r="D1294" s="15" t="str">
        <f>IF(IF(ISNUMBER(B1294),"",MAX(D$4:D1293)+1)&lt;=D$3,IF(ISNUMBER(B1294),"",MAX(D$4:D1293)+1),"")</f>
        <v/>
      </c>
      <c r="H1294" s="15"/>
      <c r="I1294" s="15" t="str">
        <f>IF(O1294="","",IF(ISNUMBER(MATCH(O1294,$G$5:$G$1000,0)),"",IF(D1294=1,B$4,0)+MAX(I$4:I1293)+1))</f>
        <v/>
      </c>
      <c r="M1294" s="14" t="str">
        <f>IF(ROW()-ROW(M$4)&lt;=1000,ROW()-ROW(M$4),"")</f>
        <v/>
      </c>
    </row>
    <row r="1295" spans="4:13" ht="12" customHeight="1" x14ac:dyDescent="0.25">
      <c r="D1295" s="15" t="str">
        <f>IF(IF(ISNUMBER(B1295),"",MAX(D$4:D1294)+1)&lt;=D$3,IF(ISNUMBER(B1295),"",MAX(D$4:D1294)+1),"")</f>
        <v/>
      </c>
      <c r="H1295" s="15"/>
      <c r="I1295" s="15" t="str">
        <f>IF(O1295="","",IF(ISNUMBER(MATCH(O1295,$G$5:$G$1000,0)),"",IF(D1295=1,B$4,0)+MAX(I$4:I1294)+1))</f>
        <v/>
      </c>
      <c r="M1295" s="14" t="str">
        <f>IF(ROW()-ROW(M$4)&lt;=1000,ROW()-ROW(M$4),"")</f>
        <v/>
      </c>
    </row>
    <row r="1296" spans="4:13" ht="12" customHeight="1" x14ac:dyDescent="0.25">
      <c r="D1296" s="15" t="str">
        <f>IF(IF(ISNUMBER(B1296),"",MAX(D$4:D1295)+1)&lt;=D$3,IF(ISNUMBER(B1296),"",MAX(D$4:D1295)+1),"")</f>
        <v/>
      </c>
      <c r="H1296" s="15"/>
      <c r="I1296" s="15" t="str">
        <f>IF(O1296="","",IF(ISNUMBER(MATCH(O1296,$G$5:$G$1000,0)),"",IF(D1296=1,B$4,0)+MAX(I$4:I1295)+1))</f>
        <v/>
      </c>
      <c r="M1296" s="14" t="str">
        <f>IF(ROW()-ROW(M$4)&lt;=1000,ROW()-ROW(M$4),"")</f>
        <v/>
      </c>
    </row>
    <row r="1297" spans="4:13" ht="12" customHeight="1" x14ac:dyDescent="0.25">
      <c r="D1297" s="15" t="str">
        <f>IF(IF(ISNUMBER(B1297),"",MAX(D$4:D1296)+1)&lt;=D$3,IF(ISNUMBER(B1297),"",MAX(D$4:D1296)+1),"")</f>
        <v/>
      </c>
      <c r="H1297" s="15"/>
      <c r="I1297" s="15" t="str">
        <f>IF(O1297="","",IF(ISNUMBER(MATCH(O1297,$G$5:$G$1000,0)),"",IF(D1297=1,B$4,0)+MAX(I$4:I1296)+1))</f>
        <v/>
      </c>
      <c r="M1297" s="14" t="str">
        <f>IF(ROW()-ROW(M$4)&lt;=1000,ROW()-ROW(M$4),"")</f>
        <v/>
      </c>
    </row>
    <row r="1298" spans="4:13" ht="12" customHeight="1" x14ac:dyDescent="0.25">
      <c r="D1298" s="15" t="str">
        <f>IF(IF(ISNUMBER(B1298),"",MAX(D$4:D1297)+1)&lt;=D$3,IF(ISNUMBER(B1298),"",MAX(D$4:D1297)+1),"")</f>
        <v/>
      </c>
      <c r="H1298" s="15"/>
      <c r="I1298" s="15" t="str">
        <f>IF(O1298="","",IF(ISNUMBER(MATCH(O1298,$G$5:$G$1000,0)),"",IF(D1298=1,B$4,0)+MAX(I$4:I1297)+1))</f>
        <v/>
      </c>
      <c r="M1298" s="14" t="str">
        <f>IF(ROW()-ROW(M$4)&lt;=1000,ROW()-ROW(M$4),"")</f>
        <v/>
      </c>
    </row>
    <row r="1299" spans="4:13" ht="12" customHeight="1" x14ac:dyDescent="0.25">
      <c r="D1299" s="15" t="str">
        <f>IF(IF(ISNUMBER(B1299),"",MAX(D$4:D1298)+1)&lt;=D$3,IF(ISNUMBER(B1299),"",MAX(D$4:D1298)+1),"")</f>
        <v/>
      </c>
      <c r="H1299" s="15"/>
      <c r="I1299" s="15" t="str">
        <f>IF(O1299="","",IF(ISNUMBER(MATCH(O1299,$G$5:$G$1000,0)),"",IF(D1299=1,B$4,0)+MAX(I$4:I1298)+1))</f>
        <v/>
      </c>
      <c r="M1299" s="14" t="str">
        <f>IF(ROW()-ROW(M$4)&lt;=1000,ROW()-ROW(M$4),"")</f>
        <v/>
      </c>
    </row>
    <row r="1300" spans="4:13" ht="12" customHeight="1" x14ac:dyDescent="0.25">
      <c r="D1300" s="15" t="str">
        <f>IF(IF(ISNUMBER(B1300),"",MAX(D$4:D1299)+1)&lt;=D$3,IF(ISNUMBER(B1300),"",MAX(D$4:D1299)+1),"")</f>
        <v/>
      </c>
      <c r="H1300" s="15"/>
      <c r="I1300" s="15" t="str">
        <f>IF(O1300="","",IF(ISNUMBER(MATCH(O1300,$G$5:$G$1000,0)),"",IF(D1300=1,B$4,0)+MAX(I$4:I1299)+1))</f>
        <v/>
      </c>
      <c r="M1300" s="14" t="str">
        <f>IF(ROW()-ROW(M$4)&lt;=1000,ROW()-ROW(M$4),"")</f>
        <v/>
      </c>
    </row>
    <row r="1301" spans="4:13" ht="12" customHeight="1" x14ac:dyDescent="0.25">
      <c r="D1301" s="15" t="str">
        <f>IF(IF(ISNUMBER(B1301),"",MAX(D$4:D1300)+1)&lt;=D$3,IF(ISNUMBER(B1301),"",MAX(D$4:D1300)+1),"")</f>
        <v/>
      </c>
      <c r="H1301" s="15"/>
      <c r="I1301" s="15" t="str">
        <f>IF(O1301="","",IF(ISNUMBER(MATCH(O1301,$G$5:$G$1000,0)),"",IF(D1301=1,B$4,0)+MAX(I$4:I1300)+1))</f>
        <v/>
      </c>
      <c r="M1301" s="14" t="str">
        <f>IF(ROW()-ROW(M$4)&lt;=1000,ROW()-ROW(M$4),"")</f>
        <v/>
      </c>
    </row>
    <row r="1302" spans="4:13" ht="12" customHeight="1" x14ac:dyDescent="0.25">
      <c r="D1302" s="15" t="str">
        <f>IF(IF(ISNUMBER(B1302),"",MAX(D$4:D1301)+1)&lt;=D$3,IF(ISNUMBER(B1302),"",MAX(D$4:D1301)+1),"")</f>
        <v/>
      </c>
      <c r="H1302" s="15"/>
      <c r="I1302" s="15" t="str">
        <f>IF(O1302="","",IF(ISNUMBER(MATCH(O1302,$G$5:$G$1000,0)),"",IF(D1302=1,B$4,0)+MAX(I$4:I1301)+1))</f>
        <v/>
      </c>
      <c r="M1302" s="14" t="str">
        <f>IF(ROW()-ROW(M$4)&lt;=1000,ROW()-ROW(M$4),"")</f>
        <v/>
      </c>
    </row>
    <row r="1303" spans="4:13" ht="12" customHeight="1" x14ac:dyDescent="0.25">
      <c r="D1303" s="15" t="str">
        <f>IF(IF(ISNUMBER(B1303),"",MAX(D$4:D1302)+1)&lt;=D$3,IF(ISNUMBER(B1303),"",MAX(D$4:D1302)+1),"")</f>
        <v/>
      </c>
      <c r="H1303" s="15"/>
      <c r="I1303" s="15" t="str">
        <f>IF(O1303="","",IF(ISNUMBER(MATCH(O1303,$G$5:$G$1000,0)),"",IF(D1303=1,B$4,0)+MAX(I$4:I1302)+1))</f>
        <v/>
      </c>
      <c r="M1303" s="14" t="str">
        <f>IF(ROW()-ROW(M$4)&lt;=1000,ROW()-ROW(M$4),"")</f>
        <v/>
      </c>
    </row>
    <row r="1304" spans="4:13" ht="12" customHeight="1" x14ac:dyDescent="0.25">
      <c r="D1304" s="15" t="str">
        <f>IF(IF(ISNUMBER(B1304),"",MAX(D$4:D1303)+1)&lt;=D$3,IF(ISNUMBER(B1304),"",MAX(D$4:D1303)+1),"")</f>
        <v/>
      </c>
      <c r="H1304" s="15"/>
      <c r="I1304" s="15" t="str">
        <f>IF(O1304="","",IF(ISNUMBER(MATCH(O1304,$G$5:$G$1000,0)),"",IF(D1304=1,B$4,0)+MAX(I$4:I1303)+1))</f>
        <v/>
      </c>
      <c r="M1304" s="14" t="str">
        <f>IF(ROW()-ROW(M$4)&lt;=1000,ROW()-ROW(M$4),"")</f>
        <v/>
      </c>
    </row>
    <row r="1305" spans="4:13" ht="12" customHeight="1" x14ac:dyDescent="0.25">
      <c r="D1305" s="15" t="str">
        <f>IF(IF(ISNUMBER(B1305),"",MAX(D$4:D1304)+1)&lt;=D$3,IF(ISNUMBER(B1305),"",MAX(D$4:D1304)+1),"")</f>
        <v/>
      </c>
      <c r="H1305" s="15"/>
      <c r="I1305" s="15" t="str">
        <f>IF(O1305="","",IF(ISNUMBER(MATCH(O1305,$G$5:$G$1000,0)),"",IF(D1305=1,B$4,0)+MAX(I$4:I1304)+1))</f>
        <v/>
      </c>
      <c r="M1305" s="14" t="str">
        <f>IF(ROW()-ROW(M$4)&lt;=1000,ROW()-ROW(M$4),"")</f>
        <v/>
      </c>
    </row>
    <row r="1306" spans="4:13" ht="12" customHeight="1" x14ac:dyDescent="0.25">
      <c r="D1306" s="15" t="str">
        <f>IF(IF(ISNUMBER(B1306),"",MAX(D$4:D1305)+1)&lt;=D$3,IF(ISNUMBER(B1306),"",MAX(D$4:D1305)+1),"")</f>
        <v/>
      </c>
      <c r="H1306" s="15"/>
      <c r="I1306" s="15" t="str">
        <f>IF(O1306="","",IF(ISNUMBER(MATCH(O1306,$G$5:$G$1000,0)),"",IF(D1306=1,B$4,0)+MAX(I$4:I1305)+1))</f>
        <v/>
      </c>
      <c r="M1306" s="14" t="str">
        <f>IF(ROW()-ROW(M$4)&lt;=1000,ROW()-ROW(M$4),"")</f>
        <v/>
      </c>
    </row>
    <row r="1307" spans="4:13" ht="12" customHeight="1" x14ac:dyDescent="0.25">
      <c r="D1307" s="15" t="str">
        <f>IF(IF(ISNUMBER(B1307),"",MAX(D$4:D1306)+1)&lt;=D$3,IF(ISNUMBER(B1307),"",MAX(D$4:D1306)+1),"")</f>
        <v/>
      </c>
      <c r="H1307" s="15"/>
      <c r="I1307" s="15" t="str">
        <f>IF(O1307="","",IF(ISNUMBER(MATCH(O1307,$G$5:$G$1000,0)),"",IF(D1307=1,B$4,0)+MAX(I$4:I1306)+1))</f>
        <v/>
      </c>
      <c r="M1307" s="14" t="str">
        <f>IF(ROW()-ROW(M$4)&lt;=1000,ROW()-ROW(M$4),"")</f>
        <v/>
      </c>
    </row>
    <row r="1308" spans="4:13" ht="12" customHeight="1" x14ac:dyDescent="0.25">
      <c r="D1308" s="15" t="str">
        <f>IF(IF(ISNUMBER(B1308),"",MAX(D$4:D1307)+1)&lt;=D$3,IF(ISNUMBER(B1308),"",MAX(D$4:D1307)+1),"")</f>
        <v/>
      </c>
      <c r="H1308" s="15"/>
      <c r="I1308" s="15" t="str">
        <f>IF(O1308="","",IF(ISNUMBER(MATCH(O1308,$G$5:$G$1000,0)),"",IF(D1308=1,B$4,0)+MAX(I$4:I1307)+1))</f>
        <v/>
      </c>
      <c r="M1308" s="14" t="str">
        <f>IF(ROW()-ROW(M$4)&lt;=1000,ROW()-ROW(M$4),"")</f>
        <v/>
      </c>
    </row>
    <row r="1309" spans="4:13" ht="12" customHeight="1" x14ac:dyDescent="0.25">
      <c r="D1309" s="15" t="str">
        <f>IF(IF(ISNUMBER(B1309),"",MAX(D$4:D1308)+1)&lt;=D$3,IF(ISNUMBER(B1309),"",MAX(D$4:D1308)+1),"")</f>
        <v/>
      </c>
      <c r="H1309" s="15"/>
      <c r="I1309" s="15" t="str">
        <f>IF(O1309="","",IF(ISNUMBER(MATCH(O1309,$G$5:$G$1000,0)),"",IF(D1309=1,B$4,0)+MAX(I$4:I1308)+1))</f>
        <v/>
      </c>
      <c r="M1309" s="14" t="str">
        <f>IF(ROW()-ROW(M$4)&lt;=1000,ROW()-ROW(M$4),"")</f>
        <v/>
      </c>
    </row>
    <row r="1310" spans="4:13" ht="12" customHeight="1" x14ac:dyDescent="0.25">
      <c r="D1310" s="15" t="str">
        <f>IF(IF(ISNUMBER(B1310),"",MAX(D$4:D1309)+1)&lt;=D$3,IF(ISNUMBER(B1310),"",MAX(D$4:D1309)+1),"")</f>
        <v/>
      </c>
      <c r="H1310" s="15"/>
      <c r="I1310" s="15" t="str">
        <f>IF(O1310="","",IF(ISNUMBER(MATCH(O1310,$G$5:$G$1000,0)),"",IF(D1310=1,B$4,0)+MAX(I$4:I1309)+1))</f>
        <v/>
      </c>
      <c r="M1310" s="14" t="str">
        <f>IF(ROW()-ROW(M$4)&lt;=1000,ROW()-ROW(M$4),"")</f>
        <v/>
      </c>
    </row>
    <row r="1311" spans="4:13" ht="12" customHeight="1" x14ac:dyDescent="0.25">
      <c r="D1311" s="15" t="str">
        <f>IF(IF(ISNUMBER(B1311),"",MAX(D$4:D1310)+1)&lt;=D$3,IF(ISNUMBER(B1311),"",MAX(D$4:D1310)+1),"")</f>
        <v/>
      </c>
      <c r="H1311" s="15"/>
      <c r="I1311" s="15" t="str">
        <f>IF(O1311="","",IF(ISNUMBER(MATCH(O1311,$G$5:$G$1000,0)),"",IF(D1311=1,B$4,0)+MAX(I$4:I1310)+1))</f>
        <v/>
      </c>
      <c r="M1311" s="14" t="str">
        <f>IF(ROW()-ROW(M$4)&lt;=1000,ROW()-ROW(M$4),"")</f>
        <v/>
      </c>
    </row>
    <row r="1312" spans="4:13" ht="12" customHeight="1" x14ac:dyDescent="0.25">
      <c r="D1312" s="15" t="str">
        <f>IF(IF(ISNUMBER(B1312),"",MAX(D$4:D1311)+1)&lt;=D$3,IF(ISNUMBER(B1312),"",MAX(D$4:D1311)+1),"")</f>
        <v/>
      </c>
      <c r="H1312" s="15"/>
      <c r="I1312" s="15" t="str">
        <f>IF(O1312="","",IF(ISNUMBER(MATCH(O1312,$G$5:$G$1000,0)),"",IF(D1312=1,B$4,0)+MAX(I$4:I1311)+1))</f>
        <v/>
      </c>
      <c r="M1312" s="14" t="str">
        <f>IF(ROW()-ROW(M$4)&lt;=1000,ROW()-ROW(M$4),"")</f>
        <v/>
      </c>
    </row>
    <row r="1313" spans="4:13" ht="12" customHeight="1" x14ac:dyDescent="0.25">
      <c r="D1313" s="15" t="str">
        <f>IF(IF(ISNUMBER(B1313),"",MAX(D$4:D1312)+1)&lt;=D$3,IF(ISNUMBER(B1313),"",MAX(D$4:D1312)+1),"")</f>
        <v/>
      </c>
      <c r="H1313" s="15"/>
      <c r="I1313" s="15" t="str">
        <f>IF(O1313="","",IF(ISNUMBER(MATCH(O1313,$G$5:$G$1000,0)),"",IF(D1313=1,B$4,0)+MAX(I$4:I1312)+1))</f>
        <v/>
      </c>
      <c r="M1313" s="14" t="str">
        <f>IF(ROW()-ROW(M$4)&lt;=1000,ROW()-ROW(M$4),"")</f>
        <v/>
      </c>
    </row>
    <row r="1314" spans="4:13" ht="12" customHeight="1" x14ac:dyDescent="0.25">
      <c r="D1314" s="15" t="str">
        <f>IF(IF(ISNUMBER(B1314),"",MAX(D$4:D1313)+1)&lt;=D$3,IF(ISNUMBER(B1314),"",MAX(D$4:D1313)+1),"")</f>
        <v/>
      </c>
      <c r="H1314" s="15"/>
      <c r="I1314" s="15" t="str">
        <f>IF(O1314="","",IF(ISNUMBER(MATCH(O1314,$G$5:$G$1000,0)),"",IF(D1314=1,B$4,0)+MAX(I$4:I1313)+1))</f>
        <v/>
      </c>
      <c r="M1314" s="14" t="str">
        <f>IF(ROW()-ROW(M$4)&lt;=1000,ROW()-ROW(M$4),"")</f>
        <v/>
      </c>
    </row>
    <row r="1315" spans="4:13" ht="12" customHeight="1" x14ac:dyDescent="0.25">
      <c r="D1315" s="15" t="str">
        <f>IF(IF(ISNUMBER(B1315),"",MAX(D$4:D1314)+1)&lt;=D$3,IF(ISNUMBER(B1315),"",MAX(D$4:D1314)+1),"")</f>
        <v/>
      </c>
      <c r="H1315" s="15"/>
      <c r="I1315" s="15" t="str">
        <f>IF(O1315="","",IF(ISNUMBER(MATCH(O1315,$G$5:$G$1000,0)),"",IF(D1315=1,B$4,0)+MAX(I$4:I1314)+1))</f>
        <v/>
      </c>
      <c r="M1315" s="14" t="str">
        <f>IF(ROW()-ROW(M$4)&lt;=1000,ROW()-ROW(M$4),"")</f>
        <v/>
      </c>
    </row>
    <row r="1316" spans="4:13" ht="12" customHeight="1" x14ac:dyDescent="0.25">
      <c r="D1316" s="15" t="str">
        <f>IF(IF(ISNUMBER(B1316),"",MAX(D$4:D1315)+1)&lt;=D$3,IF(ISNUMBER(B1316),"",MAX(D$4:D1315)+1),"")</f>
        <v/>
      </c>
      <c r="H1316" s="15"/>
      <c r="I1316" s="15" t="str">
        <f>IF(O1316="","",IF(ISNUMBER(MATCH(O1316,$G$5:$G$1000,0)),"",IF(D1316=1,B$4,0)+MAX(I$4:I1315)+1))</f>
        <v/>
      </c>
      <c r="M1316" s="14" t="str">
        <f>IF(ROW()-ROW(M$4)&lt;=1000,ROW()-ROW(M$4),"")</f>
        <v/>
      </c>
    </row>
    <row r="1317" spans="4:13" ht="12" customHeight="1" x14ac:dyDescent="0.25">
      <c r="D1317" s="15" t="str">
        <f>IF(IF(ISNUMBER(B1317),"",MAX(D$4:D1316)+1)&lt;=D$3,IF(ISNUMBER(B1317),"",MAX(D$4:D1316)+1),"")</f>
        <v/>
      </c>
      <c r="H1317" s="15"/>
      <c r="I1317" s="15" t="str">
        <f>IF(O1317="","",IF(ISNUMBER(MATCH(O1317,$G$5:$G$1000,0)),"",IF(D1317=1,B$4,0)+MAX(I$4:I1316)+1))</f>
        <v/>
      </c>
      <c r="M1317" s="14" t="str">
        <f>IF(ROW()-ROW(M$4)&lt;=1000,ROW()-ROW(M$4),"")</f>
        <v/>
      </c>
    </row>
    <row r="1318" spans="4:13" ht="12" customHeight="1" x14ac:dyDescent="0.25">
      <c r="D1318" s="15" t="str">
        <f>IF(IF(ISNUMBER(B1318),"",MAX(D$4:D1317)+1)&lt;=D$3,IF(ISNUMBER(B1318),"",MAX(D$4:D1317)+1),"")</f>
        <v/>
      </c>
      <c r="H1318" s="15"/>
      <c r="I1318" s="15" t="str">
        <f>IF(O1318="","",IF(ISNUMBER(MATCH(O1318,$G$5:$G$1000,0)),"",IF(D1318=1,B$4,0)+MAX(I$4:I1317)+1))</f>
        <v/>
      </c>
      <c r="M1318" s="14" t="str">
        <f>IF(ROW()-ROW(M$4)&lt;=1000,ROW()-ROW(M$4),"")</f>
        <v/>
      </c>
    </row>
    <row r="1319" spans="4:13" ht="12" customHeight="1" x14ac:dyDescent="0.25">
      <c r="D1319" s="15" t="str">
        <f>IF(IF(ISNUMBER(B1319),"",MAX(D$4:D1318)+1)&lt;=D$3,IF(ISNUMBER(B1319),"",MAX(D$4:D1318)+1),"")</f>
        <v/>
      </c>
      <c r="H1319" s="15"/>
      <c r="I1319" s="15" t="str">
        <f>IF(O1319="","",IF(ISNUMBER(MATCH(O1319,$G$5:$G$1000,0)),"",IF(D1319=1,B$4,0)+MAX(I$4:I1318)+1))</f>
        <v/>
      </c>
      <c r="M1319" s="14" t="str">
        <f>IF(ROW()-ROW(M$4)&lt;=1000,ROW()-ROW(M$4),"")</f>
        <v/>
      </c>
    </row>
    <row r="1320" spans="4:13" ht="12" customHeight="1" x14ac:dyDescent="0.25">
      <c r="D1320" s="15" t="str">
        <f>IF(IF(ISNUMBER(B1320),"",MAX(D$4:D1319)+1)&lt;=D$3,IF(ISNUMBER(B1320),"",MAX(D$4:D1319)+1),"")</f>
        <v/>
      </c>
      <c r="H1320" s="15"/>
      <c r="I1320" s="15" t="str">
        <f>IF(O1320="","",IF(ISNUMBER(MATCH(O1320,$G$5:$G$1000,0)),"",IF(D1320=1,B$4,0)+MAX(I$4:I1319)+1))</f>
        <v/>
      </c>
      <c r="M1320" s="14" t="str">
        <f>IF(ROW()-ROW(M$4)&lt;=1000,ROW()-ROW(M$4),"")</f>
        <v/>
      </c>
    </row>
    <row r="1321" spans="4:13" ht="12" customHeight="1" x14ac:dyDescent="0.25">
      <c r="D1321" s="15" t="str">
        <f>IF(IF(ISNUMBER(B1321),"",MAX(D$4:D1320)+1)&lt;=D$3,IF(ISNUMBER(B1321),"",MAX(D$4:D1320)+1),"")</f>
        <v/>
      </c>
      <c r="H1321" s="15"/>
      <c r="I1321" s="15" t="str">
        <f>IF(O1321="","",IF(ISNUMBER(MATCH(O1321,$G$5:$G$1000,0)),"",IF(D1321=1,B$4,0)+MAX(I$4:I1320)+1))</f>
        <v/>
      </c>
      <c r="M1321" s="14" t="str">
        <f>IF(ROW()-ROW(M$4)&lt;=1000,ROW()-ROW(M$4),"")</f>
        <v/>
      </c>
    </row>
    <row r="1322" spans="4:13" ht="12" customHeight="1" x14ac:dyDescent="0.25">
      <c r="D1322" s="15" t="str">
        <f>IF(IF(ISNUMBER(B1322),"",MAX(D$4:D1321)+1)&lt;=D$3,IF(ISNUMBER(B1322),"",MAX(D$4:D1321)+1),"")</f>
        <v/>
      </c>
      <c r="H1322" s="15"/>
      <c r="I1322" s="15" t="str">
        <f>IF(O1322="","",IF(ISNUMBER(MATCH(O1322,$G$5:$G$1000,0)),"",IF(D1322=1,B$4,0)+MAX(I$4:I1321)+1))</f>
        <v/>
      </c>
      <c r="M1322" s="14" t="str">
        <f>IF(ROW()-ROW(M$4)&lt;=1000,ROW()-ROW(M$4),"")</f>
        <v/>
      </c>
    </row>
    <row r="1323" spans="4:13" ht="12" customHeight="1" x14ac:dyDescent="0.25">
      <c r="D1323" s="15" t="str">
        <f>IF(IF(ISNUMBER(B1323),"",MAX(D$4:D1322)+1)&lt;=D$3,IF(ISNUMBER(B1323),"",MAX(D$4:D1322)+1),"")</f>
        <v/>
      </c>
      <c r="H1323" s="15"/>
      <c r="I1323" s="15" t="str">
        <f>IF(O1323="","",IF(ISNUMBER(MATCH(O1323,$G$5:$G$1000,0)),"",IF(D1323=1,B$4,0)+MAX(I$4:I1322)+1))</f>
        <v/>
      </c>
      <c r="M1323" s="14" t="str">
        <f>IF(ROW()-ROW(M$4)&lt;=1000,ROW()-ROW(M$4),"")</f>
        <v/>
      </c>
    </row>
    <row r="1324" spans="4:13" ht="12" customHeight="1" x14ac:dyDescent="0.25">
      <c r="D1324" s="15" t="str">
        <f>IF(IF(ISNUMBER(B1324),"",MAX(D$4:D1323)+1)&lt;=D$3,IF(ISNUMBER(B1324),"",MAX(D$4:D1323)+1),"")</f>
        <v/>
      </c>
      <c r="H1324" s="15"/>
      <c r="I1324" s="15" t="str">
        <f>IF(O1324="","",IF(ISNUMBER(MATCH(O1324,$G$5:$G$1000,0)),"",IF(D1324=1,B$4,0)+MAX(I$4:I1323)+1))</f>
        <v/>
      </c>
      <c r="M1324" s="14" t="str">
        <f>IF(ROW()-ROW(M$4)&lt;=1000,ROW()-ROW(M$4),"")</f>
        <v/>
      </c>
    </row>
    <row r="1325" spans="4:13" ht="12" customHeight="1" x14ac:dyDescent="0.25">
      <c r="D1325" s="15" t="str">
        <f>IF(IF(ISNUMBER(B1325),"",MAX(D$4:D1324)+1)&lt;=D$3,IF(ISNUMBER(B1325),"",MAX(D$4:D1324)+1),"")</f>
        <v/>
      </c>
      <c r="H1325" s="15"/>
      <c r="I1325" s="15" t="str">
        <f>IF(O1325="","",IF(ISNUMBER(MATCH(O1325,$G$5:$G$1000,0)),"",IF(D1325=1,B$4,0)+MAX(I$4:I1324)+1))</f>
        <v/>
      </c>
      <c r="M1325" s="14" t="str">
        <f>IF(ROW()-ROW(M$4)&lt;=1000,ROW()-ROW(M$4),"")</f>
        <v/>
      </c>
    </row>
    <row r="1326" spans="4:13" ht="12" customHeight="1" x14ac:dyDescent="0.25">
      <c r="D1326" s="15" t="str">
        <f>IF(IF(ISNUMBER(B1326),"",MAX(D$4:D1325)+1)&lt;=D$3,IF(ISNUMBER(B1326),"",MAX(D$4:D1325)+1),"")</f>
        <v/>
      </c>
      <c r="H1326" s="15"/>
      <c r="I1326" s="15" t="str">
        <f>IF(O1326="","",IF(ISNUMBER(MATCH(O1326,$G$5:$G$1000,0)),"",IF(D1326=1,B$4,0)+MAX(I$4:I1325)+1))</f>
        <v/>
      </c>
      <c r="M1326" s="14" t="str">
        <f>IF(ROW()-ROW(M$4)&lt;=1000,ROW()-ROW(M$4),"")</f>
        <v/>
      </c>
    </row>
    <row r="1327" spans="4:13" ht="12" customHeight="1" x14ac:dyDescent="0.25">
      <c r="D1327" s="15" t="str">
        <f>IF(IF(ISNUMBER(B1327),"",MAX(D$4:D1326)+1)&lt;=D$3,IF(ISNUMBER(B1327),"",MAX(D$4:D1326)+1),"")</f>
        <v/>
      </c>
      <c r="H1327" s="15"/>
      <c r="I1327" s="15" t="str">
        <f>IF(O1327="","",IF(ISNUMBER(MATCH(O1327,$G$5:$G$1000,0)),"",IF(D1327=1,B$4,0)+MAX(I$4:I1326)+1))</f>
        <v/>
      </c>
      <c r="M1327" s="14" t="str">
        <f>IF(ROW()-ROW(M$4)&lt;=1000,ROW()-ROW(M$4),"")</f>
        <v/>
      </c>
    </row>
    <row r="1328" spans="4:13" ht="12" customHeight="1" x14ac:dyDescent="0.25">
      <c r="D1328" s="15" t="str">
        <f>IF(IF(ISNUMBER(B1328),"",MAX(D$4:D1327)+1)&lt;=D$3,IF(ISNUMBER(B1328),"",MAX(D$4:D1327)+1),"")</f>
        <v/>
      </c>
      <c r="H1328" s="15"/>
      <c r="I1328" s="15" t="str">
        <f>IF(O1328="","",IF(ISNUMBER(MATCH(O1328,$G$5:$G$1000,0)),"",IF(D1328=1,B$4,0)+MAX(I$4:I1327)+1))</f>
        <v/>
      </c>
      <c r="M1328" s="14" t="str">
        <f>IF(ROW()-ROW(M$4)&lt;=1000,ROW()-ROW(M$4),"")</f>
        <v/>
      </c>
    </row>
    <row r="1329" spans="4:13" ht="12" customHeight="1" x14ac:dyDescent="0.25">
      <c r="D1329" s="15" t="str">
        <f>IF(IF(ISNUMBER(B1329),"",MAX(D$4:D1328)+1)&lt;=D$3,IF(ISNUMBER(B1329),"",MAX(D$4:D1328)+1),"")</f>
        <v/>
      </c>
      <c r="H1329" s="15"/>
      <c r="I1329" s="15" t="str">
        <f>IF(O1329="","",IF(ISNUMBER(MATCH(O1329,$G$5:$G$1000,0)),"",IF(D1329=1,B$4,0)+MAX(I$4:I1328)+1))</f>
        <v/>
      </c>
      <c r="M1329" s="14" t="str">
        <f>IF(ROW()-ROW(M$4)&lt;=1000,ROW()-ROW(M$4),"")</f>
        <v/>
      </c>
    </row>
    <row r="1330" spans="4:13" ht="12" customHeight="1" x14ac:dyDescent="0.25">
      <c r="D1330" s="15" t="str">
        <f>IF(IF(ISNUMBER(B1330),"",MAX(D$4:D1329)+1)&lt;=D$3,IF(ISNUMBER(B1330),"",MAX(D$4:D1329)+1),"")</f>
        <v/>
      </c>
      <c r="H1330" s="15"/>
      <c r="I1330" s="15" t="str">
        <f>IF(O1330="","",IF(ISNUMBER(MATCH(O1330,$G$5:$G$1000,0)),"",IF(D1330=1,B$4,0)+MAX(I$4:I1329)+1))</f>
        <v/>
      </c>
      <c r="M1330" s="14" t="str">
        <f>IF(ROW()-ROW(M$4)&lt;=1000,ROW()-ROW(M$4),"")</f>
        <v/>
      </c>
    </row>
    <row r="1331" spans="4:13" ht="12" customHeight="1" x14ac:dyDescent="0.25">
      <c r="D1331" s="15" t="str">
        <f>IF(IF(ISNUMBER(B1331),"",MAX(D$4:D1330)+1)&lt;=D$3,IF(ISNUMBER(B1331),"",MAX(D$4:D1330)+1),"")</f>
        <v/>
      </c>
      <c r="H1331" s="15"/>
      <c r="I1331" s="15" t="str">
        <f>IF(O1331="","",IF(ISNUMBER(MATCH(O1331,$G$5:$G$1000,0)),"",IF(D1331=1,B$4,0)+MAX(I$4:I1330)+1))</f>
        <v/>
      </c>
      <c r="M1331" s="14" t="str">
        <f>IF(ROW()-ROW(M$4)&lt;=1000,ROW()-ROW(M$4),"")</f>
        <v/>
      </c>
    </row>
    <row r="1332" spans="4:13" ht="12" customHeight="1" x14ac:dyDescent="0.25">
      <c r="D1332" s="15" t="str">
        <f>IF(IF(ISNUMBER(B1332),"",MAX(D$4:D1331)+1)&lt;=D$3,IF(ISNUMBER(B1332),"",MAX(D$4:D1331)+1),"")</f>
        <v/>
      </c>
      <c r="H1332" s="15"/>
      <c r="I1332" s="15" t="str">
        <f>IF(O1332="","",IF(ISNUMBER(MATCH(O1332,$G$5:$G$1000,0)),"",IF(D1332=1,B$4,0)+MAX(I$4:I1331)+1))</f>
        <v/>
      </c>
      <c r="M1332" s="14" t="str">
        <f>IF(ROW()-ROW(M$4)&lt;=1000,ROW()-ROW(M$4),"")</f>
        <v/>
      </c>
    </row>
    <row r="1333" spans="4:13" ht="12" customHeight="1" x14ac:dyDescent="0.25">
      <c r="D1333" s="15" t="str">
        <f>IF(IF(ISNUMBER(B1333),"",MAX(D$4:D1332)+1)&lt;=D$3,IF(ISNUMBER(B1333),"",MAX(D$4:D1332)+1),"")</f>
        <v/>
      </c>
      <c r="H1333" s="15"/>
      <c r="I1333" s="15" t="str">
        <f>IF(O1333="","",IF(ISNUMBER(MATCH(O1333,$G$5:$G$1000,0)),"",IF(D1333=1,B$4,0)+MAX(I$4:I1332)+1))</f>
        <v/>
      </c>
      <c r="M1333" s="14" t="str">
        <f>IF(ROW()-ROW(M$4)&lt;=1000,ROW()-ROW(M$4),"")</f>
        <v/>
      </c>
    </row>
    <row r="1334" spans="4:13" ht="12" customHeight="1" x14ac:dyDescent="0.25">
      <c r="D1334" s="15" t="str">
        <f>IF(IF(ISNUMBER(B1334),"",MAX(D$4:D1333)+1)&lt;=D$3,IF(ISNUMBER(B1334),"",MAX(D$4:D1333)+1),"")</f>
        <v/>
      </c>
      <c r="H1334" s="15"/>
      <c r="I1334" s="15" t="str">
        <f>IF(O1334="","",IF(ISNUMBER(MATCH(O1334,$G$5:$G$1000,0)),"",IF(D1334=1,B$4,0)+MAX(I$4:I1333)+1))</f>
        <v/>
      </c>
      <c r="M1334" s="14" t="str">
        <f>IF(ROW()-ROW(M$4)&lt;=1000,ROW()-ROW(M$4),"")</f>
        <v/>
      </c>
    </row>
    <row r="1335" spans="4:13" ht="12" customHeight="1" x14ac:dyDescent="0.25">
      <c r="D1335" s="15" t="str">
        <f>IF(IF(ISNUMBER(B1335),"",MAX(D$4:D1334)+1)&lt;=D$3,IF(ISNUMBER(B1335),"",MAX(D$4:D1334)+1),"")</f>
        <v/>
      </c>
      <c r="H1335" s="15"/>
      <c r="I1335" s="15" t="str">
        <f>IF(O1335="","",IF(ISNUMBER(MATCH(O1335,$G$5:$G$1000,0)),"",IF(D1335=1,B$4,0)+MAX(I$4:I1334)+1))</f>
        <v/>
      </c>
      <c r="M1335" s="14" t="str">
        <f>IF(ROW()-ROW(M$4)&lt;=1000,ROW()-ROW(M$4),"")</f>
        <v/>
      </c>
    </row>
    <row r="1336" spans="4:13" ht="12" customHeight="1" x14ac:dyDescent="0.25">
      <c r="D1336" s="15" t="str">
        <f>IF(IF(ISNUMBER(B1336),"",MAX(D$4:D1335)+1)&lt;=D$3,IF(ISNUMBER(B1336),"",MAX(D$4:D1335)+1),"")</f>
        <v/>
      </c>
      <c r="H1336" s="15"/>
      <c r="I1336" s="15" t="str">
        <f>IF(O1336="","",IF(ISNUMBER(MATCH(O1336,$G$5:$G$1000,0)),"",IF(D1336=1,B$4,0)+MAX(I$4:I1335)+1))</f>
        <v/>
      </c>
      <c r="M1336" s="14" t="str">
        <f>IF(ROW()-ROW(M$4)&lt;=1000,ROW()-ROW(M$4),"")</f>
        <v/>
      </c>
    </row>
    <row r="1337" spans="4:13" ht="12" customHeight="1" x14ac:dyDescent="0.25">
      <c r="D1337" s="15" t="str">
        <f>IF(IF(ISNUMBER(B1337),"",MAX(D$4:D1336)+1)&lt;=D$3,IF(ISNUMBER(B1337),"",MAX(D$4:D1336)+1),"")</f>
        <v/>
      </c>
      <c r="H1337" s="15"/>
      <c r="I1337" s="15" t="str">
        <f>IF(O1337="","",IF(ISNUMBER(MATCH(O1337,$G$5:$G$1000,0)),"",IF(D1337=1,B$4,0)+MAX(I$4:I1336)+1))</f>
        <v/>
      </c>
      <c r="M1337" s="14" t="str">
        <f>IF(ROW()-ROW(M$4)&lt;=1000,ROW()-ROW(M$4),"")</f>
        <v/>
      </c>
    </row>
    <row r="1338" spans="4:13" ht="12" customHeight="1" x14ac:dyDescent="0.25">
      <c r="D1338" s="15" t="str">
        <f>IF(IF(ISNUMBER(B1338),"",MAX(D$4:D1337)+1)&lt;=D$3,IF(ISNUMBER(B1338),"",MAX(D$4:D1337)+1),"")</f>
        <v/>
      </c>
      <c r="H1338" s="15"/>
      <c r="I1338" s="15" t="str">
        <f>IF(O1338="","",IF(ISNUMBER(MATCH(O1338,$G$5:$G$1000,0)),"",IF(D1338=1,B$4,0)+MAX(I$4:I1337)+1))</f>
        <v/>
      </c>
      <c r="M1338" s="14" t="str">
        <f>IF(ROW()-ROW(M$4)&lt;=1000,ROW()-ROW(M$4),"")</f>
        <v/>
      </c>
    </row>
    <row r="1339" spans="4:13" ht="12" customHeight="1" x14ac:dyDescent="0.25">
      <c r="D1339" s="15" t="str">
        <f>IF(IF(ISNUMBER(B1339),"",MAX(D$4:D1338)+1)&lt;=D$3,IF(ISNUMBER(B1339),"",MAX(D$4:D1338)+1),"")</f>
        <v/>
      </c>
      <c r="H1339" s="15"/>
      <c r="I1339" s="15" t="str">
        <f>IF(O1339="","",IF(ISNUMBER(MATCH(O1339,$G$5:$G$1000,0)),"",IF(D1339=1,B$4,0)+MAX(I$4:I1338)+1))</f>
        <v/>
      </c>
      <c r="M1339" s="14" t="str">
        <f>IF(ROW()-ROW(M$4)&lt;=1000,ROW()-ROW(M$4),"")</f>
        <v/>
      </c>
    </row>
    <row r="1340" spans="4:13" ht="12" customHeight="1" x14ac:dyDescent="0.25">
      <c r="D1340" s="15" t="str">
        <f>IF(IF(ISNUMBER(B1340),"",MAX(D$4:D1339)+1)&lt;=D$3,IF(ISNUMBER(B1340),"",MAX(D$4:D1339)+1),"")</f>
        <v/>
      </c>
      <c r="H1340" s="15"/>
      <c r="I1340" s="15" t="str">
        <f>IF(O1340="","",IF(ISNUMBER(MATCH(O1340,$G$5:$G$1000,0)),"",IF(D1340=1,B$4,0)+MAX(I$4:I1339)+1))</f>
        <v/>
      </c>
      <c r="M1340" s="14" t="str">
        <f>IF(ROW()-ROW(M$4)&lt;=1000,ROW()-ROW(M$4),"")</f>
        <v/>
      </c>
    </row>
    <row r="1341" spans="4:13" ht="12" customHeight="1" x14ac:dyDescent="0.25">
      <c r="D1341" s="15" t="str">
        <f>IF(IF(ISNUMBER(B1341),"",MAX(D$4:D1340)+1)&lt;=D$3,IF(ISNUMBER(B1341),"",MAX(D$4:D1340)+1),"")</f>
        <v/>
      </c>
      <c r="H1341" s="15"/>
      <c r="I1341" s="15" t="str">
        <f>IF(O1341="","",IF(ISNUMBER(MATCH(O1341,$G$5:$G$1000,0)),"",IF(D1341=1,B$4,0)+MAX(I$4:I1340)+1))</f>
        <v/>
      </c>
      <c r="M1341" s="14" t="str">
        <f>IF(ROW()-ROW(M$4)&lt;=1000,ROW()-ROW(M$4),"")</f>
        <v/>
      </c>
    </row>
    <row r="1342" spans="4:13" ht="12" customHeight="1" x14ac:dyDescent="0.25">
      <c r="D1342" s="15" t="str">
        <f>IF(IF(ISNUMBER(B1342),"",MAX(D$4:D1341)+1)&lt;=D$3,IF(ISNUMBER(B1342),"",MAX(D$4:D1341)+1),"")</f>
        <v/>
      </c>
      <c r="H1342" s="15"/>
      <c r="I1342" s="15" t="str">
        <f>IF(O1342="","",IF(ISNUMBER(MATCH(O1342,$G$5:$G$1000,0)),"",IF(D1342=1,B$4,0)+MAX(I$4:I1341)+1))</f>
        <v/>
      </c>
      <c r="M1342" s="14" t="str">
        <f>IF(ROW()-ROW(M$4)&lt;=1000,ROW()-ROW(M$4),"")</f>
        <v/>
      </c>
    </row>
    <row r="1343" spans="4:13" ht="12" customHeight="1" x14ac:dyDescent="0.25">
      <c r="D1343" s="15" t="str">
        <f>IF(IF(ISNUMBER(B1343),"",MAX(D$4:D1342)+1)&lt;=D$3,IF(ISNUMBER(B1343),"",MAX(D$4:D1342)+1),"")</f>
        <v/>
      </c>
      <c r="H1343" s="15"/>
      <c r="I1343" s="15" t="str">
        <f>IF(O1343="","",IF(ISNUMBER(MATCH(O1343,$G$5:$G$1000,0)),"",IF(D1343=1,B$4,0)+MAX(I$4:I1342)+1))</f>
        <v/>
      </c>
      <c r="M1343" s="14" t="str">
        <f>IF(ROW()-ROW(M$4)&lt;=1000,ROW()-ROW(M$4),"")</f>
        <v/>
      </c>
    </row>
    <row r="1344" spans="4:13" ht="12" customHeight="1" x14ac:dyDescent="0.25">
      <c r="D1344" s="15" t="str">
        <f>IF(IF(ISNUMBER(B1344),"",MAX(D$4:D1343)+1)&lt;=D$3,IF(ISNUMBER(B1344),"",MAX(D$4:D1343)+1),"")</f>
        <v/>
      </c>
      <c r="H1344" s="15"/>
      <c r="I1344" s="15" t="str">
        <f>IF(O1344="","",IF(ISNUMBER(MATCH(O1344,$G$5:$G$1000,0)),"",IF(D1344=1,B$4,0)+MAX(I$4:I1343)+1))</f>
        <v/>
      </c>
      <c r="M1344" s="14" t="str">
        <f>IF(ROW()-ROW(M$4)&lt;=1000,ROW()-ROW(M$4),"")</f>
        <v/>
      </c>
    </row>
    <row r="1345" spans="4:13" ht="12" customHeight="1" x14ac:dyDescent="0.25">
      <c r="D1345" s="15" t="str">
        <f>IF(IF(ISNUMBER(B1345),"",MAX(D$4:D1344)+1)&lt;=D$3,IF(ISNUMBER(B1345),"",MAX(D$4:D1344)+1),"")</f>
        <v/>
      </c>
      <c r="H1345" s="15"/>
      <c r="I1345" s="15" t="str">
        <f>IF(O1345="","",IF(ISNUMBER(MATCH(O1345,$G$5:$G$1000,0)),"",IF(D1345=1,B$4,0)+MAX(I$4:I1344)+1))</f>
        <v/>
      </c>
      <c r="M1345" s="14" t="str">
        <f>IF(ROW()-ROW(M$4)&lt;=1000,ROW()-ROW(M$4),"")</f>
        <v/>
      </c>
    </row>
    <row r="1346" spans="4:13" ht="12" customHeight="1" x14ac:dyDescent="0.25">
      <c r="D1346" s="15" t="str">
        <f>IF(IF(ISNUMBER(B1346),"",MAX(D$4:D1345)+1)&lt;=D$3,IF(ISNUMBER(B1346),"",MAX(D$4:D1345)+1),"")</f>
        <v/>
      </c>
      <c r="H1346" s="15"/>
      <c r="I1346" s="15" t="str">
        <f>IF(O1346="","",IF(ISNUMBER(MATCH(O1346,$G$5:$G$1000,0)),"",IF(D1346=1,B$4,0)+MAX(I$4:I1345)+1))</f>
        <v/>
      </c>
      <c r="M1346" s="14" t="str">
        <f>IF(ROW()-ROW(M$4)&lt;=1000,ROW()-ROW(M$4),"")</f>
        <v/>
      </c>
    </row>
    <row r="1347" spans="4:13" ht="12" customHeight="1" x14ac:dyDescent="0.25">
      <c r="D1347" s="15" t="str">
        <f>IF(IF(ISNUMBER(B1347),"",MAX(D$4:D1346)+1)&lt;=D$3,IF(ISNUMBER(B1347),"",MAX(D$4:D1346)+1),"")</f>
        <v/>
      </c>
      <c r="H1347" s="15"/>
      <c r="I1347" s="15" t="str">
        <f>IF(O1347="","",IF(ISNUMBER(MATCH(O1347,$G$5:$G$1000,0)),"",IF(D1347=1,B$4,0)+MAX(I$4:I1346)+1))</f>
        <v/>
      </c>
      <c r="M1347" s="14" t="str">
        <f>IF(ROW()-ROW(M$4)&lt;=1000,ROW()-ROW(M$4),"")</f>
        <v/>
      </c>
    </row>
    <row r="1348" spans="4:13" ht="12" customHeight="1" x14ac:dyDescent="0.25">
      <c r="D1348" s="15" t="str">
        <f>IF(IF(ISNUMBER(B1348),"",MAX(D$4:D1347)+1)&lt;=D$3,IF(ISNUMBER(B1348),"",MAX(D$4:D1347)+1),"")</f>
        <v/>
      </c>
      <c r="H1348" s="15"/>
      <c r="I1348" s="15" t="str">
        <f>IF(O1348="","",IF(ISNUMBER(MATCH(O1348,$G$5:$G$1000,0)),"",IF(D1348=1,B$4,0)+MAX(I$4:I1347)+1))</f>
        <v/>
      </c>
      <c r="M1348" s="14" t="str">
        <f>IF(ROW()-ROW(M$4)&lt;=1000,ROW()-ROW(M$4),"")</f>
        <v/>
      </c>
    </row>
    <row r="1349" spans="4:13" ht="12" customHeight="1" x14ac:dyDescent="0.25">
      <c r="D1349" s="15" t="str">
        <f>IF(IF(ISNUMBER(B1349),"",MAX(D$4:D1348)+1)&lt;=D$3,IF(ISNUMBER(B1349),"",MAX(D$4:D1348)+1),"")</f>
        <v/>
      </c>
      <c r="H1349" s="15"/>
      <c r="I1349" s="15" t="str">
        <f>IF(O1349="","",IF(ISNUMBER(MATCH(O1349,$G$5:$G$1000,0)),"",IF(D1349=1,B$4,0)+MAX(I$4:I1348)+1))</f>
        <v/>
      </c>
      <c r="M1349" s="14" t="str">
        <f>IF(ROW()-ROW(M$4)&lt;=1000,ROW()-ROW(M$4),"")</f>
        <v/>
      </c>
    </row>
    <row r="1350" spans="4:13" ht="12" customHeight="1" x14ac:dyDescent="0.25">
      <c r="D1350" s="15" t="str">
        <f>IF(IF(ISNUMBER(B1350),"",MAX(D$4:D1349)+1)&lt;=D$3,IF(ISNUMBER(B1350),"",MAX(D$4:D1349)+1),"")</f>
        <v/>
      </c>
      <c r="H1350" s="15"/>
      <c r="I1350" s="15" t="str">
        <f>IF(O1350="","",IF(ISNUMBER(MATCH(O1350,$G$5:$G$1000,0)),"",IF(D1350=1,B$4,0)+MAX(I$4:I1349)+1))</f>
        <v/>
      </c>
      <c r="M1350" s="14" t="str">
        <f>IF(ROW()-ROW(M$4)&lt;=1000,ROW()-ROW(M$4),"")</f>
        <v/>
      </c>
    </row>
    <row r="1351" spans="4:13" ht="12" customHeight="1" x14ac:dyDescent="0.25">
      <c r="D1351" s="15" t="str">
        <f>IF(IF(ISNUMBER(B1351),"",MAX(D$4:D1350)+1)&lt;=D$3,IF(ISNUMBER(B1351),"",MAX(D$4:D1350)+1),"")</f>
        <v/>
      </c>
      <c r="H1351" s="15"/>
      <c r="I1351" s="15" t="str">
        <f>IF(O1351="","",IF(ISNUMBER(MATCH(O1351,$G$5:$G$1000,0)),"",IF(D1351=1,B$4,0)+MAX(I$4:I1350)+1))</f>
        <v/>
      </c>
      <c r="M1351" s="14" t="str">
        <f>IF(ROW()-ROW(M$4)&lt;=1000,ROW()-ROW(M$4),"")</f>
        <v/>
      </c>
    </row>
    <row r="1352" spans="4:13" ht="12" customHeight="1" x14ac:dyDescent="0.25">
      <c r="D1352" s="15" t="str">
        <f>IF(IF(ISNUMBER(B1352),"",MAX(D$4:D1351)+1)&lt;=D$3,IF(ISNUMBER(B1352),"",MAX(D$4:D1351)+1),"")</f>
        <v/>
      </c>
      <c r="H1352" s="15"/>
      <c r="I1352" s="15" t="str">
        <f>IF(O1352="","",IF(ISNUMBER(MATCH(O1352,$G$5:$G$1000,0)),"",IF(D1352=1,B$4,0)+MAX(I$4:I1351)+1))</f>
        <v/>
      </c>
      <c r="M1352" s="14" t="str">
        <f>IF(ROW()-ROW(M$4)&lt;=1000,ROW()-ROW(M$4),"")</f>
        <v/>
      </c>
    </row>
    <row r="1353" spans="4:13" ht="12" customHeight="1" x14ac:dyDescent="0.25">
      <c r="D1353" s="15" t="str">
        <f>IF(IF(ISNUMBER(B1353),"",MAX(D$4:D1352)+1)&lt;=D$3,IF(ISNUMBER(B1353),"",MAX(D$4:D1352)+1),"")</f>
        <v/>
      </c>
      <c r="H1353" s="15"/>
      <c r="I1353" s="15" t="str">
        <f>IF(O1353="","",IF(ISNUMBER(MATCH(O1353,$G$5:$G$1000,0)),"",IF(D1353=1,B$4,0)+MAX(I$4:I1352)+1))</f>
        <v/>
      </c>
      <c r="M1353" s="14" t="str">
        <f>IF(ROW()-ROW(M$4)&lt;=1000,ROW()-ROW(M$4),"")</f>
        <v/>
      </c>
    </row>
    <row r="1354" spans="4:13" ht="12" customHeight="1" x14ac:dyDescent="0.25">
      <c r="D1354" s="15" t="str">
        <f>IF(IF(ISNUMBER(B1354),"",MAX(D$4:D1353)+1)&lt;=D$3,IF(ISNUMBER(B1354),"",MAX(D$4:D1353)+1),"")</f>
        <v/>
      </c>
      <c r="H1354" s="15"/>
      <c r="I1354" s="15" t="str">
        <f>IF(O1354="","",IF(ISNUMBER(MATCH(O1354,$G$5:$G$1000,0)),"",IF(D1354=1,B$4,0)+MAX(I$4:I1353)+1))</f>
        <v/>
      </c>
      <c r="M1354" s="14" t="str">
        <f>IF(ROW()-ROW(M$4)&lt;=1000,ROW()-ROW(M$4),"")</f>
        <v/>
      </c>
    </row>
    <row r="1355" spans="4:13" ht="12" customHeight="1" x14ac:dyDescent="0.25">
      <c r="D1355" s="15" t="str">
        <f>IF(IF(ISNUMBER(B1355),"",MAX(D$4:D1354)+1)&lt;=D$3,IF(ISNUMBER(B1355),"",MAX(D$4:D1354)+1),"")</f>
        <v/>
      </c>
      <c r="H1355" s="15"/>
      <c r="I1355" s="15" t="str">
        <f>IF(O1355="","",IF(ISNUMBER(MATCH(O1355,$G$5:$G$1000,0)),"",IF(D1355=1,B$4,0)+MAX(I$4:I1354)+1))</f>
        <v/>
      </c>
      <c r="M1355" s="14" t="str">
        <f>IF(ROW()-ROW(M$4)&lt;=1000,ROW()-ROW(M$4),"")</f>
        <v/>
      </c>
    </row>
    <row r="1356" spans="4:13" ht="12" customHeight="1" x14ac:dyDescent="0.25">
      <c r="D1356" s="15" t="str">
        <f>IF(IF(ISNUMBER(B1356),"",MAX(D$4:D1355)+1)&lt;=D$3,IF(ISNUMBER(B1356),"",MAX(D$4:D1355)+1),"")</f>
        <v/>
      </c>
      <c r="H1356" s="15"/>
      <c r="I1356" s="15" t="str">
        <f>IF(O1356="","",IF(ISNUMBER(MATCH(O1356,$G$5:$G$1000,0)),"",IF(D1356=1,B$4,0)+MAX(I$4:I1355)+1))</f>
        <v/>
      </c>
      <c r="M1356" s="14" t="str">
        <f>IF(ROW()-ROW(M$4)&lt;=1000,ROW()-ROW(M$4),"")</f>
        <v/>
      </c>
    </row>
    <row r="1357" spans="4:13" ht="12" customHeight="1" x14ac:dyDescent="0.25">
      <c r="D1357" s="15" t="str">
        <f>IF(IF(ISNUMBER(B1357),"",MAX(D$4:D1356)+1)&lt;=D$3,IF(ISNUMBER(B1357),"",MAX(D$4:D1356)+1),"")</f>
        <v/>
      </c>
      <c r="H1357" s="15"/>
      <c r="I1357" s="15" t="str">
        <f>IF(O1357="","",IF(ISNUMBER(MATCH(O1357,$G$5:$G$1000,0)),"",IF(D1357=1,B$4,0)+MAX(I$4:I1356)+1))</f>
        <v/>
      </c>
      <c r="M1357" s="14" t="str">
        <f>IF(ROW()-ROW(M$4)&lt;=1000,ROW()-ROW(M$4),"")</f>
        <v/>
      </c>
    </row>
    <row r="1358" spans="4:13" ht="12" customHeight="1" x14ac:dyDescent="0.25">
      <c r="D1358" s="15" t="str">
        <f>IF(IF(ISNUMBER(B1358),"",MAX(D$4:D1357)+1)&lt;=D$3,IF(ISNUMBER(B1358),"",MAX(D$4:D1357)+1),"")</f>
        <v/>
      </c>
      <c r="H1358" s="15"/>
      <c r="I1358" s="15" t="str">
        <f>IF(O1358="","",IF(ISNUMBER(MATCH(O1358,$G$5:$G$1000,0)),"",IF(D1358=1,B$4,0)+MAX(I$4:I1357)+1))</f>
        <v/>
      </c>
      <c r="M1358" s="14" t="str">
        <f>IF(ROW()-ROW(M$4)&lt;=1000,ROW()-ROW(M$4),"")</f>
        <v/>
      </c>
    </row>
    <row r="1359" spans="4:13" ht="12" customHeight="1" x14ac:dyDescent="0.25">
      <c r="D1359" s="15" t="str">
        <f>IF(IF(ISNUMBER(B1359),"",MAX(D$4:D1358)+1)&lt;=D$3,IF(ISNUMBER(B1359),"",MAX(D$4:D1358)+1),"")</f>
        <v/>
      </c>
      <c r="H1359" s="15"/>
      <c r="I1359" s="15" t="str">
        <f>IF(O1359="","",IF(ISNUMBER(MATCH(O1359,$G$5:$G$1000,0)),"",IF(D1359=1,B$4,0)+MAX(I$4:I1358)+1))</f>
        <v/>
      </c>
      <c r="M1359" s="14" t="str">
        <f>IF(ROW()-ROW(M$4)&lt;=1000,ROW()-ROW(M$4),"")</f>
        <v/>
      </c>
    </row>
    <row r="1360" spans="4:13" ht="12" customHeight="1" x14ac:dyDescent="0.25">
      <c r="D1360" s="15" t="str">
        <f>IF(IF(ISNUMBER(B1360),"",MAX(D$4:D1359)+1)&lt;=D$3,IF(ISNUMBER(B1360),"",MAX(D$4:D1359)+1),"")</f>
        <v/>
      </c>
      <c r="H1360" s="15"/>
      <c r="I1360" s="15" t="str">
        <f>IF(O1360="","",IF(ISNUMBER(MATCH(O1360,$G$5:$G$1000,0)),"",IF(D1360=1,B$4,0)+MAX(I$4:I1359)+1))</f>
        <v/>
      </c>
      <c r="M1360" s="14" t="str">
        <f>IF(ROW()-ROW(M$4)&lt;=1000,ROW()-ROW(M$4),"")</f>
        <v/>
      </c>
    </row>
    <row r="1361" spans="4:13" ht="12" customHeight="1" x14ac:dyDescent="0.25">
      <c r="D1361" s="15" t="str">
        <f>IF(IF(ISNUMBER(B1361),"",MAX(D$4:D1360)+1)&lt;=D$3,IF(ISNUMBER(B1361),"",MAX(D$4:D1360)+1),"")</f>
        <v/>
      </c>
      <c r="H1361" s="15"/>
      <c r="I1361" s="15" t="str">
        <f>IF(O1361="","",IF(ISNUMBER(MATCH(O1361,$G$5:$G$1000,0)),"",IF(D1361=1,B$4,0)+MAX(I$4:I1360)+1))</f>
        <v/>
      </c>
      <c r="M1361" s="14" t="str">
        <f>IF(ROW()-ROW(M$4)&lt;=1000,ROW()-ROW(M$4),"")</f>
        <v/>
      </c>
    </row>
    <row r="1362" spans="4:13" ht="12" customHeight="1" x14ac:dyDescent="0.25">
      <c r="D1362" s="15" t="str">
        <f>IF(IF(ISNUMBER(B1362),"",MAX(D$4:D1361)+1)&lt;=D$3,IF(ISNUMBER(B1362),"",MAX(D$4:D1361)+1),"")</f>
        <v/>
      </c>
      <c r="H1362" s="15"/>
      <c r="I1362" s="15" t="str">
        <f>IF(O1362="","",IF(ISNUMBER(MATCH(O1362,$G$5:$G$1000,0)),"",IF(D1362=1,B$4,0)+MAX(I$4:I1361)+1))</f>
        <v/>
      </c>
      <c r="M1362" s="14" t="str">
        <f>IF(ROW()-ROW(M$4)&lt;=1000,ROW()-ROW(M$4),"")</f>
        <v/>
      </c>
    </row>
    <row r="1363" spans="4:13" ht="12" customHeight="1" x14ac:dyDescent="0.25">
      <c r="D1363" s="15" t="str">
        <f>IF(IF(ISNUMBER(B1363),"",MAX(D$4:D1362)+1)&lt;=D$3,IF(ISNUMBER(B1363),"",MAX(D$4:D1362)+1),"")</f>
        <v/>
      </c>
      <c r="H1363" s="15"/>
      <c r="I1363" s="15" t="str">
        <f>IF(O1363="","",IF(ISNUMBER(MATCH(O1363,$G$5:$G$1000,0)),"",IF(D1363=1,B$4,0)+MAX(I$4:I1362)+1))</f>
        <v/>
      </c>
      <c r="M1363" s="14" t="str">
        <f>IF(ROW()-ROW(M$4)&lt;=1000,ROW()-ROW(M$4),"")</f>
        <v/>
      </c>
    </row>
    <row r="1364" spans="4:13" ht="12" customHeight="1" x14ac:dyDescent="0.25">
      <c r="D1364" s="15" t="str">
        <f>IF(IF(ISNUMBER(B1364),"",MAX(D$4:D1363)+1)&lt;=D$3,IF(ISNUMBER(B1364),"",MAX(D$4:D1363)+1),"")</f>
        <v/>
      </c>
      <c r="H1364" s="15"/>
      <c r="I1364" s="15" t="str">
        <f>IF(O1364="","",IF(ISNUMBER(MATCH(O1364,$G$5:$G$1000,0)),"",IF(D1364=1,B$4,0)+MAX(I$4:I1363)+1))</f>
        <v/>
      </c>
      <c r="M1364" s="14" t="str">
        <f>IF(ROW()-ROW(M$4)&lt;=1000,ROW()-ROW(M$4),"")</f>
        <v/>
      </c>
    </row>
    <row r="1365" spans="4:13" ht="12" customHeight="1" x14ac:dyDescent="0.25">
      <c r="D1365" s="15" t="str">
        <f>IF(IF(ISNUMBER(B1365),"",MAX(D$4:D1364)+1)&lt;=D$3,IF(ISNUMBER(B1365),"",MAX(D$4:D1364)+1),"")</f>
        <v/>
      </c>
      <c r="H1365" s="15"/>
      <c r="I1365" s="15" t="str">
        <f>IF(O1365="","",IF(ISNUMBER(MATCH(O1365,$G$5:$G$1000,0)),"",IF(D1365=1,B$4,0)+MAX(I$4:I1364)+1))</f>
        <v/>
      </c>
      <c r="M1365" s="14" t="str">
        <f>IF(ROW()-ROW(M$4)&lt;=1000,ROW()-ROW(M$4),"")</f>
        <v/>
      </c>
    </row>
    <row r="1366" spans="4:13" ht="12" customHeight="1" x14ac:dyDescent="0.25">
      <c r="D1366" s="15" t="str">
        <f>IF(IF(ISNUMBER(B1366),"",MAX(D$4:D1365)+1)&lt;=D$3,IF(ISNUMBER(B1366),"",MAX(D$4:D1365)+1),"")</f>
        <v/>
      </c>
      <c r="H1366" s="15"/>
      <c r="I1366" s="15" t="str">
        <f>IF(O1366="","",IF(ISNUMBER(MATCH(O1366,$G$5:$G$1000,0)),"",IF(D1366=1,B$4,0)+MAX(I$4:I1365)+1))</f>
        <v/>
      </c>
      <c r="M1366" s="14" t="str">
        <f>IF(ROW()-ROW(M$4)&lt;=1000,ROW()-ROW(M$4),"")</f>
        <v/>
      </c>
    </row>
    <row r="1367" spans="4:13" ht="12" customHeight="1" x14ac:dyDescent="0.25">
      <c r="D1367" s="15" t="str">
        <f>IF(IF(ISNUMBER(B1367),"",MAX(D$4:D1366)+1)&lt;=D$3,IF(ISNUMBER(B1367),"",MAX(D$4:D1366)+1),"")</f>
        <v/>
      </c>
      <c r="H1367" s="15"/>
      <c r="I1367" s="15" t="str">
        <f>IF(O1367="","",IF(ISNUMBER(MATCH(O1367,$G$5:$G$1000,0)),"",IF(D1367=1,B$4,0)+MAX(I$4:I1366)+1))</f>
        <v/>
      </c>
      <c r="M1367" s="14" t="str">
        <f>IF(ROW()-ROW(M$4)&lt;=1000,ROW()-ROW(M$4),"")</f>
        <v/>
      </c>
    </row>
    <row r="1368" spans="4:13" ht="12" customHeight="1" x14ac:dyDescent="0.25">
      <c r="D1368" s="15" t="str">
        <f>IF(IF(ISNUMBER(B1368),"",MAX(D$4:D1367)+1)&lt;=D$3,IF(ISNUMBER(B1368),"",MAX(D$4:D1367)+1),"")</f>
        <v/>
      </c>
      <c r="H1368" s="15"/>
      <c r="I1368" s="15" t="str">
        <f>IF(O1368="","",IF(ISNUMBER(MATCH(O1368,$G$5:$G$1000,0)),"",IF(D1368=1,B$4,0)+MAX(I$4:I1367)+1))</f>
        <v/>
      </c>
      <c r="M1368" s="14" t="str">
        <f>IF(ROW()-ROW(M$4)&lt;=1000,ROW()-ROW(M$4),"")</f>
        <v/>
      </c>
    </row>
    <row r="1369" spans="4:13" ht="12" customHeight="1" x14ac:dyDescent="0.25">
      <c r="D1369" s="15" t="str">
        <f>IF(IF(ISNUMBER(B1369),"",MAX(D$4:D1368)+1)&lt;=D$3,IF(ISNUMBER(B1369),"",MAX(D$4:D1368)+1),"")</f>
        <v/>
      </c>
      <c r="H1369" s="15"/>
      <c r="I1369" s="15" t="str">
        <f>IF(O1369="","",IF(ISNUMBER(MATCH(O1369,$G$5:$G$1000,0)),"",IF(D1369=1,B$4,0)+MAX(I$4:I1368)+1))</f>
        <v/>
      </c>
      <c r="M1369" s="14" t="str">
        <f>IF(ROW()-ROW(M$4)&lt;=1000,ROW()-ROW(M$4),"")</f>
        <v/>
      </c>
    </row>
    <row r="1370" spans="4:13" ht="12" customHeight="1" x14ac:dyDescent="0.25">
      <c r="D1370" s="15" t="str">
        <f>IF(IF(ISNUMBER(B1370),"",MAX(D$4:D1369)+1)&lt;=D$3,IF(ISNUMBER(B1370),"",MAX(D$4:D1369)+1),"")</f>
        <v/>
      </c>
      <c r="H1370" s="15"/>
      <c r="I1370" s="15" t="str">
        <f>IF(O1370="","",IF(ISNUMBER(MATCH(O1370,$G$5:$G$1000,0)),"",IF(D1370=1,B$4,0)+MAX(I$4:I1369)+1))</f>
        <v/>
      </c>
      <c r="M1370" s="14" t="str">
        <f>IF(ROW()-ROW(M$4)&lt;=1000,ROW()-ROW(M$4),"")</f>
        <v/>
      </c>
    </row>
    <row r="1371" spans="4:13" ht="12" customHeight="1" x14ac:dyDescent="0.25">
      <c r="D1371" s="15" t="str">
        <f>IF(IF(ISNUMBER(B1371),"",MAX(D$4:D1370)+1)&lt;=D$3,IF(ISNUMBER(B1371),"",MAX(D$4:D1370)+1),"")</f>
        <v/>
      </c>
      <c r="H1371" s="15"/>
      <c r="I1371" s="15" t="str">
        <f>IF(O1371="","",IF(ISNUMBER(MATCH(O1371,$G$5:$G$1000,0)),"",IF(D1371=1,B$4,0)+MAX(I$4:I1370)+1))</f>
        <v/>
      </c>
      <c r="M1371" s="14" t="str">
        <f>IF(ROW()-ROW(M$4)&lt;=1000,ROW()-ROW(M$4),"")</f>
        <v/>
      </c>
    </row>
    <row r="1372" spans="4:13" ht="12" customHeight="1" x14ac:dyDescent="0.25">
      <c r="D1372" s="15" t="str">
        <f>IF(IF(ISNUMBER(B1372),"",MAX(D$4:D1371)+1)&lt;=D$3,IF(ISNUMBER(B1372),"",MAX(D$4:D1371)+1),"")</f>
        <v/>
      </c>
      <c r="H1372" s="15"/>
      <c r="I1372" s="15" t="str">
        <f>IF(O1372="","",IF(ISNUMBER(MATCH(O1372,$G$5:$G$1000,0)),"",IF(D1372=1,B$4,0)+MAX(I$4:I1371)+1))</f>
        <v/>
      </c>
      <c r="M1372" s="14" t="str">
        <f>IF(ROW()-ROW(M$4)&lt;=1000,ROW()-ROW(M$4),"")</f>
        <v/>
      </c>
    </row>
    <row r="1373" spans="4:13" ht="12" customHeight="1" x14ac:dyDescent="0.25">
      <c r="D1373" s="15" t="str">
        <f>IF(IF(ISNUMBER(B1373),"",MAX(D$4:D1372)+1)&lt;=D$3,IF(ISNUMBER(B1373),"",MAX(D$4:D1372)+1),"")</f>
        <v/>
      </c>
      <c r="H1373" s="15"/>
      <c r="I1373" s="15" t="str">
        <f>IF(O1373="","",IF(ISNUMBER(MATCH(O1373,$G$5:$G$1000,0)),"",IF(D1373=1,B$4,0)+MAX(I$4:I1372)+1))</f>
        <v/>
      </c>
      <c r="M1373" s="14" t="str">
        <f>IF(ROW()-ROW(M$4)&lt;=1000,ROW()-ROW(M$4),"")</f>
        <v/>
      </c>
    </row>
    <row r="1374" spans="4:13" ht="12" customHeight="1" x14ac:dyDescent="0.25">
      <c r="D1374" s="15" t="str">
        <f>IF(IF(ISNUMBER(B1374),"",MAX(D$4:D1373)+1)&lt;=D$3,IF(ISNUMBER(B1374),"",MAX(D$4:D1373)+1),"")</f>
        <v/>
      </c>
      <c r="H1374" s="15"/>
      <c r="I1374" s="15" t="str">
        <f>IF(O1374="","",IF(ISNUMBER(MATCH(O1374,$G$5:$G$1000,0)),"",IF(D1374=1,B$4,0)+MAX(I$4:I1373)+1))</f>
        <v/>
      </c>
      <c r="M1374" s="14" t="str">
        <f>IF(ROW()-ROW(M$4)&lt;=1000,ROW()-ROW(M$4),"")</f>
        <v/>
      </c>
    </row>
    <row r="1375" spans="4:13" ht="12" customHeight="1" x14ac:dyDescent="0.25">
      <c r="D1375" s="15" t="str">
        <f>IF(IF(ISNUMBER(B1375),"",MAX(D$4:D1374)+1)&lt;=D$3,IF(ISNUMBER(B1375),"",MAX(D$4:D1374)+1),"")</f>
        <v/>
      </c>
      <c r="H1375" s="15"/>
      <c r="I1375" s="15" t="str">
        <f>IF(O1375="","",IF(ISNUMBER(MATCH(O1375,$G$5:$G$1000,0)),"",IF(D1375=1,B$4,0)+MAX(I$4:I1374)+1))</f>
        <v/>
      </c>
      <c r="M1375" s="14" t="str">
        <f>IF(ROW()-ROW(M$4)&lt;=1000,ROW()-ROW(M$4),"")</f>
        <v/>
      </c>
    </row>
    <row r="1376" spans="4:13" ht="12" customHeight="1" x14ac:dyDescent="0.25">
      <c r="D1376" s="15" t="str">
        <f>IF(IF(ISNUMBER(B1376),"",MAX(D$4:D1375)+1)&lt;=D$3,IF(ISNUMBER(B1376),"",MAX(D$4:D1375)+1),"")</f>
        <v/>
      </c>
      <c r="H1376" s="15"/>
      <c r="I1376" s="15" t="str">
        <f>IF(O1376="","",IF(ISNUMBER(MATCH(O1376,$G$5:$G$1000,0)),"",IF(D1376=1,B$4,0)+MAX(I$4:I1375)+1))</f>
        <v/>
      </c>
      <c r="M1376" s="14" t="str">
        <f>IF(ROW()-ROW(M$4)&lt;=1000,ROW()-ROW(M$4),"")</f>
        <v/>
      </c>
    </row>
    <row r="1377" spans="4:13" ht="12" customHeight="1" x14ac:dyDescent="0.25">
      <c r="D1377" s="15" t="str">
        <f>IF(IF(ISNUMBER(B1377),"",MAX(D$4:D1376)+1)&lt;=D$3,IF(ISNUMBER(B1377),"",MAX(D$4:D1376)+1),"")</f>
        <v/>
      </c>
      <c r="H1377" s="15"/>
      <c r="I1377" s="15" t="str">
        <f>IF(O1377="","",IF(ISNUMBER(MATCH(O1377,$G$5:$G$1000,0)),"",IF(D1377=1,B$4,0)+MAX(I$4:I1376)+1))</f>
        <v/>
      </c>
      <c r="M1377" s="14" t="str">
        <f>IF(ROW()-ROW(M$4)&lt;=1000,ROW()-ROW(M$4),"")</f>
        <v/>
      </c>
    </row>
    <row r="1378" spans="4:13" ht="12" customHeight="1" x14ac:dyDescent="0.25">
      <c r="D1378" s="15" t="str">
        <f>IF(IF(ISNUMBER(B1378),"",MAX(D$4:D1377)+1)&lt;=D$3,IF(ISNUMBER(B1378),"",MAX(D$4:D1377)+1),"")</f>
        <v/>
      </c>
      <c r="H1378" s="15"/>
      <c r="I1378" s="15" t="str">
        <f>IF(O1378="","",IF(ISNUMBER(MATCH(O1378,$G$5:$G$1000,0)),"",IF(D1378=1,B$4,0)+MAX(I$4:I1377)+1))</f>
        <v/>
      </c>
      <c r="M1378" s="14" t="str">
        <f>IF(ROW()-ROW(M$4)&lt;=1000,ROW()-ROW(M$4),"")</f>
        <v/>
      </c>
    </row>
    <row r="1379" spans="4:13" ht="12" customHeight="1" x14ac:dyDescent="0.25">
      <c r="D1379" s="15" t="str">
        <f>IF(IF(ISNUMBER(B1379),"",MAX(D$4:D1378)+1)&lt;=D$3,IF(ISNUMBER(B1379),"",MAX(D$4:D1378)+1),"")</f>
        <v/>
      </c>
      <c r="H1379" s="15"/>
      <c r="I1379" s="15" t="str">
        <f>IF(O1379="","",IF(ISNUMBER(MATCH(O1379,$G$5:$G$1000,0)),"",IF(D1379=1,B$4,0)+MAX(I$4:I1378)+1))</f>
        <v/>
      </c>
      <c r="M1379" s="14" t="str">
        <f>IF(ROW()-ROW(M$4)&lt;=1000,ROW()-ROW(M$4),"")</f>
        <v/>
      </c>
    </row>
    <row r="1380" spans="4:13" ht="12" customHeight="1" x14ac:dyDescent="0.25">
      <c r="D1380" s="15" t="str">
        <f>IF(IF(ISNUMBER(B1380),"",MAX(D$4:D1379)+1)&lt;=D$3,IF(ISNUMBER(B1380),"",MAX(D$4:D1379)+1),"")</f>
        <v/>
      </c>
      <c r="H1380" s="15"/>
      <c r="I1380" s="15" t="str">
        <f>IF(O1380="","",IF(ISNUMBER(MATCH(O1380,$G$5:$G$1000,0)),"",IF(D1380=1,B$4,0)+MAX(I$4:I1379)+1))</f>
        <v/>
      </c>
      <c r="M1380" s="14" t="str">
        <f>IF(ROW()-ROW(M$4)&lt;=1000,ROW()-ROW(M$4),"")</f>
        <v/>
      </c>
    </row>
    <row r="1381" spans="4:13" ht="12" customHeight="1" x14ac:dyDescent="0.25">
      <c r="D1381" s="15" t="str">
        <f>IF(IF(ISNUMBER(B1381),"",MAX(D$4:D1380)+1)&lt;=D$3,IF(ISNUMBER(B1381),"",MAX(D$4:D1380)+1),"")</f>
        <v/>
      </c>
      <c r="H1381" s="15"/>
      <c r="I1381" s="15" t="str">
        <f>IF(O1381="","",IF(ISNUMBER(MATCH(O1381,$G$5:$G$1000,0)),"",IF(D1381=1,B$4,0)+MAX(I$4:I1380)+1))</f>
        <v/>
      </c>
      <c r="M1381" s="14" t="str">
        <f>IF(ROW()-ROW(M$4)&lt;=1000,ROW()-ROW(M$4),"")</f>
        <v/>
      </c>
    </row>
    <row r="1382" spans="4:13" ht="12" customHeight="1" x14ac:dyDescent="0.25">
      <c r="D1382" s="15" t="str">
        <f>IF(IF(ISNUMBER(B1382),"",MAX(D$4:D1381)+1)&lt;=D$3,IF(ISNUMBER(B1382),"",MAX(D$4:D1381)+1),"")</f>
        <v/>
      </c>
      <c r="H1382" s="15"/>
      <c r="I1382" s="15" t="str">
        <f>IF(O1382="","",IF(ISNUMBER(MATCH(O1382,$G$5:$G$1000,0)),"",IF(D1382=1,B$4,0)+MAX(I$4:I1381)+1))</f>
        <v/>
      </c>
      <c r="M1382" s="14" t="str">
        <f>IF(ROW()-ROW(M$4)&lt;=1000,ROW()-ROW(M$4),"")</f>
        <v/>
      </c>
    </row>
    <row r="1383" spans="4:13" ht="12" customHeight="1" x14ac:dyDescent="0.25">
      <c r="D1383" s="15" t="str">
        <f>IF(IF(ISNUMBER(B1383),"",MAX(D$4:D1382)+1)&lt;=D$3,IF(ISNUMBER(B1383),"",MAX(D$4:D1382)+1),"")</f>
        <v/>
      </c>
      <c r="H1383" s="15"/>
      <c r="I1383" s="15" t="str">
        <f>IF(O1383="","",IF(ISNUMBER(MATCH(O1383,$G$5:$G$1000,0)),"",IF(D1383=1,B$4,0)+MAX(I$4:I1382)+1))</f>
        <v/>
      </c>
      <c r="M1383" s="14" t="str">
        <f>IF(ROW()-ROW(M$4)&lt;=1000,ROW()-ROW(M$4),"")</f>
        <v/>
      </c>
    </row>
    <row r="1384" spans="4:13" ht="12" customHeight="1" x14ac:dyDescent="0.25">
      <c r="D1384" s="15" t="str">
        <f>IF(IF(ISNUMBER(B1384),"",MAX(D$4:D1383)+1)&lt;=D$3,IF(ISNUMBER(B1384),"",MAX(D$4:D1383)+1),"")</f>
        <v/>
      </c>
      <c r="H1384" s="15"/>
      <c r="I1384" s="15" t="str">
        <f>IF(O1384="","",IF(ISNUMBER(MATCH(O1384,$G$5:$G$1000,0)),"",IF(D1384=1,B$4,0)+MAX(I$4:I1383)+1))</f>
        <v/>
      </c>
      <c r="M1384" s="14" t="str">
        <f>IF(ROW()-ROW(M$4)&lt;=1000,ROW()-ROW(M$4),"")</f>
        <v/>
      </c>
    </row>
    <row r="1385" spans="4:13" ht="12" customHeight="1" x14ac:dyDescent="0.25">
      <c r="D1385" s="15" t="str">
        <f>IF(IF(ISNUMBER(B1385),"",MAX(D$4:D1384)+1)&lt;=D$3,IF(ISNUMBER(B1385),"",MAX(D$4:D1384)+1),"")</f>
        <v/>
      </c>
      <c r="H1385" s="15"/>
      <c r="I1385" s="15" t="str">
        <f>IF(O1385="","",IF(ISNUMBER(MATCH(O1385,$G$5:$G$1000,0)),"",IF(D1385=1,B$4,0)+MAX(I$4:I1384)+1))</f>
        <v/>
      </c>
      <c r="M1385" s="14" t="str">
        <f>IF(ROW()-ROW(M$4)&lt;=1000,ROW()-ROW(M$4),"")</f>
        <v/>
      </c>
    </row>
    <row r="1386" spans="4:13" ht="12" customHeight="1" x14ac:dyDescent="0.25">
      <c r="D1386" s="15" t="str">
        <f>IF(IF(ISNUMBER(B1386),"",MAX(D$4:D1385)+1)&lt;=D$3,IF(ISNUMBER(B1386),"",MAX(D$4:D1385)+1),"")</f>
        <v/>
      </c>
      <c r="H1386" s="15"/>
      <c r="I1386" s="15" t="str">
        <f>IF(O1386="","",IF(ISNUMBER(MATCH(O1386,$G$5:$G$1000,0)),"",IF(D1386=1,B$4,0)+MAX(I$4:I1385)+1))</f>
        <v/>
      </c>
      <c r="M1386" s="14" t="str">
        <f>IF(ROW()-ROW(M$4)&lt;=1000,ROW()-ROW(M$4),"")</f>
        <v/>
      </c>
    </row>
    <row r="1387" spans="4:13" ht="12" customHeight="1" x14ac:dyDescent="0.25">
      <c r="D1387" s="15" t="str">
        <f>IF(IF(ISNUMBER(B1387),"",MAX(D$4:D1386)+1)&lt;=D$3,IF(ISNUMBER(B1387),"",MAX(D$4:D1386)+1),"")</f>
        <v/>
      </c>
      <c r="H1387" s="15"/>
      <c r="I1387" s="15" t="str">
        <f>IF(O1387="","",IF(ISNUMBER(MATCH(O1387,$G$5:$G$1000,0)),"",IF(D1387=1,B$4,0)+MAX(I$4:I1386)+1))</f>
        <v/>
      </c>
      <c r="M1387" s="14" t="str">
        <f>IF(ROW()-ROW(M$4)&lt;=1000,ROW()-ROW(M$4),"")</f>
        <v/>
      </c>
    </row>
    <row r="1388" spans="4:13" ht="12" customHeight="1" x14ac:dyDescent="0.25">
      <c r="D1388" s="15" t="str">
        <f>IF(IF(ISNUMBER(B1388),"",MAX(D$4:D1387)+1)&lt;=D$3,IF(ISNUMBER(B1388),"",MAX(D$4:D1387)+1),"")</f>
        <v/>
      </c>
      <c r="H1388" s="15"/>
      <c r="I1388" s="15" t="str">
        <f>IF(O1388="","",IF(ISNUMBER(MATCH(O1388,$G$5:$G$1000,0)),"",IF(D1388=1,B$4,0)+MAX(I$4:I1387)+1))</f>
        <v/>
      </c>
      <c r="M1388" s="14" t="str">
        <f>IF(ROW()-ROW(M$4)&lt;=1000,ROW()-ROW(M$4),"")</f>
        <v/>
      </c>
    </row>
    <row r="1389" spans="4:13" ht="12" customHeight="1" x14ac:dyDescent="0.25">
      <c r="D1389" s="15" t="str">
        <f>IF(IF(ISNUMBER(B1389),"",MAX(D$4:D1388)+1)&lt;=D$3,IF(ISNUMBER(B1389),"",MAX(D$4:D1388)+1),"")</f>
        <v/>
      </c>
      <c r="H1389" s="15"/>
      <c r="I1389" s="15" t="str">
        <f>IF(O1389="","",IF(ISNUMBER(MATCH(O1389,$G$5:$G$1000,0)),"",IF(D1389=1,B$4,0)+MAX(I$4:I1388)+1))</f>
        <v/>
      </c>
      <c r="M1389" s="14" t="str">
        <f>IF(ROW()-ROW(M$4)&lt;=1000,ROW()-ROW(M$4),"")</f>
        <v/>
      </c>
    </row>
    <row r="1390" spans="4:13" ht="12" customHeight="1" x14ac:dyDescent="0.25">
      <c r="D1390" s="15" t="str">
        <f>IF(IF(ISNUMBER(B1390),"",MAX(D$4:D1389)+1)&lt;=D$3,IF(ISNUMBER(B1390),"",MAX(D$4:D1389)+1),"")</f>
        <v/>
      </c>
      <c r="H1390" s="15"/>
      <c r="I1390" s="15" t="str">
        <f>IF(O1390="","",IF(ISNUMBER(MATCH(O1390,$G$5:$G$1000,0)),"",IF(D1390=1,B$4,0)+MAX(I$4:I1389)+1))</f>
        <v/>
      </c>
      <c r="M1390" s="14" t="str">
        <f>IF(ROW()-ROW(M$4)&lt;=1000,ROW()-ROW(M$4),"")</f>
        <v/>
      </c>
    </row>
    <row r="1391" spans="4:13" ht="12" customHeight="1" x14ac:dyDescent="0.25">
      <c r="D1391" s="15" t="str">
        <f>IF(IF(ISNUMBER(B1391),"",MAX(D$4:D1390)+1)&lt;=D$3,IF(ISNUMBER(B1391),"",MAX(D$4:D1390)+1),"")</f>
        <v/>
      </c>
      <c r="H1391" s="15"/>
      <c r="I1391" s="15" t="str">
        <f>IF(O1391="","",IF(ISNUMBER(MATCH(O1391,$G$5:$G$1000,0)),"",IF(D1391=1,B$4,0)+MAX(I$4:I1390)+1))</f>
        <v/>
      </c>
      <c r="M1391" s="14" t="str">
        <f>IF(ROW()-ROW(M$4)&lt;=1000,ROW()-ROW(M$4),"")</f>
        <v/>
      </c>
    </row>
    <row r="1392" spans="4:13" ht="12" customHeight="1" x14ac:dyDescent="0.25">
      <c r="D1392" s="15" t="str">
        <f>IF(IF(ISNUMBER(B1392),"",MAX(D$4:D1391)+1)&lt;=D$3,IF(ISNUMBER(B1392),"",MAX(D$4:D1391)+1),"")</f>
        <v/>
      </c>
      <c r="H1392" s="15"/>
      <c r="I1392" s="15" t="str">
        <f>IF(O1392="","",IF(ISNUMBER(MATCH(O1392,$G$5:$G$1000,0)),"",IF(D1392=1,B$4,0)+MAX(I$4:I1391)+1))</f>
        <v/>
      </c>
      <c r="M1392" s="14" t="str">
        <f>IF(ROW()-ROW(M$4)&lt;=1000,ROW()-ROW(M$4),"")</f>
        <v/>
      </c>
    </row>
    <row r="1393" spans="4:13" ht="12" customHeight="1" x14ac:dyDescent="0.25">
      <c r="D1393" s="15" t="str">
        <f>IF(IF(ISNUMBER(B1393),"",MAX(D$4:D1392)+1)&lt;=D$3,IF(ISNUMBER(B1393),"",MAX(D$4:D1392)+1),"")</f>
        <v/>
      </c>
      <c r="H1393" s="15"/>
      <c r="I1393" s="15" t="str">
        <f>IF(O1393="","",IF(ISNUMBER(MATCH(O1393,$G$5:$G$1000,0)),"",IF(D1393=1,B$4,0)+MAX(I$4:I1392)+1))</f>
        <v/>
      </c>
      <c r="M1393" s="14" t="str">
        <f>IF(ROW()-ROW(M$4)&lt;=1000,ROW()-ROW(M$4),"")</f>
        <v/>
      </c>
    </row>
    <row r="1394" spans="4:13" ht="12" customHeight="1" x14ac:dyDescent="0.25">
      <c r="D1394" s="15" t="str">
        <f>IF(IF(ISNUMBER(B1394),"",MAX(D$4:D1393)+1)&lt;=D$3,IF(ISNUMBER(B1394),"",MAX(D$4:D1393)+1),"")</f>
        <v/>
      </c>
      <c r="H1394" s="15"/>
      <c r="I1394" s="15" t="str">
        <f>IF(O1394="","",IF(ISNUMBER(MATCH(O1394,$G$5:$G$1000,0)),"",IF(D1394=1,B$4,0)+MAX(I$4:I1393)+1))</f>
        <v/>
      </c>
      <c r="M1394" s="14" t="str">
        <f>IF(ROW()-ROW(M$4)&lt;=1000,ROW()-ROW(M$4),"")</f>
        <v/>
      </c>
    </row>
    <row r="1395" spans="4:13" ht="12" customHeight="1" x14ac:dyDescent="0.25">
      <c r="D1395" s="15" t="str">
        <f>IF(IF(ISNUMBER(B1395),"",MAX(D$4:D1394)+1)&lt;=D$3,IF(ISNUMBER(B1395),"",MAX(D$4:D1394)+1),"")</f>
        <v/>
      </c>
      <c r="H1395" s="15"/>
      <c r="I1395" s="15" t="str">
        <f>IF(O1395="","",IF(ISNUMBER(MATCH(O1395,$G$5:$G$1000,0)),"",IF(D1395=1,B$4,0)+MAX(I$4:I1394)+1))</f>
        <v/>
      </c>
      <c r="M1395" s="14" t="str">
        <f>IF(ROW()-ROW(M$4)&lt;=1000,ROW()-ROW(M$4),"")</f>
        <v/>
      </c>
    </row>
    <row r="1396" spans="4:13" ht="12" customHeight="1" x14ac:dyDescent="0.25">
      <c r="D1396" s="15" t="str">
        <f>IF(IF(ISNUMBER(B1396),"",MAX(D$4:D1395)+1)&lt;=D$3,IF(ISNUMBER(B1396),"",MAX(D$4:D1395)+1),"")</f>
        <v/>
      </c>
      <c r="H1396" s="15"/>
      <c r="I1396" s="15" t="str">
        <f>IF(O1396="","",IF(ISNUMBER(MATCH(O1396,$G$5:$G$1000,0)),"",IF(D1396=1,B$4,0)+MAX(I$4:I1395)+1))</f>
        <v/>
      </c>
      <c r="M1396" s="14" t="str">
        <f>IF(ROW()-ROW(M$4)&lt;=1000,ROW()-ROW(M$4),"")</f>
        <v/>
      </c>
    </row>
    <row r="1397" spans="4:13" ht="12" customHeight="1" x14ac:dyDescent="0.25">
      <c r="D1397" s="15" t="str">
        <f>IF(IF(ISNUMBER(B1397),"",MAX(D$4:D1396)+1)&lt;=D$3,IF(ISNUMBER(B1397),"",MAX(D$4:D1396)+1),"")</f>
        <v/>
      </c>
      <c r="H1397" s="15"/>
      <c r="I1397" s="15" t="str">
        <f>IF(O1397="","",IF(ISNUMBER(MATCH(O1397,$G$5:$G$1000,0)),"",IF(D1397=1,B$4,0)+MAX(I$4:I1396)+1))</f>
        <v/>
      </c>
      <c r="M1397" s="14" t="str">
        <f>IF(ROW()-ROW(M$4)&lt;=1000,ROW()-ROW(M$4),"")</f>
        <v/>
      </c>
    </row>
    <row r="1398" spans="4:13" ht="12" customHeight="1" x14ac:dyDescent="0.25">
      <c r="D1398" s="15" t="str">
        <f>IF(IF(ISNUMBER(B1398),"",MAX(D$4:D1397)+1)&lt;=D$3,IF(ISNUMBER(B1398),"",MAX(D$4:D1397)+1),"")</f>
        <v/>
      </c>
      <c r="H1398" s="15"/>
      <c r="I1398" s="15" t="str">
        <f>IF(O1398="","",IF(ISNUMBER(MATCH(O1398,$G$5:$G$1000,0)),"",IF(D1398=1,B$4,0)+MAX(I$4:I1397)+1))</f>
        <v/>
      </c>
      <c r="M1398" s="14" t="str">
        <f>IF(ROW()-ROW(M$4)&lt;=1000,ROW()-ROW(M$4),"")</f>
        <v/>
      </c>
    </row>
    <row r="1399" spans="4:13" ht="12" customHeight="1" x14ac:dyDescent="0.25">
      <c r="D1399" s="15" t="str">
        <f>IF(IF(ISNUMBER(B1399),"",MAX(D$4:D1398)+1)&lt;=D$3,IF(ISNUMBER(B1399),"",MAX(D$4:D1398)+1),"")</f>
        <v/>
      </c>
      <c r="H1399" s="15"/>
      <c r="I1399" s="15" t="str">
        <f>IF(O1399="","",IF(ISNUMBER(MATCH(O1399,$G$5:$G$1000,0)),"",IF(D1399=1,B$4,0)+MAX(I$4:I1398)+1))</f>
        <v/>
      </c>
      <c r="M1399" s="14" t="str">
        <f>IF(ROW()-ROW(M$4)&lt;=1000,ROW()-ROW(M$4),"")</f>
        <v/>
      </c>
    </row>
    <row r="1400" spans="4:13" ht="12" customHeight="1" x14ac:dyDescent="0.25">
      <c r="D1400" s="15" t="str">
        <f>IF(IF(ISNUMBER(B1400),"",MAX(D$4:D1399)+1)&lt;=D$3,IF(ISNUMBER(B1400),"",MAX(D$4:D1399)+1),"")</f>
        <v/>
      </c>
      <c r="H1400" s="15"/>
      <c r="I1400" s="15" t="str">
        <f>IF(O1400="","",IF(ISNUMBER(MATCH(O1400,$G$5:$G$1000,0)),"",IF(D1400=1,B$4,0)+MAX(I$4:I1399)+1))</f>
        <v/>
      </c>
      <c r="M1400" s="14" t="str">
        <f>IF(ROW()-ROW(M$4)&lt;=1000,ROW()-ROW(M$4),"")</f>
        <v/>
      </c>
    </row>
    <row r="1401" spans="4:13" ht="12" customHeight="1" x14ac:dyDescent="0.25">
      <c r="D1401" s="15" t="str">
        <f>IF(IF(ISNUMBER(B1401),"",MAX(D$4:D1400)+1)&lt;=D$3,IF(ISNUMBER(B1401),"",MAX(D$4:D1400)+1),"")</f>
        <v/>
      </c>
      <c r="H1401" s="15"/>
      <c r="I1401" s="15" t="str">
        <f>IF(O1401="","",IF(ISNUMBER(MATCH(O1401,$G$5:$G$1000,0)),"",IF(D1401=1,B$4,0)+MAX(I$4:I1400)+1))</f>
        <v/>
      </c>
      <c r="M1401" s="14" t="str">
        <f>IF(ROW()-ROW(M$4)&lt;=1000,ROW()-ROW(M$4),"")</f>
        <v/>
      </c>
    </row>
    <row r="1402" spans="4:13" ht="12" customHeight="1" x14ac:dyDescent="0.25">
      <c r="D1402" s="15" t="str">
        <f>IF(IF(ISNUMBER(B1402),"",MAX(D$4:D1401)+1)&lt;=D$3,IF(ISNUMBER(B1402),"",MAX(D$4:D1401)+1),"")</f>
        <v/>
      </c>
      <c r="H1402" s="15"/>
      <c r="I1402" s="15" t="str">
        <f>IF(O1402="","",IF(ISNUMBER(MATCH(O1402,$G$5:$G$1000,0)),"",IF(D1402=1,B$4,0)+MAX(I$4:I1401)+1))</f>
        <v/>
      </c>
      <c r="M1402" s="14" t="str">
        <f>IF(ROW()-ROW(M$4)&lt;=1000,ROW()-ROW(M$4),"")</f>
        <v/>
      </c>
    </row>
    <row r="1403" spans="4:13" ht="12" customHeight="1" x14ac:dyDescent="0.25">
      <c r="D1403" s="15" t="str">
        <f>IF(IF(ISNUMBER(B1403),"",MAX(D$4:D1402)+1)&lt;=D$3,IF(ISNUMBER(B1403),"",MAX(D$4:D1402)+1),"")</f>
        <v/>
      </c>
      <c r="H1403" s="15"/>
      <c r="I1403" s="15" t="str">
        <f>IF(O1403="","",IF(ISNUMBER(MATCH(O1403,$G$5:$G$1000,0)),"",IF(D1403=1,B$4,0)+MAX(I$4:I1402)+1))</f>
        <v/>
      </c>
      <c r="M1403" s="14" t="str">
        <f>IF(ROW()-ROW(M$4)&lt;=1000,ROW()-ROW(M$4),"")</f>
        <v/>
      </c>
    </row>
    <row r="1404" spans="4:13" ht="12" customHeight="1" x14ac:dyDescent="0.25">
      <c r="D1404" s="15" t="str">
        <f>IF(IF(ISNUMBER(B1404),"",MAX(D$4:D1403)+1)&lt;=D$3,IF(ISNUMBER(B1404),"",MAX(D$4:D1403)+1),"")</f>
        <v/>
      </c>
      <c r="H1404" s="15"/>
      <c r="I1404" s="15" t="str">
        <f>IF(O1404="","",IF(ISNUMBER(MATCH(O1404,$G$5:$G$1000,0)),"",IF(D1404=1,B$4,0)+MAX(I$4:I1403)+1))</f>
        <v/>
      </c>
      <c r="M1404" s="14" t="str">
        <f>IF(ROW()-ROW(M$4)&lt;=1000,ROW()-ROW(M$4),"")</f>
        <v/>
      </c>
    </row>
    <row r="1405" spans="4:13" ht="12" customHeight="1" x14ac:dyDescent="0.25">
      <c r="D1405" s="15" t="str">
        <f>IF(IF(ISNUMBER(B1405),"",MAX(D$4:D1404)+1)&lt;=D$3,IF(ISNUMBER(B1405),"",MAX(D$4:D1404)+1),"")</f>
        <v/>
      </c>
      <c r="H1405" s="15"/>
      <c r="I1405" s="15" t="str">
        <f>IF(O1405="","",IF(ISNUMBER(MATCH(O1405,$G$5:$G$1000,0)),"",IF(D1405=1,B$4,0)+MAX(I$4:I1404)+1))</f>
        <v/>
      </c>
      <c r="M1405" s="14" t="str">
        <f>IF(ROW()-ROW(M$4)&lt;=1000,ROW()-ROW(M$4),"")</f>
        <v/>
      </c>
    </row>
    <row r="1406" spans="4:13" ht="12" customHeight="1" x14ac:dyDescent="0.25">
      <c r="D1406" s="15" t="str">
        <f>IF(IF(ISNUMBER(B1406),"",MAX(D$4:D1405)+1)&lt;=D$3,IF(ISNUMBER(B1406),"",MAX(D$4:D1405)+1),"")</f>
        <v/>
      </c>
      <c r="H1406" s="15"/>
      <c r="I1406" s="15" t="str">
        <f>IF(O1406="","",IF(ISNUMBER(MATCH(O1406,$G$5:$G$1000,0)),"",IF(D1406=1,B$4,0)+MAX(I$4:I1405)+1))</f>
        <v/>
      </c>
      <c r="M1406" s="14" t="str">
        <f>IF(ROW()-ROW(M$4)&lt;=1000,ROW()-ROW(M$4),"")</f>
        <v/>
      </c>
    </row>
    <row r="1407" spans="4:13" ht="12" customHeight="1" x14ac:dyDescent="0.25">
      <c r="D1407" s="15" t="str">
        <f>IF(IF(ISNUMBER(B1407),"",MAX(D$4:D1406)+1)&lt;=D$3,IF(ISNUMBER(B1407),"",MAX(D$4:D1406)+1),"")</f>
        <v/>
      </c>
      <c r="H1407" s="15"/>
      <c r="I1407" s="15" t="str">
        <f>IF(O1407="","",IF(ISNUMBER(MATCH(O1407,$G$5:$G$1000,0)),"",IF(D1407=1,B$4,0)+MAX(I$4:I1406)+1))</f>
        <v/>
      </c>
      <c r="M1407" s="14" t="str">
        <f>IF(ROW()-ROW(M$4)&lt;=1000,ROW()-ROW(M$4),"")</f>
        <v/>
      </c>
    </row>
    <row r="1408" spans="4:13" ht="12" customHeight="1" x14ac:dyDescent="0.25">
      <c r="D1408" s="15" t="str">
        <f>IF(IF(ISNUMBER(B1408),"",MAX(D$4:D1407)+1)&lt;=D$3,IF(ISNUMBER(B1408),"",MAX(D$4:D1407)+1),"")</f>
        <v/>
      </c>
      <c r="H1408" s="15"/>
      <c r="I1408" s="15" t="str">
        <f>IF(O1408="","",IF(ISNUMBER(MATCH(O1408,$G$5:$G$1000,0)),"",IF(D1408=1,B$4,0)+MAX(I$4:I1407)+1))</f>
        <v/>
      </c>
      <c r="M1408" s="14" t="str">
        <f>IF(ROW()-ROW(M$4)&lt;=1000,ROW()-ROW(M$4),"")</f>
        <v/>
      </c>
    </row>
    <row r="1409" spans="4:13" ht="12" customHeight="1" x14ac:dyDescent="0.25">
      <c r="D1409" s="15" t="str">
        <f>IF(IF(ISNUMBER(B1409),"",MAX(D$4:D1408)+1)&lt;=D$3,IF(ISNUMBER(B1409),"",MAX(D$4:D1408)+1),"")</f>
        <v/>
      </c>
      <c r="H1409" s="15"/>
      <c r="I1409" s="15" t="str">
        <f>IF(O1409="","",IF(ISNUMBER(MATCH(O1409,$G$5:$G$1000,0)),"",IF(D1409=1,B$4,0)+MAX(I$4:I1408)+1))</f>
        <v/>
      </c>
      <c r="M1409" s="14" t="str">
        <f>IF(ROW()-ROW(M$4)&lt;=1000,ROW()-ROW(M$4),"")</f>
        <v/>
      </c>
    </row>
    <row r="1410" spans="4:13" ht="12" customHeight="1" x14ac:dyDescent="0.25">
      <c r="D1410" s="15" t="str">
        <f>IF(IF(ISNUMBER(B1410),"",MAX(D$4:D1409)+1)&lt;=D$3,IF(ISNUMBER(B1410),"",MAX(D$4:D1409)+1),"")</f>
        <v/>
      </c>
      <c r="H1410" s="15"/>
      <c r="I1410" s="15" t="str">
        <f>IF(O1410="","",IF(ISNUMBER(MATCH(O1410,$G$5:$G$1000,0)),"",IF(D1410=1,B$4,0)+MAX(I$4:I1409)+1))</f>
        <v/>
      </c>
      <c r="M1410" s="14" t="str">
        <f>IF(ROW()-ROW(M$4)&lt;=1000,ROW()-ROW(M$4),"")</f>
        <v/>
      </c>
    </row>
    <row r="1411" spans="4:13" ht="12" customHeight="1" x14ac:dyDescent="0.25">
      <c r="D1411" s="15" t="str">
        <f>IF(IF(ISNUMBER(B1411),"",MAX(D$4:D1410)+1)&lt;=D$3,IF(ISNUMBER(B1411),"",MAX(D$4:D1410)+1),"")</f>
        <v/>
      </c>
      <c r="H1411" s="15"/>
      <c r="I1411" s="15" t="str">
        <f>IF(O1411="","",IF(ISNUMBER(MATCH(O1411,$G$5:$G$1000,0)),"",IF(D1411=1,B$4,0)+MAX(I$4:I1410)+1))</f>
        <v/>
      </c>
      <c r="M1411" s="14" t="str">
        <f>IF(ROW()-ROW(M$4)&lt;=1000,ROW()-ROW(M$4),"")</f>
        <v/>
      </c>
    </row>
    <row r="1412" spans="4:13" ht="12" customHeight="1" x14ac:dyDescent="0.25">
      <c r="D1412" s="15" t="str">
        <f>IF(IF(ISNUMBER(B1412),"",MAX(D$4:D1411)+1)&lt;=D$3,IF(ISNUMBER(B1412),"",MAX(D$4:D1411)+1),"")</f>
        <v/>
      </c>
      <c r="H1412" s="15"/>
      <c r="I1412" s="15" t="str">
        <f>IF(O1412="","",IF(ISNUMBER(MATCH(O1412,$G$5:$G$1000,0)),"",IF(D1412=1,B$4,0)+MAX(I$4:I1411)+1))</f>
        <v/>
      </c>
      <c r="M1412" s="14" t="str">
        <f>IF(ROW()-ROW(M$4)&lt;=1000,ROW()-ROW(M$4),"")</f>
        <v/>
      </c>
    </row>
    <row r="1413" spans="4:13" ht="12" customHeight="1" x14ac:dyDescent="0.25">
      <c r="D1413" s="15" t="str">
        <f>IF(IF(ISNUMBER(B1413),"",MAX(D$4:D1412)+1)&lt;=D$3,IF(ISNUMBER(B1413),"",MAX(D$4:D1412)+1),"")</f>
        <v/>
      </c>
      <c r="H1413" s="15"/>
      <c r="I1413" s="15" t="str">
        <f>IF(O1413="","",IF(ISNUMBER(MATCH(O1413,$G$5:$G$1000,0)),"",IF(D1413=1,B$4,0)+MAX(I$4:I1412)+1))</f>
        <v/>
      </c>
      <c r="M1413" s="14" t="str">
        <f>IF(ROW()-ROW(M$4)&lt;=1000,ROW()-ROW(M$4),"")</f>
        <v/>
      </c>
    </row>
    <row r="1414" spans="4:13" ht="12" customHeight="1" x14ac:dyDescent="0.25">
      <c r="D1414" s="15" t="str">
        <f>IF(IF(ISNUMBER(B1414),"",MAX(D$4:D1413)+1)&lt;=D$3,IF(ISNUMBER(B1414),"",MAX(D$4:D1413)+1),"")</f>
        <v/>
      </c>
      <c r="H1414" s="15"/>
      <c r="I1414" s="15" t="str">
        <f>IF(O1414="","",IF(ISNUMBER(MATCH(O1414,$G$5:$G$1000,0)),"",IF(D1414=1,B$4,0)+MAX(I$4:I1413)+1))</f>
        <v/>
      </c>
      <c r="M1414" s="14" t="str">
        <f>IF(ROW()-ROW(M$4)&lt;=1000,ROW()-ROW(M$4),"")</f>
        <v/>
      </c>
    </row>
    <row r="1415" spans="4:13" ht="12" customHeight="1" x14ac:dyDescent="0.25">
      <c r="D1415" s="15" t="str">
        <f>IF(IF(ISNUMBER(B1415),"",MAX(D$4:D1414)+1)&lt;=D$3,IF(ISNUMBER(B1415),"",MAX(D$4:D1414)+1),"")</f>
        <v/>
      </c>
      <c r="H1415" s="15"/>
      <c r="I1415" s="15" t="str">
        <f>IF(O1415="","",IF(ISNUMBER(MATCH(O1415,$G$5:$G$1000,0)),"",IF(D1415=1,B$4,0)+MAX(I$4:I1414)+1))</f>
        <v/>
      </c>
      <c r="M1415" s="14" t="str">
        <f>IF(ROW()-ROW(M$4)&lt;=1000,ROW()-ROW(M$4),"")</f>
        <v/>
      </c>
    </row>
    <row r="1416" spans="4:13" ht="12" customHeight="1" x14ac:dyDescent="0.25">
      <c r="D1416" s="15" t="str">
        <f>IF(IF(ISNUMBER(B1416),"",MAX(D$4:D1415)+1)&lt;=D$3,IF(ISNUMBER(B1416),"",MAX(D$4:D1415)+1),"")</f>
        <v/>
      </c>
      <c r="H1416" s="15"/>
      <c r="I1416" s="15" t="str">
        <f>IF(O1416="","",IF(ISNUMBER(MATCH(O1416,$G$5:$G$1000,0)),"",IF(D1416=1,B$4,0)+MAX(I$4:I1415)+1))</f>
        <v/>
      </c>
      <c r="M1416" s="14" t="str">
        <f>IF(ROW()-ROW(M$4)&lt;=1000,ROW()-ROW(M$4),"")</f>
        <v/>
      </c>
    </row>
    <row r="1417" spans="4:13" ht="12" customHeight="1" x14ac:dyDescent="0.25">
      <c r="D1417" s="15" t="str">
        <f>IF(IF(ISNUMBER(B1417),"",MAX(D$4:D1416)+1)&lt;=D$3,IF(ISNUMBER(B1417),"",MAX(D$4:D1416)+1),"")</f>
        <v/>
      </c>
      <c r="H1417" s="15"/>
      <c r="I1417" s="15" t="str">
        <f>IF(O1417="","",IF(ISNUMBER(MATCH(O1417,$G$5:$G$1000,0)),"",IF(D1417=1,B$4,0)+MAX(I$4:I1416)+1))</f>
        <v/>
      </c>
      <c r="M1417" s="14" t="str">
        <f>IF(ROW()-ROW(M$4)&lt;=1000,ROW()-ROW(M$4),"")</f>
        <v/>
      </c>
    </row>
    <row r="1418" spans="4:13" ht="12" customHeight="1" x14ac:dyDescent="0.25">
      <c r="D1418" s="15" t="str">
        <f>IF(IF(ISNUMBER(B1418),"",MAX(D$4:D1417)+1)&lt;=D$3,IF(ISNUMBER(B1418),"",MAX(D$4:D1417)+1),"")</f>
        <v/>
      </c>
      <c r="H1418" s="15"/>
      <c r="I1418" s="15" t="str">
        <f>IF(O1418="","",IF(ISNUMBER(MATCH(O1418,$G$5:$G$1000,0)),"",IF(D1418=1,B$4,0)+MAX(I$4:I1417)+1))</f>
        <v/>
      </c>
      <c r="M1418" s="14" t="str">
        <f>IF(ROW()-ROW(M$4)&lt;=1000,ROW()-ROW(M$4),"")</f>
        <v/>
      </c>
    </row>
    <row r="1419" spans="4:13" ht="12" customHeight="1" x14ac:dyDescent="0.25">
      <c r="D1419" s="15" t="str">
        <f>IF(IF(ISNUMBER(B1419),"",MAX(D$4:D1418)+1)&lt;=D$3,IF(ISNUMBER(B1419),"",MAX(D$4:D1418)+1),"")</f>
        <v/>
      </c>
      <c r="H1419" s="15"/>
      <c r="I1419" s="15" t="str">
        <f>IF(O1419="","",IF(ISNUMBER(MATCH(O1419,$G$5:$G$1000,0)),"",IF(D1419=1,B$4,0)+MAX(I$4:I1418)+1))</f>
        <v/>
      </c>
      <c r="M1419" s="14" t="str">
        <f>IF(ROW()-ROW(M$4)&lt;=1000,ROW()-ROW(M$4),"")</f>
        <v/>
      </c>
    </row>
    <row r="1420" spans="4:13" ht="12" customHeight="1" x14ac:dyDescent="0.25">
      <c r="D1420" s="15" t="str">
        <f>IF(IF(ISNUMBER(B1420),"",MAX(D$4:D1419)+1)&lt;=D$3,IF(ISNUMBER(B1420),"",MAX(D$4:D1419)+1),"")</f>
        <v/>
      </c>
      <c r="H1420" s="15"/>
      <c r="I1420" s="15" t="str">
        <f>IF(O1420="","",IF(ISNUMBER(MATCH(O1420,$G$5:$G$1000,0)),"",IF(D1420=1,B$4,0)+MAX(I$4:I1419)+1))</f>
        <v/>
      </c>
      <c r="M1420" s="14" t="str">
        <f>IF(ROW()-ROW(M$4)&lt;=1000,ROW()-ROW(M$4),"")</f>
        <v/>
      </c>
    </row>
    <row r="1421" spans="4:13" ht="12" customHeight="1" x14ac:dyDescent="0.25">
      <c r="D1421" s="15" t="str">
        <f>IF(IF(ISNUMBER(B1421),"",MAX(D$4:D1420)+1)&lt;=D$3,IF(ISNUMBER(B1421),"",MAX(D$4:D1420)+1),"")</f>
        <v/>
      </c>
      <c r="H1421" s="15"/>
      <c r="I1421" s="15" t="str">
        <f>IF(O1421="","",IF(ISNUMBER(MATCH(O1421,$G$5:$G$1000,0)),"",IF(D1421=1,B$4,0)+MAX(I$4:I1420)+1))</f>
        <v/>
      </c>
      <c r="M1421" s="14" t="str">
        <f>IF(ROW()-ROW(M$4)&lt;=1000,ROW()-ROW(M$4),"")</f>
        <v/>
      </c>
    </row>
    <row r="1422" spans="4:13" ht="12" customHeight="1" x14ac:dyDescent="0.25">
      <c r="D1422" s="15" t="str">
        <f>IF(IF(ISNUMBER(B1422),"",MAX(D$4:D1421)+1)&lt;=D$3,IF(ISNUMBER(B1422),"",MAX(D$4:D1421)+1),"")</f>
        <v/>
      </c>
      <c r="H1422" s="15"/>
      <c r="I1422" s="15" t="str">
        <f>IF(O1422="","",IF(ISNUMBER(MATCH(O1422,$G$5:$G$1000,0)),"",IF(D1422=1,B$4,0)+MAX(I$4:I1421)+1))</f>
        <v/>
      </c>
      <c r="M1422" s="14" t="str">
        <f>IF(ROW()-ROW(M$4)&lt;=1000,ROW()-ROW(M$4),"")</f>
        <v/>
      </c>
    </row>
    <row r="1423" spans="4:13" ht="12" customHeight="1" x14ac:dyDescent="0.25">
      <c r="D1423" s="15" t="str">
        <f>IF(IF(ISNUMBER(B1423),"",MAX(D$4:D1422)+1)&lt;=D$3,IF(ISNUMBER(B1423),"",MAX(D$4:D1422)+1),"")</f>
        <v/>
      </c>
      <c r="H1423" s="15"/>
      <c r="I1423" s="15" t="str">
        <f>IF(O1423="","",IF(ISNUMBER(MATCH(O1423,$G$5:$G$1000,0)),"",IF(D1423=1,B$4,0)+MAX(I$4:I1422)+1))</f>
        <v/>
      </c>
      <c r="M1423" s="14" t="str">
        <f>IF(ROW()-ROW(M$4)&lt;=1000,ROW()-ROW(M$4),"")</f>
        <v/>
      </c>
    </row>
    <row r="1424" spans="4:13" ht="12" customHeight="1" x14ac:dyDescent="0.25">
      <c r="D1424" s="15" t="str">
        <f>IF(IF(ISNUMBER(B1424),"",MAX(D$4:D1423)+1)&lt;=D$3,IF(ISNUMBER(B1424),"",MAX(D$4:D1423)+1),"")</f>
        <v/>
      </c>
      <c r="H1424" s="15"/>
      <c r="I1424" s="15" t="str">
        <f>IF(O1424="","",IF(ISNUMBER(MATCH(O1424,$G$5:$G$1000,0)),"",IF(D1424=1,B$4,0)+MAX(I$4:I1423)+1))</f>
        <v/>
      </c>
      <c r="M1424" s="14" t="str">
        <f>IF(ROW()-ROW(M$4)&lt;=1000,ROW()-ROW(M$4),"")</f>
        <v/>
      </c>
    </row>
    <row r="1425" spans="4:13" ht="12" customHeight="1" x14ac:dyDescent="0.25">
      <c r="D1425" s="15" t="str">
        <f>IF(IF(ISNUMBER(B1425),"",MAX(D$4:D1424)+1)&lt;=D$3,IF(ISNUMBER(B1425),"",MAX(D$4:D1424)+1),"")</f>
        <v/>
      </c>
      <c r="H1425" s="15"/>
      <c r="I1425" s="15" t="str">
        <f>IF(O1425="","",IF(ISNUMBER(MATCH(O1425,$G$5:$G$1000,0)),"",IF(D1425=1,B$4,0)+MAX(I$4:I1424)+1))</f>
        <v/>
      </c>
      <c r="M1425" s="14" t="str">
        <f>IF(ROW()-ROW(M$4)&lt;=1000,ROW()-ROW(M$4),"")</f>
        <v/>
      </c>
    </row>
    <row r="1426" spans="4:13" ht="12" customHeight="1" x14ac:dyDescent="0.25">
      <c r="D1426" s="15" t="str">
        <f>IF(IF(ISNUMBER(B1426),"",MAX(D$4:D1425)+1)&lt;=D$3,IF(ISNUMBER(B1426),"",MAX(D$4:D1425)+1),"")</f>
        <v/>
      </c>
      <c r="H1426" s="15"/>
      <c r="I1426" s="15" t="str">
        <f>IF(O1426="","",IF(ISNUMBER(MATCH(O1426,$G$5:$G$1000,0)),"",IF(D1426=1,B$4,0)+MAX(I$4:I1425)+1))</f>
        <v/>
      </c>
      <c r="M1426" s="14" t="str">
        <f>IF(ROW()-ROW(M$4)&lt;=1000,ROW()-ROW(M$4),"")</f>
        <v/>
      </c>
    </row>
    <row r="1427" spans="4:13" ht="12" customHeight="1" x14ac:dyDescent="0.25">
      <c r="D1427" s="15" t="str">
        <f>IF(IF(ISNUMBER(B1427),"",MAX(D$4:D1426)+1)&lt;=D$3,IF(ISNUMBER(B1427),"",MAX(D$4:D1426)+1),"")</f>
        <v/>
      </c>
      <c r="H1427" s="15"/>
      <c r="I1427" s="15" t="str">
        <f>IF(O1427="","",IF(ISNUMBER(MATCH(O1427,$G$5:$G$1000,0)),"",IF(D1427=1,B$4,0)+MAX(I$4:I1426)+1))</f>
        <v/>
      </c>
      <c r="M1427" s="14" t="str">
        <f>IF(ROW()-ROW(M$4)&lt;=1000,ROW()-ROW(M$4),"")</f>
        <v/>
      </c>
    </row>
    <row r="1428" spans="4:13" ht="12" customHeight="1" x14ac:dyDescent="0.25">
      <c r="D1428" s="15" t="str">
        <f>IF(IF(ISNUMBER(B1428),"",MAX(D$4:D1427)+1)&lt;=D$3,IF(ISNUMBER(B1428),"",MAX(D$4:D1427)+1),"")</f>
        <v/>
      </c>
      <c r="H1428" s="15"/>
      <c r="I1428" s="15" t="str">
        <f>IF(O1428="","",IF(ISNUMBER(MATCH(O1428,$G$5:$G$1000,0)),"",IF(D1428=1,B$4,0)+MAX(I$4:I1427)+1))</f>
        <v/>
      </c>
      <c r="M1428" s="14" t="str">
        <f>IF(ROW()-ROW(M$4)&lt;=1000,ROW()-ROW(M$4),"")</f>
        <v/>
      </c>
    </row>
    <row r="1429" spans="4:13" ht="12" customHeight="1" x14ac:dyDescent="0.25">
      <c r="D1429" s="15" t="str">
        <f>IF(IF(ISNUMBER(B1429),"",MAX(D$4:D1428)+1)&lt;=D$3,IF(ISNUMBER(B1429),"",MAX(D$4:D1428)+1),"")</f>
        <v/>
      </c>
      <c r="H1429" s="15"/>
      <c r="I1429" s="15" t="str">
        <f>IF(O1429="","",IF(ISNUMBER(MATCH(O1429,$G$5:$G$1000,0)),"",IF(D1429=1,B$4,0)+MAX(I$4:I1428)+1))</f>
        <v/>
      </c>
      <c r="M1429" s="14" t="str">
        <f>IF(ROW()-ROW(M$4)&lt;=1000,ROW()-ROW(M$4),"")</f>
        <v/>
      </c>
    </row>
    <row r="1430" spans="4:13" ht="12" customHeight="1" x14ac:dyDescent="0.25">
      <c r="D1430" s="15" t="str">
        <f>IF(IF(ISNUMBER(B1430),"",MAX(D$4:D1429)+1)&lt;=D$3,IF(ISNUMBER(B1430),"",MAX(D$4:D1429)+1),"")</f>
        <v/>
      </c>
      <c r="H1430" s="15"/>
      <c r="I1430" s="15" t="str">
        <f>IF(O1430="","",IF(ISNUMBER(MATCH(O1430,$G$5:$G$1000,0)),"",IF(D1430=1,B$4,0)+MAX(I$4:I1429)+1))</f>
        <v/>
      </c>
      <c r="M1430" s="14" t="str">
        <f>IF(ROW()-ROW(M$4)&lt;=1000,ROW()-ROW(M$4),"")</f>
        <v/>
      </c>
    </row>
    <row r="1431" spans="4:13" ht="12" customHeight="1" x14ac:dyDescent="0.25">
      <c r="D1431" s="15" t="str">
        <f>IF(IF(ISNUMBER(B1431),"",MAX(D$4:D1430)+1)&lt;=D$3,IF(ISNUMBER(B1431),"",MAX(D$4:D1430)+1),"")</f>
        <v/>
      </c>
      <c r="H1431" s="15"/>
      <c r="I1431" s="15" t="str">
        <f>IF(O1431="","",IF(ISNUMBER(MATCH(O1431,$G$5:$G$1000,0)),"",IF(D1431=1,B$4,0)+MAX(I$4:I1430)+1))</f>
        <v/>
      </c>
      <c r="M1431" s="14" t="str">
        <f>IF(ROW()-ROW(M$4)&lt;=1000,ROW()-ROW(M$4),"")</f>
        <v/>
      </c>
    </row>
    <row r="1432" spans="4:13" ht="12" customHeight="1" x14ac:dyDescent="0.25">
      <c r="D1432" s="15" t="str">
        <f>IF(IF(ISNUMBER(B1432),"",MAX(D$4:D1431)+1)&lt;=D$3,IF(ISNUMBER(B1432),"",MAX(D$4:D1431)+1),"")</f>
        <v/>
      </c>
      <c r="H1432" s="15"/>
      <c r="I1432" s="15" t="str">
        <f>IF(O1432="","",IF(ISNUMBER(MATCH(O1432,$G$5:$G$1000,0)),"",IF(D1432=1,B$4,0)+MAX(I$4:I1431)+1))</f>
        <v/>
      </c>
      <c r="M1432" s="14" t="str">
        <f>IF(ROW()-ROW(M$4)&lt;=1000,ROW()-ROW(M$4),"")</f>
        <v/>
      </c>
    </row>
    <row r="1433" spans="4:13" ht="12" customHeight="1" x14ac:dyDescent="0.25">
      <c r="D1433" s="15" t="str">
        <f>IF(IF(ISNUMBER(B1433),"",MAX(D$4:D1432)+1)&lt;=D$3,IF(ISNUMBER(B1433),"",MAX(D$4:D1432)+1),"")</f>
        <v/>
      </c>
      <c r="H1433" s="15"/>
      <c r="I1433" s="15" t="str">
        <f>IF(O1433="","",IF(ISNUMBER(MATCH(O1433,$G$5:$G$1000,0)),"",IF(D1433=1,B$4,0)+MAX(I$4:I1432)+1))</f>
        <v/>
      </c>
      <c r="M1433" s="14" t="str">
        <f>IF(ROW()-ROW(M$4)&lt;=1000,ROW()-ROW(M$4),"")</f>
        <v/>
      </c>
    </row>
    <row r="1434" spans="4:13" ht="12" customHeight="1" x14ac:dyDescent="0.25">
      <c r="D1434" s="15" t="str">
        <f>IF(IF(ISNUMBER(B1434),"",MAX(D$4:D1433)+1)&lt;=D$3,IF(ISNUMBER(B1434),"",MAX(D$4:D1433)+1),"")</f>
        <v/>
      </c>
      <c r="H1434" s="15"/>
      <c r="I1434" s="15" t="str">
        <f>IF(O1434="","",IF(ISNUMBER(MATCH(O1434,$G$5:$G$1000,0)),"",IF(D1434=1,B$4,0)+MAX(I$4:I1433)+1))</f>
        <v/>
      </c>
      <c r="M1434" s="14" t="str">
        <f>IF(ROW()-ROW(M$4)&lt;=1000,ROW()-ROW(M$4),"")</f>
        <v/>
      </c>
    </row>
    <row r="1435" spans="4:13" ht="12" customHeight="1" x14ac:dyDescent="0.25">
      <c r="D1435" s="15" t="str">
        <f>IF(IF(ISNUMBER(B1435),"",MAX(D$4:D1434)+1)&lt;=D$3,IF(ISNUMBER(B1435),"",MAX(D$4:D1434)+1),"")</f>
        <v/>
      </c>
      <c r="H1435" s="15"/>
      <c r="I1435" s="15" t="str">
        <f>IF(O1435="","",IF(ISNUMBER(MATCH(O1435,$G$5:$G$1000,0)),"",IF(D1435=1,B$4,0)+MAX(I$4:I1434)+1))</f>
        <v/>
      </c>
      <c r="M1435" s="14" t="str">
        <f>IF(ROW()-ROW(M$4)&lt;=1000,ROW()-ROW(M$4),"")</f>
        <v/>
      </c>
    </row>
    <row r="1436" spans="4:13" ht="12" customHeight="1" x14ac:dyDescent="0.25">
      <c r="D1436" s="15" t="str">
        <f>IF(IF(ISNUMBER(B1436),"",MAX(D$4:D1435)+1)&lt;=D$3,IF(ISNUMBER(B1436),"",MAX(D$4:D1435)+1),"")</f>
        <v/>
      </c>
      <c r="H1436" s="15"/>
      <c r="I1436" s="15" t="str">
        <f>IF(O1436="","",IF(ISNUMBER(MATCH(O1436,$G$5:$G$1000,0)),"",IF(D1436=1,B$4,0)+MAX(I$4:I1435)+1))</f>
        <v/>
      </c>
      <c r="M1436" s="14" t="str">
        <f>IF(ROW()-ROW(M$4)&lt;=1000,ROW()-ROW(M$4),"")</f>
        <v/>
      </c>
    </row>
    <row r="1437" spans="4:13" ht="12" customHeight="1" x14ac:dyDescent="0.25">
      <c r="D1437" s="15" t="str">
        <f>IF(IF(ISNUMBER(B1437),"",MAX(D$4:D1436)+1)&lt;=D$3,IF(ISNUMBER(B1437),"",MAX(D$4:D1436)+1),"")</f>
        <v/>
      </c>
      <c r="H1437" s="15"/>
      <c r="I1437" s="15" t="str">
        <f>IF(O1437="","",IF(ISNUMBER(MATCH(O1437,$G$5:$G$1000,0)),"",IF(D1437=1,B$4,0)+MAX(I$4:I1436)+1))</f>
        <v/>
      </c>
      <c r="M1437" s="14" t="str">
        <f>IF(ROW()-ROW(M$4)&lt;=1000,ROW()-ROW(M$4),"")</f>
        <v/>
      </c>
    </row>
    <row r="1438" spans="4:13" ht="12" customHeight="1" x14ac:dyDescent="0.25">
      <c r="D1438" s="15" t="str">
        <f>IF(IF(ISNUMBER(B1438),"",MAX(D$4:D1437)+1)&lt;=D$3,IF(ISNUMBER(B1438),"",MAX(D$4:D1437)+1),"")</f>
        <v/>
      </c>
      <c r="H1438" s="15"/>
      <c r="I1438" s="15" t="str">
        <f>IF(O1438="","",IF(ISNUMBER(MATCH(O1438,$G$5:$G$1000,0)),"",IF(D1438=1,B$4,0)+MAX(I$4:I1437)+1))</f>
        <v/>
      </c>
      <c r="M1438" s="14" t="str">
        <f>IF(ROW()-ROW(M$4)&lt;=1000,ROW()-ROW(M$4),"")</f>
        <v/>
      </c>
    </row>
    <row r="1439" spans="4:13" ht="12" customHeight="1" x14ac:dyDescent="0.25">
      <c r="D1439" s="15" t="str">
        <f>IF(IF(ISNUMBER(B1439),"",MAX(D$4:D1438)+1)&lt;=D$3,IF(ISNUMBER(B1439),"",MAX(D$4:D1438)+1),"")</f>
        <v/>
      </c>
      <c r="H1439" s="15"/>
      <c r="I1439" s="15" t="str">
        <f>IF(O1439="","",IF(ISNUMBER(MATCH(O1439,$G$5:$G$1000,0)),"",IF(D1439=1,B$4,0)+MAX(I$4:I1438)+1))</f>
        <v/>
      </c>
      <c r="M1439" s="14" t="str">
        <f>IF(ROW()-ROW(M$4)&lt;=1000,ROW()-ROW(M$4),"")</f>
        <v/>
      </c>
    </row>
    <row r="1440" spans="4:13" ht="12" customHeight="1" x14ac:dyDescent="0.25">
      <c r="D1440" s="15" t="str">
        <f>IF(IF(ISNUMBER(B1440),"",MAX(D$4:D1439)+1)&lt;=D$3,IF(ISNUMBER(B1440),"",MAX(D$4:D1439)+1),"")</f>
        <v/>
      </c>
      <c r="H1440" s="15"/>
      <c r="I1440" s="15" t="str">
        <f>IF(O1440="","",IF(ISNUMBER(MATCH(O1440,$G$5:$G$1000,0)),"",IF(D1440=1,B$4,0)+MAX(I$4:I1439)+1))</f>
        <v/>
      </c>
      <c r="M1440" s="14" t="str">
        <f>IF(ROW()-ROW(M$4)&lt;=1000,ROW()-ROW(M$4),"")</f>
        <v/>
      </c>
    </row>
    <row r="1441" spans="4:13" ht="12" customHeight="1" x14ac:dyDescent="0.25">
      <c r="D1441" s="15" t="str">
        <f>IF(IF(ISNUMBER(B1441),"",MAX(D$4:D1440)+1)&lt;=D$3,IF(ISNUMBER(B1441),"",MAX(D$4:D1440)+1),"")</f>
        <v/>
      </c>
      <c r="H1441" s="15"/>
      <c r="I1441" s="15" t="str">
        <f>IF(O1441="","",IF(ISNUMBER(MATCH(O1441,$G$5:$G$1000,0)),"",IF(D1441=1,B$4,0)+MAX(I$4:I1440)+1))</f>
        <v/>
      </c>
      <c r="M1441" s="14" t="str">
        <f>IF(ROW()-ROW(M$4)&lt;=1000,ROW()-ROW(M$4),"")</f>
        <v/>
      </c>
    </row>
    <row r="1442" spans="4:13" ht="12" customHeight="1" x14ac:dyDescent="0.25">
      <c r="D1442" s="15" t="str">
        <f>IF(IF(ISNUMBER(B1442),"",MAX(D$4:D1441)+1)&lt;=D$3,IF(ISNUMBER(B1442),"",MAX(D$4:D1441)+1),"")</f>
        <v/>
      </c>
      <c r="H1442" s="15"/>
      <c r="I1442" s="15" t="str">
        <f>IF(O1442="","",IF(ISNUMBER(MATCH(O1442,$G$5:$G$1000,0)),"",IF(D1442=1,B$4,0)+MAX(I$4:I1441)+1))</f>
        <v/>
      </c>
      <c r="M1442" s="14" t="str">
        <f>IF(ROW()-ROW(M$4)&lt;=1000,ROW()-ROW(M$4),"")</f>
        <v/>
      </c>
    </row>
    <row r="1443" spans="4:13" ht="12" customHeight="1" x14ac:dyDescent="0.25">
      <c r="D1443" s="15" t="str">
        <f>IF(IF(ISNUMBER(B1443),"",MAX(D$4:D1442)+1)&lt;=D$3,IF(ISNUMBER(B1443),"",MAX(D$4:D1442)+1),"")</f>
        <v/>
      </c>
      <c r="H1443" s="15"/>
      <c r="I1443" s="15" t="str">
        <f>IF(O1443="","",IF(ISNUMBER(MATCH(O1443,$G$5:$G$1000,0)),"",IF(D1443=1,B$4,0)+MAX(I$4:I1442)+1))</f>
        <v/>
      </c>
      <c r="M1443" s="14" t="str">
        <f>IF(ROW()-ROW(M$4)&lt;=1000,ROW()-ROW(M$4),"")</f>
        <v/>
      </c>
    </row>
    <row r="1444" spans="4:13" ht="12" customHeight="1" x14ac:dyDescent="0.25">
      <c r="D1444" s="15" t="str">
        <f>IF(IF(ISNUMBER(B1444),"",MAX(D$4:D1443)+1)&lt;=D$3,IF(ISNUMBER(B1444),"",MAX(D$4:D1443)+1),"")</f>
        <v/>
      </c>
      <c r="H1444" s="15"/>
      <c r="I1444" s="15" t="str">
        <f>IF(O1444="","",IF(ISNUMBER(MATCH(O1444,$G$5:$G$1000,0)),"",IF(D1444=1,B$4,0)+MAX(I$4:I1443)+1))</f>
        <v/>
      </c>
      <c r="M1444" s="14" t="str">
        <f>IF(ROW()-ROW(M$4)&lt;=1000,ROW()-ROW(M$4),"")</f>
        <v/>
      </c>
    </row>
    <row r="1445" spans="4:13" ht="12" customHeight="1" x14ac:dyDescent="0.25">
      <c r="D1445" s="15" t="str">
        <f>IF(IF(ISNUMBER(B1445),"",MAX(D$4:D1444)+1)&lt;=D$3,IF(ISNUMBER(B1445),"",MAX(D$4:D1444)+1),"")</f>
        <v/>
      </c>
      <c r="H1445" s="15"/>
      <c r="I1445" s="15" t="str">
        <f>IF(O1445="","",IF(ISNUMBER(MATCH(O1445,$G$5:$G$1000,0)),"",IF(D1445=1,B$4,0)+MAX(I$4:I1444)+1))</f>
        <v/>
      </c>
      <c r="M1445" s="14" t="str">
        <f>IF(ROW()-ROW(M$4)&lt;=1000,ROW()-ROW(M$4),"")</f>
        <v/>
      </c>
    </row>
    <row r="1446" spans="4:13" ht="12" customHeight="1" x14ac:dyDescent="0.25">
      <c r="D1446" s="15" t="str">
        <f>IF(IF(ISNUMBER(B1446),"",MAX(D$4:D1445)+1)&lt;=D$3,IF(ISNUMBER(B1446),"",MAX(D$4:D1445)+1),"")</f>
        <v/>
      </c>
      <c r="H1446" s="15"/>
      <c r="I1446" s="15" t="str">
        <f>IF(O1446="","",IF(ISNUMBER(MATCH(O1446,$G$5:$G$1000,0)),"",IF(D1446=1,B$4,0)+MAX(I$4:I1445)+1))</f>
        <v/>
      </c>
      <c r="M1446" s="14" t="str">
        <f>IF(ROW()-ROW(M$4)&lt;=1000,ROW()-ROW(M$4),"")</f>
        <v/>
      </c>
    </row>
    <row r="1447" spans="4:13" ht="12" customHeight="1" x14ac:dyDescent="0.25">
      <c r="D1447" s="15" t="str">
        <f>IF(IF(ISNUMBER(B1447),"",MAX(D$4:D1446)+1)&lt;=D$3,IF(ISNUMBER(B1447),"",MAX(D$4:D1446)+1),"")</f>
        <v/>
      </c>
      <c r="H1447" s="15"/>
      <c r="I1447" s="15" t="str">
        <f>IF(O1447="","",IF(ISNUMBER(MATCH(O1447,$G$5:$G$1000,0)),"",IF(D1447=1,B$4,0)+MAX(I$4:I1446)+1))</f>
        <v/>
      </c>
      <c r="M1447" s="14" t="str">
        <f>IF(ROW()-ROW(M$4)&lt;=1000,ROW()-ROW(M$4),"")</f>
        <v/>
      </c>
    </row>
    <row r="1448" spans="4:13" ht="12" customHeight="1" x14ac:dyDescent="0.25">
      <c r="D1448" s="15" t="str">
        <f>IF(IF(ISNUMBER(B1448),"",MAX(D$4:D1447)+1)&lt;=D$3,IF(ISNUMBER(B1448),"",MAX(D$4:D1447)+1),"")</f>
        <v/>
      </c>
      <c r="H1448" s="15"/>
      <c r="I1448" s="15" t="str">
        <f>IF(O1448="","",IF(ISNUMBER(MATCH(O1448,$G$5:$G$1000,0)),"",IF(D1448=1,B$4,0)+MAX(I$4:I1447)+1))</f>
        <v/>
      </c>
      <c r="M1448" s="14" t="str">
        <f>IF(ROW()-ROW(M$4)&lt;=1000,ROW()-ROW(M$4),"")</f>
        <v/>
      </c>
    </row>
    <row r="1449" spans="4:13" ht="12" customHeight="1" x14ac:dyDescent="0.25">
      <c r="D1449" s="15" t="str">
        <f>IF(IF(ISNUMBER(B1449),"",MAX(D$4:D1448)+1)&lt;=D$3,IF(ISNUMBER(B1449),"",MAX(D$4:D1448)+1),"")</f>
        <v/>
      </c>
      <c r="H1449" s="15"/>
      <c r="I1449" s="15" t="str">
        <f>IF(O1449="","",IF(ISNUMBER(MATCH(O1449,$G$5:$G$1000,0)),"",IF(D1449=1,B$4,0)+MAX(I$4:I1448)+1))</f>
        <v/>
      </c>
      <c r="M1449" s="14" t="str">
        <f>IF(ROW()-ROW(M$4)&lt;=1000,ROW()-ROW(M$4),"")</f>
        <v/>
      </c>
    </row>
    <row r="1450" spans="4:13" ht="12" customHeight="1" x14ac:dyDescent="0.25">
      <c r="D1450" s="15" t="str">
        <f>IF(IF(ISNUMBER(B1450),"",MAX(D$4:D1449)+1)&lt;=D$3,IF(ISNUMBER(B1450),"",MAX(D$4:D1449)+1),"")</f>
        <v/>
      </c>
      <c r="H1450" s="15"/>
      <c r="I1450" s="15" t="str">
        <f>IF(O1450="","",IF(ISNUMBER(MATCH(O1450,$G$5:$G$1000,0)),"",IF(D1450=1,B$4,0)+MAX(I$4:I1449)+1))</f>
        <v/>
      </c>
      <c r="M1450" s="14" t="str">
        <f>IF(ROW()-ROW(M$4)&lt;=1000,ROW()-ROW(M$4),"")</f>
        <v/>
      </c>
    </row>
    <row r="1451" spans="4:13" ht="12" customHeight="1" x14ac:dyDescent="0.25">
      <c r="D1451" s="15" t="str">
        <f>IF(IF(ISNUMBER(B1451),"",MAX(D$4:D1450)+1)&lt;=D$3,IF(ISNUMBER(B1451),"",MAX(D$4:D1450)+1),"")</f>
        <v/>
      </c>
      <c r="H1451" s="15"/>
      <c r="I1451" s="15" t="str">
        <f>IF(O1451="","",IF(ISNUMBER(MATCH(O1451,$G$5:$G$1000,0)),"",IF(D1451=1,B$4,0)+MAX(I$4:I1450)+1))</f>
        <v/>
      </c>
      <c r="M1451" s="14" t="str">
        <f>IF(ROW()-ROW(M$4)&lt;=1000,ROW()-ROW(M$4),"")</f>
        <v/>
      </c>
    </row>
    <row r="1452" spans="4:13" ht="12" customHeight="1" x14ac:dyDescent="0.25">
      <c r="D1452" s="15" t="str">
        <f>IF(IF(ISNUMBER(B1452),"",MAX(D$4:D1451)+1)&lt;=D$3,IF(ISNUMBER(B1452),"",MAX(D$4:D1451)+1),"")</f>
        <v/>
      </c>
      <c r="H1452" s="15"/>
      <c r="I1452" s="15" t="str">
        <f>IF(O1452="","",IF(ISNUMBER(MATCH(O1452,$G$5:$G$1000,0)),"",IF(D1452=1,B$4,0)+MAX(I$4:I1451)+1))</f>
        <v/>
      </c>
      <c r="M1452" s="14" t="str">
        <f>IF(ROW()-ROW(M$4)&lt;=1000,ROW()-ROW(M$4),"")</f>
        <v/>
      </c>
    </row>
    <row r="1453" spans="4:13" ht="12" customHeight="1" x14ac:dyDescent="0.25">
      <c r="D1453" s="15" t="str">
        <f>IF(IF(ISNUMBER(B1453),"",MAX(D$4:D1452)+1)&lt;=D$3,IF(ISNUMBER(B1453),"",MAX(D$4:D1452)+1),"")</f>
        <v/>
      </c>
      <c r="H1453" s="15"/>
      <c r="I1453" s="15" t="str">
        <f>IF(O1453="","",IF(ISNUMBER(MATCH(O1453,$G$5:$G$1000,0)),"",IF(D1453=1,B$4,0)+MAX(I$4:I1452)+1))</f>
        <v/>
      </c>
      <c r="M1453" s="14" t="str">
        <f>IF(ROW()-ROW(M$4)&lt;=1000,ROW()-ROW(M$4),"")</f>
        <v/>
      </c>
    </row>
    <row r="1454" spans="4:13" ht="12" customHeight="1" x14ac:dyDescent="0.25">
      <c r="D1454" s="15" t="str">
        <f>IF(IF(ISNUMBER(B1454),"",MAX(D$4:D1453)+1)&lt;=D$3,IF(ISNUMBER(B1454),"",MAX(D$4:D1453)+1),"")</f>
        <v/>
      </c>
      <c r="H1454" s="15"/>
      <c r="I1454" s="15" t="str">
        <f>IF(O1454="","",IF(ISNUMBER(MATCH(O1454,$G$5:$G$1000,0)),"",IF(D1454=1,B$4,0)+MAX(I$4:I1453)+1))</f>
        <v/>
      </c>
      <c r="M1454" s="14" t="str">
        <f>IF(ROW()-ROW(M$4)&lt;=1000,ROW()-ROW(M$4),"")</f>
        <v/>
      </c>
    </row>
    <row r="1455" spans="4:13" ht="12" customHeight="1" x14ac:dyDescent="0.25">
      <c r="D1455" s="15" t="str">
        <f>IF(IF(ISNUMBER(B1455),"",MAX(D$4:D1454)+1)&lt;=D$3,IF(ISNUMBER(B1455),"",MAX(D$4:D1454)+1),"")</f>
        <v/>
      </c>
      <c r="H1455" s="15"/>
      <c r="I1455" s="15" t="str">
        <f>IF(O1455="","",IF(ISNUMBER(MATCH(O1455,$G$5:$G$1000,0)),"",IF(D1455=1,B$4,0)+MAX(I$4:I1454)+1))</f>
        <v/>
      </c>
      <c r="M1455" s="14" t="str">
        <f>IF(ROW()-ROW(M$4)&lt;=1000,ROW()-ROW(M$4),"")</f>
        <v/>
      </c>
    </row>
    <row r="1456" spans="4:13" ht="12" customHeight="1" x14ac:dyDescent="0.25">
      <c r="D1456" s="15" t="str">
        <f>IF(IF(ISNUMBER(B1456),"",MAX(D$4:D1455)+1)&lt;=D$3,IF(ISNUMBER(B1456),"",MAX(D$4:D1455)+1),"")</f>
        <v/>
      </c>
      <c r="H1456" s="15"/>
      <c r="I1456" s="15" t="str">
        <f>IF(O1456="","",IF(ISNUMBER(MATCH(O1456,$G$5:$G$1000,0)),"",IF(D1456=1,B$4,0)+MAX(I$4:I1455)+1))</f>
        <v/>
      </c>
      <c r="M1456" s="14" t="str">
        <f>IF(ROW()-ROW(M$4)&lt;=1000,ROW()-ROW(M$4),"")</f>
        <v/>
      </c>
    </row>
    <row r="1457" spans="4:13" ht="12" customHeight="1" x14ac:dyDescent="0.25">
      <c r="D1457" s="15" t="str">
        <f>IF(IF(ISNUMBER(B1457),"",MAX(D$4:D1456)+1)&lt;=D$3,IF(ISNUMBER(B1457),"",MAX(D$4:D1456)+1),"")</f>
        <v/>
      </c>
      <c r="H1457" s="15"/>
      <c r="I1457" s="15" t="str">
        <f>IF(O1457="","",IF(ISNUMBER(MATCH(O1457,$G$5:$G$1000,0)),"",IF(D1457=1,B$4,0)+MAX(I$4:I1456)+1))</f>
        <v/>
      </c>
      <c r="M1457" s="14" t="str">
        <f>IF(ROW()-ROW(M$4)&lt;=1000,ROW()-ROW(M$4),"")</f>
        <v/>
      </c>
    </row>
    <row r="1458" spans="4:13" ht="12" customHeight="1" x14ac:dyDescent="0.25">
      <c r="D1458" s="15" t="str">
        <f>IF(IF(ISNUMBER(B1458),"",MAX(D$4:D1457)+1)&lt;=D$3,IF(ISNUMBER(B1458),"",MAX(D$4:D1457)+1),"")</f>
        <v/>
      </c>
      <c r="H1458" s="15"/>
      <c r="I1458" s="15" t="str">
        <f>IF(O1458="","",IF(ISNUMBER(MATCH(O1458,$G$5:$G$1000,0)),"",IF(D1458=1,B$4,0)+MAX(I$4:I1457)+1))</f>
        <v/>
      </c>
      <c r="M1458" s="14" t="str">
        <f>IF(ROW()-ROW(M$4)&lt;=1000,ROW()-ROW(M$4),"")</f>
        <v/>
      </c>
    </row>
    <row r="1459" spans="4:13" ht="12" customHeight="1" x14ac:dyDescent="0.25">
      <c r="D1459" s="15" t="str">
        <f>IF(IF(ISNUMBER(B1459),"",MAX(D$4:D1458)+1)&lt;=D$3,IF(ISNUMBER(B1459),"",MAX(D$4:D1458)+1),"")</f>
        <v/>
      </c>
      <c r="H1459" s="15"/>
      <c r="I1459" s="15" t="str">
        <f>IF(O1459="","",IF(ISNUMBER(MATCH(O1459,$G$5:$G$1000,0)),"",IF(D1459=1,B$4,0)+MAX(I$4:I1458)+1))</f>
        <v/>
      </c>
      <c r="M1459" s="14" t="str">
        <f>IF(ROW()-ROW(M$4)&lt;=1000,ROW()-ROW(M$4),"")</f>
        <v/>
      </c>
    </row>
    <row r="1460" spans="4:13" ht="12" customHeight="1" x14ac:dyDescent="0.25">
      <c r="D1460" s="15" t="str">
        <f>IF(IF(ISNUMBER(B1460),"",MAX(D$4:D1459)+1)&lt;=D$3,IF(ISNUMBER(B1460),"",MAX(D$4:D1459)+1),"")</f>
        <v/>
      </c>
      <c r="H1460" s="15"/>
      <c r="I1460" s="15" t="str">
        <f>IF(O1460="","",IF(ISNUMBER(MATCH(O1460,$G$5:$G$1000,0)),"",IF(D1460=1,B$4,0)+MAX(I$4:I1459)+1))</f>
        <v/>
      </c>
      <c r="M1460" s="14" t="str">
        <f>IF(ROW()-ROW(M$4)&lt;=1000,ROW()-ROW(M$4),"")</f>
        <v/>
      </c>
    </row>
    <row r="1461" spans="4:13" ht="12" customHeight="1" x14ac:dyDescent="0.25">
      <c r="D1461" s="15" t="str">
        <f>IF(IF(ISNUMBER(B1461),"",MAX(D$4:D1460)+1)&lt;=D$3,IF(ISNUMBER(B1461),"",MAX(D$4:D1460)+1),"")</f>
        <v/>
      </c>
      <c r="H1461" s="15"/>
      <c r="I1461" s="15" t="str">
        <f>IF(O1461="","",IF(ISNUMBER(MATCH(O1461,$G$5:$G$1000,0)),"",IF(D1461=1,B$4,0)+MAX(I$4:I1460)+1))</f>
        <v/>
      </c>
      <c r="M1461" s="14" t="str">
        <f>IF(ROW()-ROW(M$4)&lt;=1000,ROW()-ROW(M$4),"")</f>
        <v/>
      </c>
    </row>
    <row r="1462" spans="4:13" ht="12" customHeight="1" x14ac:dyDescent="0.25">
      <c r="D1462" s="15" t="str">
        <f>IF(IF(ISNUMBER(B1462),"",MAX(D$4:D1461)+1)&lt;=D$3,IF(ISNUMBER(B1462),"",MAX(D$4:D1461)+1),"")</f>
        <v/>
      </c>
      <c r="H1462" s="15"/>
      <c r="I1462" s="15" t="str">
        <f>IF(O1462="","",IF(ISNUMBER(MATCH(O1462,$G$5:$G$1000,0)),"",IF(D1462=1,B$4,0)+MAX(I$4:I1461)+1))</f>
        <v/>
      </c>
      <c r="M1462" s="14" t="str">
        <f>IF(ROW()-ROW(M$4)&lt;=1000,ROW()-ROW(M$4),"")</f>
        <v/>
      </c>
    </row>
    <row r="1463" spans="4:13" ht="12" customHeight="1" x14ac:dyDescent="0.25">
      <c r="D1463" s="15" t="str">
        <f>IF(IF(ISNUMBER(B1463),"",MAX(D$4:D1462)+1)&lt;=D$3,IF(ISNUMBER(B1463),"",MAX(D$4:D1462)+1),"")</f>
        <v/>
      </c>
      <c r="H1463" s="15"/>
      <c r="I1463" s="15" t="str">
        <f>IF(O1463="","",IF(ISNUMBER(MATCH(O1463,$G$5:$G$1000,0)),"",IF(D1463=1,B$4,0)+MAX(I$4:I1462)+1))</f>
        <v/>
      </c>
      <c r="M1463" s="14" t="str">
        <f>IF(ROW()-ROW(M$4)&lt;=1000,ROW()-ROW(M$4),"")</f>
        <v/>
      </c>
    </row>
    <row r="1464" spans="4:13" ht="12" customHeight="1" x14ac:dyDescent="0.25">
      <c r="D1464" s="15" t="str">
        <f>IF(IF(ISNUMBER(B1464),"",MAX(D$4:D1463)+1)&lt;=D$3,IF(ISNUMBER(B1464),"",MAX(D$4:D1463)+1),"")</f>
        <v/>
      </c>
      <c r="H1464" s="15"/>
      <c r="I1464" s="15" t="str">
        <f>IF(O1464="","",IF(ISNUMBER(MATCH(O1464,$G$5:$G$1000,0)),"",IF(D1464=1,B$4,0)+MAX(I$4:I1463)+1))</f>
        <v/>
      </c>
      <c r="M1464" s="14" t="str">
        <f>IF(ROW()-ROW(M$4)&lt;=1000,ROW()-ROW(M$4),"")</f>
        <v/>
      </c>
    </row>
    <row r="1465" spans="4:13" ht="12" customHeight="1" x14ac:dyDescent="0.25">
      <c r="D1465" s="15" t="str">
        <f>IF(IF(ISNUMBER(B1465),"",MAX(D$4:D1464)+1)&lt;=D$3,IF(ISNUMBER(B1465),"",MAX(D$4:D1464)+1),"")</f>
        <v/>
      </c>
      <c r="H1465" s="15"/>
      <c r="I1465" s="15" t="str">
        <f>IF(O1465="","",IF(ISNUMBER(MATCH(O1465,$G$5:$G$1000,0)),"",IF(D1465=1,B$4,0)+MAX(I$4:I1464)+1))</f>
        <v/>
      </c>
      <c r="M1465" s="14" t="str">
        <f>IF(ROW()-ROW(M$4)&lt;=1000,ROW()-ROW(M$4),"")</f>
        <v/>
      </c>
    </row>
    <row r="1466" spans="4:13" ht="12" customHeight="1" x14ac:dyDescent="0.25">
      <c r="D1466" s="15" t="str">
        <f>IF(IF(ISNUMBER(B1466),"",MAX(D$4:D1465)+1)&lt;=D$3,IF(ISNUMBER(B1466),"",MAX(D$4:D1465)+1),"")</f>
        <v/>
      </c>
      <c r="H1466" s="15"/>
      <c r="I1466" s="15" t="str">
        <f>IF(O1466="","",IF(ISNUMBER(MATCH(O1466,$G$5:$G$1000,0)),"",IF(D1466=1,B$4,0)+MAX(I$4:I1465)+1))</f>
        <v/>
      </c>
      <c r="M1466" s="14" t="str">
        <f>IF(ROW()-ROW(M$4)&lt;=1000,ROW()-ROW(M$4),"")</f>
        <v/>
      </c>
    </row>
    <row r="1467" spans="4:13" ht="12" customHeight="1" x14ac:dyDescent="0.25">
      <c r="D1467" s="15" t="str">
        <f>IF(IF(ISNUMBER(B1467),"",MAX(D$4:D1466)+1)&lt;=D$3,IF(ISNUMBER(B1467),"",MAX(D$4:D1466)+1),"")</f>
        <v/>
      </c>
      <c r="H1467" s="15"/>
      <c r="I1467" s="15" t="str">
        <f>IF(O1467="","",IF(ISNUMBER(MATCH(O1467,$G$5:$G$1000,0)),"",IF(D1467=1,B$4,0)+MAX(I$4:I1466)+1))</f>
        <v/>
      </c>
      <c r="M1467" s="14" t="str">
        <f>IF(ROW()-ROW(M$4)&lt;=1000,ROW()-ROW(M$4),"")</f>
        <v/>
      </c>
    </row>
    <row r="1468" spans="4:13" ht="12" customHeight="1" x14ac:dyDescent="0.25">
      <c r="D1468" s="15" t="str">
        <f>IF(IF(ISNUMBER(B1468),"",MAX(D$4:D1467)+1)&lt;=D$3,IF(ISNUMBER(B1468),"",MAX(D$4:D1467)+1),"")</f>
        <v/>
      </c>
      <c r="H1468" s="15"/>
      <c r="I1468" s="15" t="str">
        <f>IF(O1468="","",IF(ISNUMBER(MATCH(O1468,$G$5:$G$1000,0)),"",IF(D1468=1,B$4,0)+MAX(I$4:I1467)+1))</f>
        <v/>
      </c>
      <c r="M1468" s="14" t="str">
        <f>IF(ROW()-ROW(M$4)&lt;=1000,ROW()-ROW(M$4),"")</f>
        <v/>
      </c>
    </row>
    <row r="1469" spans="4:13" ht="12" customHeight="1" x14ac:dyDescent="0.25">
      <c r="D1469" s="15" t="str">
        <f>IF(IF(ISNUMBER(B1469),"",MAX(D$4:D1468)+1)&lt;=D$3,IF(ISNUMBER(B1469),"",MAX(D$4:D1468)+1),"")</f>
        <v/>
      </c>
      <c r="H1469" s="15"/>
      <c r="I1469" s="15" t="str">
        <f>IF(O1469="","",IF(ISNUMBER(MATCH(O1469,$G$5:$G$1000,0)),"",IF(D1469=1,B$4,0)+MAX(I$4:I1468)+1))</f>
        <v/>
      </c>
      <c r="M1469" s="14" t="str">
        <f>IF(ROW()-ROW(M$4)&lt;=1000,ROW()-ROW(M$4),"")</f>
        <v/>
      </c>
    </row>
    <row r="1470" spans="4:13" ht="12" customHeight="1" x14ac:dyDescent="0.25">
      <c r="D1470" s="15" t="str">
        <f>IF(IF(ISNUMBER(B1470),"",MAX(D$4:D1469)+1)&lt;=D$3,IF(ISNUMBER(B1470),"",MAX(D$4:D1469)+1),"")</f>
        <v/>
      </c>
      <c r="H1470" s="15"/>
      <c r="I1470" s="15" t="str">
        <f>IF(O1470="","",IF(ISNUMBER(MATCH(O1470,$G$5:$G$1000,0)),"",IF(D1470=1,B$4,0)+MAX(I$4:I1469)+1))</f>
        <v/>
      </c>
      <c r="M1470" s="14" t="str">
        <f>IF(ROW()-ROW(M$4)&lt;=1000,ROW()-ROW(M$4),"")</f>
        <v/>
      </c>
    </row>
    <row r="1471" spans="4:13" ht="12" customHeight="1" x14ac:dyDescent="0.25">
      <c r="D1471" s="15" t="str">
        <f>IF(IF(ISNUMBER(B1471),"",MAX(D$4:D1470)+1)&lt;=D$3,IF(ISNUMBER(B1471),"",MAX(D$4:D1470)+1),"")</f>
        <v/>
      </c>
      <c r="H1471" s="15"/>
      <c r="I1471" s="15" t="str">
        <f>IF(O1471="","",IF(ISNUMBER(MATCH(O1471,$G$5:$G$1000,0)),"",IF(D1471=1,B$4,0)+MAX(I$4:I1470)+1))</f>
        <v/>
      </c>
      <c r="M1471" s="14" t="str">
        <f>IF(ROW()-ROW(M$4)&lt;=1000,ROW()-ROW(M$4),"")</f>
        <v/>
      </c>
    </row>
    <row r="1472" spans="4:13" ht="12" customHeight="1" x14ac:dyDescent="0.25">
      <c r="D1472" s="15" t="str">
        <f>IF(IF(ISNUMBER(B1472),"",MAX(D$4:D1471)+1)&lt;=D$3,IF(ISNUMBER(B1472),"",MAX(D$4:D1471)+1),"")</f>
        <v/>
      </c>
      <c r="H1472" s="15"/>
      <c r="I1472" s="15" t="str">
        <f>IF(O1472="","",IF(ISNUMBER(MATCH(O1472,$G$5:$G$1000,0)),"",IF(D1472=1,B$4,0)+MAX(I$4:I1471)+1))</f>
        <v/>
      </c>
      <c r="M1472" s="14" t="str">
        <f>IF(ROW()-ROW(M$4)&lt;=1000,ROW()-ROW(M$4),"")</f>
        <v/>
      </c>
    </row>
    <row r="1473" spans="4:13" ht="12" customHeight="1" x14ac:dyDescent="0.25">
      <c r="D1473" s="15" t="str">
        <f>IF(IF(ISNUMBER(B1473),"",MAX(D$4:D1472)+1)&lt;=D$3,IF(ISNUMBER(B1473),"",MAX(D$4:D1472)+1),"")</f>
        <v/>
      </c>
      <c r="H1473" s="15"/>
      <c r="I1473" s="15" t="str">
        <f>IF(O1473="","",IF(ISNUMBER(MATCH(O1473,$G$5:$G$1000,0)),"",IF(D1473=1,B$4,0)+MAX(I$4:I1472)+1))</f>
        <v/>
      </c>
      <c r="M1473" s="14" t="str">
        <f>IF(ROW()-ROW(M$4)&lt;=1000,ROW()-ROW(M$4),"")</f>
        <v/>
      </c>
    </row>
    <row r="1474" spans="4:13" ht="12" customHeight="1" x14ac:dyDescent="0.25">
      <c r="D1474" s="15" t="str">
        <f>IF(IF(ISNUMBER(B1474),"",MAX(D$4:D1473)+1)&lt;=D$3,IF(ISNUMBER(B1474),"",MAX(D$4:D1473)+1),"")</f>
        <v/>
      </c>
      <c r="H1474" s="15"/>
      <c r="I1474" s="15" t="str">
        <f>IF(O1474="","",IF(ISNUMBER(MATCH(O1474,$G$5:$G$1000,0)),"",IF(D1474=1,B$4,0)+MAX(I$4:I1473)+1))</f>
        <v/>
      </c>
      <c r="M1474" s="14" t="str">
        <f>IF(ROW()-ROW(M$4)&lt;=1000,ROW()-ROW(M$4),"")</f>
        <v/>
      </c>
    </row>
    <row r="1475" spans="4:13" ht="12" customHeight="1" x14ac:dyDescent="0.25">
      <c r="D1475" s="15" t="str">
        <f>IF(IF(ISNUMBER(B1475),"",MAX(D$4:D1474)+1)&lt;=D$3,IF(ISNUMBER(B1475),"",MAX(D$4:D1474)+1),"")</f>
        <v/>
      </c>
      <c r="H1475" s="15"/>
      <c r="I1475" s="15" t="str">
        <f>IF(O1475="","",IF(ISNUMBER(MATCH(O1475,$G$5:$G$1000,0)),"",IF(D1475=1,B$4,0)+MAX(I$4:I1474)+1))</f>
        <v/>
      </c>
      <c r="M1475" s="14" t="str">
        <f>IF(ROW()-ROW(M$4)&lt;=1000,ROW()-ROW(M$4),"")</f>
        <v/>
      </c>
    </row>
    <row r="1476" spans="4:13" ht="12" customHeight="1" x14ac:dyDescent="0.25">
      <c r="D1476" s="15" t="str">
        <f>IF(IF(ISNUMBER(B1476),"",MAX(D$4:D1475)+1)&lt;=D$3,IF(ISNUMBER(B1476),"",MAX(D$4:D1475)+1),"")</f>
        <v/>
      </c>
      <c r="H1476" s="15"/>
      <c r="I1476" s="15" t="str">
        <f>IF(O1476="","",IF(ISNUMBER(MATCH(O1476,$G$5:$G$1000,0)),"",IF(D1476=1,B$4,0)+MAX(I$4:I1475)+1))</f>
        <v/>
      </c>
      <c r="M1476" s="14" t="str">
        <f>IF(ROW()-ROW(M$4)&lt;=1000,ROW()-ROW(M$4),"")</f>
        <v/>
      </c>
    </row>
    <row r="1477" spans="4:13" ht="12" customHeight="1" x14ac:dyDescent="0.25">
      <c r="D1477" s="15" t="str">
        <f>IF(IF(ISNUMBER(B1477),"",MAX(D$4:D1476)+1)&lt;=D$3,IF(ISNUMBER(B1477),"",MAX(D$4:D1476)+1),"")</f>
        <v/>
      </c>
      <c r="H1477" s="15"/>
      <c r="I1477" s="15" t="str">
        <f>IF(O1477="","",IF(ISNUMBER(MATCH(O1477,$G$5:$G$1000,0)),"",IF(D1477=1,B$4,0)+MAX(I$4:I1476)+1))</f>
        <v/>
      </c>
      <c r="M1477" s="14" t="str">
        <f>IF(ROW()-ROW(M$4)&lt;=1000,ROW()-ROW(M$4),"")</f>
        <v/>
      </c>
    </row>
    <row r="1478" spans="4:13" ht="12" customHeight="1" x14ac:dyDescent="0.25">
      <c r="D1478" s="15" t="str">
        <f>IF(IF(ISNUMBER(B1478),"",MAX(D$4:D1477)+1)&lt;=D$3,IF(ISNUMBER(B1478),"",MAX(D$4:D1477)+1),"")</f>
        <v/>
      </c>
      <c r="H1478" s="15"/>
      <c r="I1478" s="15" t="str">
        <f>IF(O1478="","",IF(ISNUMBER(MATCH(O1478,$G$5:$G$1000,0)),"",IF(D1478=1,B$4,0)+MAX(I$4:I1477)+1))</f>
        <v/>
      </c>
      <c r="M1478" s="14" t="str">
        <f>IF(ROW()-ROW(M$4)&lt;=1000,ROW()-ROW(M$4),"")</f>
        <v/>
      </c>
    </row>
    <row r="1479" spans="4:13" ht="12" customHeight="1" x14ac:dyDescent="0.25">
      <c r="D1479" s="15" t="str">
        <f>IF(IF(ISNUMBER(B1479),"",MAX(D$4:D1478)+1)&lt;=D$3,IF(ISNUMBER(B1479),"",MAX(D$4:D1478)+1),"")</f>
        <v/>
      </c>
      <c r="H1479" s="15"/>
      <c r="I1479" s="15" t="str">
        <f>IF(O1479="","",IF(ISNUMBER(MATCH(O1479,$G$5:$G$1000,0)),"",IF(D1479=1,B$4,0)+MAX(I$4:I1478)+1))</f>
        <v/>
      </c>
      <c r="M1479" s="14" t="str">
        <f>IF(ROW()-ROW(M$4)&lt;=1000,ROW()-ROW(M$4),"")</f>
        <v/>
      </c>
    </row>
    <row r="1480" spans="4:13" ht="12" customHeight="1" x14ac:dyDescent="0.25">
      <c r="D1480" s="15" t="str">
        <f>IF(IF(ISNUMBER(B1480),"",MAX(D$4:D1479)+1)&lt;=D$3,IF(ISNUMBER(B1480),"",MAX(D$4:D1479)+1),"")</f>
        <v/>
      </c>
      <c r="H1480" s="15"/>
      <c r="I1480" s="15" t="str">
        <f>IF(O1480="","",IF(ISNUMBER(MATCH(O1480,$G$5:$G$1000,0)),"",IF(D1480=1,B$4,0)+MAX(I$4:I1479)+1))</f>
        <v/>
      </c>
      <c r="M1480" s="14" t="str">
        <f>IF(ROW()-ROW(M$4)&lt;=1000,ROW()-ROW(M$4),"")</f>
        <v/>
      </c>
    </row>
    <row r="1481" spans="4:13" ht="12" customHeight="1" x14ac:dyDescent="0.25">
      <c r="D1481" s="15" t="str">
        <f>IF(IF(ISNUMBER(B1481),"",MAX(D$4:D1480)+1)&lt;=D$3,IF(ISNUMBER(B1481),"",MAX(D$4:D1480)+1),"")</f>
        <v/>
      </c>
      <c r="H1481" s="15"/>
      <c r="I1481" s="15" t="str">
        <f>IF(O1481="","",IF(ISNUMBER(MATCH(O1481,$G$5:$G$1000,0)),"",IF(D1481=1,B$4,0)+MAX(I$4:I1480)+1))</f>
        <v/>
      </c>
      <c r="M1481" s="14" t="str">
        <f>IF(ROW()-ROW(M$4)&lt;=1000,ROW()-ROW(M$4),"")</f>
        <v/>
      </c>
    </row>
    <row r="1482" spans="4:13" ht="12" customHeight="1" x14ac:dyDescent="0.25">
      <c r="D1482" s="15" t="str">
        <f>IF(IF(ISNUMBER(B1482),"",MAX(D$4:D1481)+1)&lt;=D$3,IF(ISNUMBER(B1482),"",MAX(D$4:D1481)+1),"")</f>
        <v/>
      </c>
      <c r="H1482" s="15"/>
      <c r="I1482" s="15" t="str">
        <f>IF(O1482="","",IF(ISNUMBER(MATCH(O1482,$G$5:$G$1000,0)),"",IF(D1482=1,B$4,0)+MAX(I$4:I1481)+1))</f>
        <v/>
      </c>
      <c r="M1482" s="14" t="str">
        <f>IF(ROW()-ROW(M$4)&lt;=1000,ROW()-ROW(M$4),"")</f>
        <v/>
      </c>
    </row>
    <row r="1483" spans="4:13" ht="12" customHeight="1" x14ac:dyDescent="0.25">
      <c r="D1483" s="15" t="str">
        <f>IF(IF(ISNUMBER(B1483),"",MAX(D$4:D1482)+1)&lt;=D$3,IF(ISNUMBER(B1483),"",MAX(D$4:D1482)+1),"")</f>
        <v/>
      </c>
      <c r="H1483" s="15"/>
      <c r="I1483" s="15" t="str">
        <f>IF(O1483="","",IF(ISNUMBER(MATCH(O1483,$G$5:$G$1000,0)),"",IF(D1483=1,B$4,0)+MAX(I$4:I1482)+1))</f>
        <v/>
      </c>
      <c r="M1483" s="14" t="str">
        <f>IF(ROW()-ROW(M$4)&lt;=1000,ROW()-ROW(M$4),"")</f>
        <v/>
      </c>
    </row>
    <row r="1484" spans="4:13" ht="12" customHeight="1" x14ac:dyDescent="0.25">
      <c r="D1484" s="15" t="str">
        <f>IF(IF(ISNUMBER(B1484),"",MAX(D$4:D1483)+1)&lt;=D$3,IF(ISNUMBER(B1484),"",MAX(D$4:D1483)+1),"")</f>
        <v/>
      </c>
      <c r="H1484" s="15"/>
      <c r="I1484" s="15" t="str">
        <f>IF(O1484="","",IF(ISNUMBER(MATCH(O1484,$G$5:$G$1000,0)),"",IF(D1484=1,B$4,0)+MAX(I$4:I1483)+1))</f>
        <v/>
      </c>
      <c r="M1484" s="14" t="str">
        <f>IF(ROW()-ROW(M$4)&lt;=1000,ROW()-ROW(M$4),"")</f>
        <v/>
      </c>
    </row>
    <row r="1485" spans="4:13" ht="12" customHeight="1" x14ac:dyDescent="0.25">
      <c r="D1485" s="15" t="str">
        <f>IF(IF(ISNUMBER(B1485),"",MAX(D$4:D1484)+1)&lt;=D$3,IF(ISNUMBER(B1485),"",MAX(D$4:D1484)+1),"")</f>
        <v/>
      </c>
      <c r="H1485" s="15"/>
      <c r="I1485" s="15" t="str">
        <f>IF(O1485="","",IF(ISNUMBER(MATCH(O1485,$G$5:$G$1000,0)),"",IF(D1485=1,B$4,0)+MAX(I$4:I1484)+1))</f>
        <v/>
      </c>
      <c r="M1485" s="14" t="str">
        <f>IF(ROW()-ROW(M$4)&lt;=1000,ROW()-ROW(M$4),"")</f>
        <v/>
      </c>
    </row>
    <row r="1486" spans="4:13" ht="12" customHeight="1" x14ac:dyDescent="0.25">
      <c r="D1486" s="15" t="str">
        <f>IF(IF(ISNUMBER(B1486),"",MAX(D$4:D1485)+1)&lt;=D$3,IF(ISNUMBER(B1486),"",MAX(D$4:D1485)+1),"")</f>
        <v/>
      </c>
      <c r="H1486" s="15"/>
      <c r="I1486" s="15" t="str">
        <f>IF(O1486="","",IF(ISNUMBER(MATCH(O1486,$G$5:$G$1000,0)),"",IF(D1486=1,B$4,0)+MAX(I$4:I1485)+1))</f>
        <v/>
      </c>
      <c r="M1486" s="14" t="str">
        <f>IF(ROW()-ROW(M$4)&lt;=1000,ROW()-ROW(M$4),"")</f>
        <v/>
      </c>
    </row>
    <row r="1487" spans="4:13" ht="12" customHeight="1" x14ac:dyDescent="0.25">
      <c r="D1487" s="15" t="str">
        <f>IF(IF(ISNUMBER(B1487),"",MAX(D$4:D1486)+1)&lt;=D$3,IF(ISNUMBER(B1487),"",MAX(D$4:D1486)+1),"")</f>
        <v/>
      </c>
      <c r="H1487" s="15"/>
      <c r="I1487" s="15" t="str">
        <f>IF(O1487="","",IF(ISNUMBER(MATCH(O1487,$G$5:$G$1000,0)),"",IF(D1487=1,B$4,0)+MAX(I$4:I1486)+1))</f>
        <v/>
      </c>
      <c r="M1487" s="14" t="str">
        <f>IF(ROW()-ROW(M$4)&lt;=1000,ROW()-ROW(M$4),"")</f>
        <v/>
      </c>
    </row>
    <row r="1488" spans="4:13" ht="12" customHeight="1" x14ac:dyDescent="0.25">
      <c r="D1488" s="15" t="str">
        <f>IF(IF(ISNUMBER(B1488),"",MAX(D$4:D1487)+1)&lt;=D$3,IF(ISNUMBER(B1488),"",MAX(D$4:D1487)+1),"")</f>
        <v/>
      </c>
      <c r="H1488" s="15"/>
      <c r="I1488" s="15" t="str">
        <f>IF(O1488="","",IF(ISNUMBER(MATCH(O1488,$G$5:$G$1000,0)),"",IF(D1488=1,B$4,0)+MAX(I$4:I1487)+1))</f>
        <v/>
      </c>
      <c r="M1488" s="14" t="str">
        <f>IF(ROW()-ROW(M$4)&lt;=1000,ROW()-ROW(M$4),"")</f>
        <v/>
      </c>
    </row>
    <row r="1489" spans="4:13" ht="12" customHeight="1" x14ac:dyDescent="0.25">
      <c r="D1489" s="15" t="str">
        <f>IF(IF(ISNUMBER(B1489),"",MAX(D$4:D1488)+1)&lt;=D$3,IF(ISNUMBER(B1489),"",MAX(D$4:D1488)+1),"")</f>
        <v/>
      </c>
      <c r="H1489" s="15"/>
      <c r="I1489" s="15" t="str">
        <f>IF(O1489="","",IF(ISNUMBER(MATCH(O1489,$G$5:$G$1000,0)),"",IF(D1489=1,B$4,0)+MAX(I$4:I1488)+1))</f>
        <v/>
      </c>
      <c r="M1489" s="14" t="str">
        <f>IF(ROW()-ROW(M$4)&lt;=1000,ROW()-ROW(M$4),"")</f>
        <v/>
      </c>
    </row>
    <row r="1490" spans="4:13" ht="12" customHeight="1" x14ac:dyDescent="0.25">
      <c r="D1490" s="15" t="str">
        <f>IF(IF(ISNUMBER(B1490),"",MAX(D$4:D1489)+1)&lt;=D$3,IF(ISNUMBER(B1490),"",MAX(D$4:D1489)+1),"")</f>
        <v/>
      </c>
      <c r="H1490" s="15"/>
      <c r="I1490" s="15" t="str">
        <f>IF(O1490="","",IF(ISNUMBER(MATCH(O1490,$G$5:$G$1000,0)),"",IF(D1490=1,B$4,0)+MAX(I$4:I1489)+1))</f>
        <v/>
      </c>
      <c r="M1490" s="14" t="str">
        <f>IF(ROW()-ROW(M$4)&lt;=1000,ROW()-ROW(M$4),"")</f>
        <v/>
      </c>
    </row>
    <row r="1491" spans="4:13" ht="12" customHeight="1" x14ac:dyDescent="0.25">
      <c r="D1491" s="15" t="str">
        <f>IF(IF(ISNUMBER(B1491),"",MAX(D$4:D1490)+1)&lt;=D$3,IF(ISNUMBER(B1491),"",MAX(D$4:D1490)+1),"")</f>
        <v/>
      </c>
      <c r="H1491" s="15"/>
      <c r="I1491" s="15" t="str">
        <f>IF(O1491="","",IF(ISNUMBER(MATCH(O1491,$G$5:$G$1000,0)),"",IF(D1491=1,B$4,0)+MAX(I$4:I1490)+1))</f>
        <v/>
      </c>
      <c r="M1491" s="14" t="str">
        <f>IF(ROW()-ROW(M$4)&lt;=1000,ROW()-ROW(M$4),"")</f>
        <v/>
      </c>
    </row>
    <row r="1492" spans="4:13" ht="12" customHeight="1" x14ac:dyDescent="0.25">
      <c r="D1492" s="15" t="str">
        <f>IF(IF(ISNUMBER(B1492),"",MAX(D$4:D1491)+1)&lt;=D$3,IF(ISNUMBER(B1492),"",MAX(D$4:D1491)+1),"")</f>
        <v/>
      </c>
      <c r="H1492" s="15"/>
      <c r="I1492" s="15" t="str">
        <f>IF(O1492="","",IF(ISNUMBER(MATCH(O1492,$G$5:$G$1000,0)),"",IF(D1492=1,B$4,0)+MAX(I$4:I1491)+1))</f>
        <v/>
      </c>
      <c r="M1492" s="14" t="str">
        <f>IF(ROW()-ROW(M$4)&lt;=1000,ROW()-ROW(M$4),"")</f>
        <v/>
      </c>
    </row>
    <row r="1493" spans="4:13" ht="12" customHeight="1" x14ac:dyDescent="0.25">
      <c r="D1493" s="15" t="str">
        <f>IF(IF(ISNUMBER(B1493),"",MAX(D$4:D1492)+1)&lt;=D$3,IF(ISNUMBER(B1493),"",MAX(D$4:D1492)+1),"")</f>
        <v/>
      </c>
      <c r="H1493" s="15"/>
      <c r="I1493" s="15" t="str">
        <f>IF(O1493="","",IF(ISNUMBER(MATCH(O1493,$G$5:$G$1000,0)),"",IF(D1493=1,B$4,0)+MAX(I$4:I1492)+1))</f>
        <v/>
      </c>
      <c r="M1493" s="14" t="str">
        <f>IF(ROW()-ROW(M$4)&lt;=1000,ROW()-ROW(M$4),"")</f>
        <v/>
      </c>
    </row>
    <row r="1494" spans="4:13" ht="12" customHeight="1" x14ac:dyDescent="0.25">
      <c r="D1494" s="15" t="str">
        <f>IF(IF(ISNUMBER(B1494),"",MAX(D$4:D1493)+1)&lt;=D$3,IF(ISNUMBER(B1494),"",MAX(D$4:D1493)+1),"")</f>
        <v/>
      </c>
      <c r="H1494" s="15"/>
      <c r="I1494" s="15" t="str">
        <f>IF(O1494="","",IF(ISNUMBER(MATCH(O1494,$G$5:$G$1000,0)),"",IF(D1494=1,B$4,0)+MAX(I$4:I1493)+1))</f>
        <v/>
      </c>
      <c r="M1494" s="14" t="str">
        <f>IF(ROW()-ROW(M$4)&lt;=1000,ROW()-ROW(M$4),"")</f>
        <v/>
      </c>
    </row>
    <row r="1495" spans="4:13" ht="12" customHeight="1" x14ac:dyDescent="0.25">
      <c r="D1495" s="15" t="str">
        <f>IF(IF(ISNUMBER(B1495),"",MAX(D$4:D1494)+1)&lt;=D$3,IF(ISNUMBER(B1495),"",MAX(D$4:D1494)+1),"")</f>
        <v/>
      </c>
      <c r="H1495" s="15"/>
      <c r="I1495" s="15" t="str">
        <f>IF(O1495="","",IF(ISNUMBER(MATCH(O1495,$G$5:$G$1000,0)),"",IF(D1495=1,B$4,0)+MAX(I$4:I1494)+1))</f>
        <v/>
      </c>
      <c r="M1495" s="14" t="str">
        <f>IF(ROW()-ROW(M$4)&lt;=1000,ROW()-ROW(M$4),"")</f>
        <v/>
      </c>
    </row>
    <row r="1496" spans="4:13" ht="12" customHeight="1" x14ac:dyDescent="0.25">
      <c r="D1496" s="15" t="str">
        <f>IF(IF(ISNUMBER(B1496),"",MAX(D$4:D1495)+1)&lt;=D$3,IF(ISNUMBER(B1496),"",MAX(D$4:D1495)+1),"")</f>
        <v/>
      </c>
      <c r="H1496" s="15"/>
      <c r="I1496" s="15" t="str">
        <f>IF(O1496="","",IF(ISNUMBER(MATCH(O1496,$G$5:$G$1000,0)),"",IF(D1496=1,B$4,0)+MAX(I$4:I1495)+1))</f>
        <v/>
      </c>
      <c r="M1496" s="14" t="str">
        <f>IF(ROW()-ROW(M$4)&lt;=1000,ROW()-ROW(M$4),"")</f>
        <v/>
      </c>
    </row>
    <row r="1497" spans="4:13" ht="12" customHeight="1" x14ac:dyDescent="0.25">
      <c r="D1497" s="15" t="str">
        <f>IF(IF(ISNUMBER(B1497),"",MAX(D$4:D1496)+1)&lt;=D$3,IF(ISNUMBER(B1497),"",MAX(D$4:D1496)+1),"")</f>
        <v/>
      </c>
      <c r="H1497" s="15"/>
      <c r="I1497" s="15" t="str">
        <f>IF(O1497="","",IF(ISNUMBER(MATCH(O1497,$G$5:$G$1000,0)),"",IF(D1497=1,B$4,0)+MAX(I$4:I1496)+1))</f>
        <v/>
      </c>
      <c r="M1497" s="14" t="str">
        <f>IF(ROW()-ROW(M$4)&lt;=1000,ROW()-ROW(M$4),"")</f>
        <v/>
      </c>
    </row>
    <row r="1498" spans="4:13" ht="12" customHeight="1" x14ac:dyDescent="0.25">
      <c r="D1498" s="15" t="str">
        <f>IF(IF(ISNUMBER(B1498),"",MAX(D$4:D1497)+1)&lt;=D$3,IF(ISNUMBER(B1498),"",MAX(D$4:D1497)+1),"")</f>
        <v/>
      </c>
      <c r="H1498" s="15"/>
      <c r="I1498" s="15" t="str">
        <f>IF(O1498="","",IF(ISNUMBER(MATCH(O1498,$G$5:$G$1000,0)),"",IF(D1498=1,B$4,0)+MAX(I$4:I1497)+1))</f>
        <v/>
      </c>
      <c r="M1498" s="14" t="str">
        <f>IF(ROW()-ROW(M$4)&lt;=1000,ROW()-ROW(M$4),"")</f>
        <v/>
      </c>
    </row>
    <row r="1499" spans="4:13" ht="12" customHeight="1" x14ac:dyDescent="0.25">
      <c r="D1499" s="15" t="str">
        <f>IF(IF(ISNUMBER(B1499),"",MAX(D$4:D1498)+1)&lt;=D$3,IF(ISNUMBER(B1499),"",MAX(D$4:D1498)+1),"")</f>
        <v/>
      </c>
      <c r="H1499" s="15"/>
      <c r="I1499" s="15" t="str">
        <f>IF(O1499="","",IF(ISNUMBER(MATCH(O1499,$G$5:$G$1000,0)),"",IF(D1499=1,B$4,0)+MAX(I$4:I1498)+1))</f>
        <v/>
      </c>
      <c r="M1499" s="14" t="str">
        <f>IF(ROW()-ROW(M$4)&lt;=1000,ROW()-ROW(M$4),"")</f>
        <v/>
      </c>
    </row>
    <row r="1500" spans="4:13" ht="12" customHeight="1" x14ac:dyDescent="0.25">
      <c r="D1500" s="15" t="str">
        <f>IF(IF(ISNUMBER(B1500),"",MAX(D$4:D1499)+1)&lt;=D$3,IF(ISNUMBER(B1500),"",MAX(D$4:D1499)+1),"")</f>
        <v/>
      </c>
      <c r="H1500" s="15"/>
      <c r="I1500" s="15" t="str">
        <f>IF(O1500="","",IF(ISNUMBER(MATCH(O1500,$G$5:$G$1000,0)),"",IF(D1500=1,B$4,0)+MAX(I$4:I1499)+1))</f>
        <v/>
      </c>
      <c r="M1500" s="14" t="str">
        <f>IF(ROW()-ROW(M$4)&lt;=1000,ROW()-ROW(M$4),"")</f>
        <v/>
      </c>
    </row>
    <row r="1501" spans="4:13" ht="12" customHeight="1" x14ac:dyDescent="0.25">
      <c r="D1501" s="15" t="str">
        <f>IF(IF(ISNUMBER(B1501),"",MAX(D$4:D1500)+1)&lt;=D$3,IF(ISNUMBER(B1501),"",MAX(D$4:D1500)+1),"")</f>
        <v/>
      </c>
      <c r="H1501" s="15"/>
      <c r="I1501" s="15" t="str">
        <f>IF(O1501="","",IF(ISNUMBER(MATCH(O1501,$G$5:$G$1000,0)),"",IF(D1501=1,B$4,0)+MAX(I$4:I1500)+1))</f>
        <v/>
      </c>
      <c r="M1501" s="14" t="str">
        <f>IF(ROW()-ROW(M$4)&lt;=1000,ROW()-ROW(M$4),"")</f>
        <v/>
      </c>
    </row>
    <row r="1502" spans="4:13" ht="12" customHeight="1" x14ac:dyDescent="0.25">
      <c r="D1502" s="15" t="str">
        <f>IF(IF(ISNUMBER(B1502),"",MAX(D$4:D1501)+1)&lt;=D$3,IF(ISNUMBER(B1502),"",MAX(D$4:D1501)+1),"")</f>
        <v/>
      </c>
      <c r="H1502" s="15"/>
      <c r="I1502" s="15" t="str">
        <f>IF(O1502="","",IF(ISNUMBER(MATCH(O1502,$G$5:$G$1000,0)),"",IF(D1502=1,B$4,0)+MAX(I$4:I1501)+1))</f>
        <v/>
      </c>
      <c r="M1502" s="14" t="str">
        <f>IF(ROW()-ROW(M$4)&lt;=1000,ROW()-ROW(M$4),"")</f>
        <v/>
      </c>
    </row>
    <row r="1503" spans="4:13" ht="12" customHeight="1" x14ac:dyDescent="0.25">
      <c r="D1503" s="15" t="str">
        <f>IF(IF(ISNUMBER(B1503),"",MAX(D$4:D1502)+1)&lt;=D$3,IF(ISNUMBER(B1503),"",MAX(D$4:D1502)+1),"")</f>
        <v/>
      </c>
      <c r="H1503" s="15"/>
      <c r="I1503" s="15" t="str">
        <f>IF(O1503="","",IF(ISNUMBER(MATCH(O1503,$G$5:$G$1000,0)),"",IF(D1503=1,B$4,0)+MAX(I$4:I1502)+1))</f>
        <v/>
      </c>
      <c r="M1503" s="14" t="str">
        <f>IF(ROW()-ROW(M$4)&lt;=1000,ROW()-ROW(M$4),"")</f>
        <v/>
      </c>
    </row>
    <row r="1504" spans="4:13" ht="12" customHeight="1" x14ac:dyDescent="0.25">
      <c r="D1504" s="15" t="str">
        <f>IF(IF(ISNUMBER(B1504),"",MAX(D$4:D1503)+1)&lt;=D$3,IF(ISNUMBER(B1504),"",MAX(D$4:D1503)+1),"")</f>
        <v/>
      </c>
      <c r="H1504" s="15"/>
      <c r="I1504" s="15" t="str">
        <f>IF(O1504="","",IF(ISNUMBER(MATCH(O1504,$G$5:$G$1000,0)),"",IF(D1504=1,B$4,0)+MAX(I$4:I1503)+1))</f>
        <v/>
      </c>
      <c r="M1504" s="14" t="str">
        <f>IF(ROW()-ROW(M$4)&lt;=1000,ROW()-ROW(M$4),"")</f>
        <v/>
      </c>
    </row>
    <row r="1505" spans="4:13" ht="12" customHeight="1" x14ac:dyDescent="0.25">
      <c r="D1505" s="15" t="str">
        <f>IF(IF(ISNUMBER(B1505),"",MAX(D$4:D1504)+1)&lt;=D$3,IF(ISNUMBER(B1505),"",MAX(D$4:D1504)+1),"")</f>
        <v/>
      </c>
      <c r="H1505" s="15"/>
      <c r="I1505" s="15" t="str">
        <f>IF(O1505="","",IF(ISNUMBER(MATCH(O1505,$G$5:$G$1000,0)),"",IF(D1505=1,B$4,0)+MAX(I$4:I1504)+1))</f>
        <v/>
      </c>
      <c r="M1505" s="14" t="str">
        <f>IF(ROW()-ROW(M$4)&lt;=1000,ROW()-ROW(M$4),"")</f>
        <v/>
      </c>
    </row>
    <row r="1506" spans="4:13" ht="12" customHeight="1" x14ac:dyDescent="0.25">
      <c r="D1506" s="15" t="str">
        <f>IF(IF(ISNUMBER(B1506),"",MAX(D$4:D1505)+1)&lt;=D$3,IF(ISNUMBER(B1506),"",MAX(D$4:D1505)+1),"")</f>
        <v/>
      </c>
      <c r="H1506" s="15"/>
      <c r="I1506" s="15" t="str">
        <f>IF(O1506="","",IF(ISNUMBER(MATCH(O1506,$G$5:$G$1000,0)),"",IF(D1506=1,B$4,0)+MAX(I$4:I1505)+1))</f>
        <v/>
      </c>
      <c r="M1506" s="14" t="str">
        <f>IF(ROW()-ROW(M$4)&lt;=1000,ROW()-ROW(M$4),"")</f>
        <v/>
      </c>
    </row>
    <row r="1507" spans="4:13" ht="12" customHeight="1" x14ac:dyDescent="0.25">
      <c r="D1507" s="15" t="str">
        <f>IF(IF(ISNUMBER(B1507),"",MAX(D$4:D1506)+1)&lt;=D$3,IF(ISNUMBER(B1507),"",MAX(D$4:D1506)+1),"")</f>
        <v/>
      </c>
      <c r="H1507" s="15"/>
      <c r="I1507" s="15" t="str">
        <f>IF(O1507="","",IF(ISNUMBER(MATCH(O1507,$G$5:$G$1000,0)),"",IF(D1507=1,B$4,0)+MAX(I$4:I1506)+1))</f>
        <v/>
      </c>
      <c r="M1507" s="14" t="str">
        <f>IF(ROW()-ROW(M$4)&lt;=1000,ROW()-ROW(M$4),"")</f>
        <v/>
      </c>
    </row>
    <row r="1508" spans="4:13" ht="12" customHeight="1" x14ac:dyDescent="0.25">
      <c r="D1508" s="15" t="str">
        <f>IF(IF(ISNUMBER(B1508),"",MAX(D$4:D1507)+1)&lt;=D$3,IF(ISNUMBER(B1508),"",MAX(D$4:D1507)+1),"")</f>
        <v/>
      </c>
      <c r="H1508" s="15"/>
      <c r="I1508" s="15" t="str">
        <f>IF(O1508="","",IF(ISNUMBER(MATCH(O1508,$G$5:$G$1000,0)),"",IF(D1508=1,B$4,0)+MAX(I$4:I1507)+1))</f>
        <v/>
      </c>
      <c r="M1508" s="14" t="str">
        <f>IF(ROW()-ROW(M$4)&lt;=1000,ROW()-ROW(M$4),"")</f>
        <v/>
      </c>
    </row>
    <row r="1509" spans="4:13" ht="12" customHeight="1" x14ac:dyDescent="0.25">
      <c r="D1509" s="15" t="str">
        <f>IF(IF(ISNUMBER(B1509),"",MAX(D$4:D1508)+1)&lt;=D$3,IF(ISNUMBER(B1509),"",MAX(D$4:D1508)+1),"")</f>
        <v/>
      </c>
      <c r="H1509" s="15"/>
      <c r="I1509" s="15" t="str">
        <f>IF(O1509="","",IF(ISNUMBER(MATCH(O1509,$G$5:$G$1000,0)),"",IF(D1509=1,B$4,0)+MAX(I$4:I1508)+1))</f>
        <v/>
      </c>
      <c r="M1509" s="14" t="str">
        <f>IF(ROW()-ROW(M$4)&lt;=1000,ROW()-ROW(M$4),"")</f>
        <v/>
      </c>
    </row>
    <row r="1510" spans="4:13" ht="12" customHeight="1" x14ac:dyDescent="0.25">
      <c r="D1510" s="15" t="str">
        <f>IF(IF(ISNUMBER(B1510),"",MAX(D$4:D1509)+1)&lt;=D$3,IF(ISNUMBER(B1510),"",MAX(D$4:D1509)+1),"")</f>
        <v/>
      </c>
      <c r="H1510" s="15"/>
      <c r="I1510" s="15" t="str">
        <f>IF(O1510="","",IF(ISNUMBER(MATCH(O1510,$G$5:$G$1000,0)),"",IF(D1510=1,B$4,0)+MAX(I$4:I1509)+1))</f>
        <v/>
      </c>
      <c r="M1510" s="14" t="str">
        <f>IF(ROW()-ROW(M$4)&lt;=1000,ROW()-ROW(M$4),"")</f>
        <v/>
      </c>
    </row>
    <row r="1511" spans="4:13" ht="12" customHeight="1" x14ac:dyDescent="0.25">
      <c r="D1511" s="15" t="str">
        <f>IF(IF(ISNUMBER(B1511),"",MAX(D$4:D1510)+1)&lt;=D$3,IF(ISNUMBER(B1511),"",MAX(D$4:D1510)+1),"")</f>
        <v/>
      </c>
      <c r="H1511" s="15"/>
      <c r="I1511" s="15" t="str">
        <f>IF(O1511="","",IF(ISNUMBER(MATCH(O1511,$G$5:$G$1000,0)),"",IF(D1511=1,B$4,0)+MAX(I$4:I1510)+1))</f>
        <v/>
      </c>
      <c r="M1511" s="14" t="str">
        <f>IF(ROW()-ROW(M$4)&lt;=1000,ROW()-ROW(M$4),"")</f>
        <v/>
      </c>
    </row>
    <row r="1512" spans="4:13" ht="12" customHeight="1" x14ac:dyDescent="0.25">
      <c r="D1512" s="15" t="str">
        <f>IF(IF(ISNUMBER(B1512),"",MAX(D$4:D1511)+1)&lt;=D$3,IF(ISNUMBER(B1512),"",MAX(D$4:D1511)+1),"")</f>
        <v/>
      </c>
      <c r="H1512" s="15"/>
      <c r="I1512" s="15" t="str">
        <f>IF(O1512="","",IF(ISNUMBER(MATCH(O1512,$G$5:$G$1000,0)),"",IF(D1512=1,B$4,0)+MAX(I$4:I1511)+1))</f>
        <v/>
      </c>
      <c r="M1512" s="14" t="str">
        <f>IF(ROW()-ROW(M$4)&lt;=1000,ROW()-ROW(M$4),"")</f>
        <v/>
      </c>
    </row>
    <row r="1513" spans="4:13" ht="12" customHeight="1" x14ac:dyDescent="0.25">
      <c r="D1513" s="15" t="str">
        <f>IF(IF(ISNUMBER(B1513),"",MAX(D$4:D1512)+1)&lt;=D$3,IF(ISNUMBER(B1513),"",MAX(D$4:D1512)+1),"")</f>
        <v/>
      </c>
      <c r="H1513" s="15"/>
      <c r="I1513" s="15" t="str">
        <f>IF(O1513="","",IF(ISNUMBER(MATCH(O1513,$G$5:$G$1000,0)),"",IF(D1513=1,B$4,0)+MAX(I$4:I1512)+1))</f>
        <v/>
      </c>
      <c r="M1513" s="14" t="str">
        <f>IF(ROW()-ROW(M$4)&lt;=1000,ROW()-ROW(M$4),"")</f>
        <v/>
      </c>
    </row>
    <row r="1514" spans="4:13" ht="12" customHeight="1" x14ac:dyDescent="0.25">
      <c r="D1514" s="15" t="str">
        <f>IF(IF(ISNUMBER(B1514),"",MAX(D$4:D1513)+1)&lt;=D$3,IF(ISNUMBER(B1514),"",MAX(D$4:D1513)+1),"")</f>
        <v/>
      </c>
      <c r="H1514" s="15"/>
      <c r="I1514" s="15" t="str">
        <f>IF(O1514="","",IF(ISNUMBER(MATCH(O1514,$G$5:$G$1000,0)),"",IF(D1514=1,B$4,0)+MAX(I$4:I1513)+1))</f>
        <v/>
      </c>
      <c r="M1514" s="14" t="str">
        <f>IF(ROW()-ROW(M$4)&lt;=1000,ROW()-ROW(M$4),"")</f>
        <v/>
      </c>
    </row>
    <row r="1515" spans="4:13" ht="12" customHeight="1" x14ac:dyDescent="0.25">
      <c r="D1515" s="15" t="str">
        <f>IF(IF(ISNUMBER(B1515),"",MAX(D$4:D1514)+1)&lt;=D$3,IF(ISNUMBER(B1515),"",MAX(D$4:D1514)+1),"")</f>
        <v/>
      </c>
      <c r="H1515" s="15"/>
      <c r="I1515" s="15" t="str">
        <f>IF(O1515="","",IF(ISNUMBER(MATCH(O1515,$G$5:$G$1000,0)),"",IF(D1515=1,B$4,0)+MAX(I$4:I1514)+1))</f>
        <v/>
      </c>
      <c r="M1515" s="14" t="str">
        <f>IF(ROW()-ROW(M$4)&lt;=1000,ROW()-ROW(M$4),"")</f>
        <v/>
      </c>
    </row>
    <row r="1516" spans="4:13" ht="12" customHeight="1" x14ac:dyDescent="0.25">
      <c r="D1516" s="15" t="str">
        <f>IF(IF(ISNUMBER(B1516),"",MAX(D$4:D1515)+1)&lt;=D$3,IF(ISNUMBER(B1516),"",MAX(D$4:D1515)+1),"")</f>
        <v/>
      </c>
      <c r="H1516" s="15"/>
      <c r="I1516" s="15" t="str">
        <f>IF(O1516="","",IF(ISNUMBER(MATCH(O1516,$G$5:$G$1000,0)),"",IF(D1516=1,B$4,0)+MAX(I$4:I1515)+1))</f>
        <v/>
      </c>
      <c r="M1516" s="14" t="str">
        <f>IF(ROW()-ROW(M$4)&lt;=1000,ROW()-ROW(M$4),"")</f>
        <v/>
      </c>
    </row>
    <row r="1517" spans="4:13" ht="12" customHeight="1" x14ac:dyDescent="0.25">
      <c r="D1517" s="15" t="str">
        <f>IF(IF(ISNUMBER(B1517),"",MAX(D$4:D1516)+1)&lt;=D$3,IF(ISNUMBER(B1517),"",MAX(D$4:D1516)+1),"")</f>
        <v/>
      </c>
      <c r="H1517" s="15"/>
      <c r="I1517" s="15" t="str">
        <f>IF(O1517="","",IF(ISNUMBER(MATCH(O1517,$G$5:$G$1000,0)),"",IF(D1517=1,B$4,0)+MAX(I$4:I1516)+1))</f>
        <v/>
      </c>
      <c r="M1517" s="14" t="str">
        <f>IF(ROW()-ROW(M$4)&lt;=1000,ROW()-ROW(M$4),"")</f>
        <v/>
      </c>
    </row>
    <row r="1518" spans="4:13" ht="12" customHeight="1" x14ac:dyDescent="0.25">
      <c r="D1518" s="15" t="str">
        <f>IF(IF(ISNUMBER(B1518),"",MAX(D$4:D1517)+1)&lt;=D$3,IF(ISNUMBER(B1518),"",MAX(D$4:D1517)+1),"")</f>
        <v/>
      </c>
      <c r="H1518" s="15"/>
      <c r="I1518" s="15" t="str">
        <f>IF(O1518="","",IF(ISNUMBER(MATCH(O1518,$G$5:$G$1000,0)),"",IF(D1518=1,B$4,0)+MAX(I$4:I1517)+1))</f>
        <v/>
      </c>
      <c r="M1518" s="14" t="str">
        <f>IF(ROW()-ROW(M$4)&lt;=1000,ROW()-ROW(M$4),"")</f>
        <v/>
      </c>
    </row>
    <row r="1519" spans="4:13" ht="12" customHeight="1" x14ac:dyDescent="0.25">
      <c r="D1519" s="15" t="str">
        <f>IF(IF(ISNUMBER(B1519),"",MAX(D$4:D1518)+1)&lt;=D$3,IF(ISNUMBER(B1519),"",MAX(D$4:D1518)+1),"")</f>
        <v/>
      </c>
      <c r="H1519" s="15"/>
      <c r="I1519" s="15" t="str">
        <f>IF(O1519="","",IF(ISNUMBER(MATCH(O1519,$G$5:$G$1000,0)),"",IF(D1519=1,B$4,0)+MAX(I$4:I1518)+1))</f>
        <v/>
      </c>
      <c r="M1519" s="14" t="str">
        <f>IF(ROW()-ROW(M$4)&lt;=1000,ROW()-ROW(M$4),"")</f>
        <v/>
      </c>
    </row>
    <row r="1520" spans="4:13" ht="12" customHeight="1" x14ac:dyDescent="0.25">
      <c r="D1520" s="15" t="str">
        <f>IF(IF(ISNUMBER(B1520),"",MAX(D$4:D1519)+1)&lt;=D$3,IF(ISNUMBER(B1520),"",MAX(D$4:D1519)+1),"")</f>
        <v/>
      </c>
      <c r="H1520" s="15"/>
      <c r="I1520" s="15" t="str">
        <f>IF(O1520="","",IF(ISNUMBER(MATCH(O1520,$G$5:$G$1000,0)),"",IF(D1520=1,B$4,0)+MAX(I$4:I1519)+1))</f>
        <v/>
      </c>
      <c r="M1520" s="14" t="str">
        <f>IF(ROW()-ROW(M$4)&lt;=1000,ROW()-ROW(M$4),"")</f>
        <v/>
      </c>
    </row>
    <row r="1521" spans="4:13" ht="12" customHeight="1" x14ac:dyDescent="0.25">
      <c r="D1521" s="15" t="str">
        <f>IF(IF(ISNUMBER(B1521),"",MAX(D$4:D1520)+1)&lt;=D$3,IF(ISNUMBER(B1521),"",MAX(D$4:D1520)+1),"")</f>
        <v/>
      </c>
      <c r="H1521" s="15"/>
      <c r="I1521" s="15" t="str">
        <f>IF(O1521="","",IF(ISNUMBER(MATCH(O1521,$G$5:$G$1000,0)),"",IF(D1521=1,B$4,0)+MAX(I$4:I1520)+1))</f>
        <v/>
      </c>
      <c r="M1521" s="14" t="str">
        <f>IF(ROW()-ROW(M$4)&lt;=1000,ROW()-ROW(M$4),"")</f>
        <v/>
      </c>
    </row>
    <row r="1522" spans="4:13" ht="12" customHeight="1" x14ac:dyDescent="0.25">
      <c r="D1522" s="15" t="str">
        <f>IF(IF(ISNUMBER(B1522),"",MAX(D$4:D1521)+1)&lt;=D$3,IF(ISNUMBER(B1522),"",MAX(D$4:D1521)+1),"")</f>
        <v/>
      </c>
      <c r="H1522" s="15"/>
      <c r="I1522" s="15" t="str">
        <f>IF(O1522="","",IF(ISNUMBER(MATCH(O1522,$G$5:$G$1000,0)),"",IF(D1522=1,B$4,0)+MAX(I$4:I1521)+1))</f>
        <v/>
      </c>
      <c r="M1522" s="14" t="str">
        <f>IF(ROW()-ROW(M$4)&lt;=1000,ROW()-ROW(M$4),"")</f>
        <v/>
      </c>
    </row>
    <row r="1523" spans="4:13" ht="12" customHeight="1" x14ac:dyDescent="0.25">
      <c r="D1523" s="15" t="str">
        <f>IF(IF(ISNUMBER(B1523),"",MAX(D$4:D1522)+1)&lt;=D$3,IF(ISNUMBER(B1523),"",MAX(D$4:D1522)+1),"")</f>
        <v/>
      </c>
      <c r="H1523" s="15"/>
      <c r="I1523" s="15" t="str">
        <f>IF(O1523="","",IF(ISNUMBER(MATCH(O1523,$G$5:$G$1000,0)),"",IF(D1523=1,B$4,0)+MAX(I$4:I1522)+1))</f>
        <v/>
      </c>
      <c r="M1523" s="14" t="str">
        <f>IF(ROW()-ROW(M$4)&lt;=1000,ROW()-ROW(M$4),"")</f>
        <v/>
      </c>
    </row>
    <row r="1524" spans="4:13" ht="12" customHeight="1" x14ac:dyDescent="0.25">
      <c r="D1524" s="15" t="str">
        <f>IF(IF(ISNUMBER(B1524),"",MAX(D$4:D1523)+1)&lt;=D$3,IF(ISNUMBER(B1524),"",MAX(D$4:D1523)+1),"")</f>
        <v/>
      </c>
      <c r="H1524" s="15"/>
      <c r="I1524" s="15" t="str">
        <f>IF(O1524="","",IF(ISNUMBER(MATCH(O1524,$G$5:$G$1000,0)),"",IF(D1524=1,B$4,0)+MAX(I$4:I1523)+1))</f>
        <v/>
      </c>
      <c r="M1524" s="14" t="str">
        <f>IF(ROW()-ROW(M$4)&lt;=1000,ROW()-ROW(M$4),"")</f>
        <v/>
      </c>
    </row>
    <row r="1525" spans="4:13" ht="12" customHeight="1" x14ac:dyDescent="0.25">
      <c r="D1525" s="15" t="str">
        <f>IF(IF(ISNUMBER(B1525),"",MAX(D$4:D1524)+1)&lt;=D$3,IF(ISNUMBER(B1525),"",MAX(D$4:D1524)+1),"")</f>
        <v/>
      </c>
      <c r="H1525" s="15"/>
      <c r="I1525" s="15" t="str">
        <f>IF(O1525="","",IF(ISNUMBER(MATCH(O1525,$G$5:$G$1000,0)),"",IF(D1525=1,B$4,0)+MAX(I$4:I1524)+1))</f>
        <v/>
      </c>
      <c r="M1525" s="14" t="str">
        <f>IF(ROW()-ROW(M$4)&lt;=1000,ROW()-ROW(M$4),"")</f>
        <v/>
      </c>
    </row>
  </sheetData>
  <conditionalFormatting sqref="G5:G1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:BM134">
    <cfRule type="notContainsBlanks" dxfId="1" priority="3">
      <formula>LEN(TRIM(BG5))&gt;0</formula>
    </cfRule>
  </conditionalFormatting>
  <conditionalFormatting sqref="BM4">
    <cfRule type="notContainsBlanks" dxfId="0" priority="1">
      <formula>LEN(TRIM(BM4))&gt;0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2026-02-05T12:09:12Z</dcterms:created>
  <dcterms:modified xsi:type="dcterms:W3CDTF">2026-02-05T12:11:03Z</dcterms:modified>
</cp:coreProperties>
</file>
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15_REPOS\02_Beta-Me\MF6\"/>
    </mc:Choice>
  </mc:AlternateContent>
  <xr:revisionPtr revIDLastSave="0" documentId="13_ncr:1_{2BA92462-AD78-4B64-8E55-EFE11D187B83}" xr6:coauthVersionLast="47" xr6:coauthVersionMax="47" xr10:uidLastSave="{00000000-0000-0000-0000-000000000000}"/>
  <bookViews>
    <workbookView xWindow="-120" yWindow="-120" windowWidth="29040" windowHeight="16440" activeTab="1" xr2:uid="{309FCD19-1322-4263-939F-1EFAA327EAC8}"/>
  </bookViews>
  <sheets>
    <sheet name="Jocope" sheetId="4" r:id="rId1"/>
    <sheet name="44_Beta" sheetId="6" r:id="rId2"/>
  </sheet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6" l="1"/>
  <c r="B87" i="6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J69" i="6"/>
  <c r="J68" i="6"/>
  <c r="J67" i="6"/>
  <c r="J66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CC39" i="6"/>
  <c r="CD39" i="6"/>
  <c r="CE39" i="6"/>
  <c r="CF39" i="6"/>
  <c r="CG39" i="6"/>
  <c r="CH39" i="6"/>
  <c r="CI39" i="6"/>
  <c r="CJ39" i="6"/>
  <c r="CK39" i="6"/>
  <c r="CL39" i="6"/>
  <c r="CM39" i="6"/>
  <c r="CN39" i="6"/>
  <c r="CO39" i="6"/>
  <c r="CP39" i="6"/>
  <c r="CQ39" i="6"/>
  <c r="CR39" i="6"/>
  <c r="CS39" i="6"/>
  <c r="CT39" i="6"/>
  <c r="CU39" i="6"/>
  <c r="CV39" i="6"/>
  <c r="CW39" i="6"/>
  <c r="CX39" i="6"/>
  <c r="CY39" i="6"/>
  <c r="CZ39" i="6"/>
  <c r="DA39" i="6"/>
  <c r="DB39" i="6"/>
  <c r="DC39" i="6"/>
  <c r="DD39" i="6"/>
  <c r="DE39" i="6"/>
  <c r="DF39" i="6"/>
  <c r="FK3" i="6"/>
  <c r="FQ4" i="6"/>
  <c r="FQ3" i="6"/>
  <c r="FQ8" i="6"/>
  <c r="FJ8" i="6"/>
  <c r="FK8" i="6" s="1"/>
  <c r="DI97" i="6"/>
  <c r="DI98" i="6"/>
  <c r="DI99" i="6"/>
  <c r="B46" i="6"/>
  <c r="B45" i="6" s="1"/>
  <c r="B44" i="6" s="1"/>
  <c r="B43" i="6" s="1"/>
  <c r="B42" i="6" s="1"/>
  <c r="B41" i="6" s="1"/>
  <c r="B40" i="6" s="1"/>
  <c r="B39" i="6" s="1"/>
  <c r="B38" i="6" s="1"/>
  <c r="B37" i="6" s="1"/>
  <c r="B36" i="6" s="1"/>
  <c r="B35" i="6" s="1"/>
  <c r="A33" i="6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E36" i="6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B56" i="6"/>
  <c r="DE17" i="4"/>
  <c r="DE16" i="4"/>
  <c r="DE15" i="4"/>
  <c r="DE14" i="4"/>
  <c r="DE13" i="4"/>
  <c r="DE12" i="4"/>
  <c r="DE11" i="4"/>
  <c r="DE10" i="4"/>
  <c r="DE9" i="4"/>
  <c r="DE8" i="4"/>
  <c r="DE7" i="4"/>
  <c r="DE6" i="4"/>
  <c r="FP3" i="6"/>
  <c r="FO8" i="6" s="1"/>
  <c r="FP4" i="6"/>
  <c r="D36" i="6"/>
  <c r="E7" i="6"/>
  <c r="E8" i="6" s="1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D7" i="6"/>
  <c r="H7" i="6" s="1"/>
  <c r="B22" i="6"/>
  <c r="B23" i="6" s="1"/>
  <c r="J65" i="6"/>
  <c r="J64" i="6"/>
  <c r="J63" i="6"/>
  <c r="J62" i="6"/>
  <c r="J61" i="6"/>
  <c r="J60" i="6"/>
  <c r="J59" i="6"/>
  <c r="FG6" i="6"/>
  <c r="FG7" i="6" s="1"/>
  <c r="FG8" i="6" s="1"/>
  <c r="FG9" i="6" s="1"/>
  <c r="FG10" i="6" s="1"/>
  <c r="FG11" i="6" s="1"/>
  <c r="FG12" i="6" s="1"/>
  <c r="FG13" i="6" s="1"/>
  <c r="FG14" i="6" s="1"/>
  <c r="FG15" i="6" s="1"/>
  <c r="FG16" i="6" s="1"/>
  <c r="FG17" i="6" s="1"/>
  <c r="FG18" i="6" s="1"/>
  <c r="FG19" i="6" s="1"/>
  <c r="FG20" i="6" s="1"/>
  <c r="FG21" i="6" s="1"/>
  <c r="FG22" i="6" s="1"/>
  <c r="FG23" i="6" s="1"/>
  <c r="FG24" i="6" s="1"/>
  <c r="FG25" i="6" s="1"/>
  <c r="FG26" i="6" s="1"/>
  <c r="FG27" i="6" s="1"/>
  <c r="FG28" i="6" s="1"/>
  <c r="FG29" i="6" s="1"/>
  <c r="FG30" i="6" s="1"/>
  <c r="FG31" i="6" s="1"/>
  <c r="FG32" i="6" s="1"/>
  <c r="BG39" i="6"/>
  <c r="BF39" i="6"/>
  <c r="BE39" i="6"/>
  <c r="BD39" i="6"/>
  <c r="BC39" i="6"/>
  <c r="BB39" i="6"/>
  <c r="BA39" i="6"/>
  <c r="AZ39" i="6"/>
  <c r="AY39" i="6"/>
  <c r="AX39" i="6"/>
  <c r="AW39" i="6"/>
  <c r="J58" i="6"/>
  <c r="J57" i="6"/>
  <c r="J56" i="6"/>
  <c r="J55" i="6"/>
  <c r="J54" i="6"/>
  <c r="J53" i="6"/>
  <c r="J52" i="6"/>
  <c r="J51" i="6"/>
  <c r="J50" i="6"/>
  <c r="J49" i="6"/>
  <c r="CF49" i="6" s="1"/>
  <c r="J48" i="6"/>
  <c r="J47" i="6"/>
  <c r="J46" i="6"/>
  <c r="BP46" i="6" s="1"/>
  <c r="J45" i="6"/>
  <c r="J44" i="6"/>
  <c r="J43" i="6"/>
  <c r="J42" i="6"/>
  <c r="J41" i="6"/>
  <c r="DG40" i="6"/>
  <c r="DG41" i="6" s="1"/>
  <c r="DG42" i="6" s="1"/>
  <c r="DG43" i="6" s="1"/>
  <c r="DG44" i="6" s="1"/>
  <c r="DG45" i="6" s="1"/>
  <c r="DG46" i="6" s="1"/>
  <c r="DG47" i="6" s="1"/>
  <c r="DG48" i="6" s="1"/>
  <c r="DG49" i="6" s="1"/>
  <c r="DG50" i="6" s="1"/>
  <c r="DG51" i="6" s="1"/>
  <c r="DG52" i="6" s="1"/>
  <c r="DG53" i="6" s="1"/>
  <c r="DG54" i="6" s="1"/>
  <c r="DG55" i="6" s="1"/>
  <c r="DG56" i="6" s="1"/>
  <c r="DG57" i="6" s="1"/>
  <c r="DG58" i="6" s="1"/>
  <c r="DG59" i="6" s="1"/>
  <c r="DG60" i="6" s="1"/>
  <c r="DG61" i="6" s="1"/>
  <c r="DG62" i="6" s="1"/>
  <c r="DG63" i="6" s="1"/>
  <c r="DG64" i="6" s="1"/>
  <c r="DG65" i="6" s="1"/>
  <c r="DG66" i="6" s="1"/>
  <c r="DG67" i="6" s="1"/>
  <c r="DG68" i="6" s="1"/>
  <c r="DG69" i="6" s="1"/>
  <c r="J40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7" i="6"/>
  <c r="J8" i="6" s="1"/>
  <c r="J9" i="6" s="1"/>
  <c r="J10" i="6" s="1"/>
  <c r="J11" i="6" s="1"/>
  <c r="J12" i="6" s="1"/>
  <c r="J13" i="6" s="1"/>
  <c r="J14" i="6" s="1"/>
  <c r="J15" i="6" s="1"/>
  <c r="J16" i="6" s="1"/>
  <c r="J17" i="6" s="1"/>
  <c r="J18" i="6" s="1"/>
  <c r="J19" i="6" s="1"/>
  <c r="J20" i="6" s="1"/>
  <c r="J21" i="6" s="1"/>
  <c r="J22" i="6" s="1"/>
  <c r="J23" i="6" s="1"/>
  <c r="J24" i="6" s="1"/>
  <c r="J25" i="6" s="1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DG6" i="6"/>
  <c r="DG7" i="6" s="1"/>
  <c r="DG8" i="6" s="1"/>
  <c r="DG9" i="6" s="1"/>
  <c r="DG10" i="6" s="1"/>
  <c r="DG11" i="6" s="1"/>
  <c r="DG12" i="6" s="1"/>
  <c r="DG13" i="6" s="1"/>
  <c r="DG14" i="6" s="1"/>
  <c r="DG15" i="6" s="1"/>
  <c r="DG16" i="6" s="1"/>
  <c r="DG17" i="6" s="1"/>
  <c r="DG18" i="6" s="1"/>
  <c r="DG19" i="6" s="1"/>
  <c r="DG20" i="6" s="1"/>
  <c r="DG21" i="6" s="1"/>
  <c r="DG22" i="6" s="1"/>
  <c r="DG23" i="6" s="1"/>
  <c r="DG24" i="6" s="1"/>
  <c r="DG25" i="6" s="1"/>
  <c r="DG26" i="6" s="1"/>
  <c r="DG27" i="6" s="1"/>
  <c r="DG28" i="6" s="1"/>
  <c r="DG29" i="6" s="1"/>
  <c r="DG30" i="6" s="1"/>
  <c r="DG31" i="6" s="1"/>
  <c r="DG32" i="6" s="1"/>
  <c r="DG33" i="6" s="1"/>
  <c r="DG34" i="6" s="1"/>
  <c r="DG35" i="6" s="1"/>
  <c r="DA12" i="4"/>
  <c r="DB5" i="4"/>
  <c r="DB8" i="4" s="1"/>
  <c r="DB12" i="4" s="1"/>
  <c r="BA28" i="4"/>
  <c r="BB28" i="4" s="1"/>
  <c r="BC28" i="4" s="1"/>
  <c r="BD28" i="4" s="1"/>
  <c r="BE28" i="4" s="1"/>
  <c r="BF28" i="4" s="1"/>
  <c r="BG28" i="4" s="1"/>
  <c r="BH28" i="4" s="1"/>
  <c r="BI28" i="4" s="1"/>
  <c r="BJ28" i="4" s="1"/>
  <c r="BK28" i="4" s="1"/>
  <c r="BL28" i="4" s="1"/>
  <c r="BM28" i="4" s="1"/>
  <c r="BN28" i="4" s="1"/>
  <c r="BO28" i="4" s="1"/>
  <c r="BP28" i="4" s="1"/>
  <c r="BQ28" i="4" s="1"/>
  <c r="BR28" i="4" s="1"/>
  <c r="BS28" i="4" s="1"/>
  <c r="BT28" i="4" s="1"/>
  <c r="BU28" i="4" s="1"/>
  <c r="BV28" i="4" s="1"/>
  <c r="BW28" i="4" s="1"/>
  <c r="BX28" i="4" s="1"/>
  <c r="BY28" i="4" s="1"/>
  <c r="BZ28" i="4" s="1"/>
  <c r="CA28" i="4" s="1"/>
  <c r="CB28" i="4" s="1"/>
  <c r="CC28" i="4" s="1"/>
  <c r="CD28" i="4" s="1"/>
  <c r="CE28" i="4" s="1"/>
  <c r="CF28" i="4" s="1"/>
  <c r="CG28" i="4" s="1"/>
  <c r="CH28" i="4" s="1"/>
  <c r="CI28" i="4" s="1"/>
  <c r="CJ28" i="4" s="1"/>
  <c r="CK28" i="4" s="1"/>
  <c r="CL28" i="4" s="1"/>
  <c r="CM28" i="4" s="1"/>
  <c r="CN28" i="4" s="1"/>
  <c r="BA5" i="4"/>
  <c r="BB5" i="4" s="1"/>
  <c r="BC5" i="4" s="1"/>
  <c r="BD5" i="4" s="1"/>
  <c r="BE5" i="4" s="1"/>
  <c r="BF5" i="4" s="1"/>
  <c r="BG5" i="4" s="1"/>
  <c r="BH5" i="4" s="1"/>
  <c r="BI5" i="4" s="1"/>
  <c r="BJ5" i="4" s="1"/>
  <c r="BK5" i="4" s="1"/>
  <c r="BL5" i="4" s="1"/>
  <c r="BM5" i="4" s="1"/>
  <c r="BN5" i="4" s="1"/>
  <c r="BO5" i="4" s="1"/>
  <c r="BP5" i="4" s="1"/>
  <c r="BQ5" i="4" s="1"/>
  <c r="BR5" i="4" s="1"/>
  <c r="BS5" i="4" s="1"/>
  <c r="BT5" i="4" s="1"/>
  <c r="BU5" i="4" s="1"/>
  <c r="BV5" i="4" s="1"/>
  <c r="BW5" i="4" s="1"/>
  <c r="BX5" i="4" s="1"/>
  <c r="BY5" i="4" s="1"/>
  <c r="BZ5" i="4" s="1"/>
  <c r="CA5" i="4" s="1"/>
  <c r="CB5" i="4" s="1"/>
  <c r="CC5" i="4" s="1"/>
  <c r="CD5" i="4" s="1"/>
  <c r="CE5" i="4" s="1"/>
  <c r="CF5" i="4" s="1"/>
  <c r="CG5" i="4" s="1"/>
  <c r="CH5" i="4" s="1"/>
  <c r="CI5" i="4" s="1"/>
  <c r="CJ5" i="4" s="1"/>
  <c r="CK5" i="4" s="1"/>
  <c r="CL5" i="4" s="1"/>
  <c r="CM5" i="4" s="1"/>
  <c r="CN5" i="4" s="1"/>
  <c r="CU4" i="4"/>
  <c r="CU10" i="4" s="1"/>
  <c r="CV4" i="4"/>
  <c r="CU5" i="4"/>
  <c r="CW6" i="4"/>
  <c r="CW7" i="4"/>
  <c r="CW8" i="4"/>
  <c r="CW9" i="4"/>
  <c r="CW10" i="4"/>
  <c r="CW11" i="4"/>
  <c r="CW12" i="4"/>
  <c r="CW13" i="4"/>
  <c r="CU14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41" i="4"/>
  <c r="CW42" i="4"/>
  <c r="CW43" i="4"/>
  <c r="CW44" i="4"/>
  <c r="CW45" i="4"/>
  <c r="CW46" i="4"/>
  <c r="CW47" i="4"/>
  <c r="CW48" i="4"/>
  <c r="CW49" i="4"/>
  <c r="CW50" i="4"/>
  <c r="CW51" i="4"/>
  <c r="CW52" i="4"/>
  <c r="CW53" i="4"/>
  <c r="CW54" i="4"/>
  <c r="CW55" i="4"/>
  <c r="CW56" i="4"/>
  <c r="CW57" i="4"/>
  <c r="CW58" i="4"/>
  <c r="CW59" i="4"/>
  <c r="CW60" i="4"/>
  <c r="CW61" i="4"/>
  <c r="CW62" i="4"/>
  <c r="CW63" i="4"/>
  <c r="CW64" i="4"/>
  <c r="CW65" i="4"/>
  <c r="CW66" i="4"/>
  <c r="CU67" i="4"/>
  <c r="CW67" i="4"/>
  <c r="CW68" i="4"/>
  <c r="CW69" i="4"/>
  <c r="CW70" i="4"/>
  <c r="CW71" i="4"/>
  <c r="CW72" i="4"/>
  <c r="CW73" i="4"/>
  <c r="CW74" i="4"/>
  <c r="CW75" i="4"/>
  <c r="CW76" i="4"/>
  <c r="CW77" i="4"/>
  <c r="CW78" i="4"/>
  <c r="CW79" i="4"/>
  <c r="CW80" i="4"/>
  <c r="CW81" i="4"/>
  <c r="CU82" i="4"/>
  <c r="CW82" i="4"/>
  <c r="CW83" i="4"/>
  <c r="CW84" i="4"/>
  <c r="CW85" i="4"/>
  <c r="CW86" i="4"/>
  <c r="CW87" i="4"/>
  <c r="CU88" i="4"/>
  <c r="CW88" i="4"/>
  <c r="CU89" i="4"/>
  <c r="CW89" i="4"/>
  <c r="CW90" i="4"/>
  <c r="CU91" i="4"/>
  <c r="CW91" i="4"/>
  <c r="CW92" i="4"/>
  <c r="CW93" i="4"/>
  <c r="CW94" i="4"/>
  <c r="CU95" i="4"/>
  <c r="CW95" i="4"/>
  <c r="CU96" i="4"/>
  <c r="CW96" i="4"/>
  <c r="CU97" i="4"/>
  <c r="CW97" i="4"/>
  <c r="CW98" i="4"/>
  <c r="CW99" i="4"/>
  <c r="CW100" i="4"/>
  <c r="CW101" i="4"/>
  <c r="CU102" i="4"/>
  <c r="CW102" i="4"/>
  <c r="CU103" i="4"/>
  <c r="CW103" i="4"/>
  <c r="CW104" i="4"/>
  <c r="CW105" i="4"/>
  <c r="CU106" i="4"/>
  <c r="CW106" i="4"/>
  <c r="CW107" i="4"/>
  <c r="CW3" i="4" s="1"/>
  <c r="BI64" i="6" l="1"/>
  <c r="BH41" i="6"/>
  <c r="BH53" i="6"/>
  <c r="BM62" i="6"/>
  <c r="AN66" i="6"/>
  <c r="BY50" i="6"/>
  <c r="CI47" i="6"/>
  <c r="CG48" i="6"/>
  <c r="BY60" i="6"/>
  <c r="BR65" i="6"/>
  <c r="FQ5" i="6"/>
  <c r="BP40" i="6"/>
  <c r="BV51" i="6"/>
  <c r="BM42" i="6"/>
  <c r="BW55" i="6"/>
  <c r="BP44" i="6"/>
  <c r="BQ45" i="6"/>
  <c r="DA67" i="6"/>
  <c r="BQ65" i="6"/>
  <c r="CJ65" i="6"/>
  <c r="BR58" i="6"/>
  <c r="CU66" i="6"/>
  <c r="CU68" i="6"/>
  <c r="BL61" i="6"/>
  <c r="BL63" i="6"/>
  <c r="CI65" i="6"/>
  <c r="BM65" i="6"/>
  <c r="DD65" i="6"/>
  <c r="CH65" i="6"/>
  <c r="BL65" i="6"/>
  <c r="DC65" i="6"/>
  <c r="CG65" i="6"/>
  <c r="BK65" i="6"/>
  <c r="P68" i="6"/>
  <c r="DA65" i="6"/>
  <c r="CE65" i="6"/>
  <c r="BJ65" i="6"/>
  <c r="DB65" i="6"/>
  <c r="CP65" i="6"/>
  <c r="P66" i="6"/>
  <c r="AB68" i="6"/>
  <c r="BJ56" i="6"/>
  <c r="CZ65" i="6"/>
  <c r="BY65" i="6"/>
  <c r="BI65" i="6"/>
  <c r="CO65" i="6"/>
  <c r="AB66" i="6"/>
  <c r="AN68" i="6"/>
  <c r="BJ57" i="6"/>
  <c r="CX65" i="6"/>
  <c r="BX65" i="6"/>
  <c r="BH65" i="6"/>
  <c r="CN65" i="6"/>
  <c r="CB65" i="6"/>
  <c r="AZ68" i="6"/>
  <c r="CW65" i="6"/>
  <c r="BW65" i="6"/>
  <c r="CF64" i="6"/>
  <c r="AZ66" i="6"/>
  <c r="BL68" i="6"/>
  <c r="BH59" i="6"/>
  <c r="CV65" i="6"/>
  <c r="BV65" i="6"/>
  <c r="CL62" i="6"/>
  <c r="CL65" i="6"/>
  <c r="BZ65" i="6"/>
  <c r="BL66" i="6"/>
  <c r="BX68" i="6"/>
  <c r="CU65" i="6"/>
  <c r="BU65" i="6"/>
  <c r="CL57" i="6"/>
  <c r="BX66" i="6"/>
  <c r="CJ68" i="6"/>
  <c r="CT65" i="6"/>
  <c r="BT65" i="6"/>
  <c r="CK53" i="6"/>
  <c r="CJ66" i="6"/>
  <c r="CV68" i="6"/>
  <c r="BJ52" i="6"/>
  <c r="CK65" i="6"/>
  <c r="CF53" i="6"/>
  <c r="CV66" i="6"/>
  <c r="DA69" i="6"/>
  <c r="AT67" i="6"/>
  <c r="Q66" i="6"/>
  <c r="AC66" i="6"/>
  <c r="AO66" i="6"/>
  <c r="BA66" i="6"/>
  <c r="BM66" i="6"/>
  <c r="BY66" i="6"/>
  <c r="CK66" i="6"/>
  <c r="CW66" i="6"/>
  <c r="K67" i="6"/>
  <c r="W67" i="6"/>
  <c r="AI67" i="6"/>
  <c r="AU67" i="6"/>
  <c r="BG67" i="6"/>
  <c r="BS67" i="6"/>
  <c r="CE67" i="6"/>
  <c r="CQ67" i="6"/>
  <c r="DC67" i="6"/>
  <c r="Q68" i="6"/>
  <c r="AC68" i="6"/>
  <c r="AO68" i="6"/>
  <c r="BA68" i="6"/>
  <c r="BM68" i="6"/>
  <c r="BY68" i="6"/>
  <c r="CK68" i="6"/>
  <c r="CW68" i="6"/>
  <c r="K69" i="6"/>
  <c r="W69" i="6"/>
  <c r="AI69" i="6"/>
  <c r="AU69" i="6"/>
  <c r="BG69" i="6"/>
  <c r="BS69" i="6"/>
  <c r="CE69" i="6"/>
  <c r="CQ69" i="6"/>
  <c r="DC69" i="6"/>
  <c r="AH69" i="6"/>
  <c r="R66" i="6"/>
  <c r="AD66" i="6"/>
  <c r="AP66" i="6"/>
  <c r="BB66" i="6"/>
  <c r="BN66" i="6"/>
  <c r="BZ66" i="6"/>
  <c r="CL66" i="6"/>
  <c r="CX66" i="6"/>
  <c r="L67" i="6"/>
  <c r="X67" i="6"/>
  <c r="AJ67" i="6"/>
  <c r="AV67" i="6"/>
  <c r="BH67" i="6"/>
  <c r="BT67" i="6"/>
  <c r="CF67" i="6"/>
  <c r="CR67" i="6"/>
  <c r="DD67" i="6"/>
  <c r="R68" i="6"/>
  <c r="AD68" i="6"/>
  <c r="AP68" i="6"/>
  <c r="BB68" i="6"/>
  <c r="BN68" i="6"/>
  <c r="BZ68" i="6"/>
  <c r="CL68" i="6"/>
  <c r="CX68" i="6"/>
  <c r="L69" i="6"/>
  <c r="X69" i="6"/>
  <c r="AJ69" i="6"/>
  <c r="AV69" i="6"/>
  <c r="BH69" i="6"/>
  <c r="BT69" i="6"/>
  <c r="CF69" i="6"/>
  <c r="CR69" i="6"/>
  <c r="DD69" i="6"/>
  <c r="BF69" i="6"/>
  <c r="S66" i="6"/>
  <c r="AE66" i="6"/>
  <c r="AQ66" i="6"/>
  <c r="BC66" i="6"/>
  <c r="BO66" i="6"/>
  <c r="CA66" i="6"/>
  <c r="CM66" i="6"/>
  <c r="CY66" i="6"/>
  <c r="M67" i="6"/>
  <c r="Y67" i="6"/>
  <c r="AK67" i="6"/>
  <c r="AW67" i="6"/>
  <c r="BI67" i="6"/>
  <c r="BU67" i="6"/>
  <c r="CG67" i="6"/>
  <c r="CS67" i="6"/>
  <c r="DE67" i="6"/>
  <c r="S68" i="6"/>
  <c r="AE68" i="6"/>
  <c r="AQ68" i="6"/>
  <c r="BC68" i="6"/>
  <c r="BO68" i="6"/>
  <c r="CA68" i="6"/>
  <c r="CM68" i="6"/>
  <c r="CY68" i="6"/>
  <c r="M69" i="6"/>
  <c r="Y69" i="6"/>
  <c r="AK69" i="6"/>
  <c r="AW69" i="6"/>
  <c r="BI69" i="6"/>
  <c r="BU69" i="6"/>
  <c r="CG69" i="6"/>
  <c r="CS69" i="6"/>
  <c r="DE69" i="6"/>
  <c r="T66" i="6"/>
  <c r="AF66" i="6"/>
  <c r="AR66" i="6"/>
  <c r="BD66" i="6"/>
  <c r="BP66" i="6"/>
  <c r="CB66" i="6"/>
  <c r="CN66" i="6"/>
  <c r="CZ66" i="6"/>
  <c r="N67" i="6"/>
  <c r="Z67" i="6"/>
  <c r="AL67" i="6"/>
  <c r="AX67" i="6"/>
  <c r="BJ67" i="6"/>
  <c r="BV67" i="6"/>
  <c r="CH67" i="6"/>
  <c r="CT67" i="6"/>
  <c r="DF67" i="6"/>
  <c r="T68" i="6"/>
  <c r="AF68" i="6"/>
  <c r="AR68" i="6"/>
  <c r="BD68" i="6"/>
  <c r="BP68" i="6"/>
  <c r="CB68" i="6"/>
  <c r="CN68" i="6"/>
  <c r="CZ68" i="6"/>
  <c r="N69" i="6"/>
  <c r="Z69" i="6"/>
  <c r="AL69" i="6"/>
  <c r="AX69" i="6"/>
  <c r="BJ69" i="6"/>
  <c r="BV69" i="6"/>
  <c r="CH69" i="6"/>
  <c r="CT69" i="6"/>
  <c r="DF69" i="6"/>
  <c r="BR69" i="6"/>
  <c r="U66" i="6"/>
  <c r="AG66" i="6"/>
  <c r="AS66" i="6"/>
  <c r="BE66" i="6"/>
  <c r="BQ66" i="6"/>
  <c r="CC66" i="6"/>
  <c r="CO66" i="6"/>
  <c r="DA66" i="6"/>
  <c r="O67" i="6"/>
  <c r="AA67" i="6"/>
  <c r="AM67" i="6"/>
  <c r="AY67" i="6"/>
  <c r="BK67" i="6"/>
  <c r="BW67" i="6"/>
  <c r="CI67" i="6"/>
  <c r="CU67" i="6"/>
  <c r="U68" i="6"/>
  <c r="AG68" i="6"/>
  <c r="AS68" i="6"/>
  <c r="BE68" i="6"/>
  <c r="BQ68" i="6"/>
  <c r="CC68" i="6"/>
  <c r="CO68" i="6"/>
  <c r="DA68" i="6"/>
  <c r="O69" i="6"/>
  <c r="AA69" i="6"/>
  <c r="AM69" i="6"/>
  <c r="AY69" i="6"/>
  <c r="BK69" i="6"/>
  <c r="BW69" i="6"/>
  <c r="CI69" i="6"/>
  <c r="CU69" i="6"/>
  <c r="CD69" i="6"/>
  <c r="V66" i="6"/>
  <c r="AH66" i="6"/>
  <c r="AT66" i="6"/>
  <c r="BF66" i="6"/>
  <c r="BR66" i="6"/>
  <c r="CD66" i="6"/>
  <c r="CP66" i="6"/>
  <c r="DB66" i="6"/>
  <c r="P67" i="6"/>
  <c r="AB67" i="6"/>
  <c r="AN67" i="6"/>
  <c r="AZ67" i="6"/>
  <c r="BL67" i="6"/>
  <c r="BX67" i="6"/>
  <c r="CJ67" i="6"/>
  <c r="CV67" i="6"/>
  <c r="V68" i="6"/>
  <c r="AH68" i="6"/>
  <c r="AT68" i="6"/>
  <c r="BF68" i="6"/>
  <c r="BR68" i="6"/>
  <c r="CD68" i="6"/>
  <c r="CP68" i="6"/>
  <c r="DB68" i="6"/>
  <c r="P69" i="6"/>
  <c r="AB69" i="6"/>
  <c r="AN69" i="6"/>
  <c r="AZ69" i="6"/>
  <c r="BL69" i="6"/>
  <c r="BX69" i="6"/>
  <c r="CJ69" i="6"/>
  <c r="CV69" i="6"/>
  <c r="BR67" i="6"/>
  <c r="V69" i="6"/>
  <c r="CP69" i="6"/>
  <c r="K66" i="6"/>
  <c r="W66" i="6"/>
  <c r="AI66" i="6"/>
  <c r="AU66" i="6"/>
  <c r="BG66" i="6"/>
  <c r="BS66" i="6"/>
  <c r="CE66" i="6"/>
  <c r="CQ66" i="6"/>
  <c r="DC66" i="6"/>
  <c r="Q67" i="6"/>
  <c r="AC67" i="6"/>
  <c r="AO67" i="6"/>
  <c r="BA67" i="6"/>
  <c r="BM67" i="6"/>
  <c r="BY67" i="6"/>
  <c r="CK67" i="6"/>
  <c r="CW67" i="6"/>
  <c r="K68" i="6"/>
  <c r="W68" i="6"/>
  <c r="AI68" i="6"/>
  <c r="AU68" i="6"/>
  <c r="BG68" i="6"/>
  <c r="BS68" i="6"/>
  <c r="CE68" i="6"/>
  <c r="CQ68" i="6"/>
  <c r="DC68" i="6"/>
  <c r="Q69" i="6"/>
  <c r="AC69" i="6"/>
  <c r="AO69" i="6"/>
  <c r="BA69" i="6"/>
  <c r="BM69" i="6"/>
  <c r="BY69" i="6"/>
  <c r="CK69" i="6"/>
  <c r="CW69" i="6"/>
  <c r="CD67" i="6"/>
  <c r="L66" i="6"/>
  <c r="X66" i="6"/>
  <c r="AJ66" i="6"/>
  <c r="AV66" i="6"/>
  <c r="BH66" i="6"/>
  <c r="BT66" i="6"/>
  <c r="CF66" i="6"/>
  <c r="CR66" i="6"/>
  <c r="DD66" i="6"/>
  <c r="R67" i="6"/>
  <c r="AD67" i="6"/>
  <c r="AP67" i="6"/>
  <c r="BB67" i="6"/>
  <c r="BN67" i="6"/>
  <c r="BZ67" i="6"/>
  <c r="CL67" i="6"/>
  <c r="CX67" i="6"/>
  <c r="L68" i="6"/>
  <c r="X68" i="6"/>
  <c r="AJ68" i="6"/>
  <c r="AV68" i="6"/>
  <c r="BH68" i="6"/>
  <c r="BT68" i="6"/>
  <c r="CF68" i="6"/>
  <c r="CR68" i="6"/>
  <c r="DD68" i="6"/>
  <c r="R69" i="6"/>
  <c r="AD69" i="6"/>
  <c r="AP69" i="6"/>
  <c r="BB69" i="6"/>
  <c r="BN69" i="6"/>
  <c r="BZ69" i="6"/>
  <c r="CL69" i="6"/>
  <c r="CX69" i="6"/>
  <c r="AH67" i="6"/>
  <c r="AT69" i="6"/>
  <c r="DB69" i="6"/>
  <c r="M66" i="6"/>
  <c r="Y66" i="6"/>
  <c r="AK66" i="6"/>
  <c r="AW66" i="6"/>
  <c r="BI66" i="6"/>
  <c r="BU66" i="6"/>
  <c r="CG66" i="6"/>
  <c r="CS66" i="6"/>
  <c r="DE66" i="6"/>
  <c r="S67" i="6"/>
  <c r="AE67" i="6"/>
  <c r="AQ67" i="6"/>
  <c r="BC67" i="6"/>
  <c r="BO67" i="6"/>
  <c r="CA67" i="6"/>
  <c r="CM67" i="6"/>
  <c r="CY67" i="6"/>
  <c r="M68" i="6"/>
  <c r="Y68" i="6"/>
  <c r="AK68" i="6"/>
  <c r="AW68" i="6"/>
  <c r="BI68" i="6"/>
  <c r="BU68" i="6"/>
  <c r="CG68" i="6"/>
  <c r="CS68" i="6"/>
  <c r="DE68" i="6"/>
  <c r="S69" i="6"/>
  <c r="AE69" i="6"/>
  <c r="AQ69" i="6"/>
  <c r="BC69" i="6"/>
  <c r="BO69" i="6"/>
  <c r="CA69" i="6"/>
  <c r="CM69" i="6"/>
  <c r="CY69" i="6"/>
  <c r="V67" i="6"/>
  <c r="CP67" i="6"/>
  <c r="N66" i="6"/>
  <c r="Z66" i="6"/>
  <c r="AL66" i="6"/>
  <c r="AX66" i="6"/>
  <c r="BJ66" i="6"/>
  <c r="BV66" i="6"/>
  <c r="CH66" i="6"/>
  <c r="CT66" i="6"/>
  <c r="DF66" i="6"/>
  <c r="T67" i="6"/>
  <c r="AF67" i="6"/>
  <c r="AR67" i="6"/>
  <c r="BD67" i="6"/>
  <c r="BP67" i="6"/>
  <c r="CB67" i="6"/>
  <c r="CN67" i="6"/>
  <c r="CZ67" i="6"/>
  <c r="N68" i="6"/>
  <c r="Z68" i="6"/>
  <c r="AL68" i="6"/>
  <c r="AX68" i="6"/>
  <c r="BJ68" i="6"/>
  <c r="BV68" i="6"/>
  <c r="CH68" i="6"/>
  <c r="CT68" i="6"/>
  <c r="DF68" i="6"/>
  <c r="T69" i="6"/>
  <c r="AF69" i="6"/>
  <c r="AR69" i="6"/>
  <c r="BD69" i="6"/>
  <c r="BP69" i="6"/>
  <c r="CB69" i="6"/>
  <c r="CN69" i="6"/>
  <c r="CZ69" i="6"/>
  <c r="BF67" i="6"/>
  <c r="DB67" i="6"/>
  <c r="O66" i="6"/>
  <c r="AA66" i="6"/>
  <c r="AM66" i="6"/>
  <c r="AY66" i="6"/>
  <c r="BK66" i="6"/>
  <c r="BW66" i="6"/>
  <c r="CI66" i="6"/>
  <c r="U67" i="6"/>
  <c r="AG67" i="6"/>
  <c r="AS67" i="6"/>
  <c r="BE67" i="6"/>
  <c r="BQ67" i="6"/>
  <c r="CC67" i="6"/>
  <c r="CO67" i="6"/>
  <c r="O68" i="6"/>
  <c r="AA68" i="6"/>
  <c r="AM68" i="6"/>
  <c r="AY68" i="6"/>
  <c r="BK68" i="6"/>
  <c r="BW68" i="6"/>
  <c r="CI68" i="6"/>
  <c r="U69" i="6"/>
  <c r="AG69" i="6"/>
  <c r="AS69" i="6"/>
  <c r="BE69" i="6"/>
  <c r="BQ69" i="6"/>
  <c r="CC69" i="6"/>
  <c r="CO69" i="6"/>
  <c r="BY62" i="6"/>
  <c r="CV58" i="6"/>
  <c r="DA52" i="6"/>
  <c r="DD64" i="6"/>
  <c r="BL62" i="6"/>
  <c r="BZ58" i="6"/>
  <c r="DD51" i="6"/>
  <c r="CR64" i="6"/>
  <c r="CX61" i="6"/>
  <c r="BI58" i="6"/>
  <c r="BH51" i="6"/>
  <c r="DF49" i="6"/>
  <c r="BM59" i="6"/>
  <c r="BT64" i="6"/>
  <c r="BU57" i="6"/>
  <c r="BS65" i="6"/>
  <c r="CR65" i="6"/>
  <c r="CD65" i="6"/>
  <c r="BP65" i="6"/>
  <c r="BH64" i="6"/>
  <c r="BK61" i="6"/>
  <c r="CX56" i="6"/>
  <c r="DD47" i="6"/>
  <c r="FL4" i="6"/>
  <c r="CK61" i="6"/>
  <c r="BX61" i="6"/>
  <c r="DE48" i="6"/>
  <c r="BZ54" i="6"/>
  <c r="DE65" i="6"/>
  <c r="CQ65" i="6"/>
  <c r="CC65" i="6"/>
  <c r="BN65" i="6"/>
  <c r="CU63" i="6"/>
  <c r="CV60" i="6"/>
  <c r="CG56" i="6"/>
  <c r="DC46" i="6"/>
  <c r="CI63" i="6"/>
  <c r="CF60" i="6"/>
  <c r="BK56" i="6"/>
  <c r="CB45" i="6"/>
  <c r="BW63" i="6"/>
  <c r="BN60" i="6"/>
  <c r="CS55" i="6"/>
  <c r="BK63" i="6"/>
  <c r="CW59" i="6"/>
  <c r="CX62" i="6"/>
  <c r="CE59" i="6"/>
  <c r="BP43" i="6"/>
  <c r="CC43" i="6"/>
  <c r="CP43" i="6"/>
  <c r="DC43" i="6"/>
  <c r="BQ43" i="6"/>
  <c r="CD43" i="6"/>
  <c r="CQ43" i="6"/>
  <c r="DD43" i="6"/>
  <c r="BR43" i="6"/>
  <c r="CE43" i="6"/>
  <c r="CR43" i="6"/>
  <c r="DE43" i="6"/>
  <c r="BS43" i="6"/>
  <c r="CF43" i="6"/>
  <c r="CS43" i="6"/>
  <c r="DF43" i="6"/>
  <c r="BT43" i="6"/>
  <c r="CG43" i="6"/>
  <c r="CT43" i="6"/>
  <c r="BH43" i="6"/>
  <c r="BU43" i="6"/>
  <c r="CH43" i="6"/>
  <c r="CU43" i="6"/>
  <c r="BI43" i="6"/>
  <c r="BV43" i="6"/>
  <c r="CI43" i="6"/>
  <c r="CV43" i="6"/>
  <c r="BJ43" i="6"/>
  <c r="BW43" i="6"/>
  <c r="CJ43" i="6"/>
  <c r="CW43" i="6"/>
  <c r="BK43" i="6"/>
  <c r="BX43" i="6"/>
  <c r="CK43" i="6"/>
  <c r="CX43" i="6"/>
  <c r="BL43" i="6"/>
  <c r="BY43" i="6"/>
  <c r="CL43" i="6"/>
  <c r="CZ43" i="6"/>
  <c r="BM43" i="6"/>
  <c r="BZ43" i="6"/>
  <c r="CN43" i="6"/>
  <c r="DA43" i="6"/>
  <c r="BK55" i="6"/>
  <c r="BX55" i="6"/>
  <c r="CK55" i="6"/>
  <c r="CX55" i="6"/>
  <c r="BL55" i="6"/>
  <c r="BY55" i="6"/>
  <c r="CL55" i="6"/>
  <c r="CZ55" i="6"/>
  <c r="BP55" i="6"/>
  <c r="CC55" i="6"/>
  <c r="CP55" i="6"/>
  <c r="DC55" i="6"/>
  <c r="BR55" i="6"/>
  <c r="CE55" i="6"/>
  <c r="CR55" i="6"/>
  <c r="DE55" i="6"/>
  <c r="DC64" i="6"/>
  <c r="CQ64" i="6"/>
  <c r="CE64" i="6"/>
  <c r="BS64" i="6"/>
  <c r="DF63" i="6"/>
  <c r="CT63" i="6"/>
  <c r="CH63" i="6"/>
  <c r="BV63" i="6"/>
  <c r="BJ63" i="6"/>
  <c r="CW62" i="6"/>
  <c r="CK62" i="6"/>
  <c r="BX62" i="6"/>
  <c r="BK62" i="6"/>
  <c r="CW61" i="6"/>
  <c r="CJ61" i="6"/>
  <c r="BW61" i="6"/>
  <c r="BJ61" i="6"/>
  <c r="CT60" i="6"/>
  <c r="CE60" i="6"/>
  <c r="BM60" i="6"/>
  <c r="CU59" i="6"/>
  <c r="CD59" i="6"/>
  <c r="BL59" i="6"/>
  <c r="CT58" i="6"/>
  <c r="BY58" i="6"/>
  <c r="DF57" i="6"/>
  <c r="CK57" i="6"/>
  <c r="BS57" i="6"/>
  <c r="CW56" i="6"/>
  <c r="CE56" i="6"/>
  <c r="CQ55" i="6"/>
  <c r="BV55" i="6"/>
  <c r="DC54" i="6"/>
  <c r="CH54" i="6"/>
  <c r="BI54" i="6"/>
  <c r="CD53" i="6"/>
  <c r="CW52" i="6"/>
  <c r="CW51" i="6"/>
  <c r="CZ50" i="6"/>
  <c r="CX49" i="6"/>
  <c r="CW48" i="6"/>
  <c r="CV47" i="6"/>
  <c r="CR46" i="6"/>
  <c r="BL56" i="6"/>
  <c r="BY56" i="6"/>
  <c r="CL56" i="6"/>
  <c r="CZ56" i="6"/>
  <c r="BM56" i="6"/>
  <c r="BZ56" i="6"/>
  <c r="CN56" i="6"/>
  <c r="DA56" i="6"/>
  <c r="BQ56" i="6"/>
  <c r="CD56" i="6"/>
  <c r="CQ56" i="6"/>
  <c r="DD56" i="6"/>
  <c r="BS56" i="6"/>
  <c r="CF56" i="6"/>
  <c r="CS56" i="6"/>
  <c r="DF56" i="6"/>
  <c r="DB64" i="6"/>
  <c r="CP64" i="6"/>
  <c r="CD64" i="6"/>
  <c r="BR64" i="6"/>
  <c r="DE63" i="6"/>
  <c r="CS63" i="6"/>
  <c r="CG63" i="6"/>
  <c r="BU63" i="6"/>
  <c r="BI63" i="6"/>
  <c r="CV62" i="6"/>
  <c r="CJ62" i="6"/>
  <c r="BW62" i="6"/>
  <c r="BJ62" i="6"/>
  <c r="CV61" i="6"/>
  <c r="CI61" i="6"/>
  <c r="BV61" i="6"/>
  <c r="BI61" i="6"/>
  <c r="CS60" i="6"/>
  <c r="CC60" i="6"/>
  <c r="BL60" i="6"/>
  <c r="CS59" i="6"/>
  <c r="CB59" i="6"/>
  <c r="BK59" i="6"/>
  <c r="CR58" i="6"/>
  <c r="BX58" i="6"/>
  <c r="DD57" i="6"/>
  <c r="CJ57" i="6"/>
  <c r="BQ57" i="6"/>
  <c r="CV56" i="6"/>
  <c r="CC56" i="6"/>
  <c r="BI56" i="6"/>
  <c r="CO55" i="6"/>
  <c r="BU55" i="6"/>
  <c r="DA54" i="6"/>
  <c r="CG54" i="6"/>
  <c r="DF53" i="6"/>
  <c r="CB53" i="6"/>
  <c r="CT52" i="6"/>
  <c r="CT51" i="6"/>
  <c r="CV50" i="6"/>
  <c r="CU49" i="6"/>
  <c r="CT48" i="6"/>
  <c r="CS47" i="6"/>
  <c r="CP46" i="6"/>
  <c r="DC44" i="6"/>
  <c r="CZ41" i="6"/>
  <c r="BL54" i="6"/>
  <c r="DA64" i="6"/>
  <c r="CO64" i="6"/>
  <c r="CC64" i="6"/>
  <c r="BQ64" i="6"/>
  <c r="DD63" i="6"/>
  <c r="CR63" i="6"/>
  <c r="CF63" i="6"/>
  <c r="BT63" i="6"/>
  <c r="BH63" i="6"/>
  <c r="CU62" i="6"/>
  <c r="CI62" i="6"/>
  <c r="BV62" i="6"/>
  <c r="BI62" i="6"/>
  <c r="CU61" i="6"/>
  <c r="CH61" i="6"/>
  <c r="BU61" i="6"/>
  <c r="BH61" i="6"/>
  <c r="CR60" i="6"/>
  <c r="CB60" i="6"/>
  <c r="BK60" i="6"/>
  <c r="CR59" i="6"/>
  <c r="BZ59" i="6"/>
  <c r="BJ59" i="6"/>
  <c r="CQ58" i="6"/>
  <c r="BW58" i="6"/>
  <c r="DC57" i="6"/>
  <c r="CI57" i="6"/>
  <c r="BP57" i="6"/>
  <c r="CU56" i="6"/>
  <c r="CB56" i="6"/>
  <c r="BH56" i="6"/>
  <c r="CN55" i="6"/>
  <c r="BT55" i="6"/>
  <c r="CZ54" i="6"/>
  <c r="CE54" i="6"/>
  <c r="DD53" i="6"/>
  <c r="BX53" i="6"/>
  <c r="CR52" i="6"/>
  <c r="CR51" i="6"/>
  <c r="CT50" i="6"/>
  <c r="CS49" i="6"/>
  <c r="CR48" i="6"/>
  <c r="CQ47" i="6"/>
  <c r="CE46" i="6"/>
  <c r="CP44" i="6"/>
  <c r="CJ41" i="6"/>
  <c r="CZ64" i="6"/>
  <c r="CN64" i="6"/>
  <c r="CB64" i="6"/>
  <c r="BP64" i="6"/>
  <c r="DC63" i="6"/>
  <c r="CQ63" i="6"/>
  <c r="CE63" i="6"/>
  <c r="BS63" i="6"/>
  <c r="DF62" i="6"/>
  <c r="CT62" i="6"/>
  <c r="CH62" i="6"/>
  <c r="BU62" i="6"/>
  <c r="BH62" i="6"/>
  <c r="CT61" i="6"/>
  <c r="CG61" i="6"/>
  <c r="BT61" i="6"/>
  <c r="DF60" i="6"/>
  <c r="CQ60" i="6"/>
  <c r="BZ60" i="6"/>
  <c r="BI60" i="6"/>
  <c r="CQ59" i="6"/>
  <c r="BY59" i="6"/>
  <c r="CN58" i="6"/>
  <c r="BV58" i="6"/>
  <c r="CZ57" i="6"/>
  <c r="CH57" i="6"/>
  <c r="BL57" i="6"/>
  <c r="CT56" i="6"/>
  <c r="BX56" i="6"/>
  <c r="DF55" i="6"/>
  <c r="CJ55" i="6"/>
  <c r="BS55" i="6"/>
  <c r="CV54" i="6"/>
  <c r="CC54" i="6"/>
  <c r="DB53" i="6"/>
  <c r="BU53" i="6"/>
  <c r="CJ52" i="6"/>
  <c r="CK51" i="6"/>
  <c r="CL50" i="6"/>
  <c r="CK49" i="6"/>
  <c r="CJ48" i="6"/>
  <c r="CC46" i="6"/>
  <c r="CC44" i="6"/>
  <c r="BV41" i="6"/>
  <c r="BR45" i="6"/>
  <c r="CE45" i="6"/>
  <c r="CR45" i="6"/>
  <c r="DE45" i="6"/>
  <c r="BS45" i="6"/>
  <c r="CF45" i="6"/>
  <c r="CS45" i="6"/>
  <c r="DF45" i="6"/>
  <c r="BT45" i="6"/>
  <c r="CG45" i="6"/>
  <c r="CT45" i="6"/>
  <c r="BH45" i="6"/>
  <c r="BU45" i="6"/>
  <c r="CH45" i="6"/>
  <c r="CU45" i="6"/>
  <c r="BI45" i="6"/>
  <c r="BV45" i="6"/>
  <c r="CI45" i="6"/>
  <c r="CV45" i="6"/>
  <c r="BJ45" i="6"/>
  <c r="BW45" i="6"/>
  <c r="CJ45" i="6"/>
  <c r="CW45" i="6"/>
  <c r="BK45" i="6"/>
  <c r="BX45" i="6"/>
  <c r="CK45" i="6"/>
  <c r="CX45" i="6"/>
  <c r="BL45" i="6"/>
  <c r="BY45" i="6"/>
  <c r="CL45" i="6"/>
  <c r="CZ45" i="6"/>
  <c r="BM45" i="6"/>
  <c r="BZ45" i="6"/>
  <c r="CN45" i="6"/>
  <c r="DA45" i="6"/>
  <c r="BN45" i="6"/>
  <c r="BP45" i="6"/>
  <c r="CC45" i="6"/>
  <c r="CP45" i="6"/>
  <c r="DC45" i="6"/>
  <c r="BT47" i="6"/>
  <c r="CG47" i="6"/>
  <c r="CT47" i="6"/>
  <c r="BH47" i="6"/>
  <c r="BU47" i="6"/>
  <c r="CH47" i="6"/>
  <c r="CU47" i="6"/>
  <c r="BJ47" i="6"/>
  <c r="BW47" i="6"/>
  <c r="CJ47" i="6"/>
  <c r="CW47" i="6"/>
  <c r="BK47" i="6"/>
  <c r="BX47" i="6"/>
  <c r="CK47" i="6"/>
  <c r="CX47" i="6"/>
  <c r="BL47" i="6"/>
  <c r="BY47" i="6"/>
  <c r="CL47" i="6"/>
  <c r="CZ47" i="6"/>
  <c r="BM47" i="6"/>
  <c r="BZ47" i="6"/>
  <c r="CN47" i="6"/>
  <c r="DA47" i="6"/>
  <c r="BN47" i="6"/>
  <c r="CB47" i="6"/>
  <c r="CO47" i="6"/>
  <c r="DB47" i="6"/>
  <c r="BP47" i="6"/>
  <c r="CC47" i="6"/>
  <c r="CP47" i="6"/>
  <c r="DC47" i="6"/>
  <c r="BR47" i="6"/>
  <c r="CE47" i="6"/>
  <c r="CR47" i="6"/>
  <c r="DE47" i="6"/>
  <c r="BP59" i="6"/>
  <c r="CC59" i="6"/>
  <c r="CP59" i="6"/>
  <c r="DC59" i="6"/>
  <c r="BT59" i="6"/>
  <c r="CG59" i="6"/>
  <c r="CT59" i="6"/>
  <c r="BI59" i="6"/>
  <c r="BV59" i="6"/>
  <c r="CI59" i="6"/>
  <c r="CV59" i="6"/>
  <c r="FP5" i="6"/>
  <c r="CY64" i="6"/>
  <c r="CM64" i="6"/>
  <c r="CA64" i="6"/>
  <c r="BO64" i="6"/>
  <c r="DB63" i="6"/>
  <c r="CP63" i="6"/>
  <c r="CD63" i="6"/>
  <c r="BR63" i="6"/>
  <c r="DE62" i="6"/>
  <c r="CS62" i="6"/>
  <c r="CG62" i="6"/>
  <c r="BT62" i="6"/>
  <c r="DF61" i="6"/>
  <c r="CS61" i="6"/>
  <c r="CF61" i="6"/>
  <c r="BS61" i="6"/>
  <c r="DE60" i="6"/>
  <c r="CP60" i="6"/>
  <c r="DF59" i="6"/>
  <c r="CO59" i="6"/>
  <c r="BX59" i="6"/>
  <c r="DE58" i="6"/>
  <c r="CL58" i="6"/>
  <c r="BT58" i="6"/>
  <c r="CX57" i="6"/>
  <c r="CF57" i="6"/>
  <c r="BK57" i="6"/>
  <c r="CR56" i="6"/>
  <c r="BW56" i="6"/>
  <c r="DD55" i="6"/>
  <c r="CI55" i="6"/>
  <c r="BQ55" i="6"/>
  <c r="CU54" i="6"/>
  <c r="CX53" i="6"/>
  <c r="BS53" i="6"/>
  <c r="CG52" i="6"/>
  <c r="CH51" i="6"/>
  <c r="CI50" i="6"/>
  <c r="CH49" i="6"/>
  <c r="CF47" i="6"/>
  <c r="BR46" i="6"/>
  <c r="BJ54" i="6"/>
  <c r="BW54" i="6"/>
  <c r="CJ54" i="6"/>
  <c r="CW54" i="6"/>
  <c r="BK54" i="6"/>
  <c r="BX54" i="6"/>
  <c r="CK54" i="6"/>
  <c r="CX54" i="6"/>
  <c r="BM54" i="6"/>
  <c r="BN54" i="6"/>
  <c r="CB54" i="6"/>
  <c r="CO54" i="6"/>
  <c r="DB54" i="6"/>
  <c r="BQ54" i="6"/>
  <c r="CD54" i="6"/>
  <c r="CQ54" i="6"/>
  <c r="DD54" i="6"/>
  <c r="BS54" i="6"/>
  <c r="CF54" i="6"/>
  <c r="BH54" i="6"/>
  <c r="BH48" i="6"/>
  <c r="BU48" i="6"/>
  <c r="CH48" i="6"/>
  <c r="CU48" i="6"/>
  <c r="BI48" i="6"/>
  <c r="BV48" i="6"/>
  <c r="CI48" i="6"/>
  <c r="CV48" i="6"/>
  <c r="BK48" i="6"/>
  <c r="BX48" i="6"/>
  <c r="CK48" i="6"/>
  <c r="CX48" i="6"/>
  <c r="BL48" i="6"/>
  <c r="BY48" i="6"/>
  <c r="CL48" i="6"/>
  <c r="CZ48" i="6"/>
  <c r="BM48" i="6"/>
  <c r="BZ48" i="6"/>
  <c r="CN48" i="6"/>
  <c r="DA48" i="6"/>
  <c r="BN48" i="6"/>
  <c r="CB48" i="6"/>
  <c r="CO48" i="6"/>
  <c r="DB48" i="6"/>
  <c r="BP48" i="6"/>
  <c r="CC48" i="6"/>
  <c r="CP48" i="6"/>
  <c r="DC48" i="6"/>
  <c r="BQ48" i="6"/>
  <c r="CD48" i="6"/>
  <c r="CQ48" i="6"/>
  <c r="DD48" i="6"/>
  <c r="BS48" i="6"/>
  <c r="CF48" i="6"/>
  <c r="CS48" i="6"/>
  <c r="DF48" i="6"/>
  <c r="BQ60" i="6"/>
  <c r="CD60" i="6"/>
  <c r="BH60" i="6"/>
  <c r="BU60" i="6"/>
  <c r="CH60" i="6"/>
  <c r="CU60" i="6"/>
  <c r="BJ60" i="6"/>
  <c r="BW60" i="6"/>
  <c r="CJ60" i="6"/>
  <c r="CW60" i="6"/>
  <c r="CX64" i="6"/>
  <c r="CL64" i="6"/>
  <c r="BZ64" i="6"/>
  <c r="BN64" i="6"/>
  <c r="DA63" i="6"/>
  <c r="CO63" i="6"/>
  <c r="CC63" i="6"/>
  <c r="BQ63" i="6"/>
  <c r="DD62" i="6"/>
  <c r="CR62" i="6"/>
  <c r="CF62" i="6"/>
  <c r="BS62" i="6"/>
  <c r="DE61" i="6"/>
  <c r="CR61" i="6"/>
  <c r="CE61" i="6"/>
  <c r="BR61" i="6"/>
  <c r="DD60" i="6"/>
  <c r="CO60" i="6"/>
  <c r="BX60" i="6"/>
  <c r="DE59" i="6"/>
  <c r="CN59" i="6"/>
  <c r="BW59" i="6"/>
  <c r="DD58" i="6"/>
  <c r="CK58" i="6"/>
  <c r="CW57" i="6"/>
  <c r="CD57" i="6"/>
  <c r="CP56" i="6"/>
  <c r="BV56" i="6"/>
  <c r="DB55" i="6"/>
  <c r="CH55" i="6"/>
  <c r="BN55" i="6"/>
  <c r="CT54" i="6"/>
  <c r="BY54" i="6"/>
  <c r="CU53" i="6"/>
  <c r="BQ53" i="6"/>
  <c r="CE52" i="6"/>
  <c r="CF51" i="6"/>
  <c r="CG50" i="6"/>
  <c r="CE48" i="6"/>
  <c r="CD47" i="6"/>
  <c r="DB43" i="6"/>
  <c r="CN40" i="6"/>
  <c r="BM57" i="6"/>
  <c r="BZ57" i="6"/>
  <c r="CN57" i="6"/>
  <c r="DA57" i="6"/>
  <c r="BN57" i="6"/>
  <c r="CB57" i="6"/>
  <c r="CO57" i="6"/>
  <c r="DB57" i="6"/>
  <c r="BR57" i="6"/>
  <c r="CE57" i="6"/>
  <c r="CR57" i="6"/>
  <c r="DE57" i="6"/>
  <c r="BT57" i="6"/>
  <c r="CG57" i="6"/>
  <c r="CT57" i="6"/>
  <c r="BS46" i="6"/>
  <c r="CF46" i="6"/>
  <c r="CS46" i="6"/>
  <c r="DF46" i="6"/>
  <c r="BT46" i="6"/>
  <c r="CG46" i="6"/>
  <c r="CT46" i="6"/>
  <c r="BH46" i="6"/>
  <c r="BU46" i="6"/>
  <c r="CH46" i="6"/>
  <c r="CU46" i="6"/>
  <c r="BI46" i="6"/>
  <c r="BV46" i="6"/>
  <c r="CI46" i="6"/>
  <c r="CV46" i="6"/>
  <c r="BJ46" i="6"/>
  <c r="BW46" i="6"/>
  <c r="CJ46" i="6"/>
  <c r="CW46" i="6"/>
  <c r="BK46" i="6"/>
  <c r="BX46" i="6"/>
  <c r="CK46" i="6"/>
  <c r="CX46" i="6"/>
  <c r="BL46" i="6"/>
  <c r="BY46" i="6"/>
  <c r="CL46" i="6"/>
  <c r="CZ46" i="6"/>
  <c r="BM46" i="6"/>
  <c r="BZ46" i="6"/>
  <c r="CN46" i="6"/>
  <c r="DA46" i="6"/>
  <c r="BN46" i="6"/>
  <c r="CB46" i="6"/>
  <c r="CO46" i="6"/>
  <c r="DB46" i="6"/>
  <c r="BQ46" i="6"/>
  <c r="CD46" i="6"/>
  <c r="CQ46" i="6"/>
  <c r="DD46" i="6"/>
  <c r="BN58" i="6"/>
  <c r="CB58" i="6"/>
  <c r="CO58" i="6"/>
  <c r="DB58" i="6"/>
  <c r="BP58" i="6"/>
  <c r="CC58" i="6"/>
  <c r="CP58" i="6"/>
  <c r="BS58" i="6"/>
  <c r="CF58" i="6"/>
  <c r="CS58" i="6"/>
  <c r="DF58" i="6"/>
  <c r="BH58" i="6"/>
  <c r="BU58" i="6"/>
  <c r="CH58" i="6"/>
  <c r="CU58" i="6"/>
  <c r="BI49" i="6"/>
  <c r="BV49" i="6"/>
  <c r="CI49" i="6"/>
  <c r="CV49" i="6"/>
  <c r="BJ49" i="6"/>
  <c r="BW49" i="6"/>
  <c r="CJ49" i="6"/>
  <c r="CW49" i="6"/>
  <c r="BL49" i="6"/>
  <c r="BY49" i="6"/>
  <c r="CL49" i="6"/>
  <c r="CZ49" i="6"/>
  <c r="BM49" i="6"/>
  <c r="BZ49" i="6"/>
  <c r="CN49" i="6"/>
  <c r="DA49" i="6"/>
  <c r="BN49" i="6"/>
  <c r="CB49" i="6"/>
  <c r="CO49" i="6"/>
  <c r="DB49" i="6"/>
  <c r="BP49" i="6"/>
  <c r="CC49" i="6"/>
  <c r="CP49" i="6"/>
  <c r="DC49" i="6"/>
  <c r="BQ49" i="6"/>
  <c r="CD49" i="6"/>
  <c r="CQ49" i="6"/>
  <c r="DD49" i="6"/>
  <c r="BR49" i="6"/>
  <c r="CE49" i="6"/>
  <c r="CR49" i="6"/>
  <c r="DE49" i="6"/>
  <c r="BT49" i="6"/>
  <c r="CG49" i="6"/>
  <c r="CT49" i="6"/>
  <c r="CW64" i="6"/>
  <c r="CK64" i="6"/>
  <c r="BY64" i="6"/>
  <c r="BM64" i="6"/>
  <c r="CZ63" i="6"/>
  <c r="CN63" i="6"/>
  <c r="CB63" i="6"/>
  <c r="BP63" i="6"/>
  <c r="DC62" i="6"/>
  <c r="CQ62" i="6"/>
  <c r="CE62" i="6"/>
  <c r="BR62" i="6"/>
  <c r="DD61" i="6"/>
  <c r="CQ61" i="6"/>
  <c r="CD61" i="6"/>
  <c r="BQ61" i="6"/>
  <c r="DC60" i="6"/>
  <c r="CN60" i="6"/>
  <c r="BV60" i="6"/>
  <c r="DD59" i="6"/>
  <c r="CL59" i="6"/>
  <c r="BU59" i="6"/>
  <c r="DC58" i="6"/>
  <c r="CJ58" i="6"/>
  <c r="BQ58" i="6"/>
  <c r="CV57" i="6"/>
  <c r="CC57" i="6"/>
  <c r="BI57" i="6"/>
  <c r="CO56" i="6"/>
  <c r="BU56" i="6"/>
  <c r="DA55" i="6"/>
  <c r="CG55" i="6"/>
  <c r="BM55" i="6"/>
  <c r="CS54" i="6"/>
  <c r="BV54" i="6"/>
  <c r="CS53" i="6"/>
  <c r="BN53" i="6"/>
  <c r="BW52" i="6"/>
  <c r="BY51" i="6"/>
  <c r="BX49" i="6"/>
  <c r="BW48" i="6"/>
  <c r="BV47" i="6"/>
  <c r="DD45" i="6"/>
  <c r="CO43" i="6"/>
  <c r="BN42" i="6"/>
  <c r="CB42" i="6"/>
  <c r="CO42" i="6"/>
  <c r="DB42" i="6"/>
  <c r="BP42" i="6"/>
  <c r="CC42" i="6"/>
  <c r="CP42" i="6"/>
  <c r="DC42" i="6"/>
  <c r="BQ42" i="6"/>
  <c r="CD42" i="6"/>
  <c r="CQ42" i="6"/>
  <c r="DD42" i="6"/>
  <c r="BR42" i="6"/>
  <c r="CE42" i="6"/>
  <c r="CR42" i="6"/>
  <c r="DE42" i="6"/>
  <c r="BS42" i="6"/>
  <c r="CF42" i="6"/>
  <c r="CS42" i="6"/>
  <c r="DF42" i="6"/>
  <c r="BT42" i="6"/>
  <c r="CG42" i="6"/>
  <c r="CT42" i="6"/>
  <c r="BH42" i="6"/>
  <c r="BU42" i="6"/>
  <c r="CH42" i="6"/>
  <c r="CU42" i="6"/>
  <c r="BI42" i="6"/>
  <c r="BV42" i="6"/>
  <c r="CI42" i="6"/>
  <c r="CV42" i="6"/>
  <c r="BJ42" i="6"/>
  <c r="BW42" i="6"/>
  <c r="CJ42" i="6"/>
  <c r="CW42" i="6"/>
  <c r="BK42" i="6"/>
  <c r="BX42" i="6"/>
  <c r="CK42" i="6"/>
  <c r="CX42" i="6"/>
  <c r="BL42" i="6"/>
  <c r="BY42" i="6"/>
  <c r="CL42" i="6"/>
  <c r="CZ42" i="6"/>
  <c r="CI54" i="6"/>
  <c r="BJ50" i="6"/>
  <c r="BW50" i="6"/>
  <c r="CJ50" i="6"/>
  <c r="CW50" i="6"/>
  <c r="BK50" i="6"/>
  <c r="BX50" i="6"/>
  <c r="CK50" i="6"/>
  <c r="CX50" i="6"/>
  <c r="BM50" i="6"/>
  <c r="BZ50" i="6"/>
  <c r="CN50" i="6"/>
  <c r="DA50" i="6"/>
  <c r="BN50" i="6"/>
  <c r="CB50" i="6"/>
  <c r="CO50" i="6"/>
  <c r="DB50" i="6"/>
  <c r="BP50" i="6"/>
  <c r="CC50" i="6"/>
  <c r="CP50" i="6"/>
  <c r="DC50" i="6"/>
  <c r="BQ50" i="6"/>
  <c r="CD50" i="6"/>
  <c r="CQ50" i="6"/>
  <c r="DD50" i="6"/>
  <c r="BR50" i="6"/>
  <c r="CE50" i="6"/>
  <c r="CR50" i="6"/>
  <c r="DE50" i="6"/>
  <c r="BS50" i="6"/>
  <c r="CF50" i="6"/>
  <c r="CS50" i="6"/>
  <c r="DF50" i="6"/>
  <c r="BH50" i="6"/>
  <c r="BU50" i="6"/>
  <c r="CH50" i="6"/>
  <c r="CU50" i="6"/>
  <c r="CV64" i="6"/>
  <c r="CJ64" i="6"/>
  <c r="BX64" i="6"/>
  <c r="BL64" i="6"/>
  <c r="CY63" i="6"/>
  <c r="CM63" i="6"/>
  <c r="CA63" i="6"/>
  <c r="BO63" i="6"/>
  <c r="DB62" i="6"/>
  <c r="CP62" i="6"/>
  <c r="CD62" i="6"/>
  <c r="BQ62" i="6"/>
  <c r="DC61" i="6"/>
  <c r="CP61" i="6"/>
  <c r="CC61" i="6"/>
  <c r="BP61" i="6"/>
  <c r="DB60" i="6"/>
  <c r="CL60" i="6"/>
  <c r="BT60" i="6"/>
  <c r="DB59" i="6"/>
  <c r="CK59" i="6"/>
  <c r="BS59" i="6"/>
  <c r="DA58" i="6"/>
  <c r="CI58" i="6"/>
  <c r="BM58" i="6"/>
  <c r="CU57" i="6"/>
  <c r="BY57" i="6"/>
  <c r="BH57" i="6"/>
  <c r="CK56" i="6"/>
  <c r="BT56" i="6"/>
  <c r="CW55" i="6"/>
  <c r="CF55" i="6"/>
  <c r="BJ55" i="6"/>
  <c r="CR54" i="6"/>
  <c r="BU54" i="6"/>
  <c r="CQ53" i="6"/>
  <c r="BK53" i="6"/>
  <c r="BT52" i="6"/>
  <c r="BV50" i="6"/>
  <c r="BU49" i="6"/>
  <c r="BT48" i="6"/>
  <c r="BS47" i="6"/>
  <c r="DB45" i="6"/>
  <c r="CB43" i="6"/>
  <c r="BQ40" i="6"/>
  <c r="CO40" i="6"/>
  <c r="BR40" i="6"/>
  <c r="CP40" i="6"/>
  <c r="BS40" i="6"/>
  <c r="CQ40" i="6"/>
  <c r="BT40" i="6"/>
  <c r="CR40" i="6"/>
  <c r="BV40" i="6"/>
  <c r="CT40" i="6"/>
  <c r="CB40" i="6"/>
  <c r="CZ40" i="6"/>
  <c r="CC40" i="6"/>
  <c r="DA40" i="6"/>
  <c r="CD40" i="6"/>
  <c r="DB40" i="6"/>
  <c r="CE40" i="6"/>
  <c r="DC40" i="6"/>
  <c r="BH40" i="6"/>
  <c r="CF40" i="6"/>
  <c r="DD40" i="6"/>
  <c r="BJ40" i="6"/>
  <c r="CH40" i="6"/>
  <c r="DF40" i="6"/>
  <c r="BK51" i="6"/>
  <c r="BW51" i="6"/>
  <c r="CI51" i="6"/>
  <c r="CU51" i="6"/>
  <c r="BL51" i="6"/>
  <c r="BX51" i="6"/>
  <c r="CJ51" i="6"/>
  <c r="CV51" i="6"/>
  <c r="BN51" i="6"/>
  <c r="BZ51" i="6"/>
  <c r="CL51" i="6"/>
  <c r="CX51" i="6"/>
  <c r="BO51" i="6"/>
  <c r="CA51" i="6"/>
  <c r="CM51" i="6"/>
  <c r="CY51" i="6"/>
  <c r="BP51" i="6"/>
  <c r="CB51" i="6"/>
  <c r="CN51" i="6"/>
  <c r="CZ51" i="6"/>
  <c r="BQ51" i="6"/>
  <c r="CC51" i="6"/>
  <c r="CO51" i="6"/>
  <c r="DA51" i="6"/>
  <c r="BR51" i="6"/>
  <c r="CD51" i="6"/>
  <c r="CP51" i="6"/>
  <c r="DB51" i="6"/>
  <c r="BS51" i="6"/>
  <c r="CE51" i="6"/>
  <c r="CQ51" i="6"/>
  <c r="DC51" i="6"/>
  <c r="BI51" i="6"/>
  <c r="BU51" i="6"/>
  <c r="CG51" i="6"/>
  <c r="CS51" i="6"/>
  <c r="DE51" i="6"/>
  <c r="CU64" i="6"/>
  <c r="CI64" i="6"/>
  <c r="BW64" i="6"/>
  <c r="BK64" i="6"/>
  <c r="CX63" i="6"/>
  <c r="CL63" i="6"/>
  <c r="BZ63" i="6"/>
  <c r="BN63" i="6"/>
  <c r="DA62" i="6"/>
  <c r="CO62" i="6"/>
  <c r="CC62" i="6"/>
  <c r="BP62" i="6"/>
  <c r="DB61" i="6"/>
  <c r="CO61" i="6"/>
  <c r="CB61" i="6"/>
  <c r="BN61" i="6"/>
  <c r="DA60" i="6"/>
  <c r="CK60" i="6"/>
  <c r="BS60" i="6"/>
  <c r="DA59" i="6"/>
  <c r="CJ59" i="6"/>
  <c r="BR59" i="6"/>
  <c r="CZ58" i="6"/>
  <c r="CG58" i="6"/>
  <c r="BL58" i="6"/>
  <c r="CS57" i="6"/>
  <c r="BX57" i="6"/>
  <c r="DE56" i="6"/>
  <c r="CJ56" i="6"/>
  <c r="BR56" i="6"/>
  <c r="CV55" i="6"/>
  <c r="CD55" i="6"/>
  <c r="BI55" i="6"/>
  <c r="CP54" i="6"/>
  <c r="BT54" i="6"/>
  <c r="CO53" i="6"/>
  <c r="BR52" i="6"/>
  <c r="BT51" i="6"/>
  <c r="BT50" i="6"/>
  <c r="BS49" i="6"/>
  <c r="BR48" i="6"/>
  <c r="BQ47" i="6"/>
  <c r="CQ45" i="6"/>
  <c r="BN43" i="6"/>
  <c r="DE54" i="6"/>
  <c r="BZ42" i="6"/>
  <c r="CT64" i="6"/>
  <c r="BV64" i="6"/>
  <c r="CW63" i="6"/>
  <c r="BY63" i="6"/>
  <c r="CZ62" i="6"/>
  <c r="CB62" i="6"/>
  <c r="CN61" i="6"/>
  <c r="CZ59" i="6"/>
  <c r="DE52" i="6"/>
  <c r="BM51" i="6"/>
  <c r="BL50" i="6"/>
  <c r="BK49" i="6"/>
  <c r="BI47" i="6"/>
  <c r="CO45" i="6"/>
  <c r="DA42" i="6"/>
  <c r="BQ44" i="6"/>
  <c r="CD44" i="6"/>
  <c r="CQ44" i="6"/>
  <c r="DD44" i="6"/>
  <c r="BR44" i="6"/>
  <c r="CE44" i="6"/>
  <c r="CR44" i="6"/>
  <c r="DE44" i="6"/>
  <c r="BS44" i="6"/>
  <c r="CF44" i="6"/>
  <c r="CS44" i="6"/>
  <c r="DF44" i="6"/>
  <c r="BT44" i="6"/>
  <c r="CG44" i="6"/>
  <c r="CT44" i="6"/>
  <c r="BH44" i="6"/>
  <c r="BU44" i="6"/>
  <c r="CH44" i="6"/>
  <c r="CU44" i="6"/>
  <c r="BI44" i="6"/>
  <c r="BV44" i="6"/>
  <c r="CI44" i="6"/>
  <c r="CV44" i="6"/>
  <c r="BJ44" i="6"/>
  <c r="BW44" i="6"/>
  <c r="CJ44" i="6"/>
  <c r="CW44" i="6"/>
  <c r="BK44" i="6"/>
  <c r="BX44" i="6"/>
  <c r="CK44" i="6"/>
  <c r="CX44" i="6"/>
  <c r="BL44" i="6"/>
  <c r="BY44" i="6"/>
  <c r="CL44" i="6"/>
  <c r="CZ44" i="6"/>
  <c r="BM44" i="6"/>
  <c r="BZ44" i="6"/>
  <c r="CN44" i="6"/>
  <c r="DA44" i="6"/>
  <c r="BN44" i="6"/>
  <c r="CB44" i="6"/>
  <c r="CO44" i="6"/>
  <c r="DB44" i="6"/>
  <c r="BH52" i="6"/>
  <c r="BU52" i="6"/>
  <c r="CH52" i="6"/>
  <c r="CU52" i="6"/>
  <c r="BI52" i="6"/>
  <c r="BV52" i="6"/>
  <c r="CI52" i="6"/>
  <c r="CV52" i="6"/>
  <c r="BK52" i="6"/>
  <c r="BX52" i="6"/>
  <c r="CK52" i="6"/>
  <c r="CX52" i="6"/>
  <c r="BL52" i="6"/>
  <c r="BY52" i="6"/>
  <c r="CL52" i="6"/>
  <c r="CZ52" i="6"/>
  <c r="BM52" i="6"/>
  <c r="BZ52" i="6"/>
  <c r="CN52" i="6"/>
  <c r="BN52" i="6"/>
  <c r="CB52" i="6"/>
  <c r="CO52" i="6"/>
  <c r="DB52" i="6"/>
  <c r="BP52" i="6"/>
  <c r="CC52" i="6"/>
  <c r="CP52" i="6"/>
  <c r="BQ52" i="6"/>
  <c r="CD52" i="6"/>
  <c r="CQ52" i="6"/>
  <c r="DD52" i="6"/>
  <c r="BS52" i="6"/>
  <c r="CF52" i="6"/>
  <c r="CS52" i="6"/>
  <c r="DF52" i="6"/>
  <c r="DF64" i="6"/>
  <c r="CH64" i="6"/>
  <c r="BJ64" i="6"/>
  <c r="CK63" i="6"/>
  <c r="BM63" i="6"/>
  <c r="CN62" i="6"/>
  <c r="BN62" i="6"/>
  <c r="DA61" i="6"/>
  <c r="BZ61" i="6"/>
  <c r="BM61" i="6"/>
  <c r="CZ60" i="6"/>
  <c r="CI60" i="6"/>
  <c r="BR60" i="6"/>
  <c r="CH59" i="6"/>
  <c r="BQ59" i="6"/>
  <c r="CX58" i="6"/>
  <c r="CE58" i="6"/>
  <c r="BK58" i="6"/>
  <c r="CQ57" i="6"/>
  <c r="BW57" i="6"/>
  <c r="DC56" i="6"/>
  <c r="CI56" i="6"/>
  <c r="BP56" i="6"/>
  <c r="CU55" i="6"/>
  <c r="CB55" i="6"/>
  <c r="BH55" i="6"/>
  <c r="CN54" i="6"/>
  <c r="BR54" i="6"/>
  <c r="BJ48" i="6"/>
  <c r="BI41" i="6"/>
  <c r="BW41" i="6"/>
  <c r="CK41" i="6"/>
  <c r="DA41" i="6"/>
  <c r="BJ41" i="6"/>
  <c r="BX41" i="6"/>
  <c r="CN41" i="6"/>
  <c r="DB41" i="6"/>
  <c r="BK41" i="6"/>
  <c r="BY41" i="6"/>
  <c r="CO41" i="6"/>
  <c r="DC41" i="6"/>
  <c r="BL41" i="6"/>
  <c r="CB41" i="6"/>
  <c r="CP41" i="6"/>
  <c r="DD41" i="6"/>
  <c r="BM41" i="6"/>
  <c r="CC41" i="6"/>
  <c r="CQ41" i="6"/>
  <c r="DE41" i="6"/>
  <c r="BP41" i="6"/>
  <c r="CD41" i="6"/>
  <c r="CR41" i="6"/>
  <c r="DF41" i="6"/>
  <c r="BQ41" i="6"/>
  <c r="CE41" i="6"/>
  <c r="CS41" i="6"/>
  <c r="BR41" i="6"/>
  <c r="CF41" i="6"/>
  <c r="CT41" i="6"/>
  <c r="BS41" i="6"/>
  <c r="CG41" i="6"/>
  <c r="CU41" i="6"/>
  <c r="BT41" i="6"/>
  <c r="CH41" i="6"/>
  <c r="CV41" i="6"/>
  <c r="BU41" i="6"/>
  <c r="CI41" i="6"/>
  <c r="CW41" i="6"/>
  <c r="BI53" i="6"/>
  <c r="BV53" i="6"/>
  <c r="CI53" i="6"/>
  <c r="CV53" i="6"/>
  <c r="BJ53" i="6"/>
  <c r="BW53" i="6"/>
  <c r="CJ53" i="6"/>
  <c r="CW53" i="6"/>
  <c r="BL53" i="6"/>
  <c r="BY53" i="6"/>
  <c r="CL53" i="6"/>
  <c r="CZ53" i="6"/>
  <c r="BM53" i="6"/>
  <c r="BZ53" i="6"/>
  <c r="CN53" i="6"/>
  <c r="DA53" i="6"/>
  <c r="BP53" i="6"/>
  <c r="CC53" i="6"/>
  <c r="CP53" i="6"/>
  <c r="DC53" i="6"/>
  <c r="BR53" i="6"/>
  <c r="CE53" i="6"/>
  <c r="CR53" i="6"/>
  <c r="DE53" i="6"/>
  <c r="BT53" i="6"/>
  <c r="CG53" i="6"/>
  <c r="CT53" i="6"/>
  <c r="DF65" i="6"/>
  <c r="CS65" i="6"/>
  <c r="CF65" i="6"/>
  <c r="DE64" i="6"/>
  <c r="CS64" i="6"/>
  <c r="CG64" i="6"/>
  <c r="BU64" i="6"/>
  <c r="CV63" i="6"/>
  <c r="CJ63" i="6"/>
  <c r="BX63" i="6"/>
  <c r="CY62" i="6"/>
  <c r="CM62" i="6"/>
  <c r="BZ62" i="6"/>
  <c r="CZ61" i="6"/>
  <c r="CL61" i="6"/>
  <c r="BY61" i="6"/>
  <c r="CX60" i="6"/>
  <c r="CG60" i="6"/>
  <c r="BP60" i="6"/>
  <c r="CX59" i="6"/>
  <c r="CF59" i="6"/>
  <c r="BN59" i="6"/>
  <c r="CW58" i="6"/>
  <c r="CD58" i="6"/>
  <c r="BJ58" i="6"/>
  <c r="CP57" i="6"/>
  <c r="BV57" i="6"/>
  <c r="DB56" i="6"/>
  <c r="CH56" i="6"/>
  <c r="BN56" i="6"/>
  <c r="CT55" i="6"/>
  <c r="BZ55" i="6"/>
  <c r="DF54" i="6"/>
  <c r="CL54" i="6"/>
  <c r="BP54" i="6"/>
  <c r="CH53" i="6"/>
  <c r="DC52" i="6"/>
  <c r="DF51" i="6"/>
  <c r="BJ51" i="6"/>
  <c r="BI50" i="6"/>
  <c r="BH49" i="6"/>
  <c r="DF47" i="6"/>
  <c r="DE46" i="6"/>
  <c r="CD45" i="6"/>
  <c r="CN42" i="6"/>
  <c r="DE40" i="6"/>
  <c r="CS40" i="6"/>
  <c r="CG40" i="6"/>
  <c r="BU40" i="6"/>
  <c r="BI40" i="6"/>
  <c r="CY46" i="6"/>
  <c r="CM46" i="6"/>
  <c r="CA46" i="6"/>
  <c r="BO46" i="6"/>
  <c r="CX41" i="6"/>
  <c r="CL41" i="6"/>
  <c r="BZ41" i="6"/>
  <c r="BN41" i="6"/>
  <c r="CY56" i="6"/>
  <c r="CM56" i="6"/>
  <c r="CA56" i="6"/>
  <c r="BO56" i="6"/>
  <c r="CY44" i="6"/>
  <c r="CM44" i="6"/>
  <c r="CA44" i="6"/>
  <c r="BO44" i="6"/>
  <c r="CY61" i="6"/>
  <c r="CM61" i="6"/>
  <c r="CA61" i="6"/>
  <c r="BO61" i="6"/>
  <c r="CY49" i="6"/>
  <c r="CM49" i="6"/>
  <c r="CA49" i="6"/>
  <c r="BO49" i="6"/>
  <c r="CY54" i="6"/>
  <c r="CM54" i="6"/>
  <c r="CA54" i="6"/>
  <c r="BO54" i="6"/>
  <c r="CY42" i="6"/>
  <c r="CM42" i="6"/>
  <c r="CA42" i="6"/>
  <c r="BO42" i="6"/>
  <c r="CY59" i="6"/>
  <c r="CM59" i="6"/>
  <c r="CA59" i="6"/>
  <c r="BO59" i="6"/>
  <c r="CY47" i="6"/>
  <c r="CM47" i="6"/>
  <c r="CA47" i="6"/>
  <c r="BO47" i="6"/>
  <c r="CY52" i="6"/>
  <c r="CM52" i="6"/>
  <c r="CA52" i="6"/>
  <c r="BO52" i="6"/>
  <c r="CY40" i="6"/>
  <c r="CM40" i="6"/>
  <c r="CA40" i="6"/>
  <c r="BO40" i="6"/>
  <c r="CY57" i="6"/>
  <c r="CM57" i="6"/>
  <c r="CA57" i="6"/>
  <c r="BO57" i="6"/>
  <c r="CY45" i="6"/>
  <c r="CM45" i="6"/>
  <c r="CA45" i="6"/>
  <c r="BO45" i="6"/>
  <c r="CX40" i="6"/>
  <c r="CL40" i="6"/>
  <c r="BZ40" i="6"/>
  <c r="BN40" i="6"/>
  <c r="CY50" i="6"/>
  <c r="CM50" i="6"/>
  <c r="CA50" i="6"/>
  <c r="BO50" i="6"/>
  <c r="CW40" i="6"/>
  <c r="CK40" i="6"/>
  <c r="BY40" i="6"/>
  <c r="BM40" i="6"/>
  <c r="CA62" i="6"/>
  <c r="BO62" i="6"/>
  <c r="CY55" i="6"/>
  <c r="CM55" i="6"/>
  <c r="CA55" i="6"/>
  <c r="BO55" i="6"/>
  <c r="CY43" i="6"/>
  <c r="CM43" i="6"/>
  <c r="CA43" i="6"/>
  <c r="BO43" i="6"/>
  <c r="CV40" i="6"/>
  <c r="CJ40" i="6"/>
  <c r="BX40" i="6"/>
  <c r="BL40" i="6"/>
  <c r="CY60" i="6"/>
  <c r="CM60" i="6"/>
  <c r="CA60" i="6"/>
  <c r="BO60" i="6"/>
  <c r="CY48" i="6"/>
  <c r="CM48" i="6"/>
  <c r="CA48" i="6"/>
  <c r="BO48" i="6"/>
  <c r="CU40" i="6"/>
  <c r="CI40" i="6"/>
  <c r="BW40" i="6"/>
  <c r="BK40" i="6"/>
  <c r="CY65" i="6"/>
  <c r="CA65" i="6"/>
  <c r="BO65" i="6"/>
  <c r="CY53" i="6"/>
  <c r="CM53" i="6"/>
  <c r="CA53" i="6"/>
  <c r="BO53" i="6"/>
  <c r="CY41" i="6"/>
  <c r="CM41" i="6"/>
  <c r="CA41" i="6"/>
  <c r="BO41" i="6"/>
  <c r="CM65" i="6"/>
  <c r="CY58" i="6"/>
  <c r="CM58" i="6"/>
  <c r="CA58" i="6"/>
  <c r="BO58" i="6"/>
  <c r="FL3" i="6"/>
  <c r="FL9" i="6"/>
  <c r="FL10" i="6" s="1"/>
  <c r="FL11" i="6" s="1"/>
  <c r="FL12" i="6" s="1"/>
  <c r="FL13" i="6" s="1"/>
  <c r="FL14" i="6" s="1"/>
  <c r="FL15" i="6" s="1"/>
  <c r="FL16" i="6" s="1"/>
  <c r="FL17" i="6" s="1"/>
  <c r="FL18" i="6" s="1"/>
  <c r="FL19" i="6" s="1"/>
  <c r="FL20" i="6" s="1"/>
  <c r="FL21" i="6" s="1"/>
  <c r="FL22" i="6" s="1"/>
  <c r="FL23" i="6" s="1"/>
  <c r="FL24" i="6" s="1"/>
  <c r="FL25" i="6" s="1"/>
  <c r="FL26" i="6" s="1"/>
  <c r="FL27" i="6" s="1"/>
  <c r="BG48" i="6"/>
  <c r="B57" i="6"/>
  <c r="Q63" i="6"/>
  <c r="AC63" i="6"/>
  <c r="CU13" i="4"/>
  <c r="D37" i="6"/>
  <c r="D8" i="6"/>
  <c r="H8" i="6" s="1"/>
  <c r="BE40" i="6"/>
  <c r="AO63" i="6"/>
  <c r="O61" i="6"/>
  <c r="B24" i="6"/>
  <c r="AE44" i="6"/>
  <c r="AA60" i="6"/>
  <c r="AY59" i="6"/>
  <c r="AW60" i="6"/>
  <c r="AQ60" i="6"/>
  <c r="M60" i="6"/>
  <c r="Y60" i="6"/>
  <c r="AK60" i="6"/>
  <c r="Z60" i="6"/>
  <c r="P59" i="6"/>
  <c r="AZ59" i="6"/>
  <c r="U63" i="6"/>
  <c r="AG63" i="6"/>
  <c r="BG61" i="6"/>
  <c r="BE59" i="6"/>
  <c r="AZ60" i="6"/>
  <c r="BE42" i="6"/>
  <c r="BE54" i="6"/>
  <c r="AZ61" i="6"/>
  <c r="BB60" i="6"/>
  <c r="BB62" i="6"/>
  <c r="BE45" i="6"/>
  <c r="AV64" i="6"/>
  <c r="S62" i="6"/>
  <c r="BB44" i="6"/>
  <c r="AF62" i="6"/>
  <c r="R60" i="6"/>
  <c r="AG62" i="6"/>
  <c r="AP60" i="6"/>
  <c r="BB63" i="6"/>
  <c r="AJ61" i="6"/>
  <c r="R63" i="6"/>
  <c r="AM61" i="6"/>
  <c r="BG49" i="6"/>
  <c r="P61" i="6"/>
  <c r="M64" i="6"/>
  <c r="W61" i="6"/>
  <c r="AK64" i="6"/>
  <c r="AB60" i="6"/>
  <c r="AN60" i="6"/>
  <c r="AX60" i="6"/>
  <c r="U59" i="6"/>
  <c r="X61" i="6"/>
  <c r="BE65" i="6"/>
  <c r="AY60" i="6"/>
  <c r="AO59" i="6"/>
  <c r="AI61" i="6"/>
  <c r="AD60" i="6"/>
  <c r="AP63" i="6"/>
  <c r="AP59" i="6"/>
  <c r="AY61" i="6"/>
  <c r="P60" i="6"/>
  <c r="AE64" i="6"/>
  <c r="BC64" i="6"/>
  <c r="AM65" i="6"/>
  <c r="AS59" i="6"/>
  <c r="S60" i="6"/>
  <c r="AJ62" i="6"/>
  <c r="N64" i="6"/>
  <c r="AL64" i="6"/>
  <c r="K65" i="6"/>
  <c r="AU65" i="6"/>
  <c r="AK62" i="6"/>
  <c r="O64" i="6"/>
  <c r="AM64" i="6"/>
  <c r="L65" i="6"/>
  <c r="AV65" i="6"/>
  <c r="Q59" i="6"/>
  <c r="BA59" i="6"/>
  <c r="AA61" i="6"/>
  <c r="L62" i="6"/>
  <c r="AQ62" i="6"/>
  <c r="AD63" i="6"/>
  <c r="P64" i="6"/>
  <c r="AN64" i="6"/>
  <c r="O65" i="6"/>
  <c r="AY65" i="6"/>
  <c r="AL41" i="6"/>
  <c r="BG53" i="6"/>
  <c r="R59" i="6"/>
  <c r="BB59" i="6"/>
  <c r="AB61" i="6"/>
  <c r="M62" i="6"/>
  <c r="AR62" i="6"/>
  <c r="R64" i="6"/>
  <c r="AP64" i="6"/>
  <c r="P65" i="6"/>
  <c r="AZ65" i="6"/>
  <c r="AS62" i="6"/>
  <c r="S64" i="6"/>
  <c r="AQ64" i="6"/>
  <c r="W65" i="6"/>
  <c r="BG65" i="6"/>
  <c r="AB59" i="6"/>
  <c r="T62" i="6"/>
  <c r="AV62" i="6"/>
  <c r="Y64" i="6"/>
  <c r="AW64" i="6"/>
  <c r="X65" i="6"/>
  <c r="BG56" i="6"/>
  <c r="AC59" i="6"/>
  <c r="AV60" i="6"/>
  <c r="AE60" i="6"/>
  <c r="BC60" i="6"/>
  <c r="U62" i="6"/>
  <c r="AW62" i="6"/>
  <c r="AS63" i="6"/>
  <c r="Z64" i="6"/>
  <c r="AX64" i="6"/>
  <c r="AA65" i="6"/>
  <c r="BG57" i="6"/>
  <c r="AD59" i="6"/>
  <c r="BE61" i="6"/>
  <c r="AN61" i="6"/>
  <c r="X62" i="6"/>
  <c r="BD62" i="6"/>
  <c r="BA63" i="6"/>
  <c r="AA64" i="6"/>
  <c r="AY64" i="6"/>
  <c r="AB65" i="6"/>
  <c r="AN65" i="6"/>
  <c r="AI49" i="6"/>
  <c r="BD46" i="6"/>
  <c r="BD58" i="6"/>
  <c r="AG59" i="6"/>
  <c r="N60" i="6"/>
  <c r="AL60" i="6"/>
  <c r="K61" i="6"/>
  <c r="AU61" i="6"/>
  <c r="Y62" i="6"/>
  <c r="BE62" i="6"/>
  <c r="AB64" i="6"/>
  <c r="AZ64" i="6"/>
  <c r="AI65" i="6"/>
  <c r="AN59" i="6"/>
  <c r="O60" i="6"/>
  <c r="AM60" i="6"/>
  <c r="L61" i="6"/>
  <c r="AV61" i="6"/>
  <c r="AE62" i="6"/>
  <c r="AY63" i="6"/>
  <c r="BE63" i="6"/>
  <c r="AD64" i="6"/>
  <c r="BB64" i="6"/>
  <c r="AJ65" i="6"/>
  <c r="V61" i="6"/>
  <c r="AH61" i="6"/>
  <c r="AT61" i="6"/>
  <c r="BF61" i="6"/>
  <c r="BC62" i="6"/>
  <c r="P63" i="6"/>
  <c r="AB63" i="6"/>
  <c r="AN63" i="6"/>
  <c r="AZ63" i="6"/>
  <c r="V65" i="6"/>
  <c r="AH65" i="6"/>
  <c r="AT65" i="6"/>
  <c r="BF65" i="6"/>
  <c r="M61" i="6"/>
  <c r="Y61" i="6"/>
  <c r="AK61" i="6"/>
  <c r="AW61" i="6"/>
  <c r="V62" i="6"/>
  <c r="AH62" i="6"/>
  <c r="AT62" i="6"/>
  <c r="BF62" i="6"/>
  <c r="S63" i="6"/>
  <c r="AE63" i="6"/>
  <c r="AQ63" i="6"/>
  <c r="BC63" i="6"/>
  <c r="M65" i="6"/>
  <c r="Y65" i="6"/>
  <c r="AK65" i="6"/>
  <c r="AW65" i="6"/>
  <c r="S59" i="6"/>
  <c r="AE59" i="6"/>
  <c r="AQ59" i="6"/>
  <c r="BC59" i="6"/>
  <c r="T59" i="6"/>
  <c r="AF59" i="6"/>
  <c r="AR59" i="6"/>
  <c r="BD59" i="6"/>
  <c r="Q60" i="6"/>
  <c r="AC60" i="6"/>
  <c r="AO60" i="6"/>
  <c r="BA60" i="6"/>
  <c r="N61" i="6"/>
  <c r="Z61" i="6"/>
  <c r="AL61" i="6"/>
  <c r="AX61" i="6"/>
  <c r="K62" i="6"/>
  <c r="W62" i="6"/>
  <c r="AI62" i="6"/>
  <c r="AU62" i="6"/>
  <c r="BG62" i="6"/>
  <c r="T63" i="6"/>
  <c r="AF63" i="6"/>
  <c r="AR63" i="6"/>
  <c r="BD63" i="6"/>
  <c r="Q64" i="6"/>
  <c r="AC64" i="6"/>
  <c r="AO64" i="6"/>
  <c r="BA64" i="6"/>
  <c r="N65" i="6"/>
  <c r="Z65" i="6"/>
  <c r="AL65" i="6"/>
  <c r="AX65" i="6"/>
  <c r="AH63" i="6"/>
  <c r="K59" i="6"/>
  <c r="W59" i="6"/>
  <c r="AI59" i="6"/>
  <c r="AU59" i="6"/>
  <c r="BG59" i="6"/>
  <c r="T60" i="6"/>
  <c r="AF60" i="6"/>
  <c r="AR60" i="6"/>
  <c r="BD60" i="6"/>
  <c r="Q61" i="6"/>
  <c r="AC61" i="6"/>
  <c r="AO61" i="6"/>
  <c r="BA61" i="6"/>
  <c r="N62" i="6"/>
  <c r="Z62" i="6"/>
  <c r="AL62" i="6"/>
  <c r="AX62" i="6"/>
  <c r="K63" i="6"/>
  <c r="W63" i="6"/>
  <c r="AI63" i="6"/>
  <c r="AU63" i="6"/>
  <c r="BG63" i="6"/>
  <c r="T64" i="6"/>
  <c r="AF64" i="6"/>
  <c r="AR64" i="6"/>
  <c r="BD64" i="6"/>
  <c r="Q65" i="6"/>
  <c r="AC65" i="6"/>
  <c r="AO65" i="6"/>
  <c r="BA65" i="6"/>
  <c r="V59" i="6"/>
  <c r="AT59" i="6"/>
  <c r="V63" i="6"/>
  <c r="BF63" i="6"/>
  <c r="L59" i="6"/>
  <c r="X59" i="6"/>
  <c r="AJ59" i="6"/>
  <c r="AV59" i="6"/>
  <c r="U60" i="6"/>
  <c r="AG60" i="6"/>
  <c r="AS60" i="6"/>
  <c r="BE60" i="6"/>
  <c r="R61" i="6"/>
  <c r="AD61" i="6"/>
  <c r="AP61" i="6"/>
  <c r="BB61" i="6"/>
  <c r="O62" i="6"/>
  <c r="AA62" i="6"/>
  <c r="AM62" i="6"/>
  <c r="AY62" i="6"/>
  <c r="L63" i="6"/>
  <c r="X63" i="6"/>
  <c r="AJ63" i="6"/>
  <c r="AV63" i="6"/>
  <c r="U64" i="6"/>
  <c r="AG64" i="6"/>
  <c r="AS64" i="6"/>
  <c r="BE64" i="6"/>
  <c r="R65" i="6"/>
  <c r="AD65" i="6"/>
  <c r="AP65" i="6"/>
  <c r="BB65" i="6"/>
  <c r="AH59" i="6"/>
  <c r="BF59" i="6"/>
  <c r="M59" i="6"/>
  <c r="Y59" i="6"/>
  <c r="AK59" i="6"/>
  <c r="AW59" i="6"/>
  <c r="V60" i="6"/>
  <c r="AH60" i="6"/>
  <c r="AT60" i="6"/>
  <c r="BF60" i="6"/>
  <c r="S61" i="6"/>
  <c r="AE61" i="6"/>
  <c r="AQ61" i="6"/>
  <c r="BC61" i="6"/>
  <c r="P62" i="6"/>
  <c r="AB62" i="6"/>
  <c r="AN62" i="6"/>
  <c r="AZ62" i="6"/>
  <c r="M63" i="6"/>
  <c r="Y63" i="6"/>
  <c r="AK63" i="6"/>
  <c r="AW63" i="6"/>
  <c r="V64" i="6"/>
  <c r="AH64" i="6"/>
  <c r="AT64" i="6"/>
  <c r="BF64" i="6"/>
  <c r="S65" i="6"/>
  <c r="AE65" i="6"/>
  <c r="AQ65" i="6"/>
  <c r="BC65" i="6"/>
  <c r="AT63" i="6"/>
  <c r="N59" i="6"/>
  <c r="Z59" i="6"/>
  <c r="AL59" i="6"/>
  <c r="AX59" i="6"/>
  <c r="K60" i="6"/>
  <c r="W60" i="6"/>
  <c r="AI60" i="6"/>
  <c r="AU60" i="6"/>
  <c r="BG60" i="6"/>
  <c r="T61" i="6"/>
  <c r="AF61" i="6"/>
  <c r="AR61" i="6"/>
  <c r="BD61" i="6"/>
  <c r="Q62" i="6"/>
  <c r="AC62" i="6"/>
  <c r="AO62" i="6"/>
  <c r="BA62" i="6"/>
  <c r="N63" i="6"/>
  <c r="Z63" i="6"/>
  <c r="AL63" i="6"/>
  <c r="AX63" i="6"/>
  <c r="K64" i="6"/>
  <c r="W64" i="6"/>
  <c r="AI64" i="6"/>
  <c r="AU64" i="6"/>
  <c r="BG64" i="6"/>
  <c r="T65" i="6"/>
  <c r="AF65" i="6"/>
  <c r="AR65" i="6"/>
  <c r="BD65" i="6"/>
  <c r="O59" i="6"/>
  <c r="AA59" i="6"/>
  <c r="AM59" i="6"/>
  <c r="L60" i="6"/>
  <c r="X60" i="6"/>
  <c r="AJ60" i="6"/>
  <c r="U61" i="6"/>
  <c r="AG61" i="6"/>
  <c r="AS61" i="6"/>
  <c r="R62" i="6"/>
  <c r="AD62" i="6"/>
  <c r="AP62" i="6"/>
  <c r="O63" i="6"/>
  <c r="AA63" i="6"/>
  <c r="AM63" i="6"/>
  <c r="L64" i="6"/>
  <c r="X64" i="6"/>
  <c r="AJ64" i="6"/>
  <c r="U65" i="6"/>
  <c r="AG65" i="6"/>
  <c r="AS65" i="6"/>
  <c r="BE50" i="6"/>
  <c r="BF40" i="6"/>
  <c r="BE48" i="6"/>
  <c r="BB52" i="6"/>
  <c r="AX57" i="6"/>
  <c r="BE41" i="6"/>
  <c r="BG41" i="6"/>
  <c r="BF45" i="6"/>
  <c r="BG45" i="6"/>
  <c r="BF48" i="6"/>
  <c r="BE49" i="6"/>
  <c r="BE53" i="6"/>
  <c r="BG52" i="6"/>
  <c r="BE46" i="6"/>
  <c r="BF53" i="6"/>
  <c r="BG40" i="6"/>
  <c r="BF41" i="6"/>
  <c r="BE56" i="6"/>
  <c r="BF56" i="6"/>
  <c r="BF49" i="6"/>
  <c r="BE44" i="6"/>
  <c r="BE57" i="6"/>
  <c r="BF44" i="6"/>
  <c r="BF57" i="6"/>
  <c r="BG44" i="6"/>
  <c r="BE52" i="6"/>
  <c r="BB40" i="6"/>
  <c r="BF52" i="6"/>
  <c r="BE58" i="6"/>
  <c r="BF42" i="6"/>
  <c r="BF46" i="6"/>
  <c r="BF50" i="6"/>
  <c r="BF54" i="6"/>
  <c r="BF58" i="6"/>
  <c r="BG42" i="6"/>
  <c r="BG46" i="6"/>
  <c r="BG50" i="6"/>
  <c r="BG54" i="6"/>
  <c r="BG58" i="6"/>
  <c r="BE43" i="6"/>
  <c r="BE47" i="6"/>
  <c r="BE51" i="6"/>
  <c r="BE55" i="6"/>
  <c r="BF43" i="6"/>
  <c r="BF47" i="6"/>
  <c r="BF51" i="6"/>
  <c r="BF55" i="6"/>
  <c r="BG43" i="6"/>
  <c r="BG47" i="6"/>
  <c r="BG51" i="6"/>
  <c r="BG55" i="6"/>
  <c r="AW57" i="6"/>
  <c r="AW42" i="6"/>
  <c r="AS42" i="6"/>
  <c r="BC56" i="6"/>
  <c r="K45" i="6"/>
  <c r="X56" i="6"/>
  <c r="BC48" i="6"/>
  <c r="BA45" i="6"/>
  <c r="BB45" i="6"/>
  <c r="BC42" i="6"/>
  <c r="BC52" i="6"/>
  <c r="BD42" i="6"/>
  <c r="AX48" i="6"/>
  <c r="BA53" i="6"/>
  <c r="BB48" i="6"/>
  <c r="BB53" i="6"/>
  <c r="N46" i="6"/>
  <c r="AW40" i="6"/>
  <c r="AX44" i="6"/>
  <c r="AX40" i="6"/>
  <c r="BA49" i="6"/>
  <c r="BD54" i="6"/>
  <c r="O46" i="6"/>
  <c r="AA52" i="6"/>
  <c r="P41" i="6"/>
  <c r="AB47" i="6"/>
  <c r="BC44" i="6"/>
  <c r="BB49" i="6"/>
  <c r="BC40" i="6"/>
  <c r="AX56" i="6"/>
  <c r="BA41" i="6"/>
  <c r="AW50" i="6"/>
  <c r="BB56" i="6"/>
  <c r="AQ41" i="6"/>
  <c r="AY57" i="6"/>
  <c r="BB41" i="6"/>
  <c r="BD50" i="6"/>
  <c r="AZ58" i="6"/>
  <c r="BC41" i="6"/>
  <c r="AW46" i="6"/>
  <c r="BA57" i="6"/>
  <c r="U47" i="6"/>
  <c r="BA58" i="6"/>
  <c r="BC46" i="6"/>
  <c r="AX52" i="6"/>
  <c r="BB58" i="6"/>
  <c r="AZ41" i="6"/>
  <c r="AW44" i="6"/>
  <c r="AZ45" i="6"/>
  <c r="AW48" i="6"/>
  <c r="AZ49" i="6"/>
  <c r="BC50" i="6"/>
  <c r="AW52" i="6"/>
  <c r="AZ53" i="6"/>
  <c r="BC54" i="6"/>
  <c r="AW56" i="6"/>
  <c r="AZ57" i="6"/>
  <c r="BC58" i="6"/>
  <c r="AY52" i="6"/>
  <c r="AY56" i="6"/>
  <c r="BB57" i="6"/>
  <c r="AY40" i="6"/>
  <c r="AY44" i="6"/>
  <c r="AZ40" i="6"/>
  <c r="AW43" i="6"/>
  <c r="AZ44" i="6"/>
  <c r="BC45" i="6"/>
  <c r="AW47" i="6"/>
  <c r="AZ48" i="6"/>
  <c r="BC49" i="6"/>
  <c r="AW51" i="6"/>
  <c r="AZ52" i="6"/>
  <c r="BC53" i="6"/>
  <c r="AW55" i="6"/>
  <c r="AZ56" i="6"/>
  <c r="BC57" i="6"/>
  <c r="AY48" i="6"/>
  <c r="BA40" i="6"/>
  <c r="BD41" i="6"/>
  <c r="AX43" i="6"/>
  <c r="BA44" i="6"/>
  <c r="BD45" i="6"/>
  <c r="AX47" i="6"/>
  <c r="BA48" i="6"/>
  <c r="BD49" i="6"/>
  <c r="AX51" i="6"/>
  <c r="BA52" i="6"/>
  <c r="BD53" i="6"/>
  <c r="AX55" i="6"/>
  <c r="BA56" i="6"/>
  <c r="BD57" i="6"/>
  <c r="AZ47" i="6"/>
  <c r="AZ51" i="6"/>
  <c r="AW54" i="6"/>
  <c r="AZ55" i="6"/>
  <c r="AW58" i="6"/>
  <c r="AY47" i="6"/>
  <c r="AY55" i="6"/>
  <c r="BD40" i="6"/>
  <c r="AX42" i="6"/>
  <c r="BA43" i="6"/>
  <c r="BD44" i="6"/>
  <c r="AX46" i="6"/>
  <c r="BA47" i="6"/>
  <c r="BD48" i="6"/>
  <c r="AX50" i="6"/>
  <c r="BA51" i="6"/>
  <c r="BD52" i="6"/>
  <c r="AX54" i="6"/>
  <c r="BA55" i="6"/>
  <c r="BD56" i="6"/>
  <c r="AX58" i="6"/>
  <c r="AY43" i="6"/>
  <c r="AZ43" i="6"/>
  <c r="AY42" i="6"/>
  <c r="BB43" i="6"/>
  <c r="AY46" i="6"/>
  <c r="BB47" i="6"/>
  <c r="AY50" i="6"/>
  <c r="BB51" i="6"/>
  <c r="AY54" i="6"/>
  <c r="BB55" i="6"/>
  <c r="AY58" i="6"/>
  <c r="AY51" i="6"/>
  <c r="AW41" i="6"/>
  <c r="AZ42" i="6"/>
  <c r="BC43" i="6"/>
  <c r="AW45" i="6"/>
  <c r="AZ46" i="6"/>
  <c r="BC47" i="6"/>
  <c r="AW49" i="6"/>
  <c r="AZ50" i="6"/>
  <c r="BC51" i="6"/>
  <c r="AW53" i="6"/>
  <c r="AZ54" i="6"/>
  <c r="BC55" i="6"/>
  <c r="AX41" i="6"/>
  <c r="BA42" i="6"/>
  <c r="BD43" i="6"/>
  <c r="AX45" i="6"/>
  <c r="BA46" i="6"/>
  <c r="BD47" i="6"/>
  <c r="AX49" i="6"/>
  <c r="BA50" i="6"/>
  <c r="BD51" i="6"/>
  <c r="AX53" i="6"/>
  <c r="BA54" i="6"/>
  <c r="BD55" i="6"/>
  <c r="AY41" i="6"/>
  <c r="BB42" i="6"/>
  <c r="AY45" i="6"/>
  <c r="BB46" i="6"/>
  <c r="AY49" i="6"/>
  <c r="BB50" i="6"/>
  <c r="AY53" i="6"/>
  <c r="BB54" i="6"/>
  <c r="T48" i="6"/>
  <c r="AO41" i="6"/>
  <c r="AS49" i="6"/>
  <c r="AS41" i="6"/>
  <c r="AJ51" i="6"/>
  <c r="AU45" i="6"/>
  <c r="AC44" i="6"/>
  <c r="R54" i="6"/>
  <c r="AD47" i="6"/>
  <c r="W49" i="6"/>
  <c r="AI42" i="6"/>
  <c r="AU50" i="6"/>
  <c r="AU43" i="6"/>
  <c r="Z45" i="6"/>
  <c r="AN51" i="6"/>
  <c r="AS40" i="6"/>
  <c r="X45" i="6"/>
  <c r="AP45" i="6"/>
  <c r="AB41" i="6"/>
  <c r="R45" i="6"/>
  <c r="AJ49" i="6"/>
  <c r="AJ45" i="6"/>
  <c r="AV51" i="6"/>
  <c r="AV52" i="6"/>
  <c r="P40" i="6"/>
  <c r="AV42" i="6"/>
  <c r="U40" i="6"/>
  <c r="AN46" i="6"/>
  <c r="AV54" i="6"/>
  <c r="S40" i="6"/>
  <c r="AU40" i="6"/>
  <c r="AV43" i="6"/>
  <c r="AS47" i="6"/>
  <c r="X55" i="6"/>
  <c r="AV44" i="6"/>
  <c r="AJ56" i="6"/>
  <c r="U44" i="6"/>
  <c r="AP48" i="6"/>
  <c r="V40" i="6"/>
  <c r="AS44" i="6"/>
  <c r="AU51" i="6"/>
  <c r="X41" i="6"/>
  <c r="AV45" i="6"/>
  <c r="AV40" i="6"/>
  <c r="AD41" i="6"/>
  <c r="AU42" i="6"/>
  <c r="X49" i="6"/>
  <c r="AD52" i="6"/>
  <c r="P44" i="6"/>
  <c r="P47" i="6"/>
  <c r="R40" i="6"/>
  <c r="AP41" i="6"/>
  <c r="R44" i="6"/>
  <c r="AB45" i="6"/>
  <c r="P53" i="6"/>
  <c r="K43" i="6"/>
  <c r="AR40" i="6"/>
  <c r="X40" i="6"/>
  <c r="AU41" i="6"/>
  <c r="T43" i="6"/>
  <c r="AG44" i="6"/>
  <c r="AN45" i="6"/>
  <c r="AG47" i="6"/>
  <c r="N50" i="6"/>
  <c r="U50" i="6"/>
  <c r="AG41" i="6"/>
  <c r="AS43" i="6"/>
  <c r="AF40" i="6"/>
  <c r="K41" i="6"/>
  <c r="AV41" i="6"/>
  <c r="U43" i="6"/>
  <c r="AP44" i="6"/>
  <c r="W50" i="6"/>
  <c r="AH43" i="6"/>
  <c r="AH40" i="6"/>
  <c r="X43" i="6"/>
  <c r="AJ50" i="6"/>
  <c r="AI40" i="6"/>
  <c r="R41" i="6"/>
  <c r="O42" i="6"/>
  <c r="AB43" i="6"/>
  <c r="AU44" i="6"/>
  <c r="U48" i="6"/>
  <c r="AV50" i="6"/>
  <c r="AN40" i="6"/>
  <c r="S41" i="6"/>
  <c r="S42" i="6"/>
  <c r="AG43" i="6"/>
  <c r="AV46" i="6"/>
  <c r="AD48" i="6"/>
  <c r="AP40" i="6"/>
  <c r="U41" i="6"/>
  <c r="U42" i="6"/>
  <c r="AN43" i="6"/>
  <c r="P46" i="6"/>
  <c r="X51" i="6"/>
  <c r="AP42" i="6"/>
  <c r="AD46" i="6"/>
  <c r="AV49" i="6"/>
  <c r="L5" i="6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AH5" i="6" s="1"/>
  <c r="AI5" i="6" s="1"/>
  <c r="AJ5" i="6" s="1"/>
  <c r="AK5" i="6" s="1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BC5" i="6" s="1"/>
  <c r="BD5" i="6" s="1"/>
  <c r="BE5" i="6" s="1"/>
  <c r="BF5" i="6" s="1"/>
  <c r="BG5" i="6" s="1"/>
  <c r="BH5" i="6" s="1"/>
  <c r="BI5" i="6" s="1"/>
  <c r="BJ5" i="6" s="1"/>
  <c r="BK5" i="6" s="1"/>
  <c r="BL5" i="6" s="1"/>
  <c r="BM5" i="6" s="1"/>
  <c r="BN5" i="6" s="1"/>
  <c r="BO5" i="6" s="1"/>
  <c r="BP5" i="6" s="1"/>
  <c r="BQ5" i="6" s="1"/>
  <c r="BR5" i="6" s="1"/>
  <c r="BS5" i="6" s="1"/>
  <c r="BT5" i="6" s="1"/>
  <c r="BU5" i="6" s="1"/>
  <c r="BV5" i="6" s="1"/>
  <c r="BW5" i="6" s="1"/>
  <c r="BX5" i="6" s="1"/>
  <c r="BY5" i="6" s="1"/>
  <c r="BZ5" i="6" s="1"/>
  <c r="CA5" i="6" s="1"/>
  <c r="CB5" i="6" s="1"/>
  <c r="CC5" i="6" s="1"/>
  <c r="CD5" i="6" s="1"/>
  <c r="CE5" i="6" s="1"/>
  <c r="CF5" i="6" s="1"/>
  <c r="CG5" i="6" s="1"/>
  <c r="CH5" i="6" s="1"/>
  <c r="CI5" i="6" s="1"/>
  <c r="CJ5" i="6" s="1"/>
  <c r="CK5" i="6" s="1"/>
  <c r="CL5" i="6" s="1"/>
  <c r="CM5" i="6" s="1"/>
  <c r="CN5" i="6" s="1"/>
  <c r="CO5" i="6" s="1"/>
  <c r="CP5" i="6" s="1"/>
  <c r="CQ5" i="6" s="1"/>
  <c r="CR5" i="6" s="1"/>
  <c r="CS5" i="6" s="1"/>
  <c r="CT5" i="6" s="1"/>
  <c r="CU5" i="6" s="1"/>
  <c r="CV5" i="6" s="1"/>
  <c r="CW5" i="6" s="1"/>
  <c r="CX5" i="6" s="1"/>
  <c r="CY5" i="6" s="1"/>
  <c r="CZ5" i="6" s="1"/>
  <c r="DA5" i="6" s="1"/>
  <c r="DB5" i="6" s="1"/>
  <c r="DC5" i="6" s="1"/>
  <c r="DD5" i="6" s="1"/>
  <c r="DE5" i="6" s="1"/>
  <c r="DF5" i="6" s="1"/>
  <c r="J39" i="6"/>
  <c r="L56" i="6"/>
  <c r="L49" i="6"/>
  <c r="L40" i="6"/>
  <c r="M57" i="6"/>
  <c r="M56" i="6"/>
  <c r="M55" i="6"/>
  <c r="M46" i="6"/>
  <c r="M52" i="6"/>
  <c r="Y57" i="6"/>
  <c r="Y56" i="6"/>
  <c r="Y52" i="6"/>
  <c r="Y45" i="6"/>
  <c r="Y51" i="6"/>
  <c r="Y55" i="6"/>
  <c r="AK56" i="6"/>
  <c r="AK57" i="6"/>
  <c r="AK51" i="6"/>
  <c r="AK41" i="6"/>
  <c r="AK55" i="6"/>
  <c r="AK52" i="6"/>
  <c r="AK49" i="6"/>
  <c r="AK46" i="6"/>
  <c r="M40" i="6"/>
  <c r="Y44" i="6"/>
  <c r="AA45" i="6"/>
  <c r="L55" i="6"/>
  <c r="N57" i="6"/>
  <c r="N56" i="6"/>
  <c r="N55" i="6"/>
  <c r="N52" i="6"/>
  <c r="N51" i="6"/>
  <c r="N45" i="6"/>
  <c r="N40" i="6"/>
  <c r="Z57" i="6"/>
  <c r="Z56" i="6"/>
  <c r="Z51" i="6"/>
  <c r="Z55" i="6"/>
  <c r="Z50" i="6"/>
  <c r="Z46" i="6"/>
  <c r="Z52" i="6"/>
  <c r="AL56" i="6"/>
  <c r="AL51" i="6"/>
  <c r="AL57" i="6"/>
  <c r="AL45" i="6"/>
  <c r="AL55" i="6"/>
  <c r="AL52" i="6"/>
  <c r="AL46" i="6"/>
  <c r="Z44" i="6"/>
  <c r="M49" i="6"/>
  <c r="O57" i="6"/>
  <c r="O56" i="6"/>
  <c r="O55" i="6"/>
  <c r="O51" i="6"/>
  <c r="O52" i="6"/>
  <c r="O45" i="6"/>
  <c r="O50" i="6"/>
  <c r="AA57" i="6"/>
  <c r="AA56" i="6"/>
  <c r="AA51" i="6"/>
  <c r="AA55" i="6"/>
  <c r="AA50" i="6"/>
  <c r="AA46" i="6"/>
  <c r="AA53" i="6"/>
  <c r="AM57" i="6"/>
  <c r="AM56" i="6"/>
  <c r="AM51" i="6"/>
  <c r="AM55" i="6"/>
  <c r="AM45" i="6"/>
  <c r="AM53" i="6"/>
  <c r="AM47" i="6"/>
  <c r="AM52" i="6"/>
  <c r="AM46" i="6"/>
  <c r="AM50" i="6"/>
  <c r="AK40" i="6"/>
  <c r="V41" i="6"/>
  <c r="V42" i="6"/>
  <c r="Z43" i="6"/>
  <c r="S49" i="6"/>
  <c r="AL50" i="6"/>
  <c r="AL40" i="6"/>
  <c r="W42" i="6"/>
  <c r="AA43" i="6"/>
  <c r="AK45" i="6"/>
  <c r="T46" i="6"/>
  <c r="O47" i="6"/>
  <c r="L38" i="6"/>
  <c r="M38" i="6" s="1"/>
  <c r="N38" i="6" s="1"/>
  <c r="O38" i="6" s="1"/>
  <c r="P38" i="6" s="1"/>
  <c r="Q38" i="6" s="1"/>
  <c r="R38" i="6" s="1"/>
  <c r="S38" i="6" s="1"/>
  <c r="T38" i="6" s="1"/>
  <c r="U38" i="6" s="1"/>
  <c r="V38" i="6" s="1"/>
  <c r="W38" i="6" s="1"/>
  <c r="X38" i="6" s="1"/>
  <c r="Y38" i="6" s="1"/>
  <c r="Z38" i="6" s="1"/>
  <c r="AA38" i="6" s="1"/>
  <c r="AB38" i="6" s="1"/>
  <c r="AC38" i="6" s="1"/>
  <c r="AD38" i="6" s="1"/>
  <c r="AE38" i="6" s="1"/>
  <c r="AF38" i="6" s="1"/>
  <c r="AG38" i="6" s="1"/>
  <c r="AH38" i="6" s="1"/>
  <c r="AI38" i="6" s="1"/>
  <c r="AJ38" i="6" s="1"/>
  <c r="AK38" i="6" s="1"/>
  <c r="AL38" i="6" s="1"/>
  <c r="AM38" i="6" s="1"/>
  <c r="AN38" i="6" s="1"/>
  <c r="AO38" i="6" s="1"/>
  <c r="AP38" i="6" s="1"/>
  <c r="AQ38" i="6" s="1"/>
  <c r="AR38" i="6" s="1"/>
  <c r="AS38" i="6" s="1"/>
  <c r="AT38" i="6" s="1"/>
  <c r="AU38" i="6" s="1"/>
  <c r="AV38" i="6" s="1"/>
  <c r="AW38" i="6" s="1"/>
  <c r="AX38" i="6" s="1"/>
  <c r="AY38" i="6" s="1"/>
  <c r="AZ38" i="6" s="1"/>
  <c r="BA38" i="6" s="1"/>
  <c r="BB38" i="6" s="1"/>
  <c r="BC38" i="6" s="1"/>
  <c r="BD38" i="6" s="1"/>
  <c r="BE38" i="6" s="1"/>
  <c r="BF38" i="6" s="1"/>
  <c r="BG38" i="6" s="1"/>
  <c r="BH38" i="6" s="1"/>
  <c r="BI38" i="6" s="1"/>
  <c r="BJ38" i="6" s="1"/>
  <c r="BK38" i="6" s="1"/>
  <c r="BL38" i="6" s="1"/>
  <c r="BM38" i="6" s="1"/>
  <c r="BN38" i="6" s="1"/>
  <c r="BO38" i="6" s="1"/>
  <c r="BP38" i="6" s="1"/>
  <c r="BQ38" i="6" s="1"/>
  <c r="BR38" i="6" s="1"/>
  <c r="BS38" i="6" s="1"/>
  <c r="BT38" i="6" s="1"/>
  <c r="BU38" i="6" s="1"/>
  <c r="BV38" i="6" s="1"/>
  <c r="BW38" i="6" s="1"/>
  <c r="BX38" i="6" s="1"/>
  <c r="BY38" i="6" s="1"/>
  <c r="BZ38" i="6" s="1"/>
  <c r="CA38" i="6" s="1"/>
  <c r="CB38" i="6" s="1"/>
  <c r="CC38" i="6" s="1"/>
  <c r="CD38" i="6" s="1"/>
  <c r="CE38" i="6" s="1"/>
  <c r="CF38" i="6" s="1"/>
  <c r="CG38" i="6" s="1"/>
  <c r="CH38" i="6" s="1"/>
  <c r="CI38" i="6" s="1"/>
  <c r="CJ38" i="6" s="1"/>
  <c r="CK38" i="6" s="1"/>
  <c r="CL38" i="6" s="1"/>
  <c r="CM38" i="6" s="1"/>
  <c r="CN38" i="6" s="1"/>
  <c r="CO38" i="6" s="1"/>
  <c r="CP38" i="6" s="1"/>
  <c r="CQ38" i="6" s="1"/>
  <c r="CR38" i="6" s="1"/>
  <c r="CS38" i="6" s="1"/>
  <c r="CT38" i="6" s="1"/>
  <c r="CU38" i="6" s="1"/>
  <c r="CV38" i="6" s="1"/>
  <c r="CW38" i="6" s="1"/>
  <c r="CX38" i="6" s="1"/>
  <c r="CY38" i="6" s="1"/>
  <c r="CZ38" i="6" s="1"/>
  <c r="DA38" i="6" s="1"/>
  <c r="DB38" i="6" s="1"/>
  <c r="DC38" i="6" s="1"/>
  <c r="DD38" i="6" s="1"/>
  <c r="DE38" i="6" s="1"/>
  <c r="DF38" i="6" s="1"/>
  <c r="Q51" i="6"/>
  <c r="Q52" i="6"/>
  <c r="Q56" i="6"/>
  <c r="Q47" i="6"/>
  <c r="Q57" i="6"/>
  <c r="Q40" i="6"/>
  <c r="Q43" i="6"/>
  <c r="Q53" i="6"/>
  <c r="Q46" i="6"/>
  <c r="AC56" i="6"/>
  <c r="AC57" i="6"/>
  <c r="AC51" i="6"/>
  <c r="AC52" i="6"/>
  <c r="AC46" i="6"/>
  <c r="AC53" i="6"/>
  <c r="AC48" i="6"/>
  <c r="AC47" i="6"/>
  <c r="AC45" i="6"/>
  <c r="AC43" i="6"/>
  <c r="AO57" i="6"/>
  <c r="AO56" i="6"/>
  <c r="AO51" i="6"/>
  <c r="AO52" i="6"/>
  <c r="AO45" i="6"/>
  <c r="AO53" i="6"/>
  <c r="AO47" i="6"/>
  <c r="AO40" i="6"/>
  <c r="AO48" i="6"/>
  <c r="Y41" i="6"/>
  <c r="AA42" i="6"/>
  <c r="Y46" i="6"/>
  <c r="AB42" i="6"/>
  <c r="AH44" i="6"/>
  <c r="O53" i="6"/>
  <c r="S51" i="6"/>
  <c r="S55" i="6"/>
  <c r="S52" i="6"/>
  <c r="S53" i="6"/>
  <c r="S57" i="6"/>
  <c r="S47" i="6"/>
  <c r="S45" i="6"/>
  <c r="S54" i="6"/>
  <c r="S46" i="6"/>
  <c r="S43" i="6"/>
  <c r="S48" i="6"/>
  <c r="AE57" i="6"/>
  <c r="AE51" i="6"/>
  <c r="AE45" i="6"/>
  <c r="AE55" i="6"/>
  <c r="AE52" i="6"/>
  <c r="AE53" i="6"/>
  <c r="AE49" i="6"/>
  <c r="AE54" i="6"/>
  <c r="AE47" i="6"/>
  <c r="AE43" i="6"/>
  <c r="AE41" i="6"/>
  <c r="AQ51" i="6"/>
  <c r="AQ45" i="6"/>
  <c r="AQ52" i="6"/>
  <c r="AQ57" i="6"/>
  <c r="AQ55" i="6"/>
  <c r="AQ53" i="6"/>
  <c r="AQ46" i="6"/>
  <c r="AQ40" i="6"/>
  <c r="AQ49" i="6"/>
  <c r="AQ43" i="6"/>
  <c r="AQ47" i="6"/>
  <c r="AC41" i="6"/>
  <c r="AF42" i="6"/>
  <c r="L44" i="6"/>
  <c r="AL44" i="6"/>
  <c r="L45" i="6"/>
  <c r="AE46" i="6"/>
  <c r="AA47" i="6"/>
  <c r="AE48" i="6"/>
  <c r="L51" i="6"/>
  <c r="T51" i="6"/>
  <c r="T45" i="6"/>
  <c r="T55" i="6"/>
  <c r="T52" i="6"/>
  <c r="T57" i="6"/>
  <c r="T54" i="6"/>
  <c r="T47" i="6"/>
  <c r="T40" i="6"/>
  <c r="T41" i="6"/>
  <c r="T53" i="6"/>
  <c r="T49" i="6"/>
  <c r="AF57" i="6"/>
  <c r="AF51" i="6"/>
  <c r="AF45" i="6"/>
  <c r="AF55" i="6"/>
  <c r="AF52" i="6"/>
  <c r="AF53" i="6"/>
  <c r="AF54" i="6"/>
  <c r="AF43" i="6"/>
  <c r="AR51" i="6"/>
  <c r="AR45" i="6"/>
  <c r="AR52" i="6"/>
  <c r="AR46" i="6"/>
  <c r="AR57" i="6"/>
  <c r="AR55" i="6"/>
  <c r="AR53" i="6"/>
  <c r="AR54" i="6"/>
  <c r="AR49" i="6"/>
  <c r="AR43" i="6"/>
  <c r="AR48" i="6"/>
  <c r="AR41" i="6"/>
  <c r="Y40" i="6"/>
  <c r="L41" i="6"/>
  <c r="AH42" i="6"/>
  <c r="AK43" i="6"/>
  <c r="M44" i="6"/>
  <c r="AM44" i="6"/>
  <c r="M45" i="6"/>
  <c r="AF46" i="6"/>
  <c r="M51" i="6"/>
  <c r="Z40" i="6"/>
  <c r="N41" i="6"/>
  <c r="AF41" i="6"/>
  <c r="M43" i="6"/>
  <c r="AM43" i="6"/>
  <c r="Q45" i="6"/>
  <c r="AF47" i="6"/>
  <c r="AQ48" i="6"/>
  <c r="V55" i="6"/>
  <c r="V50" i="6"/>
  <c r="V49" i="6"/>
  <c r="V48" i="6"/>
  <c r="V44" i="6"/>
  <c r="AH55" i="6"/>
  <c r="AH49" i="6"/>
  <c r="AT55" i="6"/>
  <c r="AT40" i="6"/>
  <c r="AT49" i="6"/>
  <c r="AT50" i="6"/>
  <c r="AT48" i="6"/>
  <c r="AT41" i="6"/>
  <c r="AC40" i="6"/>
  <c r="AH41" i="6"/>
  <c r="AO42" i="6"/>
  <c r="AC42" i="6"/>
  <c r="Q42" i="6"/>
  <c r="AT42" i="6"/>
  <c r="AG42" i="6"/>
  <c r="T42" i="6"/>
  <c r="AR42" i="6"/>
  <c r="AE42" i="6"/>
  <c r="R42" i="6"/>
  <c r="AQ42" i="6"/>
  <c r="AD42" i="6"/>
  <c r="P42" i="6"/>
  <c r="AM42" i="6"/>
  <c r="Z42" i="6"/>
  <c r="M42" i="6"/>
  <c r="AL42" i="6"/>
  <c r="Y42" i="6"/>
  <c r="L42" i="6"/>
  <c r="AK42" i="6"/>
  <c r="X42" i="6"/>
  <c r="K42" i="6"/>
  <c r="AJ42" i="6"/>
  <c r="N43" i="6"/>
  <c r="AO46" i="6"/>
  <c r="AU48" i="6"/>
  <c r="K57" i="6"/>
  <c r="K56" i="6"/>
  <c r="K48" i="6"/>
  <c r="K55" i="6"/>
  <c r="K51" i="6"/>
  <c r="K50" i="6"/>
  <c r="W57" i="6"/>
  <c r="W56" i="6"/>
  <c r="W45" i="6"/>
  <c r="W51" i="6"/>
  <c r="W48" i="6"/>
  <c r="AI55" i="6"/>
  <c r="AI51" i="6"/>
  <c r="AI57" i="6"/>
  <c r="AI45" i="6"/>
  <c r="AI44" i="6"/>
  <c r="AI56" i="6"/>
  <c r="AI50" i="6"/>
  <c r="AU56" i="6"/>
  <c r="AU55" i="6"/>
  <c r="AU57" i="6"/>
  <c r="K40" i="6"/>
  <c r="AE40" i="6"/>
  <c r="Q41" i="6"/>
  <c r="AI41" i="6"/>
  <c r="N42" i="6"/>
  <c r="AN42" i="6"/>
  <c r="O43" i="6"/>
  <c r="AO43" i="6"/>
  <c r="S44" i="6"/>
  <c r="AT44" i="6"/>
  <c r="AR47" i="6"/>
  <c r="L50" i="6"/>
  <c r="P57" i="6"/>
  <c r="P56" i="6"/>
  <c r="P55" i="6"/>
  <c r="P52" i="6"/>
  <c r="AB56" i="6"/>
  <c r="AB57" i="6"/>
  <c r="AB55" i="6"/>
  <c r="AB52" i="6"/>
  <c r="AN56" i="6"/>
  <c r="AN57" i="6"/>
  <c r="AN55" i="6"/>
  <c r="AN52" i="6"/>
  <c r="AB40" i="6"/>
  <c r="P43" i="6"/>
  <c r="AR44" i="6"/>
  <c r="AF44" i="6"/>
  <c r="T44" i="6"/>
  <c r="W44" i="6"/>
  <c r="AJ44" i="6"/>
  <c r="AD45" i="6"/>
  <c r="R46" i="6"/>
  <c r="AS48" i="6"/>
  <c r="U49" i="6"/>
  <c r="AS50" i="6"/>
  <c r="P51" i="6"/>
  <c r="R51" i="6"/>
  <c r="R55" i="6"/>
  <c r="R53" i="6"/>
  <c r="R57" i="6"/>
  <c r="AD56" i="6"/>
  <c r="AD57" i="6"/>
  <c r="AD51" i="6"/>
  <c r="AD55" i="6"/>
  <c r="AD53" i="6"/>
  <c r="AP56" i="6"/>
  <c r="AP51" i="6"/>
  <c r="AP57" i="6"/>
  <c r="AP55" i="6"/>
  <c r="AP53" i="6"/>
  <c r="AD40" i="6"/>
  <c r="K44" i="6"/>
  <c r="X44" i="6"/>
  <c r="AK44" i="6"/>
  <c r="P45" i="6"/>
  <c r="AP52" i="6"/>
  <c r="AB53" i="6"/>
  <c r="X50" i="6"/>
  <c r="U51" i="6"/>
  <c r="U45" i="6"/>
  <c r="U55" i="6"/>
  <c r="U53" i="6"/>
  <c r="U56" i="6"/>
  <c r="AG56" i="6"/>
  <c r="AG51" i="6"/>
  <c r="AG45" i="6"/>
  <c r="AG55" i="6"/>
  <c r="AG53" i="6"/>
  <c r="AG54" i="6"/>
  <c r="AG58" i="6"/>
  <c r="AS51" i="6"/>
  <c r="AS45" i="6"/>
  <c r="AS56" i="6"/>
  <c r="AS55" i="6"/>
  <c r="AS53" i="6"/>
  <c r="AG40" i="6"/>
  <c r="AM41" i="6"/>
  <c r="AA41" i="6"/>
  <c r="O41" i="6"/>
  <c r="W41" i="6"/>
  <c r="AJ41" i="6"/>
  <c r="V43" i="6"/>
  <c r="AI43" i="6"/>
  <c r="N44" i="6"/>
  <c r="AA44" i="6"/>
  <c r="AN44" i="6"/>
  <c r="AP46" i="6"/>
  <c r="AN48" i="6"/>
  <c r="AB48" i="6"/>
  <c r="P48" i="6"/>
  <c r="AM48" i="6"/>
  <c r="AA48" i="6"/>
  <c r="O48" i="6"/>
  <c r="AL48" i="6"/>
  <c r="Z48" i="6"/>
  <c r="N48" i="6"/>
  <c r="AK48" i="6"/>
  <c r="Y48" i="6"/>
  <c r="M48" i="6"/>
  <c r="AV48" i="6"/>
  <c r="AJ48" i="6"/>
  <c r="X48" i="6"/>
  <c r="L48" i="6"/>
  <c r="AF48" i="6"/>
  <c r="Y49" i="6"/>
  <c r="AB51" i="6"/>
  <c r="AP43" i="6"/>
  <c r="AD43" i="6"/>
  <c r="R43" i="6"/>
  <c r="W43" i="6"/>
  <c r="AJ43" i="6"/>
  <c r="O44" i="6"/>
  <c r="AB44" i="6"/>
  <c r="AO44" i="6"/>
  <c r="R47" i="6"/>
  <c r="AN47" i="6"/>
  <c r="AG48" i="6"/>
  <c r="AN53" i="6"/>
  <c r="AS54" i="6"/>
  <c r="AB46" i="6"/>
  <c r="Q48" i="6"/>
  <c r="AH48" i="6"/>
  <c r="AP49" i="6"/>
  <c r="AD49" i="6"/>
  <c r="R49" i="6"/>
  <c r="AO49" i="6"/>
  <c r="AC49" i="6"/>
  <c r="Q49" i="6"/>
  <c r="AN49" i="6"/>
  <c r="AB49" i="6"/>
  <c r="P49" i="6"/>
  <c r="AM49" i="6"/>
  <c r="AA49" i="6"/>
  <c r="O49" i="6"/>
  <c r="AL49" i="6"/>
  <c r="Z49" i="6"/>
  <c r="N49" i="6"/>
  <c r="AU49" i="6"/>
  <c r="AF49" i="6"/>
  <c r="AG50" i="6"/>
  <c r="R52" i="6"/>
  <c r="AV56" i="6"/>
  <c r="AV55" i="6"/>
  <c r="AM40" i="6"/>
  <c r="AA40" i="6"/>
  <c r="O40" i="6"/>
  <c r="W40" i="6"/>
  <c r="AJ40" i="6"/>
  <c r="M41" i="6"/>
  <c r="Z41" i="6"/>
  <c r="AN41" i="6"/>
  <c r="L43" i="6"/>
  <c r="Y43" i="6"/>
  <c r="AL43" i="6"/>
  <c r="Q44" i="6"/>
  <c r="AD44" i="6"/>
  <c r="AQ44" i="6"/>
  <c r="AT45" i="6"/>
  <c r="AP47" i="6"/>
  <c r="R48" i="6"/>
  <c r="AI48" i="6"/>
  <c r="K49" i="6"/>
  <c r="AG49" i="6"/>
  <c r="AR50" i="6"/>
  <c r="AF50" i="6"/>
  <c r="T50" i="6"/>
  <c r="AQ50" i="6"/>
  <c r="AE50" i="6"/>
  <c r="S50" i="6"/>
  <c r="AP50" i="6"/>
  <c r="AD50" i="6"/>
  <c r="R50" i="6"/>
  <c r="AO50" i="6"/>
  <c r="AC50" i="6"/>
  <c r="Q50" i="6"/>
  <c r="AN50" i="6"/>
  <c r="AB50" i="6"/>
  <c r="P50" i="6"/>
  <c r="AK50" i="6"/>
  <c r="Y50" i="6"/>
  <c r="M50" i="6"/>
  <c r="AH50" i="6"/>
  <c r="AT51" i="6"/>
  <c r="R56" i="6"/>
  <c r="AM58" i="6"/>
  <c r="AA58" i="6"/>
  <c r="O58" i="6"/>
  <c r="AL58" i="6"/>
  <c r="Z58" i="6"/>
  <c r="N58" i="6"/>
  <c r="AV58" i="6"/>
  <c r="AJ58" i="6"/>
  <c r="X58" i="6"/>
  <c r="L58" i="6"/>
  <c r="AU58" i="6"/>
  <c r="AI58" i="6"/>
  <c r="W58" i="6"/>
  <c r="K58" i="6"/>
  <c r="AQ58" i="6"/>
  <c r="AE58" i="6"/>
  <c r="S58" i="6"/>
  <c r="AO58" i="6"/>
  <c r="AC58" i="6"/>
  <c r="Q58" i="6"/>
  <c r="AH58" i="6"/>
  <c r="AT54" i="6"/>
  <c r="M58" i="6"/>
  <c r="AK58" i="6"/>
  <c r="U54" i="6"/>
  <c r="AH54" i="6"/>
  <c r="AU54" i="6"/>
  <c r="P58" i="6"/>
  <c r="AN58" i="6"/>
  <c r="V54" i="6"/>
  <c r="AI54" i="6"/>
  <c r="R58" i="6"/>
  <c r="AP58" i="6"/>
  <c r="AM54" i="6"/>
  <c r="AA54" i="6"/>
  <c r="O54" i="6"/>
  <c r="W54" i="6"/>
  <c r="AJ54" i="6"/>
  <c r="AT56" i="6"/>
  <c r="T58" i="6"/>
  <c r="AR58" i="6"/>
  <c r="K54" i="6"/>
  <c r="X54" i="6"/>
  <c r="AK54" i="6"/>
  <c r="AV57" i="6"/>
  <c r="U58" i="6"/>
  <c r="AS58" i="6"/>
  <c r="V47" i="6"/>
  <c r="AH47" i="6"/>
  <c r="AT47" i="6"/>
  <c r="V53" i="6"/>
  <c r="AH53" i="6"/>
  <c r="AT53" i="6"/>
  <c r="L54" i="6"/>
  <c r="Y54" i="6"/>
  <c r="AL54" i="6"/>
  <c r="V58" i="6"/>
  <c r="AT58" i="6"/>
  <c r="U46" i="6"/>
  <c r="AG46" i="6"/>
  <c r="AS46" i="6"/>
  <c r="K47" i="6"/>
  <c r="W47" i="6"/>
  <c r="AI47" i="6"/>
  <c r="AU47" i="6"/>
  <c r="U52" i="6"/>
  <c r="AG52" i="6"/>
  <c r="AS52" i="6"/>
  <c r="K53" i="6"/>
  <c r="W53" i="6"/>
  <c r="AI53" i="6"/>
  <c r="AU53" i="6"/>
  <c r="M54" i="6"/>
  <c r="Z54" i="6"/>
  <c r="AN54" i="6"/>
  <c r="Y58" i="6"/>
  <c r="V46" i="6"/>
  <c r="AH46" i="6"/>
  <c r="AT46" i="6"/>
  <c r="L47" i="6"/>
  <c r="X47" i="6"/>
  <c r="AJ47" i="6"/>
  <c r="AV47" i="6"/>
  <c r="V52" i="6"/>
  <c r="AH52" i="6"/>
  <c r="AT52" i="6"/>
  <c r="L53" i="6"/>
  <c r="X53" i="6"/>
  <c r="AJ53" i="6"/>
  <c r="AV53" i="6"/>
  <c r="N54" i="6"/>
  <c r="AB54" i="6"/>
  <c r="AO54" i="6"/>
  <c r="AB58" i="6"/>
  <c r="K46" i="6"/>
  <c r="W46" i="6"/>
  <c r="AI46" i="6"/>
  <c r="AU46" i="6"/>
  <c r="M47" i="6"/>
  <c r="Y47" i="6"/>
  <c r="AK47" i="6"/>
  <c r="K52" i="6"/>
  <c r="W52" i="6"/>
  <c r="AI52" i="6"/>
  <c r="AU52" i="6"/>
  <c r="M53" i="6"/>
  <c r="Y53" i="6"/>
  <c r="AK53" i="6"/>
  <c r="P54" i="6"/>
  <c r="AC54" i="6"/>
  <c r="AP54" i="6"/>
  <c r="AD58" i="6"/>
  <c r="V45" i="6"/>
  <c r="AH45" i="6"/>
  <c r="L46" i="6"/>
  <c r="X46" i="6"/>
  <c r="AJ46" i="6"/>
  <c r="N47" i="6"/>
  <c r="Z47" i="6"/>
  <c r="AL47" i="6"/>
  <c r="V51" i="6"/>
  <c r="AH51" i="6"/>
  <c r="L52" i="6"/>
  <c r="X52" i="6"/>
  <c r="AJ52" i="6"/>
  <c r="N53" i="6"/>
  <c r="Z53" i="6"/>
  <c r="AL53" i="6"/>
  <c r="Q54" i="6"/>
  <c r="AD54" i="6"/>
  <c r="AQ54" i="6"/>
  <c r="AO55" i="6"/>
  <c r="AC55" i="6"/>
  <c r="Q55" i="6"/>
  <c r="W55" i="6"/>
  <c r="AJ55" i="6"/>
  <c r="AF58" i="6"/>
  <c r="S56" i="6"/>
  <c r="AE56" i="6"/>
  <c r="AQ56" i="6"/>
  <c r="U57" i="6"/>
  <c r="AG57" i="6"/>
  <c r="AS57" i="6"/>
  <c r="T56" i="6"/>
  <c r="AF56" i="6"/>
  <c r="AR56" i="6"/>
  <c r="V57" i="6"/>
  <c r="AH57" i="6"/>
  <c r="AT57" i="6"/>
  <c r="V56" i="6"/>
  <c r="AH56" i="6"/>
  <c r="L57" i="6"/>
  <c r="X57" i="6"/>
  <c r="AJ57" i="6"/>
  <c r="CU76" i="4"/>
  <c r="CU84" i="4"/>
  <c r="CU66" i="4"/>
  <c r="CU83" i="4"/>
  <c r="CU90" i="4"/>
  <c r="CU73" i="4"/>
  <c r="CU64" i="4"/>
  <c r="CU42" i="4"/>
  <c r="CU31" i="4"/>
  <c r="CU21" i="4"/>
  <c r="CU70" i="4"/>
  <c r="CU50" i="4"/>
  <c r="CU30" i="4"/>
  <c r="CU77" i="4"/>
  <c r="CU49" i="4"/>
  <c r="CU20" i="4"/>
  <c r="CU57" i="4"/>
  <c r="CU38" i="4"/>
  <c r="CU101" i="4"/>
  <c r="CU94" i="4"/>
  <c r="CU79" i="4"/>
  <c r="CU72" i="4"/>
  <c r="CU56" i="4"/>
  <c r="CU8" i="4"/>
  <c r="CU107" i="4"/>
  <c r="CU100" i="4"/>
  <c r="CU85" i="4"/>
  <c r="CU78" i="4"/>
  <c r="CU71" i="4"/>
  <c r="CU45" i="4"/>
  <c r="CU63" i="4"/>
  <c r="CU43" i="4"/>
  <c r="CU24" i="4"/>
  <c r="CU15" i="4"/>
  <c r="CU37" i="4"/>
  <c r="CU44" i="4"/>
  <c r="CU60" i="4"/>
  <c r="CU51" i="4"/>
  <c r="CU36" i="4"/>
  <c r="CU27" i="4"/>
  <c r="CU105" i="4"/>
  <c r="CU99" i="4"/>
  <c r="CU93" i="4"/>
  <c r="CU87" i="4"/>
  <c r="CU81" i="4"/>
  <c r="CU75" i="4"/>
  <c r="CU69" i="4"/>
  <c r="CU104" i="4"/>
  <c r="CU98" i="4"/>
  <c r="CU92" i="4"/>
  <c r="CU86" i="4"/>
  <c r="CU80" i="4"/>
  <c r="CU74" i="4"/>
  <c r="CU68" i="4"/>
  <c r="CU62" i="4"/>
  <c r="CU55" i="4"/>
  <c r="CU48" i="4"/>
  <c r="CU33" i="4"/>
  <c r="CU26" i="4"/>
  <c r="CU19" i="4"/>
  <c r="CU12" i="4"/>
  <c r="CU61" i="4"/>
  <c r="CU54" i="4"/>
  <c r="CU39" i="4"/>
  <c r="CU32" i="4"/>
  <c r="CU25" i="4"/>
  <c r="CU18" i="4"/>
  <c r="CU9" i="4"/>
  <c r="DB7" i="4"/>
  <c r="CU6" i="4"/>
  <c r="CU7" i="4"/>
  <c r="CU65" i="4"/>
  <c r="CU59" i="4"/>
  <c r="CU53" i="4"/>
  <c r="CU47" i="4"/>
  <c r="CU41" i="4"/>
  <c r="CU35" i="4"/>
  <c r="CU29" i="4"/>
  <c r="CU23" i="4"/>
  <c r="CU17" i="4"/>
  <c r="CU11" i="4"/>
  <c r="CU58" i="4"/>
  <c r="CU52" i="4"/>
  <c r="CU46" i="4"/>
  <c r="CU40" i="4"/>
  <c r="CU34" i="4"/>
  <c r="CU28" i="4"/>
  <c r="CU22" i="4"/>
  <c r="CU16" i="4"/>
  <c r="FP9" i="6" l="1"/>
  <c r="FO9" i="6" s="1"/>
  <c r="D38" i="6"/>
  <c r="D39" i="6" s="1"/>
  <c r="D40" i="6" s="1"/>
  <c r="D41" i="6" s="1"/>
  <c r="D42" i="6" s="1"/>
  <c r="D43" i="6" s="1"/>
  <c r="D44" i="6" s="1"/>
  <c r="D45" i="6" s="1"/>
  <c r="D46" i="6" s="1"/>
  <c r="D47" i="6" s="1"/>
  <c r="B58" i="6"/>
  <c r="B25" i="6"/>
  <c r="D9" i="6"/>
  <c r="H9" i="6" s="1"/>
  <c r="J38" i="6"/>
  <c r="CS5" i="4"/>
  <c r="CS4" i="4"/>
  <c r="CS3" i="4"/>
  <c r="CQ6" i="4" s="1"/>
  <c r="CR7" i="4"/>
  <c r="CR8" i="4" s="1"/>
  <c r="CR9" i="4" s="1"/>
  <c r="CR10" i="4" s="1"/>
  <c r="CR11" i="4" s="1"/>
  <c r="CR12" i="4" s="1"/>
  <c r="CR13" i="4" s="1"/>
  <c r="CR14" i="4" s="1"/>
  <c r="CR15" i="4" s="1"/>
  <c r="CR16" i="4" s="1"/>
  <c r="CR17" i="4" s="1"/>
  <c r="CR18" i="4" s="1"/>
  <c r="CR19" i="4" s="1"/>
  <c r="CR20" i="4" s="1"/>
  <c r="CR21" i="4" s="1"/>
  <c r="CR22" i="4" s="1"/>
  <c r="CR23" i="4" s="1"/>
  <c r="CR24" i="4" s="1"/>
  <c r="CR25" i="4" s="1"/>
  <c r="CR26" i="4" s="1"/>
  <c r="CR27" i="4" s="1"/>
  <c r="CR28" i="4" s="1"/>
  <c r="CR29" i="4" s="1"/>
  <c r="CR30" i="4" s="1"/>
  <c r="CR31" i="4" s="1"/>
  <c r="CR32" i="4" s="1"/>
  <c r="CR33" i="4" s="1"/>
  <c r="CR34" i="4" s="1"/>
  <c r="CR35" i="4" s="1"/>
  <c r="CR36" i="4" s="1"/>
  <c r="CR37" i="4" s="1"/>
  <c r="CR38" i="4" s="1"/>
  <c r="CR39" i="4" s="1"/>
  <c r="CR40" i="4" s="1"/>
  <c r="CR41" i="4" s="1"/>
  <c r="CR42" i="4" s="1"/>
  <c r="CR43" i="4" s="1"/>
  <c r="CR44" i="4" s="1"/>
  <c r="CR45" i="4" s="1"/>
  <c r="CR46" i="4" s="1"/>
  <c r="CR47" i="4" s="1"/>
  <c r="CR48" i="4" s="1"/>
  <c r="CR49" i="4" s="1"/>
  <c r="CR50" i="4" s="1"/>
  <c r="CR51" i="4" s="1"/>
  <c r="CR52" i="4" s="1"/>
  <c r="CR53" i="4" s="1"/>
  <c r="CR54" i="4" s="1"/>
  <c r="CR55" i="4" s="1"/>
  <c r="CR56" i="4" s="1"/>
  <c r="CR57" i="4" s="1"/>
  <c r="CR58" i="4" s="1"/>
  <c r="CR59" i="4" s="1"/>
  <c r="CR60" i="4" s="1"/>
  <c r="CR61" i="4" s="1"/>
  <c r="CR62" i="4" s="1"/>
  <c r="CR63" i="4" s="1"/>
  <c r="CR64" i="4" s="1"/>
  <c r="CR65" i="4" s="1"/>
  <c r="CR66" i="4" s="1"/>
  <c r="CR67" i="4" s="1"/>
  <c r="CR68" i="4" s="1"/>
  <c r="CR69" i="4" s="1"/>
  <c r="CR70" i="4" s="1"/>
  <c r="CR71" i="4" s="1"/>
  <c r="CR72" i="4" s="1"/>
  <c r="CR73" i="4" s="1"/>
  <c r="CR74" i="4" s="1"/>
  <c r="CR75" i="4" s="1"/>
  <c r="CR76" i="4" s="1"/>
  <c r="CR77" i="4" s="1"/>
  <c r="CR78" i="4" s="1"/>
  <c r="CR79" i="4" s="1"/>
  <c r="CR80" i="4" s="1"/>
  <c r="CR81" i="4" s="1"/>
  <c r="CR82" i="4" s="1"/>
  <c r="CR83" i="4" s="1"/>
  <c r="CR84" i="4" s="1"/>
  <c r="CR85" i="4" s="1"/>
  <c r="CR86" i="4" s="1"/>
  <c r="CR87" i="4" s="1"/>
  <c r="CR88" i="4" s="1"/>
  <c r="CR89" i="4" s="1"/>
  <c r="CR90" i="4" s="1"/>
  <c r="CR91" i="4" s="1"/>
  <c r="CR92" i="4" s="1"/>
  <c r="CR93" i="4" s="1"/>
  <c r="CR94" i="4" s="1"/>
  <c r="CR95" i="4" s="1"/>
  <c r="CR96" i="4" s="1"/>
  <c r="CR97" i="4" s="1"/>
  <c r="CR98" i="4" s="1"/>
  <c r="CR99" i="4" s="1"/>
  <c r="CR100" i="4" s="1"/>
  <c r="CR101" i="4" s="1"/>
  <c r="CR102" i="4" s="1"/>
  <c r="CR103" i="4" s="1"/>
  <c r="CR104" i="4" s="1"/>
  <c r="CR105" i="4" s="1"/>
  <c r="CR106" i="4" s="1"/>
  <c r="CR107" i="4" s="1"/>
  <c r="CR108" i="4" s="1"/>
  <c r="CR109" i="4" s="1"/>
  <c r="CR110" i="4" s="1"/>
  <c r="CR111" i="4" s="1"/>
  <c r="CR112" i="4" s="1"/>
  <c r="CR113" i="4" s="1"/>
  <c r="CR114" i="4" s="1"/>
  <c r="CR115" i="4" s="1"/>
  <c r="CR116" i="4" s="1"/>
  <c r="CR117" i="4" s="1"/>
  <c r="CR118" i="4" s="1"/>
  <c r="CR119" i="4" s="1"/>
  <c r="CR120" i="4" s="1"/>
  <c r="CR121" i="4" s="1"/>
  <c r="CR122" i="4" s="1"/>
  <c r="CR123" i="4" s="1"/>
  <c r="CR124" i="4" s="1"/>
  <c r="CR125" i="4" s="1"/>
  <c r="CR126" i="4" s="1"/>
  <c r="CR127" i="4" s="1"/>
  <c r="CR128" i="4" s="1"/>
  <c r="CR129" i="4" s="1"/>
  <c r="CR130" i="4" s="1"/>
  <c r="CR131" i="4" s="1"/>
  <c r="CR132" i="4" s="1"/>
  <c r="CR133" i="4" s="1"/>
  <c r="CR134" i="4" s="1"/>
  <c r="CR135" i="4" s="1"/>
  <c r="CR136" i="4" s="1"/>
  <c r="CR137" i="4" s="1"/>
  <c r="CR138" i="4" s="1"/>
  <c r="CR139" i="4" s="1"/>
  <c r="CR140" i="4" s="1"/>
  <c r="CR141" i="4" s="1"/>
  <c r="CR142" i="4" s="1"/>
  <c r="CR143" i="4" s="1"/>
  <c r="CR144" i="4" s="1"/>
  <c r="CR145" i="4" s="1"/>
  <c r="CR146" i="4" s="1"/>
  <c r="CR147" i="4" s="1"/>
  <c r="CR148" i="4" s="1"/>
  <c r="CR149" i="4" s="1"/>
  <c r="CR150" i="4" s="1"/>
  <c r="CR151" i="4" s="1"/>
  <c r="CR152" i="4" s="1"/>
  <c r="CR153" i="4" s="1"/>
  <c r="CR154" i="4" s="1"/>
  <c r="CR155" i="4" s="1"/>
  <c r="CR156" i="4" s="1"/>
  <c r="CR157" i="4" s="1"/>
  <c r="CR158" i="4" s="1"/>
  <c r="CR159" i="4" s="1"/>
  <c r="CR160" i="4" s="1"/>
  <c r="CR161" i="4" s="1"/>
  <c r="CR162" i="4" s="1"/>
  <c r="CR163" i="4" s="1"/>
  <c r="CR164" i="4" s="1"/>
  <c r="CR165" i="4" s="1"/>
  <c r="CR166" i="4" s="1"/>
  <c r="CR167" i="4" s="1"/>
  <c r="CR168" i="4" s="1"/>
  <c r="CR169" i="4" s="1"/>
  <c r="CR170" i="4" s="1"/>
  <c r="CR171" i="4" s="1"/>
  <c r="CR172" i="4" s="1"/>
  <c r="CR173" i="4" s="1"/>
  <c r="CR174" i="4" s="1"/>
  <c r="CR175" i="4" s="1"/>
  <c r="CR176" i="4" s="1"/>
  <c r="CR177" i="4" s="1"/>
  <c r="CR178" i="4" s="1"/>
  <c r="CR179" i="4" s="1"/>
  <c r="CR180" i="4" s="1"/>
  <c r="CR181" i="4" s="1"/>
  <c r="CR182" i="4" s="1"/>
  <c r="CR183" i="4" s="1"/>
  <c r="CR184" i="4" s="1"/>
  <c r="CR185" i="4" s="1"/>
  <c r="CR186" i="4" s="1"/>
  <c r="CR187" i="4" s="1"/>
  <c r="CR188" i="4" s="1"/>
  <c r="CR189" i="4" s="1"/>
  <c r="CR190" i="4" s="1"/>
  <c r="CR191" i="4" s="1"/>
  <c r="CR192" i="4" s="1"/>
  <c r="CR193" i="4" s="1"/>
  <c r="CR194" i="4" s="1"/>
  <c r="CR195" i="4" s="1"/>
  <c r="CR196" i="4" s="1"/>
  <c r="CR197" i="4" s="1"/>
  <c r="CR198" i="4" s="1"/>
  <c r="CR199" i="4" s="1"/>
  <c r="CR200" i="4" s="1"/>
  <c r="CR201" i="4" s="1"/>
  <c r="CR202" i="4" s="1"/>
  <c r="CR203" i="4" s="1"/>
  <c r="CR204" i="4" s="1"/>
  <c r="CR205" i="4" s="1"/>
  <c r="CR206" i="4" s="1"/>
  <c r="CR207" i="4" s="1"/>
  <c r="CR208" i="4" s="1"/>
  <c r="CR209" i="4" s="1"/>
  <c r="CR210" i="4" s="1"/>
  <c r="CR211" i="4" s="1"/>
  <c r="CR212" i="4" s="1"/>
  <c r="CR213" i="4" s="1"/>
  <c r="CR214" i="4" s="1"/>
  <c r="CR215" i="4" s="1"/>
  <c r="CR216" i="4" s="1"/>
  <c r="CR217" i="4" s="1"/>
  <c r="CR218" i="4" s="1"/>
  <c r="CR219" i="4" s="1"/>
  <c r="CR220" i="4" s="1"/>
  <c r="CR221" i="4" s="1"/>
  <c r="CR222" i="4" s="1"/>
  <c r="CR223" i="4" s="1"/>
  <c r="CR224" i="4" s="1"/>
  <c r="CR225" i="4" s="1"/>
  <c r="CR226" i="4" s="1"/>
  <c r="CR227" i="4" s="1"/>
  <c r="CR228" i="4" s="1"/>
  <c r="CR229" i="4" s="1"/>
  <c r="CR230" i="4" s="1"/>
  <c r="CR231" i="4" s="1"/>
  <c r="CR232" i="4" s="1"/>
  <c r="CR233" i="4" s="1"/>
  <c r="CR234" i="4" s="1"/>
  <c r="CR235" i="4" s="1"/>
  <c r="CR236" i="4" s="1"/>
  <c r="CR237" i="4" s="1"/>
  <c r="CR238" i="4" s="1"/>
  <c r="CR239" i="4" s="1"/>
  <c r="CR240" i="4" s="1"/>
  <c r="CR241" i="4" s="1"/>
  <c r="CR242" i="4" s="1"/>
  <c r="CR243" i="4" s="1"/>
  <c r="CR244" i="4" s="1"/>
  <c r="CR245" i="4" s="1"/>
  <c r="CR246" i="4" s="1"/>
  <c r="CR247" i="4" s="1"/>
  <c r="CR248" i="4" s="1"/>
  <c r="CR249" i="4" s="1"/>
  <c r="CR250" i="4" s="1"/>
  <c r="CR251" i="4" s="1"/>
  <c r="CR252" i="4" s="1"/>
  <c r="CR253" i="4" s="1"/>
  <c r="CR254" i="4" s="1"/>
  <c r="CR255" i="4" s="1"/>
  <c r="CR256" i="4" s="1"/>
  <c r="CR257" i="4" s="1"/>
  <c r="CR258" i="4" s="1"/>
  <c r="CR259" i="4" s="1"/>
  <c r="CR260" i="4" s="1"/>
  <c r="CR261" i="4" s="1"/>
  <c r="CR262" i="4" s="1"/>
  <c r="CR263" i="4" s="1"/>
  <c r="CR264" i="4" s="1"/>
  <c r="CR265" i="4" s="1"/>
  <c r="CR266" i="4" s="1"/>
  <c r="CR267" i="4" s="1"/>
  <c r="CR268" i="4" s="1"/>
  <c r="CR269" i="4" s="1"/>
  <c r="CR270" i="4" s="1"/>
  <c r="CR271" i="4" s="1"/>
  <c r="CR272" i="4" s="1"/>
  <c r="CR273" i="4" s="1"/>
  <c r="CR274" i="4" s="1"/>
  <c r="CR275" i="4" s="1"/>
  <c r="CR276" i="4" s="1"/>
  <c r="CR277" i="4" s="1"/>
  <c r="CR278" i="4" s="1"/>
  <c r="CR279" i="4" s="1"/>
  <c r="CR280" i="4" s="1"/>
  <c r="CR281" i="4" s="1"/>
  <c r="CR282" i="4" s="1"/>
  <c r="CR283" i="4" s="1"/>
  <c r="CR284" i="4" s="1"/>
  <c r="CR285" i="4" s="1"/>
  <c r="CR286" i="4" s="1"/>
  <c r="CR287" i="4" s="1"/>
  <c r="CR288" i="4" s="1"/>
  <c r="CR289" i="4" s="1"/>
  <c r="CR290" i="4" s="1"/>
  <c r="CR291" i="4" s="1"/>
  <c r="CR292" i="4" s="1"/>
  <c r="CR293" i="4" s="1"/>
  <c r="CR294" i="4" s="1"/>
  <c r="CR295" i="4" s="1"/>
  <c r="CR296" i="4" s="1"/>
  <c r="CR297" i="4" s="1"/>
  <c r="CR298" i="4" s="1"/>
  <c r="CR299" i="4" s="1"/>
  <c r="CR300" i="4" s="1"/>
  <c r="CR301" i="4" s="1"/>
  <c r="CR302" i="4" s="1"/>
  <c r="CR303" i="4" s="1"/>
  <c r="CR304" i="4" s="1"/>
  <c r="CR305" i="4" s="1"/>
  <c r="CR306" i="4" s="1"/>
  <c r="CR307" i="4" s="1"/>
  <c r="CR308" i="4" s="1"/>
  <c r="CR309" i="4" s="1"/>
  <c r="CR310" i="4" s="1"/>
  <c r="CR311" i="4" s="1"/>
  <c r="CR312" i="4" s="1"/>
  <c r="CR313" i="4" s="1"/>
  <c r="CR314" i="4" s="1"/>
  <c r="CR315" i="4" s="1"/>
  <c r="CR316" i="4" s="1"/>
  <c r="CR317" i="4" s="1"/>
  <c r="CR318" i="4" s="1"/>
  <c r="CR319" i="4" s="1"/>
  <c r="CR320" i="4" s="1"/>
  <c r="CR321" i="4" s="1"/>
  <c r="CR322" i="4" s="1"/>
  <c r="CR323" i="4" s="1"/>
  <c r="CR324" i="4" s="1"/>
  <c r="CR325" i="4" s="1"/>
  <c r="CR326" i="4" s="1"/>
  <c r="CR327" i="4" s="1"/>
  <c r="CR328" i="4" s="1"/>
  <c r="CR329" i="4" s="1"/>
  <c r="CR330" i="4" s="1"/>
  <c r="CR331" i="4" s="1"/>
  <c r="CR332" i="4" s="1"/>
  <c r="CR333" i="4" s="1"/>
  <c r="CR334" i="4" s="1"/>
  <c r="CR335" i="4" s="1"/>
  <c r="CR336" i="4" s="1"/>
  <c r="CR337" i="4" s="1"/>
  <c r="CR338" i="4" s="1"/>
  <c r="CR339" i="4" s="1"/>
  <c r="CR340" i="4" s="1"/>
  <c r="CR341" i="4" s="1"/>
  <c r="CR342" i="4" s="1"/>
  <c r="CR343" i="4" s="1"/>
  <c r="CR344" i="4" s="1"/>
  <c r="CR345" i="4" s="1"/>
  <c r="CR346" i="4" s="1"/>
  <c r="CR347" i="4" s="1"/>
  <c r="CR348" i="4" s="1"/>
  <c r="CR349" i="4" s="1"/>
  <c r="CR350" i="4" s="1"/>
  <c r="CR351" i="4" s="1"/>
  <c r="CR352" i="4" s="1"/>
  <c r="CR353" i="4" s="1"/>
  <c r="CR354" i="4" s="1"/>
  <c r="CR355" i="4" s="1"/>
  <c r="CR356" i="4" s="1"/>
  <c r="CR357" i="4" s="1"/>
  <c r="CR358" i="4" s="1"/>
  <c r="CR359" i="4" s="1"/>
  <c r="CR360" i="4" s="1"/>
  <c r="CR361" i="4" s="1"/>
  <c r="CR362" i="4" s="1"/>
  <c r="CR363" i="4" s="1"/>
  <c r="CR364" i="4" s="1"/>
  <c r="CR365" i="4" s="1"/>
  <c r="CR366" i="4" s="1"/>
  <c r="CQ366" i="4" s="1"/>
  <c r="G4" i="4"/>
  <c r="G3" i="4"/>
  <c r="E30" i="4"/>
  <c r="G26" i="4"/>
  <c r="G27" i="4"/>
  <c r="G28" i="4"/>
  <c r="G29" i="4"/>
  <c r="G25" i="4"/>
  <c r="B30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G24" i="4"/>
  <c r="G23" i="4"/>
  <c r="G22" i="4"/>
  <c r="G33" i="4" s="1"/>
  <c r="G21" i="4"/>
  <c r="G32" i="4" s="1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I7" i="4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G7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X6" i="4"/>
  <c r="AX7" i="4" s="1"/>
  <c r="AX8" i="4" s="1"/>
  <c r="AX9" i="4" s="1"/>
  <c r="AX10" i="4" s="1"/>
  <c r="AX11" i="4" s="1"/>
  <c r="AX12" i="4" s="1"/>
  <c r="AX13" i="4" s="1"/>
  <c r="AX14" i="4" s="1"/>
  <c r="AX15" i="4" s="1"/>
  <c r="AX16" i="4" s="1"/>
  <c r="AX17" i="4" s="1"/>
  <c r="AX18" i="4" s="1"/>
  <c r="AX19" i="4" s="1"/>
  <c r="AX20" i="4" s="1"/>
  <c r="AX21" i="4" s="1"/>
  <c r="AX22" i="4" s="1"/>
  <c r="AX23" i="4" s="1"/>
  <c r="AX24" i="4" s="1"/>
  <c r="AX25" i="4" s="1"/>
  <c r="G6" i="4"/>
  <c r="J5" i="4"/>
  <c r="G1" i="4"/>
  <c r="H40" i="6" l="1"/>
  <c r="H38" i="6"/>
  <c r="FQ9" i="6"/>
  <c r="FP10" i="6"/>
  <c r="FN9" i="6"/>
  <c r="H39" i="6"/>
  <c r="H35" i="6"/>
  <c r="H36" i="6"/>
  <c r="H37" i="6"/>
  <c r="H41" i="6"/>
  <c r="B59" i="6"/>
  <c r="D10" i="6"/>
  <c r="B26" i="6"/>
  <c r="N44" i="4"/>
  <c r="N21" i="4" s="1"/>
  <c r="AT29" i="4"/>
  <c r="AS9" i="4"/>
  <c r="AT6" i="4"/>
  <c r="U46" i="4"/>
  <c r="U23" i="4" s="1"/>
  <c r="AG46" i="4"/>
  <c r="AG23" i="4" s="1"/>
  <c r="Y46" i="4"/>
  <c r="Y23" i="4" s="1"/>
  <c r="AW46" i="4"/>
  <c r="AW23" i="4" s="1"/>
  <c r="CQ364" i="4"/>
  <c r="CQ352" i="4"/>
  <c r="CQ340" i="4"/>
  <c r="CQ328" i="4"/>
  <c r="CQ316" i="4"/>
  <c r="CQ304" i="4"/>
  <c r="CQ292" i="4"/>
  <c r="CQ280" i="4"/>
  <c r="CQ268" i="4"/>
  <c r="CQ256" i="4"/>
  <c r="CQ244" i="4"/>
  <c r="CQ232" i="4"/>
  <c r="CQ220" i="4"/>
  <c r="CQ208" i="4"/>
  <c r="CQ196" i="4"/>
  <c r="CQ184" i="4"/>
  <c r="CQ172" i="4"/>
  <c r="CQ160" i="4"/>
  <c r="CQ148" i="4"/>
  <c r="CQ136" i="4"/>
  <c r="CQ124" i="4"/>
  <c r="CQ112" i="4"/>
  <c r="CQ100" i="4"/>
  <c r="CQ88" i="4"/>
  <c r="CQ76" i="4"/>
  <c r="CQ64" i="4"/>
  <c r="CQ52" i="4"/>
  <c r="CQ40" i="4"/>
  <c r="CQ28" i="4"/>
  <c r="CQ16" i="4"/>
  <c r="CQ363" i="4"/>
  <c r="CQ351" i="4"/>
  <c r="CQ339" i="4"/>
  <c r="CQ327" i="4"/>
  <c r="CQ315" i="4"/>
  <c r="CQ303" i="4"/>
  <c r="CQ291" i="4"/>
  <c r="CQ279" i="4"/>
  <c r="CQ267" i="4"/>
  <c r="CQ255" i="4"/>
  <c r="CQ243" i="4"/>
  <c r="CQ231" i="4"/>
  <c r="CQ219" i="4"/>
  <c r="CQ207" i="4"/>
  <c r="CQ195" i="4"/>
  <c r="CQ183" i="4"/>
  <c r="CQ171" i="4"/>
  <c r="CQ159" i="4"/>
  <c r="CQ147" i="4"/>
  <c r="CQ135" i="4"/>
  <c r="CQ123" i="4"/>
  <c r="CQ111" i="4"/>
  <c r="CQ99" i="4"/>
  <c r="CQ87" i="4"/>
  <c r="CQ75" i="4"/>
  <c r="CQ63" i="4"/>
  <c r="CQ51" i="4"/>
  <c r="CQ39" i="4"/>
  <c r="CQ27" i="4"/>
  <c r="CQ15" i="4"/>
  <c r="CQ362" i="4"/>
  <c r="CQ350" i="4"/>
  <c r="CQ338" i="4"/>
  <c r="CQ326" i="4"/>
  <c r="CQ314" i="4"/>
  <c r="CQ302" i="4"/>
  <c r="CQ290" i="4"/>
  <c r="CQ278" i="4"/>
  <c r="CQ266" i="4"/>
  <c r="CQ254" i="4"/>
  <c r="CQ242" i="4"/>
  <c r="CQ230" i="4"/>
  <c r="CQ218" i="4"/>
  <c r="CQ206" i="4"/>
  <c r="CQ194" i="4"/>
  <c r="CQ182" i="4"/>
  <c r="CQ170" i="4"/>
  <c r="CQ158" i="4"/>
  <c r="CQ146" i="4"/>
  <c r="CQ134" i="4"/>
  <c r="CQ122" i="4"/>
  <c r="CQ110" i="4"/>
  <c r="CQ98" i="4"/>
  <c r="CQ86" i="4"/>
  <c r="CQ74" i="4"/>
  <c r="CQ62" i="4"/>
  <c r="CQ50" i="4"/>
  <c r="CQ38" i="4"/>
  <c r="CQ26" i="4"/>
  <c r="CQ14" i="4"/>
  <c r="CQ361" i="4"/>
  <c r="CQ349" i="4"/>
  <c r="CQ337" i="4"/>
  <c r="CQ325" i="4"/>
  <c r="CQ313" i="4"/>
  <c r="CQ301" i="4"/>
  <c r="CQ289" i="4"/>
  <c r="CQ277" i="4"/>
  <c r="CQ265" i="4"/>
  <c r="CQ253" i="4"/>
  <c r="CQ241" i="4"/>
  <c r="CQ229" i="4"/>
  <c r="CQ217" i="4"/>
  <c r="CQ205" i="4"/>
  <c r="CQ193" i="4"/>
  <c r="CQ181" i="4"/>
  <c r="CQ169" i="4"/>
  <c r="CQ157" i="4"/>
  <c r="CQ145" i="4"/>
  <c r="CQ133" i="4"/>
  <c r="CQ121" i="4"/>
  <c r="CQ109" i="4"/>
  <c r="CQ97" i="4"/>
  <c r="CQ85" i="4"/>
  <c r="CQ73" i="4"/>
  <c r="CQ61" i="4"/>
  <c r="CQ49" i="4"/>
  <c r="CQ37" i="4"/>
  <c r="CQ25" i="4"/>
  <c r="CQ13" i="4"/>
  <c r="CQ360" i="4"/>
  <c r="CQ348" i="4"/>
  <c r="CQ336" i="4"/>
  <c r="CQ324" i="4"/>
  <c r="CQ312" i="4"/>
  <c r="CQ300" i="4"/>
  <c r="CQ288" i="4"/>
  <c r="CQ276" i="4"/>
  <c r="CQ264" i="4"/>
  <c r="CQ252" i="4"/>
  <c r="CQ240" i="4"/>
  <c r="CQ228" i="4"/>
  <c r="CQ216" i="4"/>
  <c r="CQ204" i="4"/>
  <c r="CQ192" i="4"/>
  <c r="CQ180" i="4"/>
  <c r="CQ168" i="4"/>
  <c r="CQ156" i="4"/>
  <c r="CQ144" i="4"/>
  <c r="CQ132" i="4"/>
  <c r="CQ120" i="4"/>
  <c r="CQ108" i="4"/>
  <c r="CQ96" i="4"/>
  <c r="CQ84" i="4"/>
  <c r="CQ72" i="4"/>
  <c r="CQ60" i="4"/>
  <c r="CQ48" i="4"/>
  <c r="CQ36" i="4"/>
  <c r="CQ24" i="4"/>
  <c r="CQ12" i="4"/>
  <c r="CQ359" i="4"/>
  <c r="CQ347" i="4"/>
  <c r="CQ335" i="4"/>
  <c r="CQ323" i="4"/>
  <c r="CQ311" i="4"/>
  <c r="CQ299" i="4"/>
  <c r="CQ287" i="4"/>
  <c r="CQ275" i="4"/>
  <c r="CQ263" i="4"/>
  <c r="CQ251" i="4"/>
  <c r="CQ239" i="4"/>
  <c r="CQ227" i="4"/>
  <c r="CQ215" i="4"/>
  <c r="CQ203" i="4"/>
  <c r="CQ191" i="4"/>
  <c r="CQ179" i="4"/>
  <c r="CQ167" i="4"/>
  <c r="CQ155" i="4"/>
  <c r="CQ143" i="4"/>
  <c r="CQ131" i="4"/>
  <c r="CQ119" i="4"/>
  <c r="CQ107" i="4"/>
  <c r="CQ95" i="4"/>
  <c r="CQ83" i="4"/>
  <c r="CQ71" i="4"/>
  <c r="CQ59" i="4"/>
  <c r="CQ47" i="4"/>
  <c r="CQ35" i="4"/>
  <c r="CQ23" i="4"/>
  <c r="CQ11" i="4"/>
  <c r="V46" i="4"/>
  <c r="V23" i="4" s="1"/>
  <c r="CQ358" i="4"/>
  <c r="CQ346" i="4"/>
  <c r="CQ334" i="4"/>
  <c r="CQ322" i="4"/>
  <c r="CQ310" i="4"/>
  <c r="CQ298" i="4"/>
  <c r="CQ286" i="4"/>
  <c r="CQ274" i="4"/>
  <c r="CQ262" i="4"/>
  <c r="CQ250" i="4"/>
  <c r="CQ238" i="4"/>
  <c r="CQ226" i="4"/>
  <c r="CQ214" i="4"/>
  <c r="CQ202" i="4"/>
  <c r="CQ190" i="4"/>
  <c r="CQ178" i="4"/>
  <c r="CQ166" i="4"/>
  <c r="CQ154" i="4"/>
  <c r="CQ142" i="4"/>
  <c r="CQ130" i="4"/>
  <c r="CQ118" i="4"/>
  <c r="CQ106" i="4"/>
  <c r="CQ94" i="4"/>
  <c r="CQ82" i="4"/>
  <c r="CQ70" i="4"/>
  <c r="CQ58" i="4"/>
  <c r="CQ46" i="4"/>
  <c r="CQ34" i="4"/>
  <c r="CQ22" i="4"/>
  <c r="CQ10" i="4"/>
  <c r="CQ357" i="4"/>
  <c r="CQ345" i="4"/>
  <c r="CQ333" i="4"/>
  <c r="CQ321" i="4"/>
  <c r="CQ309" i="4"/>
  <c r="CQ297" i="4"/>
  <c r="CQ285" i="4"/>
  <c r="CQ273" i="4"/>
  <c r="CQ261" i="4"/>
  <c r="CQ249" i="4"/>
  <c r="CQ237" i="4"/>
  <c r="CQ225" i="4"/>
  <c r="CQ213" i="4"/>
  <c r="CQ201" i="4"/>
  <c r="CQ189" i="4"/>
  <c r="CQ177" i="4"/>
  <c r="CQ165" i="4"/>
  <c r="CQ153" i="4"/>
  <c r="CQ141" i="4"/>
  <c r="CQ129" i="4"/>
  <c r="CQ117" i="4"/>
  <c r="CQ105" i="4"/>
  <c r="CQ93" i="4"/>
  <c r="CQ81" i="4"/>
  <c r="CQ69" i="4"/>
  <c r="CQ57" i="4"/>
  <c r="CQ45" i="4"/>
  <c r="CQ33" i="4"/>
  <c r="CQ21" i="4"/>
  <c r="CQ9" i="4"/>
  <c r="CQ356" i="4"/>
  <c r="CQ344" i="4"/>
  <c r="CQ332" i="4"/>
  <c r="CQ320" i="4"/>
  <c r="CQ308" i="4"/>
  <c r="CQ296" i="4"/>
  <c r="CQ284" i="4"/>
  <c r="CQ272" i="4"/>
  <c r="CQ260" i="4"/>
  <c r="CQ248" i="4"/>
  <c r="CQ236" i="4"/>
  <c r="CQ224" i="4"/>
  <c r="CQ212" i="4"/>
  <c r="CQ200" i="4"/>
  <c r="CQ188" i="4"/>
  <c r="CQ176" i="4"/>
  <c r="CQ164" i="4"/>
  <c r="CQ152" i="4"/>
  <c r="CQ140" i="4"/>
  <c r="CQ128" i="4"/>
  <c r="CQ116" i="4"/>
  <c r="CQ104" i="4"/>
  <c r="CQ92" i="4"/>
  <c r="CQ80" i="4"/>
  <c r="CQ68" i="4"/>
  <c r="CQ56" i="4"/>
  <c r="CQ44" i="4"/>
  <c r="CQ32" i="4"/>
  <c r="CQ20" i="4"/>
  <c r="CQ8" i="4"/>
  <c r="CQ355" i="4"/>
  <c r="CQ343" i="4"/>
  <c r="CQ331" i="4"/>
  <c r="CQ319" i="4"/>
  <c r="CQ307" i="4"/>
  <c r="CQ295" i="4"/>
  <c r="CQ283" i="4"/>
  <c r="CQ271" i="4"/>
  <c r="CQ259" i="4"/>
  <c r="CQ247" i="4"/>
  <c r="CQ235" i="4"/>
  <c r="CQ223" i="4"/>
  <c r="CQ211" i="4"/>
  <c r="CQ199" i="4"/>
  <c r="CQ187" i="4"/>
  <c r="CQ175" i="4"/>
  <c r="CQ163" i="4"/>
  <c r="CQ151" i="4"/>
  <c r="CQ139" i="4"/>
  <c r="CQ127" i="4"/>
  <c r="CQ115" i="4"/>
  <c r="CQ103" i="4"/>
  <c r="CQ91" i="4"/>
  <c r="CQ79" i="4"/>
  <c r="CQ67" i="4"/>
  <c r="CQ55" i="4"/>
  <c r="CQ43" i="4"/>
  <c r="CQ31" i="4"/>
  <c r="CQ19" i="4"/>
  <c r="CQ7" i="4"/>
  <c r="CQ354" i="4"/>
  <c r="CQ342" i="4"/>
  <c r="CQ330" i="4"/>
  <c r="CQ318" i="4"/>
  <c r="CQ306" i="4"/>
  <c r="CQ294" i="4"/>
  <c r="CQ282" i="4"/>
  <c r="CQ270" i="4"/>
  <c r="CQ258" i="4"/>
  <c r="CQ246" i="4"/>
  <c r="CQ234" i="4"/>
  <c r="CQ222" i="4"/>
  <c r="CQ210" i="4"/>
  <c r="CQ198" i="4"/>
  <c r="CQ186" i="4"/>
  <c r="CQ174" i="4"/>
  <c r="CQ162" i="4"/>
  <c r="CQ150" i="4"/>
  <c r="CQ138" i="4"/>
  <c r="CQ126" i="4"/>
  <c r="CQ114" i="4"/>
  <c r="CQ102" i="4"/>
  <c r="CQ90" i="4"/>
  <c r="CQ78" i="4"/>
  <c r="CQ66" i="4"/>
  <c r="CQ54" i="4"/>
  <c r="CQ42" i="4"/>
  <c r="CQ30" i="4"/>
  <c r="CQ18" i="4"/>
  <c r="O46" i="4"/>
  <c r="O23" i="4" s="1"/>
  <c r="CQ365" i="4"/>
  <c r="CQ353" i="4"/>
  <c r="CQ341" i="4"/>
  <c r="CQ329" i="4"/>
  <c r="CQ317" i="4"/>
  <c r="CQ305" i="4"/>
  <c r="CQ293" i="4"/>
  <c r="CQ281" i="4"/>
  <c r="CQ269" i="4"/>
  <c r="CQ257" i="4"/>
  <c r="CQ245" i="4"/>
  <c r="CQ233" i="4"/>
  <c r="CQ221" i="4"/>
  <c r="CQ209" i="4"/>
  <c r="CQ197" i="4"/>
  <c r="CQ185" i="4"/>
  <c r="CQ173" i="4"/>
  <c r="CQ161" i="4"/>
  <c r="CQ149" i="4"/>
  <c r="CQ137" i="4"/>
  <c r="CQ125" i="4"/>
  <c r="CQ113" i="4"/>
  <c r="CQ101" i="4"/>
  <c r="CQ89" i="4"/>
  <c r="CQ77" i="4"/>
  <c r="CQ65" i="4"/>
  <c r="CQ53" i="4"/>
  <c r="CQ41" i="4"/>
  <c r="CQ29" i="4"/>
  <c r="CQ17" i="4"/>
  <c r="P46" i="4"/>
  <c r="P23" i="4" s="1"/>
  <c r="AO44" i="4"/>
  <c r="AO21" i="4" s="1"/>
  <c r="S46" i="4"/>
  <c r="S23" i="4" s="1"/>
  <c r="X48" i="4"/>
  <c r="X25" i="4" s="1"/>
  <c r="AM44" i="4"/>
  <c r="AM21" i="4" s="1"/>
  <c r="L48" i="4"/>
  <c r="L25" i="4" s="1"/>
  <c r="AD48" i="4"/>
  <c r="AD25" i="4" s="1"/>
  <c r="AP48" i="4"/>
  <c r="AP25" i="4" s="1"/>
  <c r="AE42" i="4"/>
  <c r="AE19" i="4" s="1"/>
  <c r="T30" i="4"/>
  <c r="T7" i="4" s="1"/>
  <c r="AT40" i="4"/>
  <c r="AT17" i="4" s="1"/>
  <c r="AI38" i="4"/>
  <c r="AI15" i="4" s="1"/>
  <c r="Z38" i="4"/>
  <c r="Z15" i="4" s="1"/>
  <c r="AB40" i="4"/>
  <c r="AB17" i="4" s="1"/>
  <c r="R41" i="4"/>
  <c r="R18" i="4" s="1"/>
  <c r="AL41" i="4"/>
  <c r="AL18" i="4" s="1"/>
  <c r="Q41" i="4"/>
  <c r="Q18" i="4" s="1"/>
  <c r="K41" i="4"/>
  <c r="K18" i="4" s="1"/>
  <c r="J41" i="4"/>
  <c r="J18" i="4" s="1"/>
  <c r="AN37" i="4"/>
  <c r="AN14" i="4" s="1"/>
  <c r="AV47" i="4"/>
  <c r="AV24" i="4" s="1"/>
  <c r="AU32" i="4"/>
  <c r="AU9" i="4" s="1"/>
  <c r="Q34" i="4"/>
  <c r="Q11" i="4" s="1"/>
  <c r="AA33" i="4"/>
  <c r="AA10" i="4" s="1"/>
  <c r="AP43" i="4"/>
  <c r="AP20" i="4" s="1"/>
  <c r="AM45" i="4"/>
  <c r="AM22" i="4" s="1"/>
  <c r="AS31" i="4"/>
  <c r="AS8" i="4" s="1"/>
  <c r="W30" i="4"/>
  <c r="W7" i="4" s="1"/>
  <c r="AJ45" i="4"/>
  <c r="AJ22" i="4" s="1"/>
  <c r="AC38" i="4"/>
  <c r="AC15" i="4" s="1"/>
  <c r="AO40" i="4"/>
  <c r="AO17" i="4" s="1"/>
  <c r="AP42" i="4"/>
  <c r="AP19" i="4" s="1"/>
  <c r="Q44" i="4"/>
  <c r="Q21" i="4" s="1"/>
  <c r="W44" i="4"/>
  <c r="W21" i="4" s="1"/>
  <c r="AC46" i="4"/>
  <c r="AC23" i="4" s="1"/>
  <c r="AN43" i="4"/>
  <c r="AN20" i="4" s="1"/>
  <c r="Q29" i="4"/>
  <c r="Q6" i="4" s="1"/>
  <c r="P32" i="4"/>
  <c r="P9" i="4" s="1"/>
  <c r="AS33" i="4"/>
  <c r="AS10" i="4" s="1"/>
  <c r="AP37" i="4"/>
  <c r="AP14" i="4" s="1"/>
  <c r="R43" i="4"/>
  <c r="R20" i="4" s="1"/>
  <c r="AJ47" i="4"/>
  <c r="AJ24" i="4" s="1"/>
  <c r="V29" i="4"/>
  <c r="V6" i="4" s="1"/>
  <c r="AN30" i="4"/>
  <c r="AN7" i="4" s="1"/>
  <c r="R32" i="4"/>
  <c r="R9" i="4" s="1"/>
  <c r="X33" i="4"/>
  <c r="X10" i="4" s="1"/>
  <c r="AV36" i="4"/>
  <c r="AV13" i="4" s="1"/>
  <c r="S43" i="4"/>
  <c r="S20" i="4" s="1"/>
  <c r="X29" i="4"/>
  <c r="X6" i="4" s="1"/>
  <c r="N30" i="4"/>
  <c r="N7" i="4" s="1"/>
  <c r="AD32" i="4"/>
  <c r="AD9" i="4" s="1"/>
  <c r="AT43" i="4"/>
  <c r="AT20" i="4" s="1"/>
  <c r="AQ43" i="4"/>
  <c r="AQ20" i="4" s="1"/>
  <c r="AC29" i="4"/>
  <c r="AC6" i="4" s="1"/>
  <c r="R30" i="4"/>
  <c r="R7" i="4" s="1"/>
  <c r="AN32" i="4"/>
  <c r="AN9" i="4" s="1"/>
  <c r="AP33" i="4"/>
  <c r="AP10" i="4" s="1"/>
  <c r="AV39" i="4"/>
  <c r="AV16" i="4" s="1"/>
  <c r="AV43" i="4"/>
  <c r="AV20" i="4" s="1"/>
  <c r="AD29" i="4"/>
  <c r="AD6" i="4" s="1"/>
  <c r="O31" i="4"/>
  <c r="O8" i="4" s="1"/>
  <c r="AP32" i="4"/>
  <c r="AP9" i="4" s="1"/>
  <c r="AP29" i="4"/>
  <c r="AP6" i="4" s="1"/>
  <c r="AP31" i="4"/>
  <c r="AP8" i="4" s="1"/>
  <c r="AR32" i="4"/>
  <c r="AR9" i="4" s="1"/>
  <c r="AH35" i="4"/>
  <c r="AH12" i="4" s="1"/>
  <c r="AO41" i="4"/>
  <c r="AO18" i="4" s="1"/>
  <c r="AH32" i="4"/>
  <c r="AH9" i="4" s="1"/>
  <c r="AV29" i="4"/>
  <c r="AV6" i="4" s="1"/>
  <c r="AL30" i="4"/>
  <c r="AL7" i="4" s="1"/>
  <c r="AB35" i="4"/>
  <c r="AB12" i="4" s="1"/>
  <c r="N41" i="4"/>
  <c r="N18" i="4" s="1"/>
  <c r="AM48" i="4"/>
  <c r="AM25" i="4" s="1"/>
  <c r="AO30" i="4"/>
  <c r="AO7" i="4" s="1"/>
  <c r="AD35" i="4"/>
  <c r="AD12" i="4" s="1"/>
  <c r="AJ37" i="4"/>
  <c r="AJ14" i="4" s="1"/>
  <c r="O38" i="4"/>
  <c r="O15" i="4" s="1"/>
  <c r="P41" i="4"/>
  <c r="P18" i="4" s="1"/>
  <c r="L32" i="4"/>
  <c r="L9" i="4" s="1"/>
  <c r="AV32" i="4"/>
  <c r="AV9" i="4" s="1"/>
  <c r="AP30" i="4"/>
  <c r="AP7" i="4" s="1"/>
  <c r="L37" i="4"/>
  <c r="L14" i="4" s="1"/>
  <c r="Q38" i="4"/>
  <c r="Q15" i="4" s="1"/>
  <c r="AC41" i="4"/>
  <c r="AC18" i="4" s="1"/>
  <c r="R45" i="4"/>
  <c r="R22" i="4" s="1"/>
  <c r="O48" i="4"/>
  <c r="O25" i="4" s="1"/>
  <c r="M32" i="4"/>
  <c r="M9" i="4" s="1"/>
  <c r="AK32" i="4"/>
  <c r="AK9" i="4" s="1"/>
  <c r="AU30" i="4"/>
  <c r="AU7" i="4" s="1"/>
  <c r="AW34" i="4"/>
  <c r="AW11" i="4" s="1"/>
  <c r="M37" i="4"/>
  <c r="M14" i="4" s="1"/>
  <c r="AH40" i="4"/>
  <c r="AH17" i="4" s="1"/>
  <c r="AD41" i="4"/>
  <c r="AD18" i="4" s="1"/>
  <c r="M34" i="4"/>
  <c r="M11" i="4" s="1"/>
  <c r="R37" i="4"/>
  <c r="R14" i="4" s="1"/>
  <c r="AK40" i="4"/>
  <c r="AK17" i="4" s="1"/>
  <c r="AP41" i="4"/>
  <c r="AP18" i="4" s="1"/>
  <c r="L39" i="4"/>
  <c r="L16" i="4" s="1"/>
  <c r="AT41" i="4"/>
  <c r="AT18" i="4" s="1"/>
  <c r="AS42" i="4"/>
  <c r="AS19" i="4" s="1"/>
  <c r="AS45" i="4"/>
  <c r="AS22" i="4" s="1"/>
  <c r="J47" i="4"/>
  <c r="J24" i="4" s="1"/>
  <c r="AN47" i="4"/>
  <c r="AN24" i="4" s="1"/>
  <c r="AU47" i="4"/>
  <c r="AU24" i="4" s="1"/>
  <c r="AB29" i="4"/>
  <c r="AB6" i="4" s="1"/>
  <c r="V30" i="4"/>
  <c r="V7" i="4" s="1"/>
  <c r="AT30" i="4"/>
  <c r="AT7" i="4" s="1"/>
  <c r="S32" i="4"/>
  <c r="S9" i="4" s="1"/>
  <c r="AG33" i="4"/>
  <c r="AG10" i="4" s="1"/>
  <c r="S34" i="4"/>
  <c r="S11" i="4" s="1"/>
  <c r="P37" i="4"/>
  <c r="P14" i="4" s="1"/>
  <c r="AQ37" i="4"/>
  <c r="AQ14" i="4" s="1"/>
  <c r="O39" i="4"/>
  <c r="O16" i="4" s="1"/>
  <c r="AQ40" i="4"/>
  <c r="AQ17" i="4" s="1"/>
  <c r="AV41" i="4"/>
  <c r="AV18" i="4" s="1"/>
  <c r="V43" i="4"/>
  <c r="V20" i="4" s="1"/>
  <c r="AW43" i="4"/>
  <c r="AW20" i="4" s="1"/>
  <c r="AV45" i="4"/>
  <c r="AV22" i="4" s="1"/>
  <c r="AE46" i="4"/>
  <c r="AE23" i="4" s="1"/>
  <c r="L47" i="4"/>
  <c r="L24" i="4" s="1"/>
  <c r="AP47" i="4"/>
  <c r="AP24" i="4" s="1"/>
  <c r="S48" i="4"/>
  <c r="S25" i="4" s="1"/>
  <c r="V32" i="4"/>
  <c r="V9" i="4" s="1"/>
  <c r="V34" i="4"/>
  <c r="V11" i="4" s="1"/>
  <c r="AS35" i="4"/>
  <c r="AS12" i="4" s="1"/>
  <c r="AJ35" i="4"/>
  <c r="AJ12" i="4" s="1"/>
  <c r="AT37" i="4"/>
  <c r="AT14" i="4" s="1"/>
  <c r="U39" i="4"/>
  <c r="U16" i="4" s="1"/>
  <c r="V41" i="4"/>
  <c r="V18" i="4" s="1"/>
  <c r="X43" i="4"/>
  <c r="X20" i="4" s="1"/>
  <c r="AH46" i="4"/>
  <c r="AH23" i="4" s="1"/>
  <c r="P47" i="4"/>
  <c r="P24" i="4" s="1"/>
  <c r="AR47" i="4"/>
  <c r="AR24" i="4" s="1"/>
  <c r="U48" i="4"/>
  <c r="U25" i="4" s="1"/>
  <c r="X30" i="4"/>
  <c r="X7" i="4" s="1"/>
  <c r="AV30" i="4"/>
  <c r="AV7" i="4" s="1"/>
  <c r="X32" i="4"/>
  <c r="X9" i="4" s="1"/>
  <c r="AB34" i="4"/>
  <c r="AB11" i="4" s="1"/>
  <c r="J35" i="4"/>
  <c r="J12" i="4" s="1"/>
  <c r="AN35" i="4"/>
  <c r="AN12" i="4" s="1"/>
  <c r="V37" i="4"/>
  <c r="V14" i="4" s="1"/>
  <c r="AV37" i="4"/>
  <c r="AV14" i="4" s="1"/>
  <c r="AG38" i="4"/>
  <c r="AG15" i="4" s="1"/>
  <c r="V39" i="4"/>
  <c r="V16" i="4" s="1"/>
  <c r="X41" i="4"/>
  <c r="X18" i="4" s="1"/>
  <c r="AB43" i="4"/>
  <c r="AB20" i="4" s="1"/>
  <c r="AN46" i="4"/>
  <c r="AN23" i="4" s="1"/>
  <c r="Q47" i="4"/>
  <c r="Q24" i="4" s="1"/>
  <c r="AT47" i="4"/>
  <c r="AT24" i="4" s="1"/>
  <c r="Z35" i="4"/>
  <c r="Z12" i="4" s="1"/>
  <c r="AH29" i="4"/>
  <c r="AH6" i="4" s="1"/>
  <c r="AB30" i="4"/>
  <c r="AB7" i="4" s="1"/>
  <c r="Z32" i="4"/>
  <c r="Z9" i="4" s="1"/>
  <c r="AE34" i="4"/>
  <c r="AE11" i="4" s="1"/>
  <c r="L35" i="4"/>
  <c r="L12" i="4" s="1"/>
  <c r="AO35" i="4"/>
  <c r="AO12" i="4" s="1"/>
  <c r="X37" i="4"/>
  <c r="X14" i="4" s="1"/>
  <c r="AW37" i="4"/>
  <c r="AW14" i="4" s="1"/>
  <c r="X39" i="4"/>
  <c r="X16" i="4" s="1"/>
  <c r="AB41" i="4"/>
  <c r="AB18" i="4" s="1"/>
  <c r="AD43" i="4"/>
  <c r="AD20" i="4" s="1"/>
  <c r="AQ46" i="4"/>
  <c r="AQ23" i="4" s="1"/>
  <c r="R47" i="4"/>
  <c r="R24" i="4" s="1"/>
  <c r="AS47" i="4"/>
  <c r="AS24" i="4" s="1"/>
  <c r="AM34" i="4"/>
  <c r="AM11" i="4" s="1"/>
  <c r="AI29" i="4"/>
  <c r="AI6" i="4" s="1"/>
  <c r="AC30" i="4"/>
  <c r="AC7" i="4" s="1"/>
  <c r="AB32" i="4"/>
  <c r="AB9" i="4" s="1"/>
  <c r="AK34" i="4"/>
  <c r="AK11" i="4" s="1"/>
  <c r="P35" i="4"/>
  <c r="P12" i="4" s="1"/>
  <c r="AP35" i="4"/>
  <c r="AP12" i="4" s="1"/>
  <c r="Y37" i="4"/>
  <c r="Y14" i="4" s="1"/>
  <c r="AL38" i="4"/>
  <c r="AL15" i="4" s="1"/>
  <c r="AD39" i="4"/>
  <c r="AD16" i="4" s="1"/>
  <c r="J40" i="4"/>
  <c r="J17" i="4" s="1"/>
  <c r="AE43" i="4"/>
  <c r="AE20" i="4" s="1"/>
  <c r="V47" i="4"/>
  <c r="V24" i="4" s="1"/>
  <c r="AG48" i="4"/>
  <c r="AG25" i="4" s="1"/>
  <c r="J29" i="4"/>
  <c r="J6" i="4" s="1"/>
  <c r="AJ29" i="4"/>
  <c r="AJ6" i="4" s="1"/>
  <c r="AD30" i="4"/>
  <c r="AD7" i="4" s="1"/>
  <c r="AN34" i="4"/>
  <c r="AN11" i="4" s="1"/>
  <c r="Q35" i="4"/>
  <c r="Q12" i="4" s="1"/>
  <c r="AR35" i="4"/>
  <c r="AR12" i="4" s="1"/>
  <c r="AB37" i="4"/>
  <c r="AB14" i="4" s="1"/>
  <c r="AG39" i="4"/>
  <c r="AG16" i="4" s="1"/>
  <c r="P40" i="4"/>
  <c r="P17" i="4" s="1"/>
  <c r="AH43" i="4"/>
  <c r="AH20" i="4" s="1"/>
  <c r="X47" i="4"/>
  <c r="X24" i="4" s="1"/>
  <c r="AK48" i="4"/>
  <c r="AK25" i="4" s="1"/>
  <c r="AC35" i="4"/>
  <c r="AC12" i="4" s="1"/>
  <c r="AO47" i="4"/>
  <c r="AO24" i="4" s="1"/>
  <c r="L29" i="4"/>
  <c r="L6" i="4" s="1"/>
  <c r="AN29" i="4"/>
  <c r="AN6" i="4" s="1"/>
  <c r="J30" i="4"/>
  <c r="J7" i="4" s="1"/>
  <c r="AH30" i="4"/>
  <c r="AH7" i="4" s="1"/>
  <c r="AT32" i="4"/>
  <c r="AT9" i="4" s="1"/>
  <c r="AE32" i="4"/>
  <c r="AE9" i="4" s="1"/>
  <c r="AT34" i="4"/>
  <c r="AT11" i="4" s="1"/>
  <c r="R35" i="4"/>
  <c r="R12" i="4" s="1"/>
  <c r="AT35" i="4"/>
  <c r="AT12" i="4" s="1"/>
  <c r="AD37" i="4"/>
  <c r="AD14" i="4" s="1"/>
  <c r="AM39" i="4"/>
  <c r="AM16" i="4" s="1"/>
  <c r="S40" i="4"/>
  <c r="S17" i="4" s="1"/>
  <c r="AH41" i="4"/>
  <c r="AH18" i="4" s="1"/>
  <c r="AW42" i="4"/>
  <c r="AW19" i="4" s="1"/>
  <c r="J43" i="4"/>
  <c r="J20" i="4" s="1"/>
  <c r="AJ43" i="4"/>
  <c r="AJ20" i="4" s="1"/>
  <c r="AQ44" i="4"/>
  <c r="AQ21" i="4" s="1"/>
  <c r="AB47" i="4"/>
  <c r="AB24" i="4" s="1"/>
  <c r="P29" i="4"/>
  <c r="P6" i="4" s="1"/>
  <c r="AO29" i="4"/>
  <c r="AO6" i="4" s="1"/>
  <c r="L30" i="4"/>
  <c r="L7" i="4" s="1"/>
  <c r="AJ30" i="4"/>
  <c r="AJ7" i="4" s="1"/>
  <c r="J32" i="4"/>
  <c r="J9" i="4" s="1"/>
  <c r="V35" i="4"/>
  <c r="V12" i="4" s="1"/>
  <c r="AV35" i="4"/>
  <c r="AV12" i="4" s="1"/>
  <c r="AE37" i="4"/>
  <c r="AE14" i="4" s="1"/>
  <c r="AN39" i="4"/>
  <c r="AN16" i="4" s="1"/>
  <c r="Y40" i="4"/>
  <c r="Y17" i="4" s="1"/>
  <c r="AJ41" i="4"/>
  <c r="AJ18" i="4" s="1"/>
  <c r="L43" i="4"/>
  <c r="L20" i="4" s="1"/>
  <c r="AK43" i="4"/>
  <c r="AK20" i="4" s="1"/>
  <c r="L45" i="4"/>
  <c r="L22" i="4" s="1"/>
  <c r="M46" i="4"/>
  <c r="M23" i="4" s="1"/>
  <c r="AC47" i="4"/>
  <c r="AC24" i="4" s="1"/>
  <c r="AJ33" i="4"/>
  <c r="AJ10" i="4" s="1"/>
  <c r="AQ34" i="4"/>
  <c r="AQ11" i="4" s="1"/>
  <c r="W35" i="4"/>
  <c r="W12" i="4" s="1"/>
  <c r="AH37" i="4"/>
  <c r="AH14" i="4" s="1"/>
  <c r="AP39" i="4"/>
  <c r="AP16" i="4" s="1"/>
  <c r="AN41" i="4"/>
  <c r="AN18" i="4" s="1"/>
  <c r="AG42" i="4"/>
  <c r="AG19" i="4" s="1"/>
  <c r="M43" i="4"/>
  <c r="M20" i="4" s="1"/>
  <c r="AD47" i="4"/>
  <c r="AD24" i="4" s="1"/>
  <c r="AV48" i="4"/>
  <c r="AV25" i="4" s="1"/>
  <c r="AJ32" i="4"/>
  <c r="AJ9" i="4" s="1"/>
  <c r="R29" i="4"/>
  <c r="R6" i="4" s="1"/>
  <c r="P30" i="4"/>
  <c r="P7" i="4" s="1"/>
  <c r="R33" i="4"/>
  <c r="R10" i="4" s="1"/>
  <c r="J34" i="4"/>
  <c r="J11" i="4" s="1"/>
  <c r="X35" i="4"/>
  <c r="X12" i="4" s="1"/>
  <c r="J37" i="4"/>
  <c r="J14" i="4" s="1"/>
  <c r="AQ38" i="4"/>
  <c r="AQ15" i="4" s="1"/>
  <c r="L41" i="4"/>
  <c r="L18" i="4" s="1"/>
  <c r="AJ42" i="4"/>
  <c r="AJ19" i="4" s="1"/>
  <c r="P43" i="4"/>
  <c r="P20" i="4" s="1"/>
  <c r="U44" i="4"/>
  <c r="U21" i="4" s="1"/>
  <c r="AH47" i="4"/>
  <c r="AH24" i="4" s="1"/>
  <c r="AQ48" i="4"/>
  <c r="AQ25" i="4" s="1"/>
  <c r="AT36" i="4"/>
  <c r="AT13" i="4" s="1"/>
  <c r="AH36" i="4"/>
  <c r="AH13" i="4" s="1"/>
  <c r="V36" i="4"/>
  <c r="V13" i="4" s="1"/>
  <c r="J36" i="4"/>
  <c r="J13" i="4" s="1"/>
  <c r="AR36" i="4"/>
  <c r="AR13" i="4" s="1"/>
  <c r="AF36" i="4"/>
  <c r="AF13" i="4" s="1"/>
  <c r="T36" i="4"/>
  <c r="T13" i="4" s="1"/>
  <c r="AN36" i="4"/>
  <c r="AN13" i="4" s="1"/>
  <c r="AB36" i="4"/>
  <c r="AB13" i="4" s="1"/>
  <c r="P36" i="4"/>
  <c r="P13" i="4" s="1"/>
  <c r="AL36" i="4"/>
  <c r="AL13" i="4" s="1"/>
  <c r="Z36" i="4"/>
  <c r="Z13" i="4" s="1"/>
  <c r="N36" i="4"/>
  <c r="N13" i="4" s="1"/>
  <c r="AP36" i="4"/>
  <c r="AP13" i="4" s="1"/>
  <c r="X36" i="4"/>
  <c r="X13" i="4" s="1"/>
  <c r="AO36" i="4"/>
  <c r="AO13" i="4" s="1"/>
  <c r="W36" i="4"/>
  <c r="W13" i="4" s="1"/>
  <c r="AK36" i="4"/>
  <c r="AK13" i="4" s="1"/>
  <c r="S36" i="4"/>
  <c r="S13" i="4" s="1"/>
  <c r="AI36" i="4"/>
  <c r="AI13" i="4" s="1"/>
  <c r="Q36" i="4"/>
  <c r="Q13" i="4" s="1"/>
  <c r="AG36" i="4"/>
  <c r="AG13" i="4" s="1"/>
  <c r="O36" i="4"/>
  <c r="O13" i="4" s="1"/>
  <c r="AW36" i="4"/>
  <c r="AW13" i="4" s="1"/>
  <c r="AE36" i="4"/>
  <c r="AE13" i="4" s="1"/>
  <c r="M36" i="4"/>
  <c r="M13" i="4" s="1"/>
  <c r="AU36" i="4"/>
  <c r="AU13" i="4" s="1"/>
  <c r="AC36" i="4"/>
  <c r="AC13" i="4" s="1"/>
  <c r="K36" i="4"/>
  <c r="K13" i="4" s="1"/>
  <c r="AS36" i="4"/>
  <c r="AS13" i="4" s="1"/>
  <c r="AQ36" i="4"/>
  <c r="AQ13" i="4" s="1"/>
  <c r="AM36" i="4"/>
  <c r="AM13" i="4" s="1"/>
  <c r="AJ36" i="4"/>
  <c r="AJ13" i="4" s="1"/>
  <c r="AD36" i="4"/>
  <c r="AD13" i="4" s="1"/>
  <c r="AA36" i="4"/>
  <c r="AA13" i="4" s="1"/>
  <c r="Y36" i="4"/>
  <c r="Y13" i="4" s="1"/>
  <c r="U36" i="4"/>
  <c r="U13" i="4" s="1"/>
  <c r="R36" i="4"/>
  <c r="R13" i="4" s="1"/>
  <c r="L36" i="4"/>
  <c r="L13" i="4" s="1"/>
  <c r="K5" i="4"/>
  <c r="L5" i="4" s="1"/>
  <c r="M5" i="4" s="1"/>
  <c r="N5" i="4" s="1"/>
  <c r="O5" i="4" s="1"/>
  <c r="P5" i="4" s="1"/>
  <c r="Q5" i="4" s="1"/>
  <c r="R5" i="4" s="1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AK5" i="4" s="1"/>
  <c r="AL5" i="4" s="1"/>
  <c r="AM5" i="4" s="1"/>
  <c r="AN5" i="4" s="1"/>
  <c r="AO5" i="4" s="1"/>
  <c r="AP5" i="4" s="1"/>
  <c r="AQ5" i="4" s="1"/>
  <c r="AR5" i="4" s="1"/>
  <c r="AS5" i="4" s="1"/>
  <c r="AT5" i="4" s="1"/>
  <c r="AU5" i="4" s="1"/>
  <c r="AV5" i="4" s="1"/>
  <c r="AW5" i="4" s="1"/>
  <c r="I28" i="4"/>
  <c r="T35" i="4"/>
  <c r="T12" i="4" s="1"/>
  <c r="T32" i="4"/>
  <c r="T9" i="4" s="1"/>
  <c r="T37" i="4"/>
  <c r="T14" i="4" s="1"/>
  <c r="T43" i="4"/>
  <c r="T20" i="4" s="1"/>
  <c r="T29" i="4"/>
  <c r="T6" i="4" s="1"/>
  <c r="AF47" i="4"/>
  <c r="AF24" i="4" s="1"/>
  <c r="AF43" i="4"/>
  <c r="AF20" i="4" s="1"/>
  <c r="AF29" i="4"/>
  <c r="AF6" i="4" s="1"/>
  <c r="AF39" i="4"/>
  <c r="AF16" i="4" s="1"/>
  <c r="AF32" i="4"/>
  <c r="AF9" i="4" s="1"/>
  <c r="AF37" i="4"/>
  <c r="AF14" i="4" s="1"/>
  <c r="AR41" i="4"/>
  <c r="AR18" i="4" s="1"/>
  <c r="AR37" i="4"/>
  <c r="AR14" i="4" s="1"/>
  <c r="AR43" i="4"/>
  <c r="AR20" i="4" s="1"/>
  <c r="AR29" i="4"/>
  <c r="AR6" i="4" s="1"/>
  <c r="AR30" i="4"/>
  <c r="AR7" i="4" s="1"/>
  <c r="AR39" i="4"/>
  <c r="AR16" i="4" s="1"/>
  <c r="AF41" i="4"/>
  <c r="AF18" i="4" s="1"/>
  <c r="AR45" i="4"/>
  <c r="AR22" i="4" s="1"/>
  <c r="Z47" i="4"/>
  <c r="Z24" i="4" s="1"/>
  <c r="AN31" i="4"/>
  <c r="AN8" i="4" s="1"/>
  <c r="AB31" i="4"/>
  <c r="AB8" i="4" s="1"/>
  <c r="P31" i="4"/>
  <c r="P8" i="4" s="1"/>
  <c r="AL31" i="4"/>
  <c r="AL8" i="4" s="1"/>
  <c r="Z31" i="4"/>
  <c r="Z8" i="4" s="1"/>
  <c r="N31" i="4"/>
  <c r="N8" i="4" s="1"/>
  <c r="AT31" i="4"/>
  <c r="AT8" i="4" s="1"/>
  <c r="AH31" i="4"/>
  <c r="AH8" i="4" s="1"/>
  <c r="V31" i="4"/>
  <c r="V8" i="4" s="1"/>
  <c r="J31" i="4"/>
  <c r="J8" i="4" s="1"/>
  <c r="AR31" i="4"/>
  <c r="AR8" i="4" s="1"/>
  <c r="AF31" i="4"/>
  <c r="AF8" i="4" s="1"/>
  <c r="T31" i="4"/>
  <c r="T8" i="4" s="1"/>
  <c r="AM31" i="4"/>
  <c r="AM8" i="4" s="1"/>
  <c r="U31" i="4"/>
  <c r="U8" i="4" s="1"/>
  <c r="AK31" i="4"/>
  <c r="AK8" i="4" s="1"/>
  <c r="S31" i="4"/>
  <c r="S8" i="4" s="1"/>
  <c r="AI31" i="4"/>
  <c r="AI8" i="4" s="1"/>
  <c r="Q31" i="4"/>
  <c r="Q8" i="4" s="1"/>
  <c r="AW31" i="4"/>
  <c r="AW8" i="4" s="1"/>
  <c r="AE31" i="4"/>
  <c r="AE8" i="4" s="1"/>
  <c r="M31" i="4"/>
  <c r="M8" i="4" s="1"/>
  <c r="AV31" i="4"/>
  <c r="AV8" i="4" s="1"/>
  <c r="AD31" i="4"/>
  <c r="AD8" i="4" s="1"/>
  <c r="L31" i="4"/>
  <c r="L8" i="4" s="1"/>
  <c r="AU31" i="4"/>
  <c r="AU8" i="4" s="1"/>
  <c r="AC31" i="4"/>
  <c r="AC8" i="4" s="1"/>
  <c r="K31" i="4"/>
  <c r="K8" i="4" s="1"/>
  <c r="AQ31" i="4"/>
  <c r="AQ8" i="4" s="1"/>
  <c r="Y31" i="4"/>
  <c r="Y8" i="4" s="1"/>
  <c r="AF33" i="4"/>
  <c r="AF10" i="4" s="1"/>
  <c r="T39" i="4"/>
  <c r="T16" i="4" s="1"/>
  <c r="K37" i="4"/>
  <c r="K14" i="4" s="1"/>
  <c r="K32" i="4"/>
  <c r="K9" i="4" s="1"/>
  <c r="K27" i="4"/>
  <c r="L27" i="4" s="1"/>
  <c r="M27" i="4" s="1"/>
  <c r="N27" i="4" s="1"/>
  <c r="O27" i="4" s="1"/>
  <c r="P27" i="4" s="1"/>
  <c r="Q27" i="4" s="1"/>
  <c r="R27" i="4" s="1"/>
  <c r="S27" i="4" s="1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AK27" i="4" s="1"/>
  <c r="AL27" i="4" s="1"/>
  <c r="AM27" i="4" s="1"/>
  <c r="AN27" i="4" s="1"/>
  <c r="AO27" i="4" s="1"/>
  <c r="AP27" i="4" s="1"/>
  <c r="AQ27" i="4" s="1"/>
  <c r="AR27" i="4" s="1"/>
  <c r="AS27" i="4" s="1"/>
  <c r="AT27" i="4" s="1"/>
  <c r="AU27" i="4" s="1"/>
  <c r="AV27" i="4" s="1"/>
  <c r="AW27" i="4" s="1"/>
  <c r="K34" i="4"/>
  <c r="K11" i="4" s="1"/>
  <c r="K29" i="4"/>
  <c r="K6" i="4" s="1"/>
  <c r="K35" i="4"/>
  <c r="K12" i="4" s="1"/>
  <c r="K40" i="4"/>
  <c r="K17" i="4" s="1"/>
  <c r="W37" i="4"/>
  <c r="W14" i="4" s="1"/>
  <c r="W32" i="4"/>
  <c r="W9" i="4" s="1"/>
  <c r="W46" i="4"/>
  <c r="W23" i="4" s="1"/>
  <c r="W47" i="4"/>
  <c r="W24" i="4" s="1"/>
  <c r="W34" i="4"/>
  <c r="W11" i="4" s="1"/>
  <c r="W29" i="4"/>
  <c r="W6" i="4" s="1"/>
  <c r="AI37" i="4"/>
  <c r="AI14" i="4" s="1"/>
  <c r="AI32" i="4"/>
  <c r="AI9" i="4" s="1"/>
  <c r="AI30" i="4"/>
  <c r="AI7" i="4" s="1"/>
  <c r="AI40" i="4"/>
  <c r="AI17" i="4" s="1"/>
  <c r="AI41" i="4"/>
  <c r="AI18" i="4" s="1"/>
  <c r="AI46" i="4"/>
  <c r="AI23" i="4" s="1"/>
  <c r="AU37" i="4"/>
  <c r="AU14" i="4" s="1"/>
  <c r="AU34" i="4"/>
  <c r="AU11" i="4" s="1"/>
  <c r="AU29" i="4"/>
  <c r="AU6" i="4" s="1"/>
  <c r="AU35" i="4"/>
  <c r="AU12" i="4" s="1"/>
  <c r="AU40" i="4"/>
  <c r="AU17" i="4" s="1"/>
  <c r="R31" i="4"/>
  <c r="R8" i="4" s="1"/>
  <c r="AR38" i="4"/>
  <c r="AR15" i="4" s="1"/>
  <c r="Z44" i="4"/>
  <c r="Z21" i="4" s="1"/>
  <c r="AQ45" i="4"/>
  <c r="AQ22" i="4" s="1"/>
  <c r="AE45" i="4"/>
  <c r="AE22" i="4" s="1"/>
  <c r="S45" i="4"/>
  <c r="S22" i="4" s="1"/>
  <c r="AO45" i="4"/>
  <c r="AO22" i="4" s="1"/>
  <c r="AC45" i="4"/>
  <c r="AC22" i="4" s="1"/>
  <c r="Q45" i="4"/>
  <c r="Q22" i="4" s="1"/>
  <c r="AW45" i="4"/>
  <c r="AW22" i="4" s="1"/>
  <c r="AK45" i="4"/>
  <c r="AK22" i="4" s="1"/>
  <c r="Y45" i="4"/>
  <c r="Y22" i="4" s="1"/>
  <c r="M45" i="4"/>
  <c r="M22" i="4" s="1"/>
  <c r="AU45" i="4"/>
  <c r="AU22" i="4" s="1"/>
  <c r="AI45" i="4"/>
  <c r="AI22" i="4" s="1"/>
  <c r="W45" i="4"/>
  <c r="W22" i="4" s="1"/>
  <c r="K45" i="4"/>
  <c r="K22" i="4" s="1"/>
  <c r="AP45" i="4"/>
  <c r="AP22" i="4" s="1"/>
  <c r="X45" i="4"/>
  <c r="X22" i="4" s="1"/>
  <c r="AN45" i="4"/>
  <c r="AN22" i="4" s="1"/>
  <c r="V45" i="4"/>
  <c r="V22" i="4" s="1"/>
  <c r="AL45" i="4"/>
  <c r="AL22" i="4" s="1"/>
  <c r="T45" i="4"/>
  <c r="T22" i="4" s="1"/>
  <c r="AH45" i="4"/>
  <c r="AH22" i="4" s="1"/>
  <c r="P45" i="4"/>
  <c r="P22" i="4" s="1"/>
  <c r="AG45" i="4"/>
  <c r="AG22" i="4" s="1"/>
  <c r="O45" i="4"/>
  <c r="O22" i="4" s="1"/>
  <c r="AF45" i="4"/>
  <c r="AF22" i="4" s="1"/>
  <c r="N45" i="4"/>
  <c r="N22" i="4" s="1"/>
  <c r="AT45" i="4"/>
  <c r="AT22" i="4" s="1"/>
  <c r="AB45" i="4"/>
  <c r="AB22" i="4" s="1"/>
  <c r="J45" i="4"/>
  <c r="J22" i="4" s="1"/>
  <c r="W31" i="4"/>
  <c r="W8" i="4" s="1"/>
  <c r="AU38" i="4"/>
  <c r="AU15" i="4" s="1"/>
  <c r="AN42" i="4"/>
  <c r="AN19" i="4" s="1"/>
  <c r="AB42" i="4"/>
  <c r="AB19" i="4" s="1"/>
  <c r="P42" i="4"/>
  <c r="P19" i="4" s="1"/>
  <c r="AL42" i="4"/>
  <c r="AL19" i="4" s="1"/>
  <c r="Z42" i="4"/>
  <c r="Z19" i="4" s="1"/>
  <c r="N42" i="4"/>
  <c r="N19" i="4" s="1"/>
  <c r="AT42" i="4"/>
  <c r="AT19" i="4" s="1"/>
  <c r="AH42" i="4"/>
  <c r="AH19" i="4" s="1"/>
  <c r="V42" i="4"/>
  <c r="V19" i="4" s="1"/>
  <c r="J42" i="4"/>
  <c r="J19" i="4" s="1"/>
  <c r="AR42" i="4"/>
  <c r="AR19" i="4" s="1"/>
  <c r="AF42" i="4"/>
  <c r="AF19" i="4" s="1"/>
  <c r="T42" i="4"/>
  <c r="T19" i="4" s="1"/>
  <c r="AV42" i="4"/>
  <c r="AV19" i="4" s="1"/>
  <c r="AD42" i="4"/>
  <c r="AD19" i="4" s="1"/>
  <c r="L42" i="4"/>
  <c r="L19" i="4" s="1"/>
  <c r="AU42" i="4"/>
  <c r="AU19" i="4" s="1"/>
  <c r="AC42" i="4"/>
  <c r="AC19" i="4" s="1"/>
  <c r="K42" i="4"/>
  <c r="K19" i="4" s="1"/>
  <c r="AQ42" i="4"/>
  <c r="AQ19" i="4" s="1"/>
  <c r="Y42" i="4"/>
  <c r="Y19" i="4" s="1"/>
  <c r="AO42" i="4"/>
  <c r="AO19" i="4" s="1"/>
  <c r="W42" i="4"/>
  <c r="W19" i="4" s="1"/>
  <c r="AM42" i="4"/>
  <c r="AM19" i="4" s="1"/>
  <c r="U42" i="4"/>
  <c r="U19" i="4" s="1"/>
  <c r="AK42" i="4"/>
  <c r="AK19" i="4" s="1"/>
  <c r="S42" i="4"/>
  <c r="S19" i="4" s="1"/>
  <c r="AI42" i="4"/>
  <c r="AI19" i="4" s="1"/>
  <c r="Q42" i="4"/>
  <c r="Q19" i="4" s="1"/>
  <c r="AF44" i="4"/>
  <c r="AF21" i="4" s="1"/>
  <c r="K47" i="4"/>
  <c r="K24" i="4" s="1"/>
  <c r="X31" i="4"/>
  <c r="X8" i="4" s="1"/>
  <c r="T41" i="4"/>
  <c r="T18" i="4" s="1"/>
  <c r="M42" i="4"/>
  <c r="M19" i="4" s="1"/>
  <c r="AI44" i="4"/>
  <c r="AI21" i="4" s="1"/>
  <c r="AI47" i="4"/>
  <c r="AI24" i="4" s="1"/>
  <c r="N47" i="4"/>
  <c r="N24" i="4" s="1"/>
  <c r="N43" i="4"/>
  <c r="N20" i="4" s="1"/>
  <c r="N29" i="4"/>
  <c r="N6" i="4" s="1"/>
  <c r="N39" i="4"/>
  <c r="N16" i="4" s="1"/>
  <c r="N32" i="4"/>
  <c r="N9" i="4" s="1"/>
  <c r="N37" i="4"/>
  <c r="N14" i="4" s="1"/>
  <c r="Z41" i="4"/>
  <c r="Z18" i="4" s="1"/>
  <c r="Z37" i="4"/>
  <c r="Z14" i="4" s="1"/>
  <c r="Z43" i="4"/>
  <c r="Z20" i="4" s="1"/>
  <c r="Z29" i="4"/>
  <c r="Z6" i="4" s="1"/>
  <c r="Z30" i="4"/>
  <c r="Z7" i="4" s="1"/>
  <c r="Z39" i="4"/>
  <c r="Z16" i="4" s="1"/>
  <c r="AL35" i="4"/>
  <c r="AL12" i="4" s="1"/>
  <c r="AL32" i="4"/>
  <c r="AL9" i="4" s="1"/>
  <c r="AL37" i="4"/>
  <c r="AL14" i="4" s="1"/>
  <c r="AL43" i="4"/>
  <c r="AL20" i="4" s="1"/>
  <c r="AL29" i="4"/>
  <c r="AL6" i="4" s="1"/>
  <c r="AA31" i="4"/>
  <c r="AA8" i="4" s="1"/>
  <c r="K38" i="4"/>
  <c r="K15" i="4" s="1"/>
  <c r="O42" i="4"/>
  <c r="O19" i="4" s="1"/>
  <c r="U45" i="4"/>
  <c r="U22" i="4" s="1"/>
  <c r="AG31" i="4"/>
  <c r="AG8" i="4" s="1"/>
  <c r="AQ33" i="4"/>
  <c r="AQ10" i="4" s="1"/>
  <c r="AE33" i="4"/>
  <c r="AE10" i="4" s="1"/>
  <c r="S33" i="4"/>
  <c r="S10" i="4" s="1"/>
  <c r="AO33" i="4"/>
  <c r="AO10" i="4" s="1"/>
  <c r="AC33" i="4"/>
  <c r="AC10" i="4" s="1"/>
  <c r="Q33" i="4"/>
  <c r="Q10" i="4" s="1"/>
  <c r="AW33" i="4"/>
  <c r="AW10" i="4" s="1"/>
  <c r="AK33" i="4"/>
  <c r="AK10" i="4" s="1"/>
  <c r="Y33" i="4"/>
  <c r="Y10" i="4" s="1"/>
  <c r="M33" i="4"/>
  <c r="M10" i="4" s="1"/>
  <c r="AU33" i="4"/>
  <c r="AU10" i="4" s="1"/>
  <c r="AI33" i="4"/>
  <c r="AI10" i="4" s="1"/>
  <c r="W33" i="4"/>
  <c r="W10" i="4" s="1"/>
  <c r="K33" i="4"/>
  <c r="K10" i="4" s="1"/>
  <c r="AV33" i="4"/>
  <c r="AV10" i="4" s="1"/>
  <c r="AD33" i="4"/>
  <c r="AD10" i="4" s="1"/>
  <c r="L33" i="4"/>
  <c r="L10" i="4" s="1"/>
  <c r="AT33" i="4"/>
  <c r="AT10" i="4" s="1"/>
  <c r="AB33" i="4"/>
  <c r="AB10" i="4" s="1"/>
  <c r="J33" i="4"/>
  <c r="J10" i="4" s="1"/>
  <c r="AR33" i="4"/>
  <c r="AR10" i="4" s="1"/>
  <c r="Z33" i="4"/>
  <c r="Z10" i="4" s="1"/>
  <c r="AN33" i="4"/>
  <c r="AN10" i="4" s="1"/>
  <c r="V33" i="4"/>
  <c r="V10" i="4" s="1"/>
  <c r="AM33" i="4"/>
  <c r="AM10" i="4" s="1"/>
  <c r="U33" i="4"/>
  <c r="U10" i="4" s="1"/>
  <c r="AL33" i="4"/>
  <c r="AL10" i="4" s="1"/>
  <c r="T33" i="4"/>
  <c r="T10" i="4" s="1"/>
  <c r="AH33" i="4"/>
  <c r="AH10" i="4" s="1"/>
  <c r="P33" i="4"/>
  <c r="P10" i="4" s="1"/>
  <c r="AF35" i="4"/>
  <c r="AF12" i="4" s="1"/>
  <c r="AL39" i="4"/>
  <c r="AL16" i="4" s="1"/>
  <c r="W41" i="4"/>
  <c r="W18" i="4" s="1"/>
  <c r="R42" i="4"/>
  <c r="R19" i="4" s="1"/>
  <c r="Z45" i="4"/>
  <c r="Z22" i="4" s="1"/>
  <c r="AU46" i="4"/>
  <c r="AU23" i="4" s="1"/>
  <c r="AL47" i="4"/>
  <c r="AL24" i="4" s="1"/>
  <c r="AJ31" i="4"/>
  <c r="AJ8" i="4" s="1"/>
  <c r="N33" i="4"/>
  <c r="N10" i="4" s="1"/>
  <c r="AI34" i="4"/>
  <c r="AI11" i="4" s="1"/>
  <c r="AU41" i="4"/>
  <c r="AU18" i="4" s="1"/>
  <c r="X42" i="4"/>
  <c r="X19" i="4" s="1"/>
  <c r="AR44" i="4"/>
  <c r="AR21" i="4" s="1"/>
  <c r="AA45" i="4"/>
  <c r="AA22" i="4" s="1"/>
  <c r="K30" i="4"/>
  <c r="K7" i="4" s="1"/>
  <c r="AF30" i="4"/>
  <c r="AF7" i="4" s="1"/>
  <c r="AO31" i="4"/>
  <c r="AO8" i="4" s="1"/>
  <c r="O33" i="4"/>
  <c r="O10" i="4" s="1"/>
  <c r="N35" i="4"/>
  <c r="N12" i="4" s="1"/>
  <c r="AI35" i="4"/>
  <c r="AI12" i="4" s="1"/>
  <c r="T38" i="4"/>
  <c r="T15" i="4" s="1"/>
  <c r="W40" i="4"/>
  <c r="W17" i="4" s="1"/>
  <c r="AA42" i="4"/>
  <c r="AA19" i="4" s="1"/>
  <c r="AD45" i="4"/>
  <c r="AD22" i="4" s="1"/>
  <c r="K46" i="4"/>
  <c r="K23" i="4" s="1"/>
  <c r="T47" i="4"/>
  <c r="T24" i="4" s="1"/>
  <c r="M41" i="4"/>
  <c r="M18" i="4" s="1"/>
  <c r="M47" i="4"/>
  <c r="M24" i="4" s="1"/>
  <c r="Y41" i="4"/>
  <c r="Y18" i="4" s="1"/>
  <c r="Y47" i="4"/>
  <c r="Y24" i="4" s="1"/>
  <c r="AK41" i="4"/>
  <c r="AK18" i="4" s="1"/>
  <c r="AK47" i="4"/>
  <c r="AK24" i="4" s="1"/>
  <c r="AW41" i="4"/>
  <c r="AW18" i="4" s="1"/>
  <c r="AW47" i="4"/>
  <c r="AW24" i="4" s="1"/>
  <c r="AW32" i="4"/>
  <c r="AW9" i="4" s="1"/>
  <c r="U34" i="4"/>
  <c r="U11" i="4" s="1"/>
  <c r="S38" i="4"/>
  <c r="S15" i="4" s="1"/>
  <c r="AK38" i="4"/>
  <c r="AK15" i="4" s="1"/>
  <c r="AL40" i="4"/>
  <c r="AL17" i="4" s="1"/>
  <c r="Z40" i="4"/>
  <c r="Z17" i="4" s="1"/>
  <c r="N40" i="4"/>
  <c r="N17" i="4" s="1"/>
  <c r="AV40" i="4"/>
  <c r="AV17" i="4" s="1"/>
  <c r="AJ40" i="4"/>
  <c r="AJ17" i="4" s="1"/>
  <c r="X40" i="4"/>
  <c r="X17" i="4" s="1"/>
  <c r="L40" i="4"/>
  <c r="L17" i="4" s="1"/>
  <c r="AR40" i="4"/>
  <c r="AR17" i="4" s="1"/>
  <c r="AF40" i="4"/>
  <c r="AF17" i="4" s="1"/>
  <c r="T40" i="4"/>
  <c r="T17" i="4" s="1"/>
  <c r="AP40" i="4"/>
  <c r="AP17" i="4" s="1"/>
  <c r="AD40" i="4"/>
  <c r="AD17" i="4" s="1"/>
  <c r="R40" i="4"/>
  <c r="R17" i="4" s="1"/>
  <c r="AA40" i="4"/>
  <c r="AA17" i="4" s="1"/>
  <c r="AS40" i="4"/>
  <c r="AS17" i="4" s="1"/>
  <c r="Y44" i="4"/>
  <c r="Y21" i="4" s="1"/>
  <c r="W48" i="4"/>
  <c r="W25" i="4" s="1"/>
  <c r="AO48" i="4"/>
  <c r="AO25" i="4" s="1"/>
  <c r="O41" i="4"/>
  <c r="O18" i="4" s="1"/>
  <c r="O30" i="4"/>
  <c r="O7" i="4" s="1"/>
  <c r="O29" i="4"/>
  <c r="O6" i="4" s="1"/>
  <c r="O32" i="4"/>
  <c r="O9" i="4" s="1"/>
  <c r="O37" i="4"/>
  <c r="O14" i="4" s="1"/>
  <c r="AA41" i="4"/>
  <c r="AA18" i="4" s="1"/>
  <c r="AA30" i="4"/>
  <c r="AA7" i="4" s="1"/>
  <c r="AA29" i="4"/>
  <c r="AA6" i="4" s="1"/>
  <c r="AA32" i="4"/>
  <c r="AA9" i="4" s="1"/>
  <c r="AA37" i="4"/>
  <c r="AA14" i="4" s="1"/>
  <c r="AM41" i="4"/>
  <c r="AM18" i="4" s="1"/>
  <c r="AM30" i="4"/>
  <c r="AM7" i="4" s="1"/>
  <c r="AM29" i="4"/>
  <c r="AM6" i="4" s="1"/>
  <c r="AM32" i="4"/>
  <c r="AM9" i="4" s="1"/>
  <c r="AM37" i="4"/>
  <c r="AM14" i="4" s="1"/>
  <c r="AO34" i="4"/>
  <c r="AO11" i="4" s="1"/>
  <c r="U38" i="4"/>
  <c r="U15" i="4" s="1"/>
  <c r="AM38" i="4"/>
  <c r="AM15" i="4" s="1"/>
  <c r="AC40" i="4"/>
  <c r="AC17" i="4" s="1"/>
  <c r="AP44" i="4"/>
  <c r="AP21" i="4" s="1"/>
  <c r="AD44" i="4"/>
  <c r="AD21" i="4" s="1"/>
  <c r="R44" i="4"/>
  <c r="R21" i="4" s="1"/>
  <c r="AN44" i="4"/>
  <c r="AN21" i="4" s="1"/>
  <c r="AB44" i="4"/>
  <c r="AB21" i="4" s="1"/>
  <c r="P44" i="4"/>
  <c r="P21" i="4" s="1"/>
  <c r="AV44" i="4"/>
  <c r="AV21" i="4" s="1"/>
  <c r="AJ44" i="4"/>
  <c r="AJ21" i="4" s="1"/>
  <c r="X44" i="4"/>
  <c r="X21" i="4" s="1"/>
  <c r="L44" i="4"/>
  <c r="L21" i="4" s="1"/>
  <c r="AT44" i="4"/>
  <c r="AT21" i="4" s="1"/>
  <c r="AH44" i="4"/>
  <c r="AH21" i="4" s="1"/>
  <c r="V44" i="4"/>
  <c r="V21" i="4" s="1"/>
  <c r="J44" i="4"/>
  <c r="J21" i="4" s="1"/>
  <c r="AA44" i="4"/>
  <c r="AA21" i="4" s="1"/>
  <c r="AS44" i="4"/>
  <c r="AS21" i="4" s="1"/>
  <c r="Q46" i="4"/>
  <c r="Q23" i="4" s="1"/>
  <c r="Y48" i="4"/>
  <c r="Y25" i="4" s="1"/>
  <c r="AW30" i="4"/>
  <c r="AW7" i="4" s="1"/>
  <c r="Y34" i="4"/>
  <c r="Y11" i="4" s="1"/>
  <c r="S37" i="4"/>
  <c r="S14" i="4" s="1"/>
  <c r="AK37" i="4"/>
  <c r="AK14" i="4" s="1"/>
  <c r="W38" i="4"/>
  <c r="W15" i="4" s="1"/>
  <c r="AO38" i="4"/>
  <c r="AO15" i="4" s="1"/>
  <c r="AW39" i="4"/>
  <c r="AW16" i="4" s="1"/>
  <c r="AK39" i="4"/>
  <c r="AK16" i="4" s="1"/>
  <c r="Y39" i="4"/>
  <c r="Y16" i="4" s="1"/>
  <c r="M39" i="4"/>
  <c r="M16" i="4" s="1"/>
  <c r="AU39" i="4"/>
  <c r="AU16" i="4" s="1"/>
  <c r="AI39" i="4"/>
  <c r="AI16" i="4" s="1"/>
  <c r="W39" i="4"/>
  <c r="W16" i="4" s="1"/>
  <c r="K39" i="4"/>
  <c r="K16" i="4" s="1"/>
  <c r="AQ39" i="4"/>
  <c r="AQ16" i="4" s="1"/>
  <c r="AE39" i="4"/>
  <c r="AE16" i="4" s="1"/>
  <c r="S39" i="4"/>
  <c r="S16" i="4" s="1"/>
  <c r="AO39" i="4"/>
  <c r="AO16" i="4" s="1"/>
  <c r="AC39" i="4"/>
  <c r="AC16" i="4" s="1"/>
  <c r="Q39" i="4"/>
  <c r="Q16" i="4" s="1"/>
  <c r="AA39" i="4"/>
  <c r="AA16" i="4" s="1"/>
  <c r="AS39" i="4"/>
  <c r="AS16" i="4" s="1"/>
  <c r="M40" i="4"/>
  <c r="M17" i="4" s="1"/>
  <c r="AE40" i="4"/>
  <c r="AE17" i="4" s="1"/>
  <c r="AW40" i="4"/>
  <c r="AW17" i="4" s="1"/>
  <c r="Y43" i="4"/>
  <c r="Y20" i="4" s="1"/>
  <c r="K44" i="4"/>
  <c r="K21" i="4" s="1"/>
  <c r="AC44" i="4"/>
  <c r="AC21" i="4" s="1"/>
  <c r="AU44" i="4"/>
  <c r="AU21" i="4" s="1"/>
  <c r="AK46" i="4"/>
  <c r="AK23" i="4" s="1"/>
  <c r="AT48" i="4"/>
  <c r="AT25" i="4" s="1"/>
  <c r="AH48" i="4"/>
  <c r="AH25" i="4" s="1"/>
  <c r="V48" i="4"/>
  <c r="V25" i="4" s="1"/>
  <c r="J48" i="4"/>
  <c r="J25" i="4" s="1"/>
  <c r="AR48" i="4"/>
  <c r="AR25" i="4" s="1"/>
  <c r="AF48" i="4"/>
  <c r="AF25" i="4" s="1"/>
  <c r="T48" i="4"/>
  <c r="T25" i="4" s="1"/>
  <c r="AN48" i="4"/>
  <c r="AN25" i="4" s="1"/>
  <c r="AB48" i="4"/>
  <c r="AB25" i="4" s="1"/>
  <c r="P48" i="4"/>
  <c r="P25" i="4" s="1"/>
  <c r="AL48" i="4"/>
  <c r="AL25" i="4" s="1"/>
  <c r="Z48" i="4"/>
  <c r="Z25" i="4" s="1"/>
  <c r="N48" i="4"/>
  <c r="N25" i="4" s="1"/>
  <c r="AA48" i="4"/>
  <c r="AA25" i="4" s="1"/>
  <c r="AS48" i="4"/>
  <c r="AS25" i="4" s="1"/>
  <c r="Q32" i="4"/>
  <c r="Q9" i="4" s="1"/>
  <c r="AC32" i="4"/>
  <c r="AC9" i="4" s="1"/>
  <c r="AO32" i="4"/>
  <c r="AO9" i="4" s="1"/>
  <c r="AW29" i="4"/>
  <c r="AW6" i="4" s="1"/>
  <c r="AR34" i="4"/>
  <c r="AR11" i="4" s="1"/>
  <c r="AF34" i="4"/>
  <c r="AF11" i="4" s="1"/>
  <c r="T34" i="4"/>
  <c r="T11" i="4" s="1"/>
  <c r="AP34" i="4"/>
  <c r="AP11" i="4" s="1"/>
  <c r="AD34" i="4"/>
  <c r="AD11" i="4" s="1"/>
  <c r="R34" i="4"/>
  <c r="R11" i="4" s="1"/>
  <c r="AL34" i="4"/>
  <c r="AL11" i="4" s="1"/>
  <c r="Z34" i="4"/>
  <c r="Z11" i="4" s="1"/>
  <c r="N34" i="4"/>
  <c r="N11" i="4" s="1"/>
  <c r="AV34" i="4"/>
  <c r="AV11" i="4" s="1"/>
  <c r="AJ34" i="4"/>
  <c r="AJ11" i="4" s="1"/>
  <c r="X34" i="4"/>
  <c r="X11" i="4" s="1"/>
  <c r="L34" i="4"/>
  <c r="L11" i="4" s="1"/>
  <c r="AA34" i="4"/>
  <c r="AA11" i="4" s="1"/>
  <c r="AS34" i="4"/>
  <c r="AS11" i="4" s="1"/>
  <c r="Y38" i="4"/>
  <c r="Y15" i="4" s="1"/>
  <c r="J39" i="4"/>
  <c r="J16" i="4" s="1"/>
  <c r="AB39" i="4"/>
  <c r="AB16" i="4" s="1"/>
  <c r="AT39" i="4"/>
  <c r="AT16" i="4" s="1"/>
  <c r="O40" i="4"/>
  <c r="O17" i="4" s="1"/>
  <c r="AG40" i="4"/>
  <c r="AG17" i="4" s="1"/>
  <c r="AO43" i="4"/>
  <c r="AO20" i="4" s="1"/>
  <c r="M44" i="4"/>
  <c r="M21" i="4" s="1"/>
  <c r="AE44" i="4"/>
  <c r="AE21" i="4" s="1"/>
  <c r="AW44" i="4"/>
  <c r="AW21" i="4" s="1"/>
  <c r="AM46" i="4"/>
  <c r="AM23" i="4" s="1"/>
  <c r="K48" i="4"/>
  <c r="K25" i="4" s="1"/>
  <c r="AC48" i="4"/>
  <c r="AC25" i="4" s="1"/>
  <c r="AU48" i="4"/>
  <c r="AU25" i="4" s="1"/>
  <c r="S41" i="4"/>
  <c r="S18" i="4" s="1"/>
  <c r="AE41" i="4"/>
  <c r="AE18" i="4" s="1"/>
  <c r="AQ41" i="4"/>
  <c r="AQ18" i="4" s="1"/>
  <c r="AC34" i="4"/>
  <c r="AC11" i="4" s="1"/>
  <c r="AV38" i="4"/>
  <c r="AV15" i="4" s="1"/>
  <c r="AJ38" i="4"/>
  <c r="AJ15" i="4" s="1"/>
  <c r="X38" i="4"/>
  <c r="X15" i="4" s="1"/>
  <c r="L38" i="4"/>
  <c r="L15" i="4" s="1"/>
  <c r="AT38" i="4"/>
  <c r="AT15" i="4" s="1"/>
  <c r="AH38" i="4"/>
  <c r="AH15" i="4" s="1"/>
  <c r="V38" i="4"/>
  <c r="V15" i="4" s="1"/>
  <c r="J38" i="4"/>
  <c r="J15" i="4" s="1"/>
  <c r="AP38" i="4"/>
  <c r="AP15" i="4" s="1"/>
  <c r="AD38" i="4"/>
  <c r="AD15" i="4" s="1"/>
  <c r="R38" i="4"/>
  <c r="R15" i="4" s="1"/>
  <c r="AN38" i="4"/>
  <c r="AN15" i="4" s="1"/>
  <c r="AB38" i="4"/>
  <c r="AB15" i="4" s="1"/>
  <c r="P38" i="4"/>
  <c r="P15" i="4" s="1"/>
  <c r="AA38" i="4"/>
  <c r="AA15" i="4" s="1"/>
  <c r="AS38" i="4"/>
  <c r="AS15" i="4" s="1"/>
  <c r="Q40" i="4"/>
  <c r="Q17" i="4" s="1"/>
  <c r="O44" i="4"/>
  <c r="O21" i="4" s="1"/>
  <c r="AG44" i="4"/>
  <c r="AG21" i="4" s="1"/>
  <c r="AO46" i="4"/>
  <c r="AO23" i="4" s="1"/>
  <c r="M48" i="4"/>
  <c r="M25" i="4" s="1"/>
  <c r="AE48" i="4"/>
  <c r="AE25" i="4" s="1"/>
  <c r="AW48" i="4"/>
  <c r="AW25" i="4" s="1"/>
  <c r="O34" i="4"/>
  <c r="O11" i="4" s="1"/>
  <c r="AG34" i="4"/>
  <c r="AG11" i="4" s="1"/>
  <c r="AS37" i="4"/>
  <c r="AS14" i="4" s="1"/>
  <c r="M38" i="4"/>
  <c r="M15" i="4" s="1"/>
  <c r="AE38" i="4"/>
  <c r="AE15" i="4" s="1"/>
  <c r="AW38" i="4"/>
  <c r="AW15" i="4" s="1"/>
  <c r="P39" i="4"/>
  <c r="P16" i="4" s="1"/>
  <c r="AH39" i="4"/>
  <c r="AH16" i="4" s="1"/>
  <c r="U40" i="4"/>
  <c r="U17" i="4" s="1"/>
  <c r="AM40" i="4"/>
  <c r="AM17" i="4" s="1"/>
  <c r="S44" i="4"/>
  <c r="S21" i="4" s="1"/>
  <c r="AK44" i="4"/>
  <c r="AK21" i="4" s="1"/>
  <c r="AR46" i="4"/>
  <c r="AR23" i="4" s="1"/>
  <c r="AF46" i="4"/>
  <c r="AF23" i="4" s="1"/>
  <c r="T46" i="4"/>
  <c r="T23" i="4" s="1"/>
  <c r="AP46" i="4"/>
  <c r="AP23" i="4" s="1"/>
  <c r="AD46" i="4"/>
  <c r="AD23" i="4" s="1"/>
  <c r="R46" i="4"/>
  <c r="R23" i="4" s="1"/>
  <c r="AL46" i="4"/>
  <c r="AL23" i="4" s="1"/>
  <c r="Z46" i="4"/>
  <c r="Z23" i="4" s="1"/>
  <c r="N46" i="4"/>
  <c r="N23" i="4" s="1"/>
  <c r="AV46" i="4"/>
  <c r="AV23" i="4" s="1"/>
  <c r="AJ46" i="4"/>
  <c r="AJ23" i="4" s="1"/>
  <c r="X46" i="4"/>
  <c r="X23" i="4" s="1"/>
  <c r="L46" i="4"/>
  <c r="L23" i="4" s="1"/>
  <c r="AA46" i="4"/>
  <c r="AA23" i="4" s="1"/>
  <c r="AS46" i="4"/>
  <c r="AS23" i="4" s="1"/>
  <c r="Q48" i="4"/>
  <c r="Q25" i="4" s="1"/>
  <c r="AI48" i="4"/>
  <c r="AI25" i="4" s="1"/>
  <c r="Q30" i="4"/>
  <c r="Q7" i="4" s="1"/>
  <c r="Y32" i="4"/>
  <c r="Y9" i="4" s="1"/>
  <c r="AQ32" i="4"/>
  <c r="AQ9" i="4" s="1"/>
  <c r="P34" i="4"/>
  <c r="P11" i="4" s="1"/>
  <c r="AH34" i="4"/>
  <c r="AH11" i="4" s="1"/>
  <c r="N38" i="4"/>
  <c r="N15" i="4" s="1"/>
  <c r="AF38" i="4"/>
  <c r="AF15" i="4" s="1"/>
  <c r="R39" i="4"/>
  <c r="R16" i="4" s="1"/>
  <c r="AJ39" i="4"/>
  <c r="AJ16" i="4" s="1"/>
  <c r="V40" i="4"/>
  <c r="V17" i="4" s="1"/>
  <c r="AN40" i="4"/>
  <c r="AN17" i="4" s="1"/>
  <c r="AS41" i="4"/>
  <c r="AS18" i="4" s="1"/>
  <c r="T44" i="4"/>
  <c r="T21" i="4" s="1"/>
  <c r="AL44" i="4"/>
  <c r="AL21" i="4" s="1"/>
  <c r="J46" i="4"/>
  <c r="J23" i="4" s="1"/>
  <c r="AB46" i="4"/>
  <c r="AB23" i="4" s="1"/>
  <c r="AT46" i="4"/>
  <c r="AT23" i="4" s="1"/>
  <c r="R48" i="4"/>
  <c r="R25" i="4" s="1"/>
  <c r="AJ48" i="4"/>
  <c r="AJ25" i="4" s="1"/>
  <c r="S29" i="4"/>
  <c r="S6" i="4" s="1"/>
  <c r="AE29" i="4"/>
  <c r="AE6" i="4" s="1"/>
  <c r="AQ29" i="4"/>
  <c r="AQ6" i="4" s="1"/>
  <c r="S30" i="4"/>
  <c r="S7" i="4" s="1"/>
  <c r="AE30" i="4"/>
  <c r="AE7" i="4" s="1"/>
  <c r="AQ30" i="4"/>
  <c r="AQ7" i="4" s="1"/>
  <c r="U32" i="4"/>
  <c r="U9" i="4" s="1"/>
  <c r="AG32" i="4"/>
  <c r="AG9" i="4" s="1"/>
  <c r="M35" i="4"/>
  <c r="M12" i="4" s="1"/>
  <c r="Y35" i="4"/>
  <c r="Y12" i="4" s="1"/>
  <c r="AK35" i="4"/>
  <c r="AK12" i="4" s="1"/>
  <c r="AW35" i="4"/>
  <c r="AW12" i="4" s="1"/>
  <c r="U43" i="4"/>
  <c r="U20" i="4" s="1"/>
  <c r="AG43" i="4"/>
  <c r="AG20" i="4" s="1"/>
  <c r="AS43" i="4"/>
  <c r="AS20" i="4" s="1"/>
  <c r="U29" i="4"/>
  <c r="U6" i="4" s="1"/>
  <c r="AG29" i="4"/>
  <c r="AG6" i="4" s="1"/>
  <c r="AS29" i="4"/>
  <c r="AS6" i="4" s="1"/>
  <c r="U30" i="4"/>
  <c r="U7" i="4" s="1"/>
  <c r="AG30" i="4"/>
  <c r="AG7" i="4" s="1"/>
  <c r="AS30" i="4"/>
  <c r="AS7" i="4" s="1"/>
  <c r="O35" i="4"/>
  <c r="O12" i="4" s="1"/>
  <c r="AA35" i="4"/>
  <c r="AA12" i="4" s="1"/>
  <c r="AM35" i="4"/>
  <c r="AM12" i="4" s="1"/>
  <c r="Q37" i="4"/>
  <c r="Q14" i="4" s="1"/>
  <c r="AC37" i="4"/>
  <c r="AC14" i="4" s="1"/>
  <c r="AO37" i="4"/>
  <c r="AO14" i="4" s="1"/>
  <c r="U41" i="4"/>
  <c r="U18" i="4" s="1"/>
  <c r="AG41" i="4"/>
  <c r="AG18" i="4" s="1"/>
  <c r="K43" i="4"/>
  <c r="K20" i="4" s="1"/>
  <c r="W43" i="4"/>
  <c r="W20" i="4" s="1"/>
  <c r="AI43" i="4"/>
  <c r="AI20" i="4" s="1"/>
  <c r="AU43" i="4"/>
  <c r="AU20" i="4" s="1"/>
  <c r="O47" i="4"/>
  <c r="O24" i="4" s="1"/>
  <c r="AA47" i="4"/>
  <c r="AA24" i="4" s="1"/>
  <c r="AM47" i="4"/>
  <c r="AM24" i="4" s="1"/>
  <c r="M29" i="4"/>
  <c r="M6" i="4" s="1"/>
  <c r="Y29" i="4"/>
  <c r="Y6" i="4" s="1"/>
  <c r="AK29" i="4"/>
  <c r="AK6" i="4" s="1"/>
  <c r="M30" i="4"/>
  <c r="M7" i="4" s="1"/>
  <c r="Y30" i="4"/>
  <c r="Y7" i="4" s="1"/>
  <c r="AK30" i="4"/>
  <c r="AK7" i="4" s="1"/>
  <c r="S35" i="4"/>
  <c r="S12" i="4" s="1"/>
  <c r="AE35" i="4"/>
  <c r="AE12" i="4" s="1"/>
  <c r="AQ35" i="4"/>
  <c r="AQ12" i="4" s="1"/>
  <c r="U37" i="4"/>
  <c r="U14" i="4" s="1"/>
  <c r="AG37" i="4"/>
  <c r="AG14" i="4" s="1"/>
  <c r="O43" i="4"/>
  <c r="O20" i="4" s="1"/>
  <c r="AA43" i="4"/>
  <c r="AA20" i="4" s="1"/>
  <c r="AM43" i="4"/>
  <c r="AM20" i="4" s="1"/>
  <c r="S47" i="4"/>
  <c r="S24" i="4" s="1"/>
  <c r="AE47" i="4"/>
  <c r="AE24" i="4" s="1"/>
  <c r="AQ47" i="4"/>
  <c r="AQ24" i="4" s="1"/>
  <c r="U35" i="4"/>
  <c r="U12" i="4" s="1"/>
  <c r="AG35" i="4"/>
  <c r="AG12" i="4" s="1"/>
  <c r="Q43" i="4"/>
  <c r="Q20" i="4" s="1"/>
  <c r="AC43" i="4"/>
  <c r="AC20" i="4" s="1"/>
  <c r="U47" i="4"/>
  <c r="U24" i="4" s="1"/>
  <c r="AG47" i="4"/>
  <c r="AG24" i="4" s="1"/>
  <c r="D11" i="6" l="1"/>
  <c r="H11" i="6" s="1"/>
  <c r="H10" i="6"/>
  <c r="DF25" i="6"/>
  <c r="DF23" i="6"/>
  <c r="DF24" i="6"/>
  <c r="DF26" i="6"/>
  <c r="FP11" i="6"/>
  <c r="FQ10" i="6"/>
  <c r="FN10" i="6"/>
  <c r="FO10" i="6"/>
  <c r="H42" i="6"/>
  <c r="B60" i="6"/>
  <c r="B27" i="6"/>
  <c r="D12" i="6"/>
  <c r="H12" i="6" s="1"/>
  <c r="I27" i="4"/>
  <c r="DF27" i="6" l="1"/>
  <c r="FP12" i="6"/>
  <c r="FQ11" i="6"/>
  <c r="FN11" i="6"/>
  <c r="FO11" i="6"/>
  <c r="H43" i="6"/>
  <c r="B61" i="6"/>
  <c r="H47" i="6"/>
  <c r="B28" i="6"/>
  <c r="B29" i="6" s="1"/>
  <c r="B30" i="6" s="1"/>
  <c r="B31" i="6" s="1"/>
  <c r="B32" i="6" s="1"/>
  <c r="B33" i="6" s="1"/>
  <c r="B34" i="6" s="1"/>
  <c r="D13" i="6"/>
  <c r="H13" i="6" s="1"/>
  <c r="G2" i="4"/>
  <c r="AX29" i="4"/>
  <c r="AX30" i="4" s="1"/>
  <c r="AX31" i="4" s="1"/>
  <c r="AX32" i="4" s="1"/>
  <c r="AX33" i="4" s="1"/>
  <c r="AX34" i="4" s="1"/>
  <c r="AX35" i="4" s="1"/>
  <c r="AX36" i="4" s="1"/>
  <c r="AX37" i="4" s="1"/>
  <c r="AX38" i="4" s="1"/>
  <c r="AX39" i="4" s="1"/>
  <c r="AX40" i="4" s="1"/>
  <c r="AX41" i="4" s="1"/>
  <c r="AX42" i="4" s="1"/>
  <c r="AX43" i="4" s="1"/>
  <c r="AX44" i="4" s="1"/>
  <c r="AX45" i="4" s="1"/>
  <c r="AX46" i="4" s="1"/>
  <c r="AX47" i="4" s="1"/>
  <c r="AX48" i="4" s="1"/>
  <c r="DF28" i="6" l="1"/>
  <c r="FP13" i="6"/>
  <c r="FQ12" i="6"/>
  <c r="FN12" i="6"/>
  <c r="FO12" i="6"/>
  <c r="H44" i="6"/>
  <c r="B62" i="6"/>
  <c r="D14" i="6"/>
  <c r="H14" i="6" s="1"/>
  <c r="DF29" i="6" l="1"/>
  <c r="FP14" i="6"/>
  <c r="FQ13" i="6"/>
  <c r="FN13" i="6"/>
  <c r="FO13" i="6"/>
  <c r="FI8" i="6"/>
  <c r="H45" i="6"/>
  <c r="H46" i="6"/>
  <c r="B63" i="6"/>
  <c r="D15" i="6"/>
  <c r="H15" i="6" s="1"/>
  <c r="DF31" i="6" l="1"/>
  <c r="DF32" i="6"/>
  <c r="DF30" i="6"/>
  <c r="K8" i="6"/>
  <c r="K12" i="6"/>
  <c r="K14" i="6"/>
  <c r="K11" i="6"/>
  <c r="K9" i="6"/>
  <c r="K13" i="6"/>
  <c r="K7" i="6"/>
  <c r="K10" i="6"/>
  <c r="K15" i="6"/>
  <c r="FP15" i="6"/>
  <c r="FQ14" i="6"/>
  <c r="FN14" i="6"/>
  <c r="FO14" i="6"/>
  <c r="B64" i="6"/>
  <c r="H3" i="6"/>
  <c r="D16" i="6"/>
  <c r="H16" i="6" s="1"/>
  <c r="K16" i="6" l="1"/>
  <c r="FP16" i="6"/>
  <c r="FQ15" i="6"/>
  <c r="FN15" i="6"/>
  <c r="FO15" i="6"/>
  <c r="B65" i="6"/>
  <c r="D17" i="6"/>
  <c r="H17" i="6" s="1"/>
  <c r="K17" i="6" l="1"/>
  <c r="FP17" i="6"/>
  <c r="FQ16" i="6"/>
  <c r="FN16" i="6"/>
  <c r="FO16" i="6"/>
  <c r="B66" i="6"/>
  <c r="D18" i="6"/>
  <c r="H18" i="6" s="1"/>
  <c r="K18" i="6" l="1"/>
  <c r="FP18" i="6"/>
  <c r="FQ17" i="6"/>
  <c r="FN17" i="6"/>
  <c r="FO17" i="6"/>
  <c r="B67" i="6"/>
  <c r="D19" i="6"/>
  <c r="H19" i="6" s="1"/>
  <c r="K19" i="6" l="1"/>
  <c r="FP19" i="6"/>
  <c r="FQ18" i="6"/>
  <c r="FN18" i="6"/>
  <c r="FO18" i="6"/>
  <c r="B68" i="6"/>
  <c r="D20" i="6"/>
  <c r="H20" i="6" s="1"/>
  <c r="K20" i="6" l="1"/>
  <c r="FP20" i="6"/>
  <c r="FQ19" i="6"/>
  <c r="FN19" i="6"/>
  <c r="FO19" i="6"/>
  <c r="B69" i="6"/>
  <c r="D21" i="6"/>
  <c r="H21" i="6" s="1"/>
  <c r="FP21" i="6" l="1"/>
  <c r="FQ20" i="6"/>
  <c r="FO20" i="6"/>
  <c r="FN20" i="6"/>
  <c r="B70" i="6"/>
  <c r="D22" i="6"/>
  <c r="H22" i="6" s="1"/>
  <c r="FP22" i="6" l="1"/>
  <c r="FP23" i="6" s="1"/>
  <c r="FQ21" i="6"/>
  <c r="FN21" i="6"/>
  <c r="FO21" i="6"/>
  <c r="B71" i="6"/>
  <c r="D23" i="6"/>
  <c r="H23" i="6" s="1"/>
  <c r="FP24" i="6" l="1"/>
  <c r="FQ23" i="6"/>
  <c r="FO23" i="6"/>
  <c r="FQ22" i="6"/>
  <c r="FN22" i="6"/>
  <c r="FN23" i="6" s="1"/>
  <c r="FO22" i="6"/>
  <c r="B72" i="6"/>
  <c r="D24" i="6"/>
  <c r="D25" i="6" l="1"/>
  <c r="H24" i="6"/>
  <c r="FN24" i="6"/>
  <c r="FO24" i="6"/>
  <c r="FQ24" i="6"/>
  <c r="FP25" i="6"/>
  <c r="B73" i="6"/>
  <c r="D26" i="6" l="1"/>
  <c r="H25" i="6"/>
  <c r="FP26" i="6"/>
  <c r="FO25" i="6"/>
  <c r="FN25" i="6"/>
  <c r="FQ25" i="6"/>
  <c r="B74" i="6"/>
  <c r="D27" i="6" l="1"/>
  <c r="H26" i="6"/>
  <c r="FN26" i="6"/>
  <c r="FO26" i="6"/>
  <c r="FQ26" i="6"/>
  <c r="FP27" i="6"/>
  <c r="B75" i="6"/>
  <c r="D28" i="6" l="1"/>
  <c r="H27" i="6"/>
  <c r="FN27" i="6"/>
  <c r="FO27" i="6"/>
  <c r="FQ27" i="6"/>
  <c r="FP28" i="6"/>
  <c r="B76" i="6"/>
  <c r="D29" i="6" l="1"/>
  <c r="H28" i="6"/>
  <c r="FN28" i="6"/>
  <c r="FP29" i="6"/>
  <c r="FO28" i="6"/>
  <c r="FQ28" i="6"/>
  <c r="B77" i="6"/>
  <c r="B78" i="6" s="1"/>
  <c r="B79" i="6" s="1"/>
  <c r="B80" i="6" s="1"/>
  <c r="B81" i="6" s="1"/>
  <c r="B82" i="6" s="1"/>
  <c r="B83" i="6" s="1"/>
  <c r="D30" i="6" l="1"/>
  <c r="H29" i="6"/>
  <c r="FN29" i="6"/>
  <c r="FO29" i="6"/>
  <c r="FQ29" i="6"/>
  <c r="FP30" i="6"/>
  <c r="DL152" i="4"/>
  <c r="D31" i="6" l="1"/>
  <c r="H30" i="6"/>
  <c r="FN30" i="6"/>
  <c r="FO30" i="6"/>
  <c r="FQ30" i="6"/>
  <c r="FP31" i="6"/>
  <c r="FJ9" i="6"/>
  <c r="FJ10" i="6" s="1"/>
  <c r="FJ11" i="6" s="1"/>
  <c r="FJ12" i="6" s="1"/>
  <c r="FJ13" i="6" s="1"/>
  <c r="FJ14" i="6" s="1"/>
  <c r="FJ15" i="6" s="1"/>
  <c r="FJ16" i="6" s="1"/>
  <c r="FJ17" i="6" s="1"/>
  <c r="FJ18" i="6" s="1"/>
  <c r="FJ19" i="6" s="1"/>
  <c r="FJ20" i="6" s="1"/>
  <c r="FJ21" i="6" s="1"/>
  <c r="FJ22" i="6" s="1"/>
  <c r="FJ23" i="6" s="1"/>
  <c r="FJ24" i="6" s="1"/>
  <c r="FJ25" i="6" s="1"/>
  <c r="FJ26" i="6" s="1"/>
  <c r="FJ27" i="6" s="1"/>
  <c r="FK9" i="6"/>
  <c r="FK10" i="6" s="1"/>
  <c r="FK11" i="6" s="1"/>
  <c r="FK12" i="6" s="1"/>
  <c r="FK13" i="6" s="1"/>
  <c r="FK14" i="6" s="1"/>
  <c r="FK15" i="6" s="1"/>
  <c r="FK16" i="6" s="1"/>
  <c r="FK17" i="6" s="1"/>
  <c r="FK18" i="6" s="1"/>
  <c r="FK19" i="6" s="1"/>
  <c r="FK20" i="6" s="1"/>
  <c r="FK21" i="6" s="1"/>
  <c r="FK22" i="6" s="1"/>
  <c r="FK23" i="6" s="1"/>
  <c r="FK24" i="6" s="1"/>
  <c r="FK25" i="6" s="1"/>
  <c r="FK26" i="6" s="1"/>
  <c r="FK27" i="6" s="1"/>
  <c r="H31" i="6" l="1"/>
  <c r="D32" i="6"/>
  <c r="FN31" i="6"/>
  <c r="FO31" i="6"/>
  <c r="FQ31" i="6"/>
  <c r="FI9" i="6"/>
  <c r="H32" i="6" l="1"/>
  <c r="D33" i="6"/>
  <c r="DF35" i="6"/>
  <c r="DF34" i="6"/>
  <c r="K33" i="6"/>
  <c r="K32" i="6"/>
  <c r="DF33" i="6"/>
  <c r="K21" i="6"/>
  <c r="K29" i="6"/>
  <c r="K23" i="6"/>
  <c r="K30" i="6"/>
  <c r="K25" i="6"/>
  <c r="K31" i="6"/>
  <c r="K24" i="6"/>
  <c r="K22" i="6"/>
  <c r="K27" i="6"/>
  <c r="K26" i="6"/>
  <c r="K28" i="6"/>
  <c r="FI10" i="6"/>
  <c r="FI11" i="6"/>
  <c r="H33" i="6" l="1"/>
  <c r="D34" i="6"/>
  <c r="H34" i="6" s="1"/>
  <c r="H4" i="6"/>
  <c r="DF22" i="6"/>
  <c r="DF21" i="6"/>
  <c r="FI12" i="6"/>
  <c r="BP34" i="6" l="1"/>
  <c r="K35" i="6"/>
  <c r="BM34" i="6"/>
  <c r="BV35" i="6"/>
  <c r="AF35" i="6"/>
  <c r="AA34" i="6"/>
  <c r="P35" i="6"/>
  <c r="AW35" i="6"/>
  <c r="DD34" i="6"/>
  <c r="BY35" i="6"/>
  <c r="AY35" i="6"/>
  <c r="O35" i="6"/>
  <c r="T35" i="6"/>
  <c r="AQ35" i="6"/>
  <c r="W35" i="6"/>
  <c r="CE34" i="6"/>
  <c r="DA33" i="6"/>
  <c r="CF33" i="6"/>
  <c r="AB33" i="6"/>
  <c r="AX33" i="6"/>
  <c r="AY33" i="6"/>
  <c r="BV32" i="6"/>
  <c r="BF32" i="6"/>
  <c r="AC32" i="6"/>
  <c r="CG33" i="6"/>
  <c r="AM33" i="6"/>
  <c r="BO33" i="6"/>
  <c r="CV33" i="6"/>
  <c r="L32" i="6"/>
  <c r="AE33" i="6"/>
  <c r="CD32" i="6"/>
  <c r="CM32" i="6"/>
  <c r="CN33" i="6"/>
  <c r="CT10" i="6"/>
  <c r="CH25" i="6"/>
  <c r="CE24" i="6"/>
  <c r="CS25" i="6"/>
  <c r="CC10" i="6"/>
  <c r="CL17" i="6"/>
  <c r="CU27" i="6"/>
  <c r="BT8" i="6"/>
  <c r="CU9" i="6"/>
  <c r="BP27" i="6"/>
  <c r="BW30" i="6"/>
  <c r="BV6" i="6"/>
  <c r="BS19" i="6"/>
  <c r="BN23" i="6"/>
  <c r="BM20" i="6"/>
  <c r="CE8" i="6"/>
  <c r="BT29" i="6"/>
  <c r="CD8" i="6"/>
  <c r="CL14" i="6"/>
  <c r="DA25" i="6"/>
  <c r="DF14" i="6"/>
  <c r="CR17" i="6"/>
  <c r="CU28" i="6"/>
  <c r="BI21" i="6"/>
  <c r="CA11" i="6"/>
  <c r="BZ30" i="6"/>
  <c r="BK17" i="6"/>
  <c r="CG24" i="6"/>
  <c r="BO31" i="6"/>
  <c r="BQ18" i="6"/>
  <c r="DA9" i="6"/>
  <c r="BQ23" i="6"/>
  <c r="BK16" i="6"/>
  <c r="BJ24" i="6"/>
  <c r="BV28" i="6"/>
  <c r="CF18" i="6"/>
  <c r="BU22" i="6"/>
  <c r="CZ10" i="6"/>
  <c r="BK26" i="6"/>
  <c r="BW9" i="6"/>
  <c r="CV29" i="6"/>
  <c r="CA15" i="6"/>
  <c r="CH10" i="6"/>
  <c r="CH7" i="6"/>
  <c r="DE29" i="6"/>
  <c r="CK13" i="6"/>
  <c r="BL31" i="6"/>
  <c r="BO23" i="6"/>
  <c r="CV9" i="6"/>
  <c r="BO15" i="6"/>
  <c r="CD10" i="6"/>
  <c r="CP24" i="6"/>
  <c r="DC35" i="6"/>
  <c r="Z34" i="6"/>
  <c r="AB35" i="6"/>
  <c r="CN35" i="6"/>
  <c r="AP34" i="6"/>
  <c r="AO35" i="6"/>
  <c r="BI34" i="6"/>
  <c r="AN35" i="6"/>
  <c r="CH35" i="6"/>
  <c r="BM35" i="6"/>
  <c r="BE35" i="6"/>
  <c r="AS35" i="6"/>
  <c r="CX35" i="6"/>
  <c r="R34" i="6"/>
  <c r="CK35" i="6"/>
  <c r="AK35" i="6"/>
  <c r="CL33" i="6"/>
  <c r="T32" i="6"/>
  <c r="U33" i="6"/>
  <c r="AK32" i="6"/>
  <c r="AQ33" i="6"/>
  <c r="DB32" i="6"/>
  <c r="CM33" i="6"/>
  <c r="AU33" i="6"/>
  <c r="AX32" i="6"/>
  <c r="CH32" i="6"/>
  <c r="BL33" i="6"/>
  <c r="DE32" i="6"/>
  <c r="M33" i="6"/>
  <c r="AT32" i="6"/>
  <c r="P33" i="6"/>
  <c r="CR32" i="6"/>
  <c r="BG33" i="6"/>
  <c r="CQ10" i="6"/>
  <c r="CM9" i="6"/>
  <c r="BK6" i="6"/>
  <c r="CU19" i="6"/>
  <c r="DE21" i="6"/>
  <c r="CB14" i="6"/>
  <c r="CC9" i="6"/>
  <c r="BZ20" i="6"/>
  <c r="BI22" i="6"/>
  <c r="CV23" i="6"/>
  <c r="BX15" i="6"/>
  <c r="DA21" i="6"/>
  <c r="CW9" i="6"/>
  <c r="CV13" i="6"/>
  <c r="BV15" i="6"/>
  <c r="BR29" i="6"/>
  <c r="BZ26" i="6"/>
  <c r="DA18" i="6"/>
  <c r="CT11" i="6"/>
  <c r="CJ23" i="6"/>
  <c r="BO18" i="6"/>
  <c r="CY6" i="6"/>
  <c r="CC16" i="6"/>
  <c r="BM19" i="6"/>
  <c r="BI8" i="6"/>
  <c r="BP18" i="6"/>
  <c r="CH13" i="6"/>
  <c r="CN26" i="6"/>
  <c r="BL18" i="6"/>
  <c r="CB15" i="6"/>
  <c r="BI29" i="6"/>
  <c r="CP20" i="6"/>
  <c r="BN25" i="6"/>
  <c r="DC15" i="6"/>
  <c r="CS18" i="6"/>
  <c r="BL29" i="6"/>
  <c r="BT6" i="6"/>
  <c r="CA30" i="6"/>
  <c r="BY14" i="6"/>
  <c r="BU9" i="6"/>
  <c r="CR15" i="6"/>
  <c r="BJ10" i="6"/>
  <c r="BL12" i="6"/>
  <c r="CC6" i="6"/>
  <c r="BW17" i="6"/>
  <c r="BX27" i="6"/>
  <c r="CS22" i="6"/>
  <c r="DE16" i="6"/>
  <c r="CI7" i="6"/>
  <c r="CP18" i="6"/>
  <c r="CW17" i="6"/>
  <c r="DB10" i="6"/>
  <c r="DF20" i="6"/>
  <c r="CH34" i="6"/>
  <c r="DE35" i="6"/>
  <c r="CF35" i="6"/>
  <c r="AT34" i="6"/>
  <c r="CZ35" i="6"/>
  <c r="BC35" i="6"/>
  <c r="BS34" i="6"/>
  <c r="CX34" i="6"/>
  <c r="CI35" i="6"/>
  <c r="AT35" i="6"/>
  <c r="BK34" i="6"/>
  <c r="CY34" i="6"/>
  <c r="AL34" i="6"/>
  <c r="BA35" i="6"/>
  <c r="BF34" i="6"/>
  <c r="BY33" i="6"/>
  <c r="AW33" i="6"/>
  <c r="BI33" i="6"/>
  <c r="CS33" i="6"/>
  <c r="BY32" i="6"/>
  <c r="CO33" i="6"/>
  <c r="BG32" i="6"/>
  <c r="AR33" i="6"/>
  <c r="BD33" i="6"/>
  <c r="CZ33" i="6"/>
  <c r="BT33" i="6"/>
  <c r="CJ33" i="6"/>
  <c r="N33" i="6"/>
  <c r="DA32" i="6"/>
  <c r="BL23" i="6"/>
  <c r="CF26" i="6"/>
  <c r="CJ30" i="6"/>
  <c r="DB24" i="6"/>
  <c r="CV27" i="6"/>
  <c r="BS14" i="6"/>
  <c r="CU14" i="6"/>
  <c r="BN30" i="6"/>
  <c r="CX21" i="6"/>
  <c r="BW8" i="6"/>
  <c r="CF31" i="6"/>
  <c r="CT30" i="6"/>
  <c r="BI23" i="6"/>
  <c r="BX28" i="6"/>
  <c r="CC29" i="6"/>
  <c r="BO29" i="6"/>
  <c r="CL25" i="6"/>
  <c r="CC24" i="6"/>
  <c r="CV21" i="6"/>
  <c r="DB16" i="6"/>
  <c r="CY14" i="6"/>
  <c r="CH15" i="6"/>
  <c r="BJ25" i="6"/>
  <c r="CX7" i="6"/>
  <c r="CR26" i="6"/>
  <c r="DA30" i="6"/>
  <c r="CN15" i="6"/>
  <c r="BP29" i="6"/>
  <c r="BU20" i="6"/>
  <c r="BP16" i="6"/>
  <c r="CL29" i="6"/>
  <c r="CY23" i="6"/>
  <c r="CG10" i="6"/>
  <c r="CT18" i="6"/>
  <c r="BO27" i="6"/>
  <c r="BI10" i="6"/>
  <c r="DD11" i="6"/>
  <c r="BP19" i="6"/>
  <c r="CJ20" i="6"/>
  <c r="CP8" i="6"/>
  <c r="CE7" i="6"/>
  <c r="BI26" i="6"/>
  <c r="CP6" i="6"/>
  <c r="BS27" i="6"/>
  <c r="BJ18" i="6"/>
  <c r="CI24" i="6"/>
  <c r="CL19" i="6"/>
  <c r="BH10" i="6"/>
  <c r="CQ9" i="6"/>
  <c r="DF17" i="6"/>
  <c r="CJ16" i="6"/>
  <c r="CY12" i="6"/>
  <c r="BM7" i="6"/>
  <c r="CP19" i="6"/>
  <c r="CU26" i="6"/>
  <c r="DB35" i="6"/>
  <c r="BW34" i="6"/>
  <c r="BN35" i="6"/>
  <c r="BV34" i="6"/>
  <c r="BZ34" i="6"/>
  <c r="CE35" i="6"/>
  <c r="BU35" i="6"/>
  <c r="CA34" i="6"/>
  <c r="BD34" i="6"/>
  <c r="AG34" i="6"/>
  <c r="AJ34" i="6"/>
  <c r="AN34" i="6"/>
  <c r="AX34" i="6"/>
  <c r="CM35" i="6"/>
  <c r="CC34" i="6"/>
  <c r="CJ34" i="6"/>
  <c r="CB34" i="6"/>
  <c r="AT33" i="6"/>
  <c r="BR33" i="6"/>
  <c r="AA33" i="6"/>
  <c r="X33" i="6"/>
  <c r="M32" i="6"/>
  <c r="AB32" i="6"/>
  <c r="O33" i="6"/>
  <c r="AJ33" i="6"/>
  <c r="AQ32" i="6"/>
  <c r="BL32" i="6"/>
  <c r="AZ33" i="6"/>
  <c r="CW32" i="6"/>
  <c r="DB33" i="6"/>
  <c r="DE33" i="6"/>
  <c r="AM32" i="6"/>
  <c r="BZ32" i="6"/>
  <c r="BB33" i="6"/>
  <c r="CG14" i="6"/>
  <c r="CH17" i="6"/>
  <c r="BI12" i="6"/>
  <c r="BU18" i="6"/>
  <c r="BV9" i="6"/>
  <c r="BL10" i="6"/>
  <c r="BQ19" i="6"/>
  <c r="CK25" i="6"/>
  <c r="BS21" i="6"/>
  <c r="BS26" i="6"/>
  <c r="CT6" i="6"/>
  <c r="BN28" i="6"/>
  <c r="BY8" i="6"/>
  <c r="CH31" i="6"/>
  <c r="CW15" i="6"/>
  <c r="CK29" i="6"/>
  <c r="DB27" i="6"/>
  <c r="CG13" i="6"/>
  <c r="BK11" i="6"/>
  <c r="CK24" i="6"/>
  <c r="BY18" i="6"/>
  <c r="CB8" i="6"/>
  <c r="CV8" i="6"/>
  <c r="CD6" i="6"/>
  <c r="BX18" i="6"/>
  <c r="BX7" i="6"/>
  <c r="BU10" i="6"/>
  <c r="CZ30" i="6"/>
  <c r="BQ24" i="6"/>
  <c r="BI17" i="6"/>
  <c r="BW7" i="6"/>
  <c r="BI6" i="6"/>
  <c r="CE22" i="6"/>
  <c r="CW7" i="6"/>
  <c r="CD11" i="6"/>
  <c r="CV24" i="6"/>
  <c r="CG15" i="6"/>
  <c r="CA6" i="6"/>
  <c r="CF27" i="6"/>
  <c r="DB25" i="6"/>
  <c r="BH23" i="6"/>
  <c r="BN13" i="6"/>
  <c r="CZ11" i="6"/>
  <c r="CT29" i="6"/>
  <c r="BU17" i="6"/>
  <c r="DA17" i="6"/>
  <c r="CK8" i="6"/>
  <c r="CT28" i="6"/>
  <c r="CU23" i="6"/>
  <c r="BN18" i="6"/>
  <c r="CP11" i="6"/>
  <c r="BC34" i="6"/>
  <c r="Y34" i="6"/>
  <c r="AZ35" i="6"/>
  <c r="CO35" i="6"/>
  <c r="AD34" i="6"/>
  <c r="S35" i="6"/>
  <c r="AV35" i="6"/>
  <c r="BU34" i="6"/>
  <c r="BA34" i="6"/>
  <c r="CU35" i="6"/>
  <c r="CM34" i="6"/>
  <c r="BF35" i="6"/>
  <c r="CC35" i="6"/>
  <c r="AM34" i="6"/>
  <c r="CU34" i="6"/>
  <c r="AY34" i="6"/>
  <c r="BP35" i="6"/>
  <c r="AS32" i="6"/>
  <c r="Q33" i="6"/>
  <c r="BM33" i="6"/>
  <c r="CU33" i="6"/>
  <c r="CY33" i="6"/>
  <c r="Z33" i="6"/>
  <c r="W32" i="6"/>
  <c r="V33" i="6"/>
  <c r="CX32" i="6"/>
  <c r="AS33" i="6"/>
  <c r="BF33" i="6"/>
  <c r="BX33" i="6"/>
  <c r="BA32" i="6"/>
  <c r="R33" i="6"/>
  <c r="Q32" i="6"/>
  <c r="P32" i="6"/>
  <c r="X32" i="6"/>
  <c r="BQ27" i="6"/>
  <c r="DC29" i="6"/>
  <c r="CD31" i="6"/>
  <c r="CT14" i="6"/>
  <c r="CR31" i="6"/>
  <c r="CB9" i="6"/>
  <c r="CR11" i="6"/>
  <c r="CT24" i="6"/>
  <c r="BL30" i="6"/>
  <c r="CD13" i="6"/>
  <c r="CH27" i="6"/>
  <c r="DE11" i="6"/>
  <c r="CM27" i="6"/>
  <c r="BZ6" i="6"/>
  <c r="CW28" i="6"/>
  <c r="CO12" i="6"/>
  <c r="BY10" i="6"/>
  <c r="CS12" i="6"/>
  <c r="CY11" i="6"/>
  <c r="BO14" i="6"/>
  <c r="BO11" i="6"/>
  <c r="CY26" i="6"/>
  <c r="CC31" i="6"/>
  <c r="BK8" i="6"/>
  <c r="CI14" i="6"/>
  <c r="BJ17" i="6"/>
  <c r="CC8" i="6"/>
  <c r="BU11" i="6"/>
  <c r="BP30" i="6"/>
  <c r="CL12" i="6"/>
  <c r="CK31" i="6"/>
  <c r="DA19" i="6"/>
  <c r="BY27" i="6"/>
  <c r="DB15" i="6"/>
  <c r="BZ11" i="6"/>
  <c r="DE15" i="6"/>
  <c r="CI30" i="6"/>
  <c r="BS22" i="6"/>
  <c r="BQ8" i="6"/>
  <c r="CR27" i="6"/>
  <c r="BM9" i="6"/>
  <c r="CR24" i="6"/>
  <c r="CA25" i="6"/>
  <c r="CJ22" i="6"/>
  <c r="BR19" i="6"/>
  <c r="CU24" i="6"/>
  <c r="BP24" i="6"/>
  <c r="CN25" i="6"/>
  <c r="DD25" i="6"/>
  <c r="CT25" i="6"/>
  <c r="BN9" i="6"/>
  <c r="DC34" i="6"/>
  <c r="Y35" i="6"/>
  <c r="AU35" i="6"/>
  <c r="BG34" i="6"/>
  <c r="K34" i="6"/>
  <c r="CL35" i="6"/>
  <c r="DA35" i="6"/>
  <c r="CG35" i="6"/>
  <c r="CO34" i="6"/>
  <c r="BB35" i="6"/>
  <c r="BH35" i="6"/>
  <c r="CI34" i="6"/>
  <c r="X35" i="6"/>
  <c r="BX34" i="6"/>
  <c r="CQ35" i="6"/>
  <c r="AH34" i="6"/>
  <c r="M35" i="6"/>
  <c r="CD33" i="6"/>
  <c r="BH33" i="6"/>
  <c r="S33" i="6"/>
  <c r="AO32" i="6"/>
  <c r="AD33" i="6"/>
  <c r="BQ32" i="6"/>
  <c r="CI32" i="6"/>
  <c r="AH32" i="6"/>
  <c r="O32" i="6"/>
  <c r="BK32" i="6"/>
  <c r="BW32" i="6"/>
  <c r="N32" i="6"/>
  <c r="Y33" i="6"/>
  <c r="BO32" i="6"/>
  <c r="CQ33" i="6"/>
  <c r="BS33" i="6"/>
  <c r="Y32" i="6"/>
  <c r="BZ31" i="6"/>
  <c r="CN31" i="6"/>
  <c r="DC6" i="6"/>
  <c r="CX31" i="6"/>
  <c r="CZ29" i="6"/>
  <c r="BS13" i="6"/>
  <c r="CA10" i="6"/>
  <c r="CO21" i="6"/>
  <c r="BN8" i="6"/>
  <c r="CQ11" i="6"/>
  <c r="DC16" i="6"/>
  <c r="BZ17" i="6"/>
  <c r="CH21" i="6"/>
  <c r="BM6" i="6"/>
  <c r="BN27" i="6"/>
  <c r="BR27" i="6"/>
  <c r="CJ9" i="6"/>
  <c r="DC17" i="6"/>
  <c r="CL16" i="6"/>
  <c r="BQ11" i="6"/>
  <c r="BU27" i="6"/>
  <c r="CI9" i="6"/>
  <c r="CB16" i="6"/>
  <c r="CE14" i="6"/>
  <c r="DE30" i="6"/>
  <c r="BT14" i="6"/>
  <c r="DB29" i="6"/>
  <c r="CU29" i="6"/>
  <c r="BU30" i="6"/>
  <c r="CS27" i="6"/>
  <c r="CM8" i="6"/>
  <c r="DC14" i="6"/>
  <c r="CA31" i="6"/>
  <c r="CG6" i="6"/>
  <c r="CX11" i="6"/>
  <c r="CR18" i="6"/>
  <c r="BK22" i="6"/>
  <c r="BY24" i="6"/>
  <c r="BJ12" i="6"/>
  <c r="CM21" i="6"/>
  <c r="CY9" i="6"/>
  <c r="CQ30" i="6"/>
  <c r="CN6" i="6"/>
  <c r="DB8" i="6"/>
  <c r="CB29" i="6"/>
  <c r="CW30" i="6"/>
  <c r="CJ24" i="6"/>
  <c r="DA10" i="6"/>
  <c r="CV7" i="6"/>
  <c r="DA29" i="6"/>
  <c r="DA6" i="6"/>
  <c r="CB35" i="6"/>
  <c r="CT34" i="6"/>
  <c r="BO34" i="6"/>
  <c r="L34" i="6"/>
  <c r="N35" i="6"/>
  <c r="CW35" i="6"/>
  <c r="AJ35" i="6"/>
  <c r="CF34" i="6"/>
  <c r="DD35" i="6"/>
  <c r="BL34" i="6"/>
  <c r="CG34" i="6"/>
  <c r="AX35" i="6"/>
  <c r="AG35" i="6"/>
  <c r="CV35" i="6"/>
  <c r="AB34" i="6"/>
  <c r="AA35" i="6"/>
  <c r="BK35" i="6"/>
  <c r="CS32" i="6"/>
  <c r="CP32" i="6"/>
  <c r="CK33" i="6"/>
  <c r="CH33" i="6"/>
  <c r="Z32" i="6"/>
  <c r="CU32" i="6"/>
  <c r="DC32" i="6"/>
  <c r="BU32" i="6"/>
  <c r="R32" i="6"/>
  <c r="CP33" i="6"/>
  <c r="BS32" i="6"/>
  <c r="BK33" i="6"/>
  <c r="CY32" i="6"/>
  <c r="AD32" i="6"/>
  <c r="AF33" i="6"/>
  <c r="AH33" i="6"/>
  <c r="CB13" i="6"/>
  <c r="CP25" i="6"/>
  <c r="CV28" i="6"/>
  <c r="BM18" i="6"/>
  <c r="CG29" i="6"/>
  <c r="CK15" i="6"/>
  <c r="BX24" i="6"/>
  <c r="CC22" i="6"/>
  <c r="DF16" i="6"/>
  <c r="BQ9" i="6"/>
  <c r="CC25" i="6"/>
  <c r="CW20" i="6"/>
  <c r="BI27" i="6"/>
  <c r="CR25" i="6"/>
  <c r="CP9" i="6"/>
  <c r="CK26" i="6"/>
  <c r="DD22" i="6"/>
  <c r="BV17" i="6"/>
  <c r="DD14" i="6"/>
  <c r="BM15" i="6"/>
  <c r="CT19" i="6"/>
  <c r="BM10" i="6"/>
  <c r="CB19" i="6"/>
  <c r="BP20" i="6"/>
  <c r="BP25" i="6"/>
  <c r="CQ13" i="6"/>
  <c r="BR6" i="6"/>
  <c r="BH31" i="6"/>
  <c r="DD26" i="6"/>
  <c r="CS28" i="6"/>
  <c r="BR11" i="6"/>
  <c r="BQ20" i="6"/>
  <c r="BT30" i="6"/>
  <c r="BK15" i="6"/>
  <c r="CI15" i="6"/>
  <c r="CW14" i="6"/>
  <c r="BH25" i="6"/>
  <c r="BW15" i="6"/>
  <c r="CZ21" i="6"/>
  <c r="BQ12" i="6"/>
  <c r="CD26" i="6"/>
  <c r="DE17" i="6"/>
  <c r="BR30" i="6"/>
  <c r="CZ15" i="6"/>
  <c r="BX21" i="6"/>
  <c r="CN16" i="6"/>
  <c r="CD30" i="6"/>
  <c r="CH14" i="6"/>
  <c r="DF11" i="6"/>
  <c r="CQ21" i="6"/>
  <c r="CC21" i="6"/>
  <c r="BT26" i="6"/>
  <c r="BJ35" i="6"/>
  <c r="CL34" i="6"/>
  <c r="BH34" i="6"/>
  <c r="O34" i="6"/>
  <c r="CS34" i="6"/>
  <c r="Q35" i="6"/>
  <c r="BN34" i="6"/>
  <c r="CW34" i="6"/>
  <c r="BR35" i="6"/>
  <c r="AW34" i="6"/>
  <c r="BY34" i="6"/>
  <c r="Z35" i="6"/>
  <c r="BB34" i="6"/>
  <c r="AP35" i="6"/>
  <c r="T34" i="6"/>
  <c r="BW35" i="6"/>
  <c r="AE32" i="6"/>
  <c r="BC33" i="6"/>
  <c r="BJ32" i="6"/>
  <c r="BV33" i="6"/>
  <c r="CB33" i="6"/>
  <c r="BB32" i="6"/>
  <c r="DD32" i="6"/>
  <c r="AJ32" i="6"/>
  <c r="BW33" i="6"/>
  <c r="T33" i="6"/>
  <c r="CC32" i="6"/>
  <c r="BZ33" i="6"/>
  <c r="BM32" i="6"/>
  <c r="AN32" i="6"/>
  <c r="S32" i="6"/>
  <c r="AI32" i="6"/>
  <c r="BK18" i="6"/>
  <c r="DE24" i="6"/>
  <c r="BO26" i="6"/>
  <c r="BW16" i="6"/>
  <c r="CF17" i="6"/>
  <c r="CI27" i="6"/>
  <c r="BM23" i="6"/>
  <c r="BS24" i="6"/>
  <c r="CF23" i="6"/>
  <c r="CI25" i="6"/>
  <c r="CM24" i="6"/>
  <c r="CY13" i="6"/>
  <c r="BX26" i="6"/>
  <c r="CK21" i="6"/>
  <c r="CD19" i="6"/>
  <c r="CT16" i="6"/>
  <c r="DD18" i="6"/>
  <c r="BH8" i="6"/>
  <c r="BI30" i="6"/>
  <c r="CI10" i="6"/>
  <c r="CJ19" i="6"/>
  <c r="CO10" i="6"/>
  <c r="CK23" i="6"/>
  <c r="CB25" i="6"/>
  <c r="BJ11" i="6"/>
  <c r="BL28" i="6"/>
  <c r="CK27" i="6"/>
  <c r="BV21" i="6"/>
  <c r="CE21" i="6"/>
  <c r="BT18" i="6"/>
  <c r="DC23" i="6"/>
  <c r="BO7" i="6"/>
  <c r="BH19" i="6"/>
  <c r="BH26" i="6"/>
  <c r="CJ7" i="6"/>
  <c r="BR26" i="6"/>
  <c r="BZ19" i="6"/>
  <c r="DC21" i="6"/>
  <c r="CF9" i="6"/>
  <c r="DB30" i="6"/>
  <c r="CB6" i="6"/>
  <c r="BH11" i="6"/>
  <c r="CQ26" i="6"/>
  <c r="BH27" i="6"/>
  <c r="CH22" i="6"/>
  <c r="CU10" i="6"/>
  <c r="BW23" i="6"/>
  <c r="BZ22" i="6"/>
  <c r="CQ20" i="6"/>
  <c r="CO31" i="6"/>
  <c r="BH20" i="6"/>
  <c r="BR16" i="6"/>
  <c r="CG11" i="6"/>
  <c r="CQ34" i="6"/>
  <c r="DE34" i="6"/>
  <c r="AC35" i="6"/>
  <c r="AK34" i="6"/>
  <c r="BQ34" i="6"/>
  <c r="BO35" i="6"/>
  <c r="CN34" i="6"/>
  <c r="BT34" i="6"/>
  <c r="CV34" i="6"/>
  <c r="BI35" i="6"/>
  <c r="CJ35" i="6"/>
  <c r="BD35" i="6"/>
  <c r="BG35" i="6"/>
  <c r="X34" i="6"/>
  <c r="CR34" i="6"/>
  <c r="R35" i="6"/>
  <c r="CA35" i="6"/>
  <c r="CZ32" i="6"/>
  <c r="CJ32" i="6"/>
  <c r="BR32" i="6"/>
  <c r="BQ33" i="6"/>
  <c r="BC32" i="6"/>
  <c r="U32" i="6"/>
  <c r="CT32" i="6"/>
  <c r="BN33" i="6"/>
  <c r="BU33" i="6"/>
  <c r="AP32" i="6"/>
  <c r="CX33" i="6"/>
  <c r="AO33" i="6"/>
  <c r="AG32" i="6"/>
  <c r="CF32" i="6"/>
  <c r="AL33" i="6"/>
  <c r="BH32" i="6"/>
  <c r="CZ22" i="6"/>
  <c r="CD21" i="6"/>
  <c r="CU6" i="6"/>
  <c r="CU15" i="6"/>
  <c r="BK13" i="6"/>
  <c r="CO19" i="6"/>
  <c r="CX22" i="6"/>
  <c r="BS23" i="6"/>
  <c r="BZ18" i="6"/>
  <c r="BT13" i="6"/>
  <c r="CT12" i="6"/>
  <c r="DC10" i="6"/>
  <c r="BW18" i="6"/>
  <c r="DE23" i="6"/>
  <c r="BY17" i="6"/>
  <c r="CS15" i="6"/>
  <c r="CA26" i="6"/>
  <c r="CR13" i="6"/>
  <c r="DB19" i="6"/>
  <c r="BN14" i="6"/>
  <c r="BU23" i="6"/>
  <c r="BI15" i="6"/>
  <c r="BO9" i="6"/>
  <c r="BL15" i="6"/>
  <c r="BY31" i="6"/>
  <c r="CN7" i="6"/>
  <c r="BW10" i="6"/>
  <c r="BS30" i="6"/>
  <c r="CU20" i="6"/>
  <c r="CE9" i="6"/>
  <c r="BP23" i="6"/>
  <c r="DD16" i="6"/>
  <c r="BO19" i="6"/>
  <c r="CW27" i="6"/>
  <c r="CC26" i="6"/>
  <c r="CI17" i="6"/>
  <c r="CF30" i="6"/>
  <c r="CD27" i="6"/>
  <c r="DC19" i="6"/>
  <c r="BO10" i="6"/>
  <c r="CK28" i="6"/>
  <c r="CH20" i="6"/>
  <c r="CT15" i="6"/>
  <c r="DE8" i="6"/>
  <c r="CO13" i="6"/>
  <c r="BU19" i="6"/>
  <c r="BO25" i="6"/>
  <c r="BU25" i="6"/>
  <c r="CR28" i="6"/>
  <c r="DC12" i="6"/>
  <c r="BW25" i="6"/>
  <c r="BR7" i="6"/>
  <c r="BJ34" i="6"/>
  <c r="S34" i="6"/>
  <c r="CY35" i="6"/>
  <c r="V35" i="6"/>
  <c r="AO34" i="6"/>
  <c r="M34" i="6"/>
  <c r="AC34" i="6"/>
  <c r="N34" i="6"/>
  <c r="BL35" i="6"/>
  <c r="AL35" i="6"/>
  <c r="CK34" i="6"/>
  <c r="BR34" i="6"/>
  <c r="CR35" i="6"/>
  <c r="AI34" i="6"/>
  <c r="L35" i="6"/>
  <c r="AR35" i="6"/>
  <c r="AI35" i="6"/>
  <c r="CB32" i="6"/>
  <c r="DC33" i="6"/>
  <c r="AR32" i="6"/>
  <c r="CI33" i="6"/>
  <c r="CE33" i="6"/>
  <c r="CK32" i="6"/>
  <c r="BE33" i="6"/>
  <c r="AW32" i="6"/>
  <c r="AZ32" i="6"/>
  <c r="BP32" i="6"/>
  <c r="AI33" i="6"/>
  <c r="CE32" i="6"/>
  <c r="BX32" i="6"/>
  <c r="V32" i="6"/>
  <c r="BE32" i="6"/>
  <c r="AG33" i="6"/>
  <c r="BX12" i="6"/>
  <c r="CH23" i="6"/>
  <c r="BM25" i="6"/>
  <c r="BN7" i="6"/>
  <c r="DB21" i="6"/>
  <c r="DE6" i="6"/>
  <c r="CV22" i="6"/>
  <c r="CC27" i="6"/>
  <c r="CV31" i="6"/>
  <c r="BK7" i="6"/>
  <c r="CO9" i="6"/>
  <c r="CE12" i="6"/>
  <c r="CX14" i="6"/>
  <c r="BT12" i="6"/>
  <c r="CH11" i="6"/>
  <c r="CX28" i="6"/>
  <c r="CV30" i="6"/>
  <c r="CU17" i="6"/>
  <c r="CC17" i="6"/>
  <c r="CV12" i="6"/>
  <c r="BM21" i="6"/>
  <c r="BR20" i="6"/>
  <c r="CW13" i="6"/>
  <c r="CO20" i="6"/>
  <c r="DA31" i="6"/>
  <c r="CK12" i="6"/>
  <c r="CX15" i="6"/>
  <c r="BJ13" i="6"/>
  <c r="BV24" i="6"/>
  <c r="CH16" i="6"/>
  <c r="CB21" i="6"/>
  <c r="CZ23" i="6"/>
  <c r="CJ18" i="6"/>
  <c r="DC20" i="6"/>
  <c r="BX8" i="6"/>
  <c r="BQ15" i="6"/>
  <c r="BW22" i="6"/>
  <c r="CX16" i="6"/>
  <c r="BI11" i="6"/>
  <c r="BN24" i="6"/>
  <c r="CM23" i="6"/>
  <c r="CK10" i="6"/>
  <c r="BS28" i="6"/>
  <c r="BV11" i="6"/>
  <c r="CC13" i="6"/>
  <c r="BX31" i="6"/>
  <c r="BL7" i="6"/>
  <c r="DE10" i="6"/>
  <c r="BI7" i="6"/>
  <c r="CO8" i="6"/>
  <c r="CA28" i="6"/>
  <c r="CE23" i="6"/>
  <c r="AQ34" i="6"/>
  <c r="CT35" i="6"/>
  <c r="CZ34" i="6"/>
  <c r="AV34" i="6"/>
  <c r="AH35" i="6"/>
  <c r="AF34" i="6"/>
  <c r="Q34" i="6"/>
  <c r="CS35" i="6"/>
  <c r="BS35" i="6"/>
  <c r="BZ35" i="6"/>
  <c r="BT35" i="6"/>
  <c r="P34" i="6"/>
  <c r="CD35" i="6"/>
  <c r="CP35" i="6"/>
  <c r="BQ35" i="6"/>
  <c r="U35" i="6"/>
  <c r="AD35" i="6"/>
  <c r="CW33" i="6"/>
  <c r="BT32" i="6"/>
  <c r="CN32" i="6"/>
  <c r="AF32" i="6"/>
  <c r="CC33" i="6"/>
  <c r="AC33" i="6"/>
  <c r="BA33" i="6"/>
  <c r="CO32" i="6"/>
  <c r="L33" i="6"/>
  <c r="BD32" i="6"/>
  <c r="BP33" i="6"/>
  <c r="AP33" i="6"/>
  <c r="CQ32" i="6"/>
  <c r="AV33" i="6"/>
  <c r="AY32" i="6"/>
  <c r="CG32" i="6"/>
  <c r="CG18" i="6"/>
  <c r="BL9" i="6"/>
  <c r="BL16" i="6"/>
  <c r="CW6" i="6"/>
  <c r="BS9" i="6"/>
  <c r="CJ11" i="6"/>
  <c r="CT21" i="6"/>
  <c r="CA18" i="6"/>
  <c r="CN9" i="6"/>
  <c r="CP17" i="6"/>
  <c r="BV19" i="6"/>
  <c r="BJ8" i="6"/>
  <c r="CA27" i="6"/>
  <c r="BM11" i="6"/>
  <c r="CD24" i="6"/>
  <c r="CT13" i="6"/>
  <c r="CJ15" i="6"/>
  <c r="CX24" i="6"/>
  <c r="DD27" i="6"/>
  <c r="CE27" i="6"/>
  <c r="CQ24" i="6"/>
  <c r="BL27" i="6"/>
  <c r="BV23" i="6"/>
  <c r="BZ7" i="6"/>
  <c r="BK9" i="6"/>
  <c r="CS14" i="6"/>
  <c r="CF24" i="6"/>
  <c r="BL14" i="6"/>
  <c r="CS10" i="6"/>
  <c r="BY26" i="6"/>
  <c r="DA14" i="6"/>
  <c r="BO24" i="6"/>
  <c r="BW14" i="6"/>
  <c r="BS17" i="6"/>
  <c r="CN11" i="6"/>
  <c r="DA8" i="6"/>
  <c r="BS10" i="6"/>
  <c r="BN12" i="6"/>
  <c r="CV16" i="6"/>
  <c r="BJ15" i="6"/>
  <c r="BJ23" i="6"/>
  <c r="CY24" i="6"/>
  <c r="CD29" i="6"/>
  <c r="BX11" i="6"/>
  <c r="CL9" i="6"/>
  <c r="CS8" i="6"/>
  <c r="CB7" i="6"/>
  <c r="CK19" i="6"/>
  <c r="CH26" i="6"/>
  <c r="CP23" i="6"/>
  <c r="BZ14" i="6"/>
  <c r="CV17" i="6"/>
  <c r="AM35" i="6"/>
  <c r="CP34" i="6"/>
  <c r="AR34" i="6"/>
  <c r="AE35" i="6"/>
  <c r="DA34" i="6"/>
  <c r="U34" i="6"/>
  <c r="V34" i="6"/>
  <c r="BX35" i="6"/>
  <c r="AZ34" i="6"/>
  <c r="AU34" i="6"/>
  <c r="AS34" i="6"/>
  <c r="W34" i="6"/>
  <c r="DB34" i="6"/>
  <c r="CD34" i="6"/>
  <c r="BE34" i="6"/>
  <c r="AE34" i="6"/>
  <c r="AL32" i="6"/>
  <c r="CT33" i="6"/>
  <c r="AU32" i="6"/>
  <c r="BI32" i="6"/>
  <c r="W33" i="6"/>
  <c r="BJ33" i="6"/>
  <c r="CR33" i="6"/>
  <c r="CV32" i="6"/>
  <c r="AV32" i="6"/>
  <c r="AK33" i="6"/>
  <c r="CA33" i="6"/>
  <c r="CL32" i="6"/>
  <c r="BN32" i="6"/>
  <c r="DD33" i="6"/>
  <c r="CA32" i="6"/>
  <c r="AN33" i="6"/>
  <c r="AA32" i="6"/>
  <c r="BI19" i="6"/>
  <c r="BS25" i="6"/>
  <c r="BR25" i="6"/>
  <c r="CA14" i="6"/>
  <c r="DB13" i="6"/>
  <c r="BM14" i="6"/>
  <c r="CI8" i="6"/>
  <c r="CA29" i="6"/>
  <c r="CZ12" i="6"/>
  <c r="CL22" i="6"/>
  <c r="BX19" i="6"/>
  <c r="BY23" i="6"/>
  <c r="DE13" i="6"/>
  <c r="CO14" i="6"/>
  <c r="BV26" i="6"/>
  <c r="BR8" i="6"/>
  <c r="CW24" i="6"/>
  <c r="CP28" i="6"/>
  <c r="BO28" i="6"/>
  <c r="BJ29" i="6"/>
  <c r="BI9" i="6"/>
  <c r="BM28" i="6"/>
  <c r="BM31" i="6"/>
  <c r="CQ16" i="6"/>
  <c r="CI12" i="6"/>
  <c r="BY6" i="6"/>
  <c r="BT17" i="6"/>
  <c r="CV11" i="6"/>
  <c r="BU7" i="6"/>
  <c r="CS6" i="6"/>
  <c r="CG22" i="6"/>
  <c r="CF8" i="6"/>
  <c r="BS16" i="6"/>
  <c r="CP27" i="6"/>
  <c r="CC19" i="6"/>
  <c r="BX25" i="6"/>
  <c r="DD12" i="6"/>
  <c r="CP14" i="6"/>
  <c r="CU31" i="6"/>
  <c r="BT22" i="6"/>
  <c r="BT20" i="6"/>
  <c r="BM27" i="6"/>
  <c r="CU30" i="6"/>
  <c r="DD7" i="6"/>
  <c r="CO29" i="6"/>
  <c r="CU18" i="6"/>
  <c r="CK9" i="6"/>
  <c r="CL6" i="6"/>
  <c r="BY15" i="6"/>
  <c r="CW21" i="6"/>
  <c r="BZ29" i="6"/>
  <c r="CW31" i="6"/>
  <c r="DB28" i="6"/>
  <c r="CW23" i="6"/>
  <c r="CQ17" i="6"/>
  <c r="DF18" i="6"/>
  <c r="CF28" i="6"/>
  <c r="CR23" i="6"/>
  <c r="BN31" i="6"/>
  <c r="CL23" i="6"/>
  <c r="CX12" i="6"/>
  <c r="DF12" i="6"/>
  <c r="CG16" i="6"/>
  <c r="BI18" i="6"/>
  <c r="CO11" i="6"/>
  <c r="CW19" i="6"/>
  <c r="CD17" i="6"/>
  <c r="BN11" i="6"/>
  <c r="CW10" i="6"/>
  <c r="BH14" i="6"/>
  <c r="BT23" i="6"/>
  <c r="CY19" i="6"/>
  <c r="DA23" i="6"/>
  <c r="BP10" i="6"/>
  <c r="BV30" i="6"/>
  <c r="CR10" i="6"/>
  <c r="BR17" i="6"/>
  <c r="DE22" i="6"/>
  <c r="BQ7" i="6"/>
  <c r="CM14" i="6"/>
  <c r="CL27" i="6"/>
  <c r="BM16" i="6"/>
  <c r="CQ25" i="6"/>
  <c r="BV27" i="6"/>
  <c r="CS30" i="6"/>
  <c r="CB23" i="6"/>
  <c r="CQ19" i="6"/>
  <c r="BZ13" i="6"/>
  <c r="CN28" i="6"/>
  <c r="BI20" i="6"/>
  <c r="CC28" i="6"/>
  <c r="BT10" i="6"/>
  <c r="BU16" i="6"/>
  <c r="CF14" i="6"/>
  <c r="CJ28" i="6"/>
  <c r="CF29" i="6"/>
  <c r="CX9" i="6"/>
  <c r="CM17" i="6"/>
  <c r="DB6" i="6"/>
  <c r="CG8" i="6"/>
  <c r="CQ7" i="6"/>
  <c r="BL8" i="6"/>
  <c r="BW19" i="6"/>
  <c r="BK20" i="6"/>
  <c r="DD29" i="6"/>
  <c r="DE14" i="6"/>
  <c r="CQ27" i="6"/>
  <c r="CD16" i="6"/>
  <c r="BX13" i="6"/>
  <c r="Y11" i="6"/>
  <c r="AX10" i="6"/>
  <c r="AK9" i="6"/>
  <c r="AY13" i="6"/>
  <c r="AN9" i="6"/>
  <c r="M6" i="6"/>
  <c r="N14" i="6"/>
  <c r="Q24" i="6"/>
  <c r="AN15" i="6"/>
  <c r="AG10" i="6"/>
  <c r="N8" i="6"/>
  <c r="BC13" i="6"/>
  <c r="AS8" i="6"/>
  <c r="AE24" i="6"/>
  <c r="BA23" i="6"/>
  <c r="R11" i="6"/>
  <c r="W12" i="6"/>
  <c r="BA13" i="6"/>
  <c r="AE12" i="6"/>
  <c r="M13" i="6"/>
  <c r="AH12" i="6"/>
  <c r="AD10" i="6"/>
  <c r="BC12" i="6"/>
  <c r="AP11" i="6"/>
  <c r="AU9" i="6"/>
  <c r="AB7" i="6"/>
  <c r="P13" i="6"/>
  <c r="AH22" i="6"/>
  <c r="AP9" i="6"/>
  <c r="AF7" i="6"/>
  <c r="AK25" i="6"/>
  <c r="AC29" i="6"/>
  <c r="U22" i="6"/>
  <c r="AR16" i="6"/>
  <c r="AJ9" i="6"/>
  <c r="BG8" i="6"/>
  <c r="AD15" i="6"/>
  <c r="AJ23" i="6"/>
  <c r="BB20" i="6"/>
  <c r="AK15" i="6"/>
  <c r="R17" i="6"/>
  <c r="V9" i="6"/>
  <c r="AW7" i="6"/>
  <c r="AD29" i="6"/>
  <c r="BA21" i="6"/>
  <c r="BE10" i="6"/>
  <c r="M27" i="6"/>
  <c r="AL24" i="6"/>
  <c r="AX7" i="6"/>
  <c r="AY22" i="6"/>
  <c r="AR17" i="6"/>
  <c r="P23" i="6"/>
  <c r="AR7" i="6"/>
  <c r="AH20" i="6"/>
  <c r="AZ17" i="6"/>
  <c r="Q7" i="6"/>
  <c r="AW18" i="6"/>
  <c r="AE16" i="6"/>
  <c r="AO15" i="6"/>
  <c r="Q29" i="6"/>
  <c r="AV29" i="6"/>
  <c r="AO31" i="6"/>
  <c r="AJ6" i="6"/>
  <c r="AE19" i="6"/>
  <c r="Z28" i="6"/>
  <c r="AP7" i="6"/>
  <c r="AZ14" i="6"/>
  <c r="AM16" i="6"/>
  <c r="AC6" i="6"/>
  <c r="AL27" i="6"/>
  <c r="P7" i="6"/>
  <c r="AL6" i="6"/>
  <c r="AW17" i="6"/>
  <c r="Y30" i="6"/>
  <c r="O11" i="6"/>
  <c r="AF24" i="6"/>
  <c r="AI26" i="6"/>
  <c r="P8" i="6"/>
  <c r="AX16" i="6"/>
  <c r="X21" i="6"/>
  <c r="AG23" i="6"/>
  <c r="AZ7" i="6"/>
  <c r="L20" i="6"/>
  <c r="BC17" i="6"/>
  <c r="AT15" i="6"/>
  <c r="AB25" i="6"/>
  <c r="AD25" i="6"/>
  <c r="BD31" i="6"/>
  <c r="BC16" i="6"/>
  <c r="AJ19" i="6"/>
  <c r="P24" i="6"/>
  <c r="BA20" i="6"/>
  <c r="AR18" i="6"/>
  <c r="AE23" i="6"/>
  <c r="V24" i="6"/>
  <c r="BC21" i="6"/>
  <c r="AM18" i="6"/>
  <c r="AT6" i="6"/>
  <c r="AN31" i="6"/>
  <c r="AN7" i="6"/>
  <c r="M24" i="6"/>
  <c r="AV31" i="6"/>
  <c r="AP20" i="6"/>
  <c r="CZ7" i="6"/>
  <c r="BS12" i="6"/>
  <c r="CA16" i="6"/>
  <c r="CB30" i="6"/>
  <c r="DE20" i="6"/>
  <c r="CR19" i="6"/>
  <c r="BH6" i="6"/>
  <c r="DC26" i="6"/>
  <c r="BJ21" i="6"/>
  <c r="CP15" i="6"/>
  <c r="CT17" i="6"/>
  <c r="CT8" i="6"/>
  <c r="CO30" i="6"/>
  <c r="CL8" i="6"/>
  <c r="CX19" i="6"/>
  <c r="BT25" i="6"/>
  <c r="CN12" i="6"/>
  <c r="BZ24" i="6"/>
  <c r="BW21" i="6"/>
  <c r="BP13" i="6"/>
  <c r="CY22" i="6"/>
  <c r="BR24" i="6"/>
  <c r="BH30" i="6"/>
  <c r="CN30" i="6"/>
  <c r="CJ12" i="6"/>
  <c r="CL15" i="6"/>
  <c r="DF19" i="6"/>
  <c r="CV14" i="6"/>
  <c r="CP29" i="6"/>
  <c r="BV14" i="6"/>
  <c r="BN16" i="6"/>
  <c r="DD10" i="6"/>
  <c r="CV10" i="6"/>
  <c r="DA28" i="6"/>
  <c r="DB18" i="6"/>
  <c r="BX30" i="6"/>
  <c r="CZ8" i="6"/>
  <c r="BR15" i="6"/>
  <c r="BI31" i="6"/>
  <c r="DF7" i="6"/>
  <c r="CM10" i="6"/>
  <c r="BZ12" i="6"/>
  <c r="CX13" i="6"/>
  <c r="CN18" i="6"/>
  <c r="CD22" i="6"/>
  <c r="CM26" i="6"/>
  <c r="DC9" i="6"/>
  <c r="BP6" i="6"/>
  <c r="CU8" i="6"/>
  <c r="CJ17" i="6"/>
  <c r="BU29" i="6"/>
  <c r="BV12" i="6"/>
  <c r="CN10" i="6"/>
  <c r="CY28" i="6"/>
  <c r="CP31" i="6"/>
  <c r="CW18" i="6"/>
  <c r="CD20" i="6"/>
  <c r="CJ29" i="6"/>
  <c r="CZ24" i="6"/>
  <c r="DE7" i="6"/>
  <c r="AT8" i="6"/>
  <c r="AZ8" i="6"/>
  <c r="AP13" i="6"/>
  <c r="AL9" i="6"/>
  <c r="V10" i="6"/>
  <c r="R12" i="6"/>
  <c r="AB15" i="6"/>
  <c r="BF13" i="6"/>
  <c r="AS29" i="6"/>
  <c r="T9" i="6"/>
  <c r="AO19" i="6"/>
  <c r="AK17" i="6"/>
  <c r="N12" i="6"/>
  <c r="AE7" i="6"/>
  <c r="BA6" i="6"/>
  <c r="AW13" i="6"/>
  <c r="X10" i="6"/>
  <c r="AY17" i="6"/>
  <c r="AG6" i="6"/>
  <c r="AJ26" i="6"/>
  <c r="AO27" i="6"/>
  <c r="BC8" i="6"/>
  <c r="AL8" i="6"/>
  <c r="M10" i="6"/>
  <c r="AE17" i="6"/>
  <c r="AC13" i="6"/>
  <c r="AC11" i="6"/>
  <c r="T28" i="6"/>
  <c r="AV17" i="6"/>
  <c r="O8" i="6"/>
  <c r="O19" i="6"/>
  <c r="S8" i="6"/>
  <c r="Q13" i="6"/>
  <c r="AI13" i="6"/>
  <c r="AS23" i="6"/>
  <c r="BG30" i="6"/>
  <c r="AG21" i="6"/>
  <c r="N29" i="6"/>
  <c r="AT18" i="6"/>
  <c r="T18" i="6"/>
  <c r="AG25" i="6"/>
  <c r="AH15" i="6"/>
  <c r="AF26" i="6"/>
  <c r="AA23" i="6"/>
  <c r="AO7" i="6"/>
  <c r="AJ11" i="6"/>
  <c r="AN30" i="6"/>
  <c r="W22" i="6"/>
  <c r="AD24" i="6"/>
  <c r="L23" i="6"/>
  <c r="O27" i="6"/>
  <c r="AL7" i="6"/>
  <c r="BG15" i="6"/>
  <c r="T25" i="6"/>
  <c r="BA24" i="6"/>
  <c r="AC19" i="6"/>
  <c r="AC22" i="6"/>
  <c r="BB22" i="6"/>
  <c r="AX29" i="6"/>
  <c r="BB17" i="6"/>
  <c r="AV23" i="6"/>
  <c r="U14" i="6"/>
  <c r="BD20" i="6"/>
  <c r="BB6" i="6"/>
  <c r="BA28" i="6"/>
  <c r="AU25" i="6"/>
  <c r="Z17" i="6"/>
  <c r="N15" i="6"/>
  <c r="O30" i="6"/>
  <c r="P25" i="6"/>
  <c r="AW24" i="6"/>
  <c r="AQ20" i="6"/>
  <c r="AI28" i="6"/>
  <c r="AD16" i="6"/>
  <c r="U7" i="6"/>
  <c r="AH21" i="6"/>
  <c r="AC20" i="6"/>
  <c r="AA24" i="6"/>
  <c r="AC25" i="6"/>
  <c r="P29" i="6"/>
  <c r="AL14" i="6"/>
  <c r="AG27" i="6"/>
  <c r="P30" i="6"/>
  <c r="AK14" i="6"/>
  <c r="L27" i="6"/>
  <c r="P22" i="6"/>
  <c r="N20" i="6"/>
  <c r="V14" i="6"/>
  <c r="BD18" i="6"/>
  <c r="T30" i="6"/>
  <c r="AQ25" i="6"/>
  <c r="M29" i="6"/>
  <c r="V7" i="6"/>
  <c r="R22" i="6"/>
  <c r="BC28" i="6"/>
  <c r="AP26" i="6"/>
  <c r="AC27" i="6"/>
  <c r="AE6" i="6"/>
  <c r="AF28" i="6"/>
  <c r="AS31" i="6"/>
  <c r="AV30" i="6"/>
  <c r="AX25" i="6"/>
  <c r="N18" i="6"/>
  <c r="S28" i="6"/>
  <c r="K6" i="6"/>
  <c r="AT19" i="6"/>
  <c r="R24" i="6"/>
  <c r="BB14" i="6"/>
  <c r="BP7" i="6"/>
  <c r="DC22" i="6"/>
  <c r="CG28" i="6"/>
  <c r="BY21" i="6"/>
  <c r="CR20" i="6"/>
  <c r="BV8" i="6"/>
  <c r="CC23" i="6"/>
  <c r="CG26" i="6"/>
  <c r="DA22" i="6"/>
  <c r="CA19" i="6"/>
  <c r="CE19" i="6"/>
  <c r="BY20" i="6"/>
  <c r="BJ28" i="6"/>
  <c r="BL25" i="6"/>
  <c r="CA20" i="6"/>
  <c r="CV15" i="6"/>
  <c r="CP12" i="6"/>
  <c r="CI28" i="6"/>
  <c r="BK25" i="6"/>
  <c r="DE31" i="6"/>
  <c r="DB26" i="6"/>
  <c r="DD6" i="6"/>
  <c r="DD17" i="6"/>
  <c r="DA12" i="6"/>
  <c r="BH9" i="6"/>
  <c r="BO17" i="6"/>
  <c r="BU31" i="6"/>
  <c r="CQ18" i="6"/>
  <c r="CZ25" i="6"/>
  <c r="BK14" i="6"/>
  <c r="CY30" i="6"/>
  <c r="BK24" i="6"/>
  <c r="BH13" i="6"/>
  <c r="CE29" i="6"/>
  <c r="BQ13" i="6"/>
  <c r="CR22" i="6"/>
  <c r="CL13" i="6"/>
  <c r="BX14" i="6"/>
  <c r="BY19" i="6"/>
  <c r="BP11" i="6"/>
  <c r="DD31" i="6"/>
  <c r="DB20" i="6"/>
  <c r="CF19" i="6"/>
  <c r="DE9" i="6"/>
  <c r="CK6" i="6"/>
  <c r="CY31" i="6"/>
  <c r="CG21" i="6"/>
  <c r="BU26" i="6"/>
  <c r="CB31" i="6"/>
  <c r="BJ14" i="6"/>
  <c r="CX18" i="6"/>
  <c r="BR22" i="6"/>
  <c r="BH16" i="6"/>
  <c r="BQ17" i="6"/>
  <c r="CQ31" i="6"/>
  <c r="CO25" i="6"/>
  <c r="BN26" i="6"/>
  <c r="DE19" i="6"/>
  <c r="CT31" i="6"/>
  <c r="DB17" i="6"/>
  <c r="BM24" i="6"/>
  <c r="CD25" i="6"/>
  <c r="AO12" i="6"/>
  <c r="U11" i="6"/>
  <c r="BF8" i="6"/>
  <c r="BA12" i="6"/>
  <c r="AI27" i="6"/>
  <c r="W13" i="6"/>
  <c r="AH24" i="6"/>
  <c r="V17" i="6"/>
  <c r="AX12" i="6"/>
  <c r="AS10" i="6"/>
  <c r="AR10" i="6"/>
  <c r="AI9" i="6"/>
  <c r="AF27" i="6"/>
  <c r="AS18" i="6"/>
  <c r="AS6" i="6"/>
  <c r="AG19" i="6"/>
  <c r="Q21" i="6"/>
  <c r="W7" i="6"/>
  <c r="AT10" i="6"/>
  <c r="AT16" i="6"/>
  <c r="BB10" i="6"/>
  <c r="N11" i="6"/>
  <c r="T10" i="6"/>
  <c r="AN8" i="6"/>
  <c r="AZ30" i="6"/>
  <c r="BG12" i="6"/>
  <c r="AL12" i="6"/>
  <c r="U27" i="6"/>
  <c r="N10" i="6"/>
  <c r="W8" i="6"/>
  <c r="AS11" i="6"/>
  <c r="AF10" i="6"/>
  <c r="AM13" i="6"/>
  <c r="AM21" i="6"/>
  <c r="R29" i="6"/>
  <c r="AN11" i="6"/>
  <c r="AW31" i="6"/>
  <c r="AG26" i="6"/>
  <c r="U20" i="6"/>
  <c r="W28" i="6"/>
  <c r="S26" i="6"/>
  <c r="U24" i="6"/>
  <c r="X9" i="6"/>
  <c r="AT22" i="6"/>
  <c r="AX6" i="6"/>
  <c r="AZ31" i="6"/>
  <c r="AH7" i="6"/>
  <c r="Y19" i="6"/>
  <c r="L19" i="6"/>
  <c r="S7" i="6"/>
  <c r="AW15" i="6"/>
  <c r="AH16" i="6"/>
  <c r="AI30" i="6"/>
  <c r="AS22" i="6"/>
  <c r="AH26" i="6"/>
  <c r="AJ31" i="6"/>
  <c r="T24" i="6"/>
  <c r="AO29" i="6"/>
  <c r="P10" i="6"/>
  <c r="AT14" i="6"/>
  <c r="AE20" i="6"/>
  <c r="M15" i="6"/>
  <c r="X14" i="6"/>
  <c r="AK31" i="6"/>
  <c r="X22" i="6"/>
  <c r="BG28" i="6"/>
  <c r="BD16" i="6"/>
  <c r="O20" i="6"/>
  <c r="BC18" i="6"/>
  <c r="W31" i="6"/>
  <c r="AY16" i="6"/>
  <c r="AR25" i="6"/>
  <c r="AB14" i="6"/>
  <c r="AM25" i="6"/>
  <c r="AC14" i="6"/>
  <c r="M16" i="6"/>
  <c r="AI8" i="6"/>
  <c r="AD30" i="6"/>
  <c r="S25" i="6"/>
  <c r="Y16" i="6"/>
  <c r="AT30" i="6"/>
  <c r="Y23" i="6"/>
  <c r="AI7" i="6"/>
  <c r="T14" i="6"/>
  <c r="M23" i="6"/>
  <c r="AD21" i="6"/>
  <c r="AM6" i="6"/>
  <c r="AN18" i="6"/>
  <c r="AV7" i="6"/>
  <c r="AM17" i="6"/>
  <c r="Z20" i="6"/>
  <c r="M31" i="6"/>
  <c r="AS14" i="6"/>
  <c r="AN12" i="6"/>
  <c r="BG26" i="6"/>
  <c r="AX24" i="6"/>
  <c r="AN14" i="6"/>
  <c r="V16" i="6"/>
  <c r="AS17" i="6"/>
  <c r="Z7" i="6"/>
  <c r="Z6" i="6"/>
  <c r="AF6" i="6"/>
  <c r="AU15" i="6"/>
  <c r="AY6" i="6"/>
  <c r="BB29" i="6"/>
  <c r="AD22" i="6"/>
  <c r="AQ6" i="6"/>
  <c r="CU22" i="6"/>
  <c r="BL24" i="6"/>
  <c r="CW12" i="6"/>
  <c r="BL19" i="6"/>
  <c r="CF20" i="6"/>
  <c r="CZ9" i="6"/>
  <c r="CW11" i="6"/>
  <c r="CE28" i="6"/>
  <c r="CE15" i="6"/>
  <c r="CA23" i="6"/>
  <c r="CH18" i="6"/>
  <c r="CO24" i="6"/>
  <c r="BP15" i="6"/>
  <c r="BZ28" i="6"/>
  <c r="CU13" i="6"/>
  <c r="BV18" i="6"/>
  <c r="CZ18" i="6"/>
  <c r="DF13" i="6"/>
  <c r="BY7" i="6"/>
  <c r="BP9" i="6"/>
  <c r="BQ22" i="6"/>
  <c r="CJ10" i="6"/>
  <c r="CX25" i="6"/>
  <c r="BY22" i="6"/>
  <c r="DA27" i="6"/>
  <c r="CL18" i="6"/>
  <c r="BQ26" i="6"/>
  <c r="BX23" i="6"/>
  <c r="BO22" i="6"/>
  <c r="BX17" i="6"/>
  <c r="DE25" i="6"/>
  <c r="CC12" i="6"/>
  <c r="DD15" i="6"/>
  <c r="BQ28" i="6"/>
  <c r="CS19" i="6"/>
  <c r="CB22" i="6"/>
  <c r="BP8" i="6"/>
  <c r="CM25" i="6"/>
  <c r="BH18" i="6"/>
  <c r="CX17" i="6"/>
  <c r="DC28" i="6"/>
  <c r="CA7" i="6"/>
  <c r="BP26" i="6"/>
  <c r="CY25" i="6"/>
  <c r="BO8" i="6"/>
  <c r="CI11" i="6"/>
  <c r="CF13" i="6"/>
  <c r="BO20" i="6"/>
  <c r="BV7" i="6"/>
  <c r="CY18" i="6"/>
  <c r="CG19" i="6"/>
  <c r="CP22" i="6"/>
  <c r="BJ16" i="6"/>
  <c r="CE11" i="6"/>
  <c r="CR29" i="6"/>
  <c r="CX6" i="6"/>
  <c r="BH29" i="6"/>
  <c r="BJ20" i="6"/>
  <c r="CO15" i="6"/>
  <c r="CA9" i="6"/>
  <c r="BX22" i="6"/>
  <c r="CJ14" i="6"/>
  <c r="BO21" i="6"/>
  <c r="Y8" i="6"/>
  <c r="AF12" i="6"/>
  <c r="BD9" i="6"/>
  <c r="BC11" i="6"/>
  <c r="AK10" i="6"/>
  <c r="S12" i="6"/>
  <c r="AC30" i="6"/>
  <c r="BB31" i="6"/>
  <c r="X30" i="6"/>
  <c r="S18" i="6"/>
  <c r="AZ28" i="6"/>
  <c r="AU8" i="6"/>
  <c r="AZ10" i="6"/>
  <c r="BF22" i="6"/>
  <c r="R18" i="6"/>
  <c r="AG14" i="6"/>
  <c r="AW10" i="6"/>
  <c r="AE8" i="6"/>
  <c r="AA11" i="6"/>
  <c r="AN10" i="6"/>
  <c r="BE28" i="6"/>
  <c r="Z31" i="6"/>
  <c r="V11" i="6"/>
  <c r="AB22" i="6"/>
  <c r="M30" i="6"/>
  <c r="AU28" i="6"/>
  <c r="AP8" i="6"/>
  <c r="BB9" i="6"/>
  <c r="AK8" i="6"/>
  <c r="AR13" i="6"/>
  <c r="N13" i="6"/>
  <c r="X18" i="6"/>
  <c r="AR14" i="6"/>
  <c r="AH17" i="6"/>
  <c r="AX8" i="6"/>
  <c r="AA29" i="6"/>
  <c r="R21" i="6"/>
  <c r="AR9" i="6"/>
  <c r="Z24" i="6"/>
  <c r="BA29" i="6"/>
  <c r="AQ7" i="6"/>
  <c r="O6" i="6"/>
  <c r="W14" i="6"/>
  <c r="AX9" i="6"/>
  <c r="AY30" i="6"/>
  <c r="U31" i="6"/>
  <c r="AP31" i="6"/>
  <c r="AO9" i="6"/>
  <c r="W21" i="6"/>
  <c r="AF22" i="6"/>
  <c r="AO17" i="6"/>
  <c r="M18" i="6"/>
  <c r="AF21" i="6"/>
  <c r="BF19" i="6"/>
  <c r="AI31" i="6"/>
  <c r="AA26" i="6"/>
  <c r="AJ13" i="6"/>
  <c r="AM31" i="6"/>
  <c r="AS20" i="6"/>
  <c r="N9" i="6"/>
  <c r="N23" i="6"/>
  <c r="BA11" i="6"/>
  <c r="AI16" i="6"/>
  <c r="AQ15" i="6"/>
  <c r="U28" i="6"/>
  <c r="AJ14" i="6"/>
  <c r="AX23" i="6"/>
  <c r="N31" i="6"/>
  <c r="AL31" i="6"/>
  <c r="AY14" i="6"/>
  <c r="L14" i="6"/>
  <c r="AT20" i="6"/>
  <c r="AK7" i="6"/>
  <c r="AV21" i="6"/>
  <c r="AM27" i="6"/>
  <c r="S23" i="6"/>
  <c r="AQ27" i="6"/>
  <c r="AI25" i="6"/>
  <c r="P27" i="6"/>
  <c r="S31" i="6"/>
  <c r="AO16" i="6"/>
  <c r="AY29" i="6"/>
  <c r="AI22" i="6"/>
  <c r="O25" i="6"/>
  <c r="BA17" i="6"/>
  <c r="AA18" i="6"/>
  <c r="AS21" i="6"/>
  <c r="V25" i="6"/>
  <c r="P28" i="6"/>
  <c r="AD19" i="6"/>
  <c r="S19" i="6"/>
  <c r="AH31" i="6"/>
  <c r="AS27" i="6"/>
  <c r="AW30" i="6"/>
  <c r="AU21" i="6"/>
  <c r="V22" i="6"/>
  <c r="AX20" i="6"/>
  <c r="AT29" i="6"/>
  <c r="AZ25" i="6"/>
  <c r="AX27" i="6"/>
  <c r="T6" i="6"/>
  <c r="AY24" i="6"/>
  <c r="AL23" i="6"/>
  <c r="X27" i="6"/>
  <c r="AE25" i="6"/>
  <c r="CQ29" i="6"/>
  <c r="CX29" i="6"/>
  <c r="BJ26" i="6"/>
  <c r="CC15" i="6"/>
  <c r="BH17" i="6"/>
  <c r="DB9" i="6"/>
  <c r="BU15" i="6"/>
  <c r="CL31" i="6"/>
  <c r="CG25" i="6"/>
  <c r="CL21" i="6"/>
  <c r="CZ31" i="6"/>
  <c r="CY7" i="6"/>
  <c r="BR14" i="6"/>
  <c r="CX10" i="6"/>
  <c r="BW31" i="6"/>
  <c r="CT20" i="6"/>
  <c r="CE18" i="6"/>
  <c r="BQ16" i="6"/>
  <c r="BX10" i="6"/>
  <c r="DA7" i="6"/>
  <c r="BZ25" i="6"/>
  <c r="CW8" i="6"/>
  <c r="CM22" i="6"/>
  <c r="BL17" i="6"/>
  <c r="CK14" i="6"/>
  <c r="CM13" i="6"/>
  <c r="BW12" i="6"/>
  <c r="BW27" i="6"/>
  <c r="BZ16" i="6"/>
  <c r="CU12" i="6"/>
  <c r="CZ17" i="6"/>
  <c r="CP7" i="6"/>
  <c r="BZ23" i="6"/>
  <c r="CA24" i="6"/>
  <c r="CF7" i="6"/>
  <c r="CE20" i="6"/>
  <c r="DC25" i="6"/>
  <c r="BK23" i="6"/>
  <c r="BT9" i="6"/>
  <c r="BV10" i="6"/>
  <c r="CZ27" i="6"/>
  <c r="CM19" i="6"/>
  <c r="CH9" i="6"/>
  <c r="CA17" i="6"/>
  <c r="CJ8" i="6"/>
  <c r="CL30" i="6"/>
  <c r="CL24" i="6"/>
  <c r="DC30" i="6"/>
  <c r="CO23" i="6"/>
  <c r="CQ22" i="6"/>
  <c r="DE26" i="6"/>
  <c r="CF25" i="6"/>
  <c r="CT23" i="6"/>
  <c r="CL11" i="6"/>
  <c r="CL10" i="6"/>
  <c r="BO30" i="6"/>
  <c r="BP31" i="6"/>
  <c r="DE12" i="6"/>
  <c r="BV13" i="6"/>
  <c r="BY9" i="6"/>
  <c r="DB31" i="6"/>
  <c r="DB14" i="6"/>
  <c r="DA20" i="6"/>
  <c r="AZ9" i="6"/>
  <c r="X13" i="6"/>
  <c r="AC8" i="6"/>
  <c r="BG9" i="6"/>
  <c r="Z8" i="6"/>
  <c r="BD23" i="6"/>
  <c r="AV28" i="6"/>
  <c r="AY11" i="6"/>
  <c r="AP12" i="6"/>
  <c r="Y24" i="6"/>
  <c r="AA9" i="6"/>
  <c r="AY8" i="6"/>
  <c r="AL29" i="6"/>
  <c r="AZ6" i="6"/>
  <c r="V13" i="6"/>
  <c r="AQ12" i="6"/>
  <c r="AH14" i="6"/>
  <c r="AM15" i="6"/>
  <c r="L13" i="6"/>
  <c r="AD11" i="6"/>
  <c r="AD18" i="6"/>
  <c r="BB27" i="6"/>
  <c r="AY21" i="6"/>
  <c r="AO11" i="6"/>
  <c r="AD8" i="6"/>
  <c r="AZ11" i="6"/>
  <c r="U8" i="6"/>
  <c r="AH23" i="6"/>
  <c r="AC18" i="6"/>
  <c r="O13" i="6"/>
  <c r="AZ21" i="6"/>
  <c r="BB12" i="6"/>
  <c r="S9" i="6"/>
  <c r="AM12" i="6"/>
  <c r="AR30" i="6"/>
  <c r="AZ18" i="6"/>
  <c r="Q20" i="6"/>
  <c r="AF23" i="6"/>
  <c r="AF17" i="6"/>
  <c r="O26" i="6"/>
  <c r="AB27" i="6"/>
  <c r="AZ20" i="6"/>
  <c r="AN21" i="6"/>
  <c r="Q25" i="6"/>
  <c r="O29" i="6"/>
  <c r="BF31" i="6"/>
  <c r="AY7" i="6"/>
  <c r="AM26" i="6"/>
  <c r="AS15" i="6"/>
  <c r="AR21" i="6"/>
  <c r="BD26" i="6"/>
  <c r="P31" i="6"/>
  <c r="AN16" i="6"/>
  <c r="AK18" i="6"/>
  <c r="AV18" i="6"/>
  <c r="P15" i="6"/>
  <c r="N25" i="6"/>
  <c r="O17" i="6"/>
  <c r="N19" i="6"/>
  <c r="AT17" i="6"/>
  <c r="R25" i="6"/>
  <c r="O18" i="6"/>
  <c r="X29" i="6"/>
  <c r="AH30" i="6"/>
  <c r="BG6" i="6"/>
  <c r="X15" i="6"/>
  <c r="X7" i="6"/>
  <c r="S29" i="6"/>
  <c r="W27" i="6"/>
  <c r="AS30" i="6"/>
  <c r="U29" i="6"/>
  <c r="AG17" i="6"/>
  <c r="N26" i="6"/>
  <c r="AY27" i="6"/>
  <c r="AC23" i="6"/>
  <c r="U21" i="6"/>
  <c r="V19" i="6"/>
  <c r="AA28" i="6"/>
  <c r="U25" i="6"/>
  <c r="W6" i="6"/>
  <c r="AB19" i="6"/>
  <c r="Q11" i="6"/>
  <c r="AM20" i="6"/>
  <c r="X25" i="6"/>
  <c r="O21" i="6"/>
  <c r="M20" i="6"/>
  <c r="BB7" i="6"/>
  <c r="AQ30" i="6"/>
  <c r="AO21" i="6"/>
  <c r="AM29" i="6"/>
  <c r="AK22" i="6"/>
  <c r="BB16" i="6"/>
  <c r="N16" i="6"/>
  <c r="AQ19" i="6"/>
  <c r="BC19" i="6"/>
  <c r="AP16" i="6"/>
  <c r="AW26" i="6"/>
  <c r="O31" i="6"/>
  <c r="BB19" i="6"/>
  <c r="AF15" i="6"/>
  <c r="AB28" i="6"/>
  <c r="O24" i="6"/>
  <c r="Y26" i="6"/>
  <c r="CU11" i="6"/>
  <c r="BT11" i="6"/>
  <c r="DB22" i="6"/>
  <c r="CX23" i="6"/>
  <c r="BS11" i="6"/>
  <c r="CQ12" i="6"/>
  <c r="DD23" i="6"/>
  <c r="CY27" i="6"/>
  <c r="CA8" i="6"/>
  <c r="BV22" i="6"/>
  <c r="BR21" i="6"/>
  <c r="BP28" i="6"/>
  <c r="CT7" i="6"/>
  <c r="BO12" i="6"/>
  <c r="CM29" i="6"/>
  <c r="CN27" i="6"/>
  <c r="BS20" i="6"/>
  <c r="BT24" i="6"/>
  <c r="CB27" i="6"/>
  <c r="BY25" i="6"/>
  <c r="BI28" i="6"/>
  <c r="BR31" i="6"/>
  <c r="CI18" i="6"/>
  <c r="CS23" i="6"/>
  <c r="CX26" i="6"/>
  <c r="CU16" i="6"/>
  <c r="DE18" i="6"/>
  <c r="CB18" i="6"/>
  <c r="CP26" i="6"/>
  <c r="BP14" i="6"/>
  <c r="BU8" i="6"/>
  <c r="BY30" i="6"/>
  <c r="BW24" i="6"/>
  <c r="BK12" i="6"/>
  <c r="CY20" i="6"/>
  <c r="CO27" i="6"/>
  <c r="BU6" i="6"/>
  <c r="BS6" i="6"/>
  <c r="CF16" i="6"/>
  <c r="BH22" i="6"/>
  <c r="CY21" i="6"/>
  <c r="DD30" i="6"/>
  <c r="CP21" i="6"/>
  <c r="DD8" i="6"/>
  <c r="BZ21" i="6"/>
  <c r="CF11" i="6"/>
  <c r="DE28" i="6"/>
  <c r="DF10" i="6"/>
  <c r="BY13" i="6"/>
  <c r="BW28" i="6"/>
  <c r="CI23" i="6"/>
  <c r="BW26" i="6"/>
  <c r="BW13" i="6"/>
  <c r="CE25" i="6"/>
  <c r="CN14" i="6"/>
  <c r="CI20" i="6"/>
  <c r="CR21" i="6"/>
  <c r="CE31" i="6"/>
  <c r="CZ19" i="6"/>
  <c r="CJ25" i="6"/>
  <c r="AM11" i="6"/>
  <c r="AK13" i="6"/>
  <c r="Z10" i="6"/>
  <c r="T8" i="6"/>
  <c r="AX13" i="6"/>
  <c r="T13" i="6"/>
  <c r="AV20" i="6"/>
  <c r="L24" i="6"/>
  <c r="AC12" i="6"/>
  <c r="AO8" i="6"/>
  <c r="AV12" i="6"/>
  <c r="AF11" i="6"/>
  <c r="AK11" i="6"/>
  <c r="Z11" i="6"/>
  <c r="AV19" i="6"/>
  <c r="AW22" i="6"/>
  <c r="L18" i="6"/>
  <c r="AW12" i="6"/>
  <c r="AA17" i="6"/>
  <c r="BE26" i="6"/>
  <c r="AD12" i="6"/>
  <c r="N21" i="6"/>
  <c r="BC24" i="6"/>
  <c r="AU26" i="6"/>
  <c r="M8" i="6"/>
  <c r="AR20" i="6"/>
  <c r="AE10" i="6"/>
  <c r="BA10" i="6"/>
  <c r="AK6" i="6"/>
  <c r="BG11" i="6"/>
  <c r="AO13" i="6"/>
  <c r="AB13" i="6"/>
  <c r="AS16" i="6"/>
  <c r="AQ14" i="6"/>
  <c r="AD13" i="6"/>
  <c r="AX28" i="6"/>
  <c r="AD7" i="6"/>
  <c r="R30" i="6"/>
  <c r="BD22" i="6"/>
  <c r="AK20" i="6"/>
  <c r="BF17" i="6"/>
  <c r="AX17" i="6"/>
  <c r="AA7" i="6"/>
  <c r="AI15" i="6"/>
  <c r="BG21" i="6"/>
  <c r="AR19" i="6"/>
  <c r="R19" i="6"/>
  <c r="BF21" i="6"/>
  <c r="AB26" i="6"/>
  <c r="AQ31" i="6"/>
  <c r="AG20" i="6"/>
  <c r="AJ20" i="6"/>
  <c r="Z27" i="6"/>
  <c r="AL28" i="6"/>
  <c r="AR22" i="6"/>
  <c r="BD27" i="6"/>
  <c r="AA21" i="6"/>
  <c r="AX14" i="6"/>
  <c r="AA22" i="6"/>
  <c r="L28" i="6"/>
  <c r="L17" i="6"/>
  <c r="P16" i="6"/>
  <c r="BE31" i="6"/>
  <c r="P26" i="6"/>
  <c r="BG27" i="6"/>
  <c r="AO22" i="6"/>
  <c r="AC21" i="6"/>
  <c r="AU19" i="6"/>
  <c r="AQ17" i="6"/>
  <c r="AW11" i="6"/>
  <c r="AW20" i="6"/>
  <c r="O15" i="6"/>
  <c r="AG31" i="6"/>
  <c r="T17" i="6"/>
  <c r="V15" i="6"/>
  <c r="AQ22" i="6"/>
  <c r="Q17" i="6"/>
  <c r="BD24" i="6"/>
  <c r="BA9" i="6"/>
  <c r="AI18" i="6"/>
  <c r="BE21" i="6"/>
  <c r="V6" i="6"/>
  <c r="FJ31" i="6" s="1"/>
  <c r="M22" i="6"/>
  <c r="AV22" i="6"/>
  <c r="BC15" i="6"/>
  <c r="AE15" i="6"/>
  <c r="BB15" i="6"/>
  <c r="AD28" i="6"/>
  <c r="AJ27" i="6"/>
  <c r="AN28" i="6"/>
  <c r="AR29" i="6"/>
  <c r="AW27" i="6"/>
  <c r="AP15" i="6"/>
  <c r="BE23" i="6"/>
  <c r="BG18" i="6"/>
  <c r="M26" i="6"/>
  <c r="Y25" i="6"/>
  <c r="AA16" i="6"/>
  <c r="O23" i="6"/>
  <c r="T31" i="6"/>
  <c r="BE25" i="6"/>
  <c r="BA14" i="6"/>
  <c r="BB25" i="6"/>
  <c r="CG23" i="6"/>
  <c r="DD21" i="6"/>
  <c r="CI16" i="6"/>
  <c r="BT28" i="6"/>
  <c r="CQ28" i="6"/>
  <c r="BU12" i="6"/>
  <c r="BI24" i="6"/>
  <c r="CM20" i="6"/>
  <c r="CH19" i="6"/>
  <c r="BL20" i="6"/>
  <c r="CO26" i="6"/>
  <c r="CB10" i="6"/>
  <c r="CO18" i="6"/>
  <c r="CI31" i="6"/>
  <c r="BS15" i="6"/>
  <c r="DA13" i="6"/>
  <c r="BV31" i="6"/>
  <c r="CZ6" i="6"/>
  <c r="DC13" i="6"/>
  <c r="BX20" i="6"/>
  <c r="BJ31" i="6"/>
  <c r="CH28" i="6"/>
  <c r="CZ16" i="6"/>
  <c r="CL20" i="6"/>
  <c r="BZ27" i="6"/>
  <c r="DC24" i="6"/>
  <c r="BI13" i="6"/>
  <c r="CH6" i="6"/>
  <c r="CN17" i="6"/>
  <c r="BR12" i="6"/>
  <c r="CQ23" i="6"/>
  <c r="BK21" i="6"/>
  <c r="CS16" i="6"/>
  <c r="CZ13" i="6"/>
  <c r="CB11" i="6"/>
  <c r="BM30" i="6"/>
  <c r="CS21" i="6"/>
  <c r="BY11" i="6"/>
  <c r="BP22" i="6"/>
  <c r="CT27" i="6"/>
  <c r="BJ27" i="6"/>
  <c r="CW26" i="6"/>
  <c r="BL21" i="6"/>
  <c r="DB11" i="6"/>
  <c r="BR18" i="6"/>
  <c r="BR9" i="6"/>
  <c r="CE10" i="6"/>
  <c r="CI6" i="6"/>
  <c r="BH15" i="6"/>
  <c r="BK28" i="6"/>
  <c r="CI29" i="6"/>
  <c r="CS20" i="6"/>
  <c r="CJ31" i="6"/>
  <c r="CC30" i="6"/>
  <c r="CN23" i="6"/>
  <c r="CD9" i="6"/>
  <c r="CX27" i="6"/>
  <c r="BN21" i="6"/>
  <c r="CD23" i="6"/>
  <c r="X12" i="6"/>
  <c r="L10" i="6"/>
  <c r="V8" i="6"/>
  <c r="BG13" i="6"/>
  <c r="AK30" i="6"/>
  <c r="AL11" i="6"/>
  <c r="AH28" i="6"/>
  <c r="U6" i="6"/>
  <c r="AE11" i="6"/>
  <c r="AL17" i="6"/>
  <c r="AS9" i="6"/>
  <c r="Z14" i="6"/>
  <c r="AW19" i="6"/>
  <c r="P19" i="6"/>
  <c r="S27" i="6"/>
  <c r="AW9" i="6"/>
  <c r="AG16" i="6"/>
  <c r="M21" i="6"/>
  <c r="U10" i="6"/>
  <c r="BD13" i="6"/>
  <c r="Y13" i="6"/>
  <c r="Z29" i="6"/>
  <c r="BB28" i="6"/>
  <c r="AM8" i="6"/>
  <c r="X26" i="6"/>
  <c r="AI17" i="6"/>
  <c r="Q23" i="6"/>
  <c r="BF12" i="6"/>
  <c r="BB8" i="6"/>
  <c r="AU11" i="6"/>
  <c r="AJ12" i="6"/>
  <c r="Z9" i="6"/>
  <c r="AW8" i="6"/>
  <c r="AH8" i="6"/>
  <c r="BC6" i="6"/>
  <c r="AY18" i="6"/>
  <c r="P17" i="6"/>
  <c r="AN27" i="6"/>
  <c r="AA6" i="6"/>
  <c r="Q31" i="6"/>
  <c r="AU20" i="6"/>
  <c r="X16" i="6"/>
  <c r="Y6" i="6"/>
  <c r="L16" i="6"/>
  <c r="T20" i="6"/>
  <c r="AL19" i="6"/>
  <c r="BA26" i="6"/>
  <c r="BD17" i="6"/>
  <c r="AD27" i="6"/>
  <c r="AR31" i="6"/>
  <c r="BC20" i="6"/>
  <c r="R26" i="6"/>
  <c r="X20" i="6"/>
  <c r="BF14" i="6"/>
  <c r="Z26" i="6"/>
  <c r="AD14" i="6"/>
  <c r="AV15" i="6"/>
  <c r="AO24" i="6"/>
  <c r="AT21" i="6"/>
  <c r="AD17" i="6"/>
  <c r="BG20" i="6"/>
  <c r="AX26" i="6"/>
  <c r="AI14" i="6"/>
  <c r="AN25" i="6"/>
  <c r="AB29" i="6"/>
  <c r="T23" i="6"/>
  <c r="AT23" i="6"/>
  <c r="BA22" i="6"/>
  <c r="AB16" i="6"/>
  <c r="X6" i="6"/>
  <c r="AD20" i="6"/>
  <c r="L21" i="6"/>
  <c r="AK19" i="6"/>
  <c r="AV6" i="6"/>
  <c r="BF28" i="6"/>
  <c r="AK23" i="6"/>
  <c r="AE28" i="6"/>
  <c r="AC7" i="6"/>
  <c r="AF29" i="6"/>
  <c r="BD7" i="6"/>
  <c r="BE30" i="6"/>
  <c r="AE14" i="6"/>
  <c r="AA19" i="6"/>
  <c r="W26" i="6"/>
  <c r="AM30" i="6"/>
  <c r="U23" i="6"/>
  <c r="AW25" i="6"/>
  <c r="AG28" i="6"/>
  <c r="AN20" i="6"/>
  <c r="BG31" i="6"/>
  <c r="BC29" i="6"/>
  <c r="AQ9" i="6"/>
  <c r="BB26" i="6"/>
  <c r="AW21" i="6"/>
  <c r="S24" i="6"/>
  <c r="AE29" i="6"/>
  <c r="AC31" i="6"/>
  <c r="AK28" i="6"/>
  <c r="R23" i="6"/>
  <c r="N17" i="6"/>
  <c r="AH27" i="6"/>
  <c r="AG22" i="6"/>
  <c r="CI13" i="6"/>
  <c r="BR10" i="6"/>
  <c r="CZ28" i="6"/>
  <c r="CE16" i="6"/>
  <c r="CA12" i="6"/>
  <c r="BQ25" i="6"/>
  <c r="CW29" i="6"/>
  <c r="CR14" i="6"/>
  <c r="CB26" i="6"/>
  <c r="BQ10" i="6"/>
  <c r="BZ8" i="6"/>
  <c r="CS17" i="6"/>
  <c r="CR9" i="6"/>
  <c r="CK11" i="6"/>
  <c r="CM15" i="6"/>
  <c r="CH8" i="6"/>
  <c r="BM17" i="6"/>
  <c r="BL11" i="6"/>
  <c r="CM6" i="6"/>
  <c r="CA21" i="6"/>
  <c r="CK20" i="6"/>
  <c r="CE6" i="6"/>
  <c r="CE13" i="6"/>
  <c r="CB12" i="6"/>
  <c r="CG7" i="6"/>
  <c r="DC8" i="6"/>
  <c r="CN8" i="6"/>
  <c r="DA26" i="6"/>
  <c r="DA16" i="6"/>
  <c r="CM7" i="6"/>
  <c r="DD19" i="6"/>
  <c r="CC20" i="6"/>
  <c r="BH24" i="6"/>
  <c r="CG9" i="6"/>
  <c r="BJ6" i="6"/>
  <c r="DC31" i="6"/>
  <c r="CU21" i="6"/>
  <c r="BT15" i="6"/>
  <c r="BI14" i="6"/>
  <c r="BK27" i="6"/>
  <c r="DF15" i="6"/>
  <c r="CA13" i="6"/>
  <c r="BR23" i="6"/>
  <c r="DF9" i="6"/>
  <c r="BM26" i="6"/>
  <c r="BN10" i="6"/>
  <c r="CQ14" i="6"/>
  <c r="BY29" i="6"/>
  <c r="CR16" i="6"/>
  <c r="BN29" i="6"/>
  <c r="CS26" i="6"/>
  <c r="DD13" i="6"/>
  <c r="CL28" i="6"/>
  <c r="BL22" i="6"/>
  <c r="CY16" i="6"/>
  <c r="CM30" i="6"/>
  <c r="BW29" i="6"/>
  <c r="DF6" i="6"/>
  <c r="CK22" i="6"/>
  <c r="DB23" i="6"/>
  <c r="CG27" i="6"/>
  <c r="AH11" i="6"/>
  <c r="Y12" i="6"/>
  <c r="AT9" i="6"/>
  <c r="BE9" i="6"/>
  <c r="AJ28" i="6"/>
  <c r="L12" i="6"/>
  <c r="P9" i="6"/>
  <c r="AU12" i="6"/>
  <c r="BB13" i="6"/>
  <c r="T12" i="6"/>
  <c r="AO26" i="6"/>
  <c r="AD23" i="6"/>
  <c r="Z16" i="6"/>
  <c r="AH18" i="6"/>
  <c r="M28" i="6"/>
  <c r="BB30" i="6"/>
  <c r="AS19" i="6"/>
  <c r="AV16" i="6"/>
  <c r="AV26" i="6"/>
  <c r="W29" i="6"/>
  <c r="AA12" i="6"/>
  <c r="AX11" i="6"/>
  <c r="BA7" i="6"/>
  <c r="AI10" i="6"/>
  <c r="AQ26" i="6"/>
  <c r="L15" i="6"/>
  <c r="L22" i="6"/>
  <c r="AO28" i="6"/>
  <c r="BA18" i="6"/>
  <c r="BD11" i="6"/>
  <c r="AH9" i="6"/>
  <c r="Y28" i="6"/>
  <c r="BB18" i="6"/>
  <c r="AY9" i="6"/>
  <c r="R9" i="6"/>
  <c r="V28" i="6"/>
  <c r="AZ16" i="6"/>
  <c r="BE6" i="6"/>
  <c r="BC25" i="6"/>
  <c r="M12" i="6"/>
  <c r="BD19" i="6"/>
  <c r="AU7" i="6"/>
  <c r="Z19" i="6"/>
  <c r="AG24" i="6"/>
  <c r="Y17" i="6"/>
  <c r="BE22" i="6"/>
  <c r="S22" i="6"/>
  <c r="AF30" i="6"/>
  <c r="N6" i="6"/>
  <c r="AI21" i="6"/>
  <c r="N28" i="6"/>
  <c r="M7" i="6"/>
  <c r="S6" i="6"/>
  <c r="AI20" i="6"/>
  <c r="R6" i="6"/>
  <c r="AG30" i="6"/>
  <c r="O22" i="6"/>
  <c r="AO23" i="6"/>
  <c r="AC24" i="6"/>
  <c r="AM23" i="6"/>
  <c r="Q16" i="6"/>
  <c r="Z18" i="6"/>
  <c r="AE21" i="6"/>
  <c r="O7" i="6"/>
  <c r="Z15" i="6"/>
  <c r="P11" i="6"/>
  <c r="T29" i="6"/>
  <c r="BD30" i="6"/>
  <c r="AM24" i="6"/>
  <c r="BE16" i="6"/>
  <c r="W10" i="6"/>
  <c r="AS25" i="6"/>
  <c r="AB20" i="6"/>
  <c r="AM7" i="6"/>
  <c r="Q8" i="6"/>
  <c r="AJ30" i="6"/>
  <c r="AG18" i="6"/>
  <c r="BD15" i="6"/>
  <c r="AF19" i="6"/>
  <c r="T15" i="6"/>
  <c r="Q15" i="6"/>
  <c r="AB24" i="6"/>
  <c r="AO6" i="6"/>
  <c r="X28" i="6"/>
  <c r="BF30" i="6"/>
  <c r="V31" i="6"/>
  <c r="AW23" i="6"/>
  <c r="X19" i="6"/>
  <c r="AJ7" i="6"/>
  <c r="AG29" i="6"/>
  <c r="X17" i="6"/>
  <c r="AH29" i="6"/>
  <c r="W16" i="6"/>
  <c r="BF24" i="6"/>
  <c r="AU22" i="6"/>
  <c r="BE24" i="6"/>
  <c r="Y20" i="6"/>
  <c r="AT27" i="6"/>
  <c r="AP23" i="6"/>
  <c r="AX31" i="6"/>
  <c r="BG19" i="6"/>
  <c r="AI19" i="6"/>
  <c r="AP24" i="6"/>
  <c r="CE30" i="6"/>
  <c r="CF15" i="6"/>
  <c r="CU7" i="6"/>
  <c r="CM11" i="6"/>
  <c r="BM22" i="6"/>
  <c r="CI22" i="6"/>
  <c r="CP30" i="6"/>
  <c r="CN24" i="6"/>
  <c r="CT22" i="6"/>
  <c r="CI21" i="6"/>
  <c r="CO22" i="6"/>
  <c r="CR6" i="6"/>
  <c r="CF10" i="6"/>
  <c r="CB20" i="6"/>
  <c r="CP16" i="6"/>
  <c r="CK7" i="6"/>
  <c r="CJ21" i="6"/>
  <c r="CW25" i="6"/>
  <c r="CK17" i="6"/>
  <c r="CM31" i="6"/>
  <c r="CL7" i="6"/>
  <c r="BT7" i="6"/>
  <c r="CD15" i="6"/>
  <c r="DF8" i="6"/>
  <c r="CE26" i="6"/>
  <c r="BX9" i="6"/>
  <c r="BH28" i="6"/>
  <c r="BU28" i="6"/>
  <c r="CQ6" i="6"/>
  <c r="CS29" i="6"/>
  <c r="BR28" i="6"/>
  <c r="BN22" i="6"/>
  <c r="DC27" i="6"/>
  <c r="CY8" i="6"/>
  <c r="CB17" i="6"/>
  <c r="BT21" i="6"/>
  <c r="CS7" i="6"/>
  <c r="BQ14" i="6"/>
  <c r="BU24" i="6"/>
  <c r="CO28" i="6"/>
  <c r="CJ6" i="6"/>
  <c r="DA15" i="6"/>
  <c r="CV18" i="6"/>
  <c r="BL13" i="6"/>
  <c r="BZ10" i="6"/>
  <c r="CH29" i="6"/>
  <c r="CG17" i="6"/>
  <c r="CG12" i="6"/>
  <c r="BW20" i="6"/>
  <c r="CO6" i="6"/>
  <c r="CJ13" i="6"/>
  <c r="BQ31" i="6"/>
  <c r="BV29" i="6"/>
  <c r="DE27" i="6"/>
  <c r="DC18" i="6"/>
  <c r="CN29" i="6"/>
  <c r="BX29" i="6"/>
  <c r="CY15" i="6"/>
  <c r="BT27" i="6"/>
  <c r="CO17" i="6"/>
  <c r="BQ21" i="6"/>
  <c r="BH21" i="6"/>
  <c r="CI19" i="6"/>
  <c r="AR8" i="6"/>
  <c r="X11" i="6"/>
  <c r="BC9" i="6"/>
  <c r="X8" i="6"/>
  <c r="AI11" i="6"/>
  <c r="AF13" i="6"/>
  <c r="AZ13" i="6"/>
  <c r="Q27" i="6"/>
  <c r="AP21" i="6"/>
  <c r="AF9" i="6"/>
  <c r="AZ12" i="6"/>
  <c r="BE12" i="6"/>
  <c r="Z23" i="6"/>
  <c r="AD26" i="6"/>
  <c r="BD12" i="6"/>
  <c r="AW29" i="6"/>
  <c r="AO10" i="6"/>
  <c r="AY23" i="6"/>
  <c r="Q9" i="6"/>
  <c r="L11" i="6"/>
  <c r="BB11" i="6"/>
  <c r="AT11" i="6"/>
  <c r="BE27" i="6"/>
  <c r="AE13" i="6"/>
  <c r="AR15" i="6"/>
  <c r="AV9" i="6"/>
  <c r="AJ10" i="6"/>
  <c r="AA13" i="6"/>
  <c r="P12" i="6"/>
  <c r="AR12" i="6"/>
  <c r="AL10" i="6"/>
  <c r="Y9" i="6"/>
  <c r="AY12" i="6"/>
  <c r="BE8" i="6"/>
  <c r="Z12" i="6"/>
  <c r="AE22" i="6"/>
  <c r="AH25" i="6"/>
  <c r="AX21" i="6"/>
  <c r="AH19" i="6"/>
  <c r="AQ23" i="6"/>
  <c r="BD28" i="6"/>
  <c r="BC26" i="6"/>
  <c r="L6" i="6"/>
  <c r="X31" i="6"/>
  <c r="U30" i="6"/>
  <c r="T11" i="6"/>
  <c r="T19" i="6"/>
  <c r="AL16" i="6"/>
  <c r="Y7" i="6"/>
  <c r="BF26" i="6"/>
  <c r="Y18" i="6"/>
  <c r="Y10" i="6"/>
  <c r="AS7" i="6"/>
  <c r="AP10" i="6"/>
  <c r="AA25" i="6"/>
  <c r="O28" i="6"/>
  <c r="AQ28" i="6"/>
  <c r="AT7" i="6"/>
  <c r="BE15" i="6"/>
  <c r="AT26" i="6"/>
  <c r="BE7" i="6"/>
  <c r="AC16" i="6"/>
  <c r="Q6" i="6"/>
  <c r="AQ24" i="6"/>
  <c r="AE9" i="6"/>
  <c r="T26" i="6"/>
  <c r="N27" i="6"/>
  <c r="X23" i="6"/>
  <c r="AE18" i="6"/>
  <c r="N30" i="6"/>
  <c r="BF29" i="6"/>
  <c r="AK29" i="6"/>
  <c r="X24" i="6"/>
  <c r="AQ21" i="6"/>
  <c r="V29" i="6"/>
  <c r="Q26" i="6"/>
  <c r="T16" i="6"/>
  <c r="AU14" i="6"/>
  <c r="AM22" i="6"/>
  <c r="AL30" i="6"/>
  <c r="Z22" i="6"/>
  <c r="U15" i="6"/>
  <c r="AJ8" i="6"/>
  <c r="AL18" i="6"/>
  <c r="AY20" i="6"/>
  <c r="BD6" i="6"/>
  <c r="BG14" i="6"/>
  <c r="BE14" i="6"/>
  <c r="BG7" i="6"/>
  <c r="AL25" i="6"/>
  <c r="R7" i="6"/>
  <c r="O14" i="6"/>
  <c r="Y21" i="6"/>
  <c r="Y15" i="6"/>
  <c r="BE17" i="6"/>
  <c r="U19" i="6"/>
  <c r="AI24" i="6"/>
  <c r="BC22" i="6"/>
  <c r="N22" i="6"/>
  <c r="AX22" i="6"/>
  <c r="AY31" i="6"/>
  <c r="W30" i="6"/>
  <c r="AW14" i="6"/>
  <c r="BE29" i="6"/>
  <c r="R20" i="6"/>
  <c r="CD12" i="6"/>
  <c r="BQ29" i="6"/>
  <c r="CN13" i="6"/>
  <c r="CE17" i="6"/>
  <c r="CV20" i="6"/>
  <c r="BR13" i="6"/>
  <c r="CT26" i="6"/>
  <c r="CY29" i="6"/>
  <c r="BM13" i="6"/>
  <c r="CZ14" i="6"/>
  <c r="BU13" i="6"/>
  <c r="BO6" i="6"/>
  <c r="CB28" i="6"/>
  <c r="BX16" i="6"/>
  <c r="CX20" i="6"/>
  <c r="BW6" i="6"/>
  <c r="CK16" i="6"/>
  <c r="CQ8" i="6"/>
  <c r="CW16" i="6"/>
  <c r="BP21" i="6"/>
  <c r="BX6" i="6"/>
  <c r="DD9" i="6"/>
  <c r="CG20" i="6"/>
  <c r="CV19" i="6"/>
  <c r="BS18" i="6"/>
  <c r="DA11" i="6"/>
  <c r="BN20" i="6"/>
  <c r="CD18" i="6"/>
  <c r="BH7" i="6"/>
  <c r="BP17" i="6"/>
  <c r="BP12" i="6"/>
  <c r="BT31" i="6"/>
  <c r="BO13" i="6"/>
  <c r="DD24" i="6"/>
  <c r="BK29" i="6"/>
  <c r="BJ19" i="6"/>
  <c r="BW11" i="6"/>
  <c r="DD28" i="6"/>
  <c r="BS8" i="6"/>
  <c r="CQ15" i="6"/>
  <c r="CS31" i="6"/>
  <c r="CI26" i="6"/>
  <c r="CH12" i="6"/>
  <c r="BZ15" i="6"/>
  <c r="CR30" i="6"/>
  <c r="CR12" i="6"/>
  <c r="CS24" i="6"/>
  <c r="CO16" i="6"/>
  <c r="CD14" i="6"/>
  <c r="BL6" i="6"/>
  <c r="CJ26" i="6"/>
  <c r="CC11" i="6"/>
  <c r="BV16" i="6"/>
  <c r="BY12" i="6"/>
  <c r="CS9" i="6"/>
  <c r="DB7" i="6"/>
  <c r="CR8" i="6"/>
  <c r="CV26" i="6"/>
  <c r="CO7" i="6"/>
  <c r="BS7" i="6"/>
  <c r="BK19" i="6"/>
  <c r="DB12" i="6"/>
  <c r="BL26" i="6"/>
  <c r="AC10" i="6"/>
  <c r="BE11" i="6"/>
  <c r="AA8" i="6"/>
  <c r="AN13" i="6"/>
  <c r="AB9" i="6"/>
  <c r="AG12" i="6"/>
  <c r="AV13" i="6"/>
  <c r="AA31" i="6"/>
  <c r="AD9" i="6"/>
  <c r="AT13" i="6"/>
  <c r="AI29" i="6"/>
  <c r="AI12" i="6"/>
  <c r="AP14" i="6"/>
  <c r="BF11" i="6"/>
  <c r="AQ8" i="6"/>
  <c r="AU24" i="6"/>
  <c r="BF10" i="6"/>
  <c r="AL20" i="6"/>
  <c r="L9" i="6"/>
  <c r="AB11" i="6"/>
  <c r="Q10" i="6"/>
  <c r="AW16" i="6"/>
  <c r="AS12" i="6"/>
  <c r="BE18" i="6"/>
  <c r="BE20" i="6"/>
  <c r="S16" i="6"/>
  <c r="BD10" i="6"/>
  <c r="AY10" i="6"/>
  <c r="AN6" i="6"/>
  <c r="AG11" i="6"/>
  <c r="AO14" i="6"/>
  <c r="M9" i="6"/>
  <c r="AQ11" i="6"/>
  <c r="AZ27" i="6"/>
  <c r="L25" i="6"/>
  <c r="AT25" i="6"/>
  <c r="AE27" i="6"/>
  <c r="AB30" i="6"/>
  <c r="BF27" i="6"/>
  <c r="AA30" i="6"/>
  <c r="P20" i="6"/>
  <c r="U18" i="6"/>
  <c r="AS26" i="6"/>
  <c r="V18" i="6"/>
  <c r="BG29" i="6"/>
  <c r="AZ19" i="6"/>
  <c r="N24" i="6"/>
  <c r="AP19" i="6"/>
  <c r="W18" i="6"/>
  <c r="S17" i="6"/>
  <c r="Y29" i="6"/>
  <c r="AN29" i="6"/>
  <c r="T21" i="6"/>
  <c r="Q12" i="6"/>
  <c r="AB23" i="6"/>
  <c r="AP27" i="6"/>
  <c r="BB24" i="6"/>
  <c r="BD29" i="6"/>
  <c r="AA27" i="6"/>
  <c r="V26" i="6"/>
  <c r="AE26" i="6"/>
  <c r="M17" i="6"/>
  <c r="AC15" i="6"/>
  <c r="AK26" i="6"/>
  <c r="L29" i="6"/>
  <c r="BE19" i="6"/>
  <c r="AP29" i="6"/>
  <c r="Y22" i="6"/>
  <c r="AT31" i="6"/>
  <c r="AY15" i="6"/>
  <c r="AX18" i="6"/>
  <c r="AR24" i="6"/>
  <c r="AM19" i="6"/>
  <c r="AE30" i="6"/>
  <c r="R14" i="6"/>
  <c r="AE31" i="6"/>
  <c r="V20" i="6"/>
  <c r="AB18" i="6"/>
  <c r="AK12" i="6"/>
  <c r="BA30" i="6"/>
  <c r="T22" i="6"/>
  <c r="AZ22" i="6"/>
  <c r="Z13" i="6"/>
  <c r="AN24" i="6"/>
  <c r="AO30" i="6"/>
  <c r="BF15" i="6"/>
  <c r="AR26" i="6"/>
  <c r="AU18" i="6"/>
  <c r="AL21" i="6"/>
  <c r="AT24" i="6"/>
  <c r="AB21" i="6"/>
  <c r="Q30" i="6"/>
  <c r="AM28" i="6"/>
  <c r="Q28" i="6"/>
  <c r="BG17" i="6"/>
  <c r="R31" i="6"/>
  <c r="AI23" i="6"/>
  <c r="AW6" i="6"/>
  <c r="AU17" i="6"/>
  <c r="L7" i="6"/>
  <c r="AQ18" i="6"/>
  <c r="BB23" i="6"/>
  <c r="BN15" i="6"/>
  <c r="CP13" i="6"/>
  <c r="BY16" i="6"/>
  <c r="CM28" i="6"/>
  <c r="BQ30" i="6"/>
  <c r="BN19" i="6"/>
  <c r="CD28" i="6"/>
  <c r="BJ22" i="6"/>
  <c r="BI25" i="6"/>
  <c r="BU21" i="6"/>
  <c r="CS13" i="6"/>
  <c r="BT16" i="6"/>
  <c r="BK31" i="6"/>
  <c r="CT9" i="6"/>
  <c r="CP10" i="6"/>
  <c r="CW22" i="6"/>
  <c r="CF22" i="6"/>
  <c r="CH30" i="6"/>
  <c r="CY17" i="6"/>
  <c r="CZ20" i="6"/>
  <c r="CD7" i="6"/>
  <c r="CX8" i="6"/>
  <c r="CJ27" i="6"/>
  <c r="DD20" i="6"/>
  <c r="BS31" i="6"/>
  <c r="BS29" i="6"/>
  <c r="CN19" i="6"/>
  <c r="BN6" i="6"/>
  <c r="BJ7" i="6"/>
  <c r="DC7" i="6"/>
  <c r="DC11" i="6"/>
  <c r="BY28" i="6"/>
  <c r="CC7" i="6"/>
  <c r="CA22" i="6"/>
  <c r="CM12" i="6"/>
  <c r="CC14" i="6"/>
  <c r="CG31" i="6"/>
  <c r="BI16" i="6"/>
  <c r="CX30" i="6"/>
  <c r="BJ30" i="6"/>
  <c r="BN17" i="6"/>
  <c r="CV6" i="6"/>
  <c r="BQ6" i="6"/>
  <c r="CZ26" i="6"/>
  <c r="DA24" i="6"/>
  <c r="CH24" i="6"/>
  <c r="BO16" i="6"/>
  <c r="CN22" i="6"/>
  <c r="CF6" i="6"/>
  <c r="CM18" i="6"/>
  <c r="CK30" i="6"/>
  <c r="BV25" i="6"/>
  <c r="CL26" i="6"/>
  <c r="BV20" i="6"/>
  <c r="BK10" i="6"/>
  <c r="CN20" i="6"/>
  <c r="CF21" i="6"/>
  <c r="BT19" i="6"/>
  <c r="CS11" i="6"/>
  <c r="CF12" i="6"/>
  <c r="BM29" i="6"/>
  <c r="CC18" i="6"/>
  <c r="CM16" i="6"/>
  <c r="CV25" i="6"/>
  <c r="CU25" i="6"/>
  <c r="S10" i="6"/>
  <c r="AQ13" i="6"/>
  <c r="S11" i="6"/>
  <c r="AU13" i="6"/>
  <c r="BG10" i="6"/>
  <c r="AM9" i="6"/>
  <c r="AK27" i="6"/>
  <c r="U12" i="6"/>
  <c r="BA31" i="6"/>
  <c r="W9" i="6"/>
  <c r="AX30" i="6"/>
  <c r="R13" i="6"/>
  <c r="BF16" i="6"/>
  <c r="S15" i="6"/>
  <c r="AS13" i="6"/>
  <c r="AG8" i="6"/>
  <c r="Q19" i="6"/>
  <c r="S13" i="6"/>
  <c r="BE13" i="6"/>
  <c r="U9" i="6"/>
  <c r="O9" i="6"/>
  <c r="BD21" i="6"/>
  <c r="AR23" i="6"/>
  <c r="W19" i="6"/>
  <c r="BG23" i="6"/>
  <c r="AP6" i="6"/>
  <c r="AR27" i="6"/>
  <c r="AA10" i="6"/>
  <c r="AZ23" i="6"/>
  <c r="R10" i="6"/>
  <c r="AC9" i="6"/>
  <c r="AB17" i="6"/>
  <c r="AV10" i="6"/>
  <c r="R8" i="6"/>
  <c r="AJ25" i="6"/>
  <c r="AF31" i="6"/>
  <c r="AW28" i="6"/>
  <c r="BD14" i="6"/>
  <c r="AF16" i="6"/>
  <c r="AF14" i="6"/>
  <c r="BF6" i="6"/>
  <c r="U17" i="6"/>
  <c r="AJ29" i="6"/>
  <c r="AH6" i="6"/>
  <c r="AO25" i="6"/>
  <c r="AO18" i="6"/>
  <c r="BF23" i="6"/>
  <c r="AY26" i="6"/>
  <c r="BC14" i="6"/>
  <c r="AP17" i="6"/>
  <c r="AY28" i="6"/>
  <c r="P14" i="6"/>
  <c r="AN17" i="6"/>
  <c r="W15" i="6"/>
  <c r="AP30" i="6"/>
  <c r="AL15" i="6"/>
  <c r="V21" i="6"/>
  <c r="R15" i="6"/>
  <c r="T7" i="6"/>
  <c r="AI6" i="6"/>
  <c r="AU27" i="6"/>
  <c r="BC23" i="6"/>
  <c r="BA15" i="6"/>
  <c r="M25" i="6"/>
  <c r="AF18" i="6"/>
  <c r="AU31" i="6"/>
  <c r="Y31" i="6"/>
  <c r="AB6" i="6"/>
  <c r="AZ29" i="6"/>
  <c r="BF18" i="6"/>
  <c r="AY19" i="6"/>
  <c r="W24" i="6"/>
  <c r="AA15" i="6"/>
  <c r="AJ22" i="6"/>
  <c r="M19" i="6"/>
  <c r="AA14" i="6"/>
  <c r="L31" i="6"/>
  <c r="AJ15" i="6"/>
  <c r="AZ24" i="6"/>
  <c r="P18" i="6"/>
  <c r="U26" i="6"/>
  <c r="AL22" i="6"/>
  <c r="AU30" i="6"/>
  <c r="AC28" i="6"/>
  <c r="S14" i="6"/>
  <c r="Q18" i="6"/>
  <c r="BA25" i="6"/>
  <c r="AO20" i="6"/>
  <c r="BC27" i="6"/>
  <c r="S21" i="6"/>
  <c r="V30" i="6"/>
  <c r="L26" i="6"/>
  <c r="AD6" i="6"/>
  <c r="AK24" i="6"/>
  <c r="AU16" i="6"/>
  <c r="AP25" i="6"/>
  <c r="AN23" i="6"/>
  <c r="BG24" i="6"/>
  <c r="AY25" i="6"/>
  <c r="M14" i="6"/>
  <c r="BF20" i="6"/>
  <c r="AC26" i="6"/>
  <c r="AP18" i="6"/>
  <c r="P6" i="6"/>
  <c r="CN21" i="6"/>
  <c r="BM8" i="6"/>
  <c r="BU14" i="6"/>
  <c r="AZ26" i="6"/>
  <c r="AQ29" i="6"/>
  <c r="AG15" i="6"/>
  <c r="AG7" i="6"/>
  <c r="AU10" i="6"/>
  <c r="L30" i="6"/>
  <c r="BA16" i="6"/>
  <c r="S30" i="6"/>
  <c r="BC7" i="6"/>
  <c r="AJ18" i="6"/>
  <c r="AN22" i="6"/>
  <c r="AS24" i="6"/>
  <c r="AK21" i="6"/>
  <c r="BD25" i="6"/>
  <c r="CB24" i="6"/>
  <c r="AK16" i="6"/>
  <c r="V12" i="6"/>
  <c r="W25" i="6"/>
  <c r="AR28" i="6"/>
  <c r="AU6" i="6"/>
  <c r="Q14" i="6"/>
  <c r="S20" i="6"/>
  <c r="AB8" i="6"/>
  <c r="AF20" i="6"/>
  <c r="BG22" i="6"/>
  <c r="Z25" i="6"/>
  <c r="V27" i="6"/>
  <c r="BM12" i="6"/>
  <c r="AG13" i="6"/>
  <c r="Z30" i="6"/>
  <c r="BF25" i="6"/>
  <c r="AC17" i="6"/>
  <c r="O16" i="6"/>
  <c r="V23" i="6"/>
  <c r="U16" i="6"/>
  <c r="AL26" i="6"/>
  <c r="AU23" i="6"/>
  <c r="W17" i="6"/>
  <c r="AM10" i="6"/>
  <c r="CY10" i="6"/>
  <c r="AZ15" i="6"/>
  <c r="AB10" i="6"/>
  <c r="L8" i="6"/>
  <c r="BC31" i="6"/>
  <c r="AN26" i="6"/>
  <c r="AV27" i="6"/>
  <c r="AT28" i="6"/>
  <c r="AB31" i="6"/>
  <c r="BA19" i="6"/>
  <c r="AV14" i="6"/>
  <c r="Y14" i="6"/>
  <c r="BK30" i="6"/>
  <c r="AR11" i="6"/>
  <c r="AH13" i="6"/>
  <c r="AP22" i="6"/>
  <c r="AH10" i="6"/>
  <c r="T27" i="6"/>
  <c r="Z21" i="6"/>
  <c r="R16" i="6"/>
  <c r="R28" i="6"/>
  <c r="N7" i="6"/>
  <c r="CK18" i="6"/>
  <c r="AT12" i="6"/>
  <c r="R27" i="6"/>
  <c r="AV11" i="6"/>
  <c r="AX15" i="6"/>
  <c r="BB21" i="6"/>
  <c r="AR6" i="6"/>
  <c r="AU29" i="6"/>
  <c r="CR7" i="6"/>
  <c r="M11" i="6"/>
  <c r="BC10" i="6"/>
  <c r="BD8" i="6"/>
  <c r="AQ16" i="6"/>
  <c r="O12" i="6"/>
  <c r="BG16" i="6"/>
  <c r="AV25" i="6"/>
  <c r="AM14" i="6"/>
  <c r="W23" i="6"/>
  <c r="AX19" i="6"/>
  <c r="AD31" i="6"/>
  <c r="CG30" i="6"/>
  <c r="U13" i="6"/>
  <c r="AQ10" i="6"/>
  <c r="BG25" i="6"/>
  <c r="AA20" i="6"/>
  <c r="AF25" i="6"/>
  <c r="AP28" i="6"/>
  <c r="P21" i="6"/>
  <c r="AJ17" i="6"/>
  <c r="BZ9" i="6"/>
  <c r="AL13" i="6"/>
  <c r="BF7" i="6"/>
  <c r="Y27" i="6"/>
  <c r="AN19" i="6"/>
  <c r="W20" i="6"/>
  <c r="AS28" i="6"/>
  <c r="BA27" i="6"/>
  <c r="AJ24" i="6"/>
  <c r="BH12" i="6"/>
  <c r="AG9" i="6"/>
  <c r="AJ16" i="6"/>
  <c r="BF9" i="6"/>
  <c r="Q22" i="6"/>
  <c r="AV24" i="6"/>
  <c r="AB12" i="6"/>
  <c r="BJ9" i="6"/>
  <c r="AF8" i="6"/>
  <c r="AV8" i="6"/>
  <c r="O10" i="6"/>
  <c r="AJ21" i="6"/>
  <c r="BA8" i="6"/>
  <c r="W11" i="6"/>
  <c r="BC30" i="6"/>
  <c r="FI13" i="6"/>
  <c r="FI14" i="6" l="1"/>
  <c r="FI15" i="6" l="1"/>
  <c r="FI16" i="6" l="1"/>
  <c r="FI17" i="6" l="1"/>
  <c r="FI18" i="6" l="1"/>
  <c r="FI19" i="6" l="1"/>
  <c r="FI20" i="6" l="1"/>
  <c r="FI21" i="6" l="1"/>
  <c r="FI22" i="6" l="1"/>
  <c r="FI23" i="6" l="1"/>
  <c r="FI24" i="6" l="1"/>
  <c r="FI25" i="6" l="1"/>
  <c r="FI26" i="6" l="1"/>
  <c r="FI27" i="6" s="1"/>
</calcChain>
</file>

<file path=xl/sharedStrings.xml><?xml version="1.0" encoding="utf-8"?>
<sst xmlns="http://schemas.openxmlformats.org/spreadsheetml/2006/main" count="298" uniqueCount="61">
  <si>
    <t xml:space="preserve"> </t>
  </si>
  <si>
    <t>x</t>
  </si>
  <si>
    <t>↓</t>
  </si>
  <si>
    <t>XY</t>
  </si>
  <si>
    <t>[1, 0, 0, 500.0, 500.0]</t>
  </si>
  <si>
    <t>[2, 0, 0, 500.0, 500.0]</t>
  </si>
  <si>
    <t>[3, 0, 0, 500.0, 500.0]</t>
  </si>
  <si>
    <t>[4, 0, 0, 500.0, 500.0]</t>
  </si>
  <si>
    <t>[5, 0, 0, 500.0, 500.0]</t>
  </si>
  <si>
    <t>[6, 0, 0, 500.0, 500.0]</t>
  </si>
  <si>
    <t>[7, 0, 0, 500.0, 500.0]</t>
  </si>
  <si>
    <t>[8, 0, 0, 500.0, 500.0]</t>
  </si>
  <si>
    <t>[9, 0, 0, 500.0, 500.0]</t>
  </si>
  <si>
    <t>[10, 0, 0, 500.0, 500.0]</t>
  </si>
  <si>
    <t>[11, 0, 0, 500.0, 500.0]</t>
  </si>
  <si>
    <t>[12, 0, 0, 500.0, 500.0]</t>
  </si>
  <si>
    <t>[13, 0, 0, 500.0, 500.0]</t>
  </si>
  <si>
    <t>[14, 0, 0, 500.0, 500.0]</t>
  </si>
  <si>
    <t>[15, 0, 0, 500.0, 500.0]</t>
  </si>
  <si>
    <t>[16, 0, 0, 500.0, 500.0]</t>
  </si>
  <si>
    <t>[17, 0, 0, 500.0, 500.0]</t>
  </si>
  <si>
    <t>[18, 0, 0, 500.0, 500.0]</t>
  </si>
  <si>
    <t>[19, 0, 0, 500.0, 500.0]</t>
  </si>
  <si>
    <t>[20, 0, 0, 500.0, 500.0]</t>
  </si>
  <si>
    <t>[21, 0, 0, 500.0, 500.0]</t>
  </si>
  <si>
    <t>[22, 0, 0, 500.0, 500.0]</t>
  </si>
  <si>
    <t>[23, 0, 0, 500.0, 500.0]</t>
  </si>
  <si>
    <t>[24, 0, 0, 500.0, 500.0]</t>
  </si>
  <si>
    <t>[25, 0, 0, 500.0, 500.0]</t>
  </si>
  <si>
    <t>[26, 0, 0, 500.0, 500.0]</t>
  </si>
  <si>
    <t>out_toCSV</t>
  </si>
  <si>
    <t>y  Z</t>
  </si>
  <si>
    <t>i2</t>
  </si>
  <si>
    <t>va</t>
  </si>
  <si>
    <t>K</t>
  </si>
  <si>
    <t>Jacope</t>
  </si>
  <si>
    <t>II</t>
  </si>
  <si>
    <t>Tidal</t>
  </si>
  <si>
    <t>dia</t>
  </si>
  <si>
    <t>MIN</t>
  </si>
  <si>
    <t xml:space="preserve"> 1 | 0</t>
  </si>
  <si>
    <t>?</t>
  </si>
  <si>
    <t xml:space="preserve">a5_temp </t>
  </si>
  <si>
    <t>Madson</t>
  </si>
  <si>
    <t>cm/s</t>
  </si>
  <si>
    <t>-</t>
  </si>
  <si>
    <t>AT("[",B29,",",C29,",",D29,",",E29,"]")</t>
  </si>
  <si>
    <t>CONCENTRATION</t>
  </si>
  <si>
    <t>STEPS</t>
  </si>
  <si>
    <t>tdis</t>
  </si>
  <si>
    <t>temp_08</t>
  </si>
  <si>
    <t>perlen</t>
  </si>
  <si>
    <t>nper</t>
  </si>
  <si>
    <t>nstp</t>
  </si>
  <si>
    <t>04_strt</t>
  </si>
  <si>
    <t>ibound</t>
  </si>
  <si>
    <t>chdspd</t>
  </si>
  <si>
    <t>... to CSV</t>
  </si>
  <si>
    <t>03_REC</t>
  </si>
  <si>
    <t>CNC</t>
  </si>
  <si>
    <t>E:\15_REPOS\02_Beta-Me\data\Krig\Beta03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</si>
</sst>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E+00"/>
    <numFmt numFmtId="165" formatCode="0.0"/>
  </numFmts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5"/>
      <color theme="0"/>
      <name val="Calibri"/>
      <family val="2"/>
      <scheme val="minor"/>
    </font>
    <font>
      <b/>
      <sz val="11"/>
      <color theme="1"/>
      <name val="Calibri"/>
      <family val="2"/>
    </font>
    <font>
      <sz val="7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0"/>
      <name val="Calibri"/>
      <family val="2"/>
      <scheme val="minor"/>
    </font>
    <font>
      <sz val="4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7"/>
      <color rgb="FF0000FF"/>
      <name val="Calibri"/>
      <family val="2"/>
      <scheme val="minor"/>
    </font>
    <font>
      <b/>
      <sz val="7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6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0000FF"/>
      <name val="Calibri"/>
      <family val="2"/>
      <scheme val="minor"/>
    </font>
    <font>
      <sz val="7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5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11" fillId="7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vertical="center"/>
    </xf>
    <xf numFmtId="0" fontId="2" fillId="9" borderId="0" xfId="0" applyFont="1" applyFill="1" applyAlignment="1">
      <alignment horizontal="right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/>
    <xf numFmtId="0" fontId="8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1" fontId="15" fillId="7" borderId="0" xfId="0" applyNumberFormat="1" applyFont="1" applyFill="1" applyAlignment="1">
      <alignment horizontal="center" vertical="center"/>
    </xf>
    <xf numFmtId="1" fontId="8" fillId="7" borderId="0" xfId="0" applyNumberFormat="1" applyFont="1" applyFill="1" applyAlignment="1">
      <alignment horizontal="center" vertical="center"/>
    </xf>
    <xf numFmtId="1" fontId="15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right" vertical="center"/>
    </xf>
    <xf numFmtId="0" fontId="16" fillId="11" borderId="0" xfId="0" applyFont="1" applyFill="1" applyAlignment="1">
      <alignment horizontal="center" vertical="center"/>
    </xf>
    <xf numFmtId="1" fontId="16" fillId="11" borderId="0" xfId="0" applyNumberFormat="1" applyFont="1" applyFill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4" borderId="1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7" fillId="2" borderId="0" xfId="0" applyFont="1" applyFill="1" applyAlignment="1">
      <alignment horizontal="right"/>
    </xf>
    <xf numFmtId="0" fontId="1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/>
    </xf>
    <xf numFmtId="0" fontId="11" fillId="2" borderId="0" xfId="0" applyFont="1" applyFill="1"/>
    <xf numFmtId="0" fontId="11" fillId="3" borderId="0" xfId="0" applyFont="1" applyFill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21" fillId="7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right" vertical="center"/>
    </xf>
    <xf numFmtId="1" fontId="2" fillId="3" borderId="0" xfId="0" applyNumberFormat="1" applyFont="1" applyFill="1" applyAlignment="1">
      <alignment horizontal="right" vertical="center"/>
    </xf>
    <xf numFmtId="1" fontId="21" fillId="9" borderId="0" xfId="0" applyNumberFormat="1" applyFont="1" applyFill="1" applyAlignment="1">
      <alignment horizontal="center" vertical="center"/>
    </xf>
    <xf numFmtId="165" fontId="21" fillId="7" borderId="0" xfId="0" applyNumberFormat="1" applyFont="1" applyFill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1" fontId="21" fillId="9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0" fillId="3" borderId="0" xfId="0" applyFill="1"/>
    <xf numFmtId="165" fontId="2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"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mruColors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14654</xdr:colOff>
      <xdr:row>16</xdr:row>
      <xdr:rowOff>87923</xdr:rowOff>
    </xdr:from>
    <xdr:to>
      <xdr:col>46</xdr:col>
      <xdr:colOff>21981</xdr:colOff>
      <xdr:row>20</xdr:row>
      <xdr:rowOff>58615</xdr:rowOff>
    </xdr:to>
    <xdr:sp macro="" textlink="$E$30">
      <xdr:nvSpPr>
        <xdr:cNvPr id="3" name="TextBox 2">
          <a:extLst>
            <a:ext uri="{FF2B5EF4-FFF2-40B4-BE49-F238E27FC236}">
              <a16:creationId xmlns:a16="http://schemas.microsoft.com/office/drawing/2014/main" id="{E4684290-95B6-4F4E-8A71-51D17DCA1629}"/>
            </a:ext>
          </a:extLst>
        </xdr:cNvPr>
        <xdr:cNvSpPr txBox="1"/>
      </xdr:nvSpPr>
      <xdr:spPr>
        <a:xfrm>
          <a:off x="2132135" y="1670538"/>
          <a:ext cx="1392115" cy="3223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r"/>
          <a:fld id="{65AF4CB0-742B-4397-ACC7-2CE670582ED2}" type="TxLink">
            <a:rPr lang="en-US" sz="15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[19,0,39,-0.2]</a:t>
          </a:fld>
          <a:endParaRPr lang="en-US" sz="1500"/>
        </a:p>
      </xdr:txBody>
    </xdr:sp>
    <xdr:clientData/>
  </xdr:twoCellAnchor>
  <xdr:twoCellAnchor>
    <xdr:from>
      <xdr:col>105</xdr:col>
      <xdr:colOff>73270</xdr:colOff>
      <xdr:row>18</xdr:row>
      <xdr:rowOff>14653</xdr:rowOff>
    </xdr:from>
    <xdr:to>
      <xdr:col>108</xdr:col>
      <xdr:colOff>36635</xdr:colOff>
      <xdr:row>26</xdr:row>
      <xdr:rowOff>21976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F0BE2EBC-BDBD-0018-5B95-84CA812E5D67}"/>
            </a:ext>
          </a:extLst>
        </xdr:cNvPr>
        <xdr:cNvGrpSpPr>
          <a:grpSpLocks noChangeAspect="1"/>
        </xdr:cNvGrpSpPr>
      </xdr:nvGrpSpPr>
      <xdr:grpSpPr>
        <a:xfrm>
          <a:off x="9107366" y="1773115"/>
          <a:ext cx="879231" cy="710707"/>
          <a:chOff x="8521212" y="1773115"/>
          <a:chExt cx="1392115" cy="710707"/>
        </a:xfrm>
      </xdr:grpSpPr>
      <xdr:sp macro="" textlink="$DA$6">
        <xdr:nvSpPr>
          <xdr:cNvPr id="2" name="TextBox 1">
            <a:extLst>
              <a:ext uri="{FF2B5EF4-FFF2-40B4-BE49-F238E27FC236}">
                <a16:creationId xmlns:a16="http://schemas.microsoft.com/office/drawing/2014/main" id="{FCBD0A9F-3C40-4286-91CB-709466F8D830}"/>
              </a:ext>
            </a:extLst>
          </xdr:cNvPr>
          <xdr:cNvSpPr txBox="1"/>
        </xdr:nvSpPr>
        <xdr:spPr>
          <a:xfrm>
            <a:off x="8521212" y="1773115"/>
            <a:ext cx="1392115" cy="2198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fld id="{9EAE7C8C-2561-4507-840E-BEACDDFEBA47}" type="TxLink">
              <a:rPr lang="en-US" sz="12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r"/>
              <a:t>1</a:t>
            </a:fld>
            <a:endParaRPr lang="en-US" sz="1200"/>
          </a:p>
        </xdr:txBody>
      </xdr:sp>
      <xdr:sp macro="" textlink="$DA$7">
        <xdr:nvSpPr>
          <xdr:cNvPr id="4" name="TextBox 3">
            <a:extLst>
              <a:ext uri="{FF2B5EF4-FFF2-40B4-BE49-F238E27FC236}">
                <a16:creationId xmlns:a16="http://schemas.microsoft.com/office/drawing/2014/main" id="{9BAB64F0-9D5F-46D3-A615-6DFD1BDD4339}"/>
              </a:ext>
            </a:extLst>
          </xdr:cNvPr>
          <xdr:cNvSpPr txBox="1"/>
        </xdr:nvSpPr>
        <xdr:spPr>
          <a:xfrm>
            <a:off x="8521212" y="2014901"/>
            <a:ext cx="1392115" cy="2198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fld id="{8226C89C-B218-4C9A-A17F-48FBA2F77A18}" type="TxLink">
              <a:rPr lang="en-US" sz="12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r"/>
              <a:t>864001</a:t>
            </a:fld>
            <a:endParaRPr lang="en-US" sz="1200"/>
          </a:p>
        </xdr:txBody>
      </xdr:sp>
      <xdr:sp macro="" textlink="$DA$8">
        <xdr:nvSpPr>
          <xdr:cNvPr id="5" name="TextBox 4">
            <a:extLst>
              <a:ext uri="{FF2B5EF4-FFF2-40B4-BE49-F238E27FC236}">
                <a16:creationId xmlns:a16="http://schemas.microsoft.com/office/drawing/2014/main" id="{A9EBD1AA-D57E-4DF1-B2AB-0445BD80238D}"/>
              </a:ext>
            </a:extLst>
          </xdr:cNvPr>
          <xdr:cNvSpPr txBox="1"/>
        </xdr:nvSpPr>
        <xdr:spPr>
          <a:xfrm>
            <a:off x="8521212" y="2264014"/>
            <a:ext cx="1392115" cy="2198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r"/>
            <a:fld id="{8CE23749-E4E0-48A0-8A30-4A9DE9B2C84A}" type="TxLink">
              <a:rPr lang="en-US" sz="12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r"/>
              <a:t>2524608000</a:t>
            </a:fld>
            <a:endParaRPr lang="en-US" sz="12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0E6C-BC6A-456E-B7D2-77B66DC3B623}">
  <sheetPr>
    <tabColor rgb="FFFFFF00"/>
  </sheetPr>
  <dimension ref="A1:HF368"/>
  <sheetViews>
    <sheetView topLeftCell="B1" zoomScale="130" zoomScaleNormal="130" workbookViewId="0">
      <selection activeCell="DF18" sqref="DF1:DF18"/>
    </sheetView>
  </sheetViews>
  <sheetFormatPr defaultRowHeight="11.25" customHeight="1" x14ac:dyDescent="0.25"/>
  <cols>
    <col min="1" max="1" width="3.140625" customWidth="1"/>
    <col min="2" max="5" width="4.140625" customWidth="1"/>
    <col min="6" max="6" width="1.85546875" customWidth="1"/>
    <col min="7" max="7" width="4.7109375" customWidth="1"/>
    <col min="8" max="8" width="1.85546875" customWidth="1"/>
    <col min="9" max="9" width="3.42578125" customWidth="1"/>
    <col min="10" max="10" width="2.28515625" customWidth="1"/>
    <col min="11" max="14" width="1.140625" customWidth="1"/>
    <col min="15" max="47" width="0.42578125" customWidth="1"/>
    <col min="48" max="48" width="1.140625" customWidth="1"/>
    <col min="49" max="50" width="2.28515625" customWidth="1"/>
    <col min="51" max="51" width="1.85546875" customWidth="1"/>
    <col min="52" max="52" width="3.140625" customWidth="1"/>
    <col min="53" max="53" width="2.28515625" customWidth="1"/>
    <col min="54" max="57" width="1.140625" customWidth="1"/>
    <col min="58" max="90" width="0.42578125" customWidth="1"/>
    <col min="91" max="91" width="1.140625" customWidth="1"/>
    <col min="92" max="93" width="2.28515625" customWidth="1"/>
    <col min="94" max="94" width="1.85546875" customWidth="1"/>
    <col min="95" max="95" width="2.28515625" customWidth="1"/>
    <col min="96" max="96" width="4.140625" customWidth="1"/>
    <col min="97" max="97" width="5.140625" customWidth="1"/>
    <col min="98" max="98" width="2.140625" customWidth="1"/>
    <col min="99" max="99" width="5" style="25" customWidth="1"/>
    <col min="100" max="100" width="4.85546875" style="25" customWidth="1"/>
    <col min="101" max="101" width="3.7109375" style="25" customWidth="1"/>
    <col min="102" max="102" width="1.28515625" style="25" customWidth="1"/>
    <col min="103" max="103" width="5.140625" style="25" customWidth="1"/>
    <col min="104" max="104" width="1.28515625" style="25" customWidth="1"/>
    <col min="105" max="105" width="7.7109375" style="25" customWidth="1"/>
    <col min="106" max="106" width="4.5703125" customWidth="1"/>
    <col min="107" max="107" width="2" customWidth="1"/>
    <col min="108" max="108" width="7.140625" customWidth="1"/>
    <col min="109" max="109" width="6.85546875" customWidth="1"/>
    <col min="110" max="110" width="1.85546875" customWidth="1"/>
    <col min="111" max="111" width="5.140625" customWidth="1"/>
    <col min="112" max="112" width="3.5703125" customWidth="1"/>
    <col min="113" max="114" width="1.85546875" customWidth="1"/>
    <col min="115" max="115" width="1.7109375" style="48" bestFit="1" customWidth="1"/>
    <col min="116" max="116" width="5.42578125" style="48" bestFit="1" customWidth="1"/>
    <col min="117" max="117" width="6.5703125" style="48" bestFit="1" customWidth="1"/>
    <col min="118" max="118" width="1.7109375" style="48" bestFit="1" customWidth="1"/>
    <col min="119" max="119" width="1.85546875" customWidth="1"/>
    <col min="121" max="121" width="3.85546875" customWidth="1"/>
  </cols>
  <sheetData>
    <row r="1" spans="1:134" ht="9" customHeight="1" x14ac:dyDescent="0.25">
      <c r="A1" s="1"/>
      <c r="B1" s="22" t="s">
        <v>30</v>
      </c>
      <c r="C1" s="22"/>
      <c r="D1" s="22"/>
      <c r="E1" s="22"/>
      <c r="F1" s="1"/>
      <c r="G1" s="10">
        <f>COUNT(Jocope!AZ6:AZ25)</f>
        <v>20</v>
      </c>
      <c r="H1" s="1"/>
      <c r="I1" s="1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29"/>
      <c r="CU1" s="29"/>
      <c r="CV1" s="29"/>
      <c r="CW1" s="29"/>
      <c r="CX1" s="29"/>
      <c r="CY1" s="30"/>
      <c r="CZ1" s="29"/>
      <c r="DA1" s="29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</row>
    <row r="2" spans="1:134" ht="9" customHeight="1" x14ac:dyDescent="0.25">
      <c r="A2" s="1"/>
      <c r="B2" s="9" t="s">
        <v>45</v>
      </c>
      <c r="C2" s="9">
        <v>1</v>
      </c>
      <c r="D2" s="9">
        <v>2</v>
      </c>
      <c r="E2" s="9">
        <v>3</v>
      </c>
      <c r="F2" s="1"/>
      <c r="G2" s="10">
        <f>COUNT(Jocope!BB5:CO5)</f>
        <v>40</v>
      </c>
      <c r="H2" s="1"/>
      <c r="I2" s="1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42"/>
      <c r="CP2" s="42"/>
      <c r="CQ2" s="42" t="s">
        <v>42</v>
      </c>
      <c r="CR2" s="10">
        <v>1</v>
      </c>
      <c r="CS2" s="35" t="s">
        <v>37</v>
      </c>
      <c r="CT2" s="1"/>
      <c r="CU2" s="36">
        <v>3</v>
      </c>
      <c r="CV2" s="36">
        <v>60</v>
      </c>
      <c r="CW2" s="35" t="s">
        <v>43</v>
      </c>
      <c r="CX2" s="35"/>
      <c r="CY2" s="35" t="s">
        <v>43</v>
      </c>
      <c r="CZ2" s="29"/>
      <c r="DA2" s="35" t="s">
        <v>35</v>
      </c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ht="9" customHeight="1" x14ac:dyDescent="0.25">
      <c r="A3" s="1"/>
      <c r="B3" s="7" t="s">
        <v>2</v>
      </c>
      <c r="C3" s="2"/>
      <c r="D3" s="7" t="s">
        <v>2</v>
      </c>
      <c r="E3" s="2"/>
      <c r="F3" s="1"/>
      <c r="G3" s="26">
        <f>MAX(B6:B29)+1</f>
        <v>20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27">
        <v>1</v>
      </c>
      <c r="CR3" s="10">
        <v>120</v>
      </c>
      <c r="CS3" s="10">
        <f>SUM(CR$2:CR3)</f>
        <v>121</v>
      </c>
      <c r="CT3" s="1"/>
      <c r="CU3" s="36">
        <v>58</v>
      </c>
      <c r="CV3" s="36">
        <v>60</v>
      </c>
      <c r="CW3" s="43">
        <f>CW107</f>
        <v>60</v>
      </c>
      <c r="CX3" s="29"/>
      <c r="CY3" s="15" t="s">
        <v>36</v>
      </c>
      <c r="CZ3" s="29"/>
      <c r="DA3" s="29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</row>
    <row r="4" spans="1:134" ht="9" customHeight="1" x14ac:dyDescent="0.25">
      <c r="A4" s="1"/>
      <c r="B4" s="7" t="s">
        <v>31</v>
      </c>
      <c r="C4" s="2" t="s">
        <v>32</v>
      </c>
      <c r="D4" s="7" t="s">
        <v>1</v>
      </c>
      <c r="E4" s="2" t="s">
        <v>33</v>
      </c>
      <c r="F4" s="1"/>
      <c r="G4" s="26">
        <f>MAX(D6:D29)+1</f>
        <v>40</v>
      </c>
      <c r="H4" s="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1"/>
      <c r="AZ4" s="8" t="s">
        <v>34</v>
      </c>
      <c r="BA4" s="8"/>
      <c r="BB4" s="8"/>
      <c r="BC4" s="8"/>
      <c r="BD4" s="8"/>
      <c r="BE4" s="8"/>
      <c r="BF4" s="8"/>
      <c r="BG4" s="8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27">
        <v>2</v>
      </c>
      <c r="CR4" s="10">
        <v>120</v>
      </c>
      <c r="CS4" s="10">
        <f>SUM(CR$2:CR4)</f>
        <v>241</v>
      </c>
      <c r="CT4" s="1" t="s">
        <v>0</v>
      </c>
      <c r="CU4" s="28">
        <f>CU2*CV2</f>
        <v>180</v>
      </c>
      <c r="CV4" s="34">
        <f>COUNT(CV6:CV108)</f>
        <v>102</v>
      </c>
      <c r="CW4" s="37" t="s">
        <v>39</v>
      </c>
      <c r="CX4" s="29"/>
      <c r="CY4" s="30" t="s">
        <v>44</v>
      </c>
      <c r="CZ4" s="29"/>
      <c r="DA4" s="1"/>
      <c r="DB4" s="37" t="s">
        <v>38</v>
      </c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</row>
    <row r="5" spans="1:134" ht="11.25" customHeight="1" thickBot="1" x14ac:dyDescent="0.3">
      <c r="A5" s="1"/>
      <c r="B5" s="9">
        <v>0</v>
      </c>
      <c r="C5" s="9">
        <v>1</v>
      </c>
      <c r="D5" s="9">
        <v>2</v>
      </c>
      <c r="E5" s="9">
        <v>3</v>
      </c>
      <c r="F5" s="1"/>
      <c r="G5" s="9"/>
      <c r="H5" s="1"/>
      <c r="I5" s="5" t="s">
        <v>3</v>
      </c>
      <c r="J5" s="16">
        <f>J27</f>
        <v>1</v>
      </c>
      <c r="K5" s="16">
        <f>J5+1</f>
        <v>2</v>
      </c>
      <c r="L5" s="16">
        <f t="shared" ref="L5:AW5" si="0">K5+1</f>
        <v>3</v>
      </c>
      <c r="M5" s="16">
        <f t="shared" si="0"/>
        <v>4</v>
      </c>
      <c r="N5" s="16">
        <f t="shared" si="0"/>
        <v>5</v>
      </c>
      <c r="O5" s="16">
        <f t="shared" si="0"/>
        <v>6</v>
      </c>
      <c r="P5" s="16">
        <f t="shared" si="0"/>
        <v>7</v>
      </c>
      <c r="Q5" s="16">
        <f t="shared" si="0"/>
        <v>8</v>
      </c>
      <c r="R5" s="16">
        <f t="shared" si="0"/>
        <v>9</v>
      </c>
      <c r="S5" s="16">
        <f t="shared" si="0"/>
        <v>10</v>
      </c>
      <c r="T5" s="16">
        <f t="shared" si="0"/>
        <v>11</v>
      </c>
      <c r="U5" s="16">
        <f t="shared" si="0"/>
        <v>12</v>
      </c>
      <c r="V5" s="16">
        <f t="shared" si="0"/>
        <v>13</v>
      </c>
      <c r="W5" s="16">
        <f t="shared" si="0"/>
        <v>14</v>
      </c>
      <c r="X5" s="16">
        <f t="shared" si="0"/>
        <v>15</v>
      </c>
      <c r="Y5" s="16">
        <f t="shared" si="0"/>
        <v>16</v>
      </c>
      <c r="Z5" s="16">
        <f t="shared" si="0"/>
        <v>17</v>
      </c>
      <c r="AA5" s="16">
        <f t="shared" si="0"/>
        <v>18</v>
      </c>
      <c r="AB5" s="16">
        <f t="shared" si="0"/>
        <v>19</v>
      </c>
      <c r="AC5" s="16">
        <f t="shared" si="0"/>
        <v>20</v>
      </c>
      <c r="AD5" s="16">
        <f t="shared" si="0"/>
        <v>21</v>
      </c>
      <c r="AE5" s="16">
        <f t="shared" si="0"/>
        <v>22</v>
      </c>
      <c r="AF5" s="16">
        <f t="shared" si="0"/>
        <v>23</v>
      </c>
      <c r="AG5" s="16">
        <f t="shared" si="0"/>
        <v>24</v>
      </c>
      <c r="AH5" s="16">
        <f t="shared" si="0"/>
        <v>25</v>
      </c>
      <c r="AI5" s="16">
        <f t="shared" si="0"/>
        <v>26</v>
      </c>
      <c r="AJ5" s="16">
        <f t="shared" si="0"/>
        <v>27</v>
      </c>
      <c r="AK5" s="16">
        <f t="shared" si="0"/>
        <v>28</v>
      </c>
      <c r="AL5" s="16">
        <f t="shared" si="0"/>
        <v>29</v>
      </c>
      <c r="AM5" s="16">
        <f t="shared" si="0"/>
        <v>30</v>
      </c>
      <c r="AN5" s="16">
        <f t="shared" si="0"/>
        <v>31</v>
      </c>
      <c r="AO5" s="16">
        <f t="shared" si="0"/>
        <v>32</v>
      </c>
      <c r="AP5" s="16">
        <f t="shared" si="0"/>
        <v>33</v>
      </c>
      <c r="AQ5" s="16">
        <f t="shared" si="0"/>
        <v>34</v>
      </c>
      <c r="AR5" s="16">
        <f t="shared" si="0"/>
        <v>35</v>
      </c>
      <c r="AS5" s="16">
        <f t="shared" si="0"/>
        <v>36</v>
      </c>
      <c r="AT5" s="16">
        <f t="shared" si="0"/>
        <v>37</v>
      </c>
      <c r="AU5" s="16">
        <f t="shared" si="0"/>
        <v>38</v>
      </c>
      <c r="AV5" s="16">
        <f t="shared" si="0"/>
        <v>39</v>
      </c>
      <c r="AW5" s="16">
        <f t="shared" si="0"/>
        <v>40</v>
      </c>
      <c r="AX5" s="16">
        <v>0</v>
      </c>
      <c r="AY5" s="1"/>
      <c r="AZ5" s="5" t="s">
        <v>3</v>
      </c>
      <c r="BA5" s="16">
        <f>BA27</f>
        <v>0</v>
      </c>
      <c r="BB5" s="16">
        <f>BA5+1</f>
        <v>1</v>
      </c>
      <c r="BC5" s="16">
        <f t="shared" ref="BC5" si="1">BB5+1</f>
        <v>2</v>
      </c>
      <c r="BD5" s="16">
        <f t="shared" ref="BD5" si="2">BC5+1</f>
        <v>3</v>
      </c>
      <c r="BE5" s="16">
        <f t="shared" ref="BE5" si="3">BD5+1</f>
        <v>4</v>
      </c>
      <c r="BF5" s="16">
        <f t="shared" ref="BF5" si="4">BE5+1</f>
        <v>5</v>
      </c>
      <c r="BG5" s="16">
        <f t="shared" ref="BG5" si="5">BF5+1</f>
        <v>6</v>
      </c>
      <c r="BH5" s="16">
        <f t="shared" ref="BH5" si="6">BG5+1</f>
        <v>7</v>
      </c>
      <c r="BI5" s="16">
        <f t="shared" ref="BI5" si="7">BH5+1</f>
        <v>8</v>
      </c>
      <c r="BJ5" s="16">
        <f t="shared" ref="BJ5" si="8">BI5+1</f>
        <v>9</v>
      </c>
      <c r="BK5" s="16">
        <f t="shared" ref="BK5" si="9">BJ5+1</f>
        <v>10</v>
      </c>
      <c r="BL5" s="16">
        <f t="shared" ref="BL5" si="10">BK5+1</f>
        <v>11</v>
      </c>
      <c r="BM5" s="16">
        <f t="shared" ref="BM5" si="11">BL5+1</f>
        <v>12</v>
      </c>
      <c r="BN5" s="16">
        <f t="shared" ref="BN5" si="12">BM5+1</f>
        <v>13</v>
      </c>
      <c r="BO5" s="16">
        <f t="shared" ref="BO5" si="13">BN5+1</f>
        <v>14</v>
      </c>
      <c r="BP5" s="16">
        <f t="shared" ref="BP5" si="14">BO5+1</f>
        <v>15</v>
      </c>
      <c r="BQ5" s="16">
        <f t="shared" ref="BQ5" si="15">BP5+1</f>
        <v>16</v>
      </c>
      <c r="BR5" s="16">
        <f t="shared" ref="BR5" si="16">BQ5+1</f>
        <v>17</v>
      </c>
      <c r="BS5" s="16">
        <f t="shared" ref="BS5" si="17">BR5+1</f>
        <v>18</v>
      </c>
      <c r="BT5" s="16">
        <f t="shared" ref="BT5" si="18">BS5+1</f>
        <v>19</v>
      </c>
      <c r="BU5" s="16">
        <f t="shared" ref="BU5" si="19">BT5+1</f>
        <v>20</v>
      </c>
      <c r="BV5" s="16">
        <f t="shared" ref="BV5" si="20">BU5+1</f>
        <v>21</v>
      </c>
      <c r="BW5" s="16">
        <f t="shared" ref="BW5" si="21">BV5+1</f>
        <v>22</v>
      </c>
      <c r="BX5" s="16">
        <f t="shared" ref="BX5" si="22">BW5+1</f>
        <v>23</v>
      </c>
      <c r="BY5" s="16">
        <f t="shared" ref="BY5" si="23">BX5+1</f>
        <v>24</v>
      </c>
      <c r="BZ5" s="16">
        <f t="shared" ref="BZ5" si="24">BY5+1</f>
        <v>25</v>
      </c>
      <c r="CA5" s="16">
        <f t="shared" ref="CA5" si="25">BZ5+1</f>
        <v>26</v>
      </c>
      <c r="CB5" s="16">
        <f t="shared" ref="CB5" si="26">CA5+1</f>
        <v>27</v>
      </c>
      <c r="CC5" s="16">
        <f t="shared" ref="CC5" si="27">CB5+1</f>
        <v>28</v>
      </c>
      <c r="CD5" s="16">
        <f t="shared" ref="CD5" si="28">CC5+1</f>
        <v>29</v>
      </c>
      <c r="CE5" s="16">
        <f t="shared" ref="CE5" si="29">CD5+1</f>
        <v>30</v>
      </c>
      <c r="CF5" s="16">
        <f t="shared" ref="CF5" si="30">CE5+1</f>
        <v>31</v>
      </c>
      <c r="CG5" s="16">
        <f t="shared" ref="CG5" si="31">CF5+1</f>
        <v>32</v>
      </c>
      <c r="CH5" s="16">
        <f t="shared" ref="CH5" si="32">CG5+1</f>
        <v>33</v>
      </c>
      <c r="CI5" s="16">
        <f t="shared" ref="CI5" si="33">CH5+1</f>
        <v>34</v>
      </c>
      <c r="CJ5" s="16">
        <f t="shared" ref="CJ5" si="34">CI5+1</f>
        <v>35</v>
      </c>
      <c r="CK5" s="16">
        <f t="shared" ref="CK5" si="35">CJ5+1</f>
        <v>36</v>
      </c>
      <c r="CL5" s="16">
        <f t="shared" ref="CL5" si="36">CK5+1</f>
        <v>37</v>
      </c>
      <c r="CM5" s="16">
        <f t="shared" ref="CM5" si="37">CL5+1</f>
        <v>38</v>
      </c>
      <c r="CN5" s="16">
        <f t="shared" ref="CN5" si="38">CM5+1</f>
        <v>39</v>
      </c>
      <c r="CO5" s="16">
        <v>0</v>
      </c>
      <c r="CP5" s="1"/>
      <c r="CQ5" s="27">
        <v>3</v>
      </c>
      <c r="CR5" s="10">
        <v>120</v>
      </c>
      <c r="CS5" s="43">
        <f>SUM(CR$2:CR5)</f>
        <v>361</v>
      </c>
      <c r="CT5" s="1"/>
      <c r="CU5" s="28">
        <f>CU3*CV3</f>
        <v>3480</v>
      </c>
      <c r="CV5" s="29"/>
      <c r="CW5" s="37">
        <v>60</v>
      </c>
      <c r="CX5" s="29"/>
      <c r="CY5" s="29"/>
      <c r="CZ5" s="29"/>
      <c r="DA5" s="1"/>
      <c r="DB5" s="37">
        <f>60*60*24</f>
        <v>86400</v>
      </c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</row>
    <row r="6" spans="1:134" ht="6.75" customHeight="1" x14ac:dyDescent="0.25">
      <c r="A6" s="3">
        <v>1</v>
      </c>
      <c r="B6" s="65">
        <v>1</v>
      </c>
      <c r="C6" s="66">
        <v>0</v>
      </c>
      <c r="D6" s="67">
        <v>0</v>
      </c>
      <c r="E6" s="10">
        <v>0</v>
      </c>
      <c r="F6" s="1"/>
      <c r="G6" s="11" t="str">
        <f t="shared" ref="G6:G24" si="39">_xlfn.CONCAT(D6+1,",",B6+1)</f>
        <v>1,2</v>
      </c>
      <c r="H6" s="1"/>
      <c r="I6" s="16">
        <v>1</v>
      </c>
      <c r="J6" s="12" t="str">
        <f>IF(ISNUMBER(MATCH(J29,$G$25:$G$29,0)),$D$2,IF(ISNUMBER(MATCH(J29,$G$32:$G$33,0)),$E$2,IF(ISNUMBER(MATCH(J29,$G$6:$G$24,0)),$C$2,$B$2)))</f>
        <v>-</v>
      </c>
      <c r="K6" s="12" t="str">
        <f t="shared" ref="K6:AW6" si="40">IF(ISNUMBER(MATCH(K29,$G$25:$G$29,0)),$D$2,IF(ISNUMBER(MATCH(K29,$G$32:$G$33,0)),$E$2,IF(ISNUMBER(MATCH(K29,$G$6:$G$24,0)),$C$2,$B$2)))</f>
        <v>-</v>
      </c>
      <c r="L6" s="12" t="str">
        <f t="shared" si="40"/>
        <v>-</v>
      </c>
      <c r="M6" s="12" t="str">
        <f t="shared" si="40"/>
        <v>-</v>
      </c>
      <c r="N6" s="12" t="str">
        <f t="shared" si="40"/>
        <v>-</v>
      </c>
      <c r="O6" s="12" t="str">
        <f t="shared" si="40"/>
        <v>-</v>
      </c>
      <c r="P6" s="12" t="str">
        <f t="shared" si="40"/>
        <v>-</v>
      </c>
      <c r="Q6" s="12" t="str">
        <f t="shared" si="40"/>
        <v>-</v>
      </c>
      <c r="R6" s="12" t="str">
        <f t="shared" si="40"/>
        <v>-</v>
      </c>
      <c r="S6" s="12" t="str">
        <f t="shared" si="40"/>
        <v>-</v>
      </c>
      <c r="T6" s="12" t="str">
        <f t="shared" si="40"/>
        <v>-</v>
      </c>
      <c r="U6" s="12" t="str">
        <f t="shared" si="40"/>
        <v>-</v>
      </c>
      <c r="V6" s="12" t="str">
        <f t="shared" si="40"/>
        <v>-</v>
      </c>
      <c r="W6" s="12" t="str">
        <f t="shared" si="40"/>
        <v>-</v>
      </c>
      <c r="X6" s="12" t="str">
        <f t="shared" si="40"/>
        <v>-</v>
      </c>
      <c r="Y6" s="12" t="str">
        <f t="shared" si="40"/>
        <v>-</v>
      </c>
      <c r="Z6" s="12" t="str">
        <f t="shared" si="40"/>
        <v>-</v>
      </c>
      <c r="AA6" s="12" t="str">
        <f t="shared" si="40"/>
        <v>-</v>
      </c>
      <c r="AB6" s="12" t="str">
        <f t="shared" si="40"/>
        <v>-</v>
      </c>
      <c r="AC6" s="12" t="str">
        <f t="shared" si="40"/>
        <v>-</v>
      </c>
      <c r="AD6" s="12" t="str">
        <f t="shared" si="40"/>
        <v>-</v>
      </c>
      <c r="AE6" s="12" t="str">
        <f t="shared" si="40"/>
        <v>-</v>
      </c>
      <c r="AF6" s="12" t="str">
        <f t="shared" si="40"/>
        <v>-</v>
      </c>
      <c r="AG6" s="12" t="str">
        <f t="shared" si="40"/>
        <v>-</v>
      </c>
      <c r="AH6" s="12" t="str">
        <f t="shared" si="40"/>
        <v>-</v>
      </c>
      <c r="AI6" s="12" t="str">
        <f t="shared" si="40"/>
        <v>-</v>
      </c>
      <c r="AJ6" s="12" t="str">
        <f t="shared" si="40"/>
        <v>-</v>
      </c>
      <c r="AK6" s="12" t="str">
        <f t="shared" si="40"/>
        <v>-</v>
      </c>
      <c r="AL6" s="12" t="str">
        <f t="shared" si="40"/>
        <v>-</v>
      </c>
      <c r="AM6" s="12" t="str">
        <f t="shared" si="40"/>
        <v>-</v>
      </c>
      <c r="AN6" s="12" t="str">
        <f t="shared" si="40"/>
        <v>-</v>
      </c>
      <c r="AO6" s="12" t="str">
        <f t="shared" si="40"/>
        <v>-</v>
      </c>
      <c r="AP6" s="12" t="str">
        <f t="shared" si="40"/>
        <v>-</v>
      </c>
      <c r="AQ6" s="12" t="str">
        <f t="shared" si="40"/>
        <v>-</v>
      </c>
      <c r="AR6" s="12" t="str">
        <f t="shared" si="40"/>
        <v>-</v>
      </c>
      <c r="AS6" s="12" t="str">
        <f t="shared" si="40"/>
        <v>-</v>
      </c>
      <c r="AT6" s="12" t="str">
        <f t="shared" si="40"/>
        <v>-</v>
      </c>
      <c r="AU6" s="12" t="str">
        <f t="shared" si="40"/>
        <v>-</v>
      </c>
      <c r="AV6" s="12" t="str">
        <f t="shared" si="40"/>
        <v>-</v>
      </c>
      <c r="AW6" s="12" t="str">
        <f t="shared" si="40"/>
        <v>-</v>
      </c>
      <c r="AX6" s="16">
        <f>AX5+1</f>
        <v>1</v>
      </c>
      <c r="AY6" s="1"/>
      <c r="AZ6" s="16">
        <v>0</v>
      </c>
      <c r="BA6" s="13">
        <v>-2E+20</v>
      </c>
      <c r="BB6" s="13">
        <v>-2E+20</v>
      </c>
      <c r="BC6" s="14">
        <v>-2E+20</v>
      </c>
      <c r="BD6" s="14">
        <v>-2E+20</v>
      </c>
      <c r="BE6" s="14">
        <v>-2E+20</v>
      </c>
      <c r="BF6" s="14">
        <v>-2E+20</v>
      </c>
      <c r="BG6" s="14">
        <v>-2E+20</v>
      </c>
      <c r="BH6" s="14">
        <v>-2E+20</v>
      </c>
      <c r="BI6" s="14">
        <v>-2E+20</v>
      </c>
      <c r="BJ6" s="14">
        <v>-2E+20</v>
      </c>
      <c r="BK6" s="14">
        <v>-2E+20</v>
      </c>
      <c r="BL6" s="14">
        <v>-2E+20</v>
      </c>
      <c r="BM6" s="14">
        <v>-2E+20</v>
      </c>
      <c r="BN6" s="14">
        <v>-2E+20</v>
      </c>
      <c r="BO6" s="14">
        <v>-2E+20</v>
      </c>
      <c r="BP6" s="14">
        <v>-2E+20</v>
      </c>
      <c r="BQ6" s="14">
        <v>-2E+20</v>
      </c>
      <c r="BR6" s="14">
        <v>-2E+20</v>
      </c>
      <c r="BS6" s="14">
        <v>-2E+20</v>
      </c>
      <c r="BT6" s="14">
        <v>-2E+20</v>
      </c>
      <c r="BU6" s="14">
        <v>-2E+20</v>
      </c>
      <c r="BV6" s="14">
        <v>-2E+20</v>
      </c>
      <c r="BW6" s="14">
        <v>-2E+20</v>
      </c>
      <c r="BX6" s="14">
        <v>-2E+20</v>
      </c>
      <c r="BY6" s="14">
        <v>-2E+20</v>
      </c>
      <c r="BZ6" s="14">
        <v>-2E+20</v>
      </c>
      <c r="CA6" s="14">
        <v>-2E+20</v>
      </c>
      <c r="CB6" s="14">
        <v>-2E+20</v>
      </c>
      <c r="CC6" s="14">
        <v>-2E+20</v>
      </c>
      <c r="CD6" s="14">
        <v>-2E+20</v>
      </c>
      <c r="CE6" s="14">
        <v>-2E+20</v>
      </c>
      <c r="CF6" s="14">
        <v>-2E+20</v>
      </c>
      <c r="CG6" s="14">
        <v>-2E+20</v>
      </c>
      <c r="CH6" s="14">
        <v>-2E+20</v>
      </c>
      <c r="CI6" s="14">
        <v>-2E+20</v>
      </c>
      <c r="CJ6" s="14">
        <v>-2E+20</v>
      </c>
      <c r="CK6" s="14">
        <v>-2E+20</v>
      </c>
      <c r="CL6" s="14">
        <v>-2E+20</v>
      </c>
      <c r="CM6" s="14">
        <v>-2E+20</v>
      </c>
      <c r="CN6" s="14">
        <v>-2E+20</v>
      </c>
      <c r="CO6" s="14">
        <v>-2E+20</v>
      </c>
      <c r="CP6" s="1"/>
      <c r="CQ6" s="27">
        <f>_xlfn.IFS(CR6&lt;=$CS$3,1,CR6&lt;=$CS$4,2,CR6&lt;=$CS$5,3)</f>
        <v>1</v>
      </c>
      <c r="CR6" s="16">
        <v>1</v>
      </c>
      <c r="CS6" s="24">
        <v>1</v>
      </c>
      <c r="CT6" s="1"/>
      <c r="CU6" s="30">
        <f t="shared" ref="CU6:CU37" si="41">IF(CV6&lt;=CU$4,1,2)</f>
        <v>1</v>
      </c>
      <c r="CV6" s="33">
        <v>0</v>
      </c>
      <c r="CW6" s="40">
        <f t="shared" ref="CW6:CW37" si="42">IF(CV6=0,0,(CV6/CW$5)-1)</f>
        <v>0</v>
      </c>
      <c r="CX6" s="29"/>
      <c r="CY6" s="33">
        <v>30</v>
      </c>
      <c r="CZ6" s="29"/>
      <c r="DA6" s="31">
        <v>1</v>
      </c>
      <c r="DB6" s="41" t="s">
        <v>40</v>
      </c>
      <c r="DC6" s="1"/>
      <c r="DD6" s="45">
        <v>10800</v>
      </c>
      <c r="DE6" s="46">
        <f>Jocope!$DA$8/Jocope!DD6</f>
        <v>233760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</row>
    <row r="7" spans="1:134" ht="6.75" customHeight="1" x14ac:dyDescent="0.25">
      <c r="A7" s="3">
        <f>A6+1</f>
        <v>2</v>
      </c>
      <c r="B7" s="68">
        <v>2</v>
      </c>
      <c r="C7" s="10">
        <v>0</v>
      </c>
      <c r="D7" s="69">
        <v>0</v>
      </c>
      <c r="E7" s="10">
        <v>0</v>
      </c>
      <c r="F7" s="1"/>
      <c r="G7" s="11" t="str">
        <f t="shared" si="39"/>
        <v>1,3</v>
      </c>
      <c r="H7" s="1"/>
      <c r="I7" s="16">
        <f t="shared" ref="I7:I25" si="43">I6+1</f>
        <v>2</v>
      </c>
      <c r="J7" s="12">
        <f t="shared" ref="J7:AW7" si="44">IF(ISNUMBER(MATCH(J30,$G$25:$G$29,0)),$D$2,IF(ISNUMBER(MATCH(J30,$G$32:$G$33,0)),$E$2,IF(ISNUMBER(MATCH(J30,$G$6:$G$24,0)),$C$2,$B$2)))</f>
        <v>1</v>
      </c>
      <c r="K7" s="12" t="str">
        <f t="shared" si="44"/>
        <v>-</v>
      </c>
      <c r="L7" s="12" t="str">
        <f t="shared" si="44"/>
        <v>-</v>
      </c>
      <c r="M7" s="12" t="str">
        <f t="shared" si="44"/>
        <v>-</v>
      </c>
      <c r="N7" s="12" t="str">
        <f t="shared" si="44"/>
        <v>-</v>
      </c>
      <c r="O7" s="12" t="str">
        <f t="shared" si="44"/>
        <v>-</v>
      </c>
      <c r="P7" s="12" t="str">
        <f t="shared" si="44"/>
        <v>-</v>
      </c>
      <c r="Q7" s="12" t="str">
        <f t="shared" si="44"/>
        <v>-</v>
      </c>
      <c r="R7" s="12" t="str">
        <f t="shared" si="44"/>
        <v>-</v>
      </c>
      <c r="S7" s="12" t="str">
        <f t="shared" si="44"/>
        <v>-</v>
      </c>
      <c r="T7" s="12" t="str">
        <f t="shared" si="44"/>
        <v>-</v>
      </c>
      <c r="U7" s="12" t="str">
        <f t="shared" si="44"/>
        <v>-</v>
      </c>
      <c r="V7" s="12" t="str">
        <f t="shared" si="44"/>
        <v>-</v>
      </c>
      <c r="W7" s="12" t="str">
        <f t="shared" si="44"/>
        <v>-</v>
      </c>
      <c r="X7" s="12" t="str">
        <f t="shared" si="44"/>
        <v>-</v>
      </c>
      <c r="Y7" s="12" t="str">
        <f t="shared" si="44"/>
        <v>-</v>
      </c>
      <c r="Z7" s="12" t="str">
        <f t="shared" si="44"/>
        <v>-</v>
      </c>
      <c r="AA7" s="12" t="str">
        <f t="shared" si="44"/>
        <v>-</v>
      </c>
      <c r="AB7" s="12" t="str">
        <f t="shared" si="44"/>
        <v>-</v>
      </c>
      <c r="AC7" s="12" t="str">
        <f t="shared" si="44"/>
        <v>-</v>
      </c>
      <c r="AD7" s="12" t="str">
        <f t="shared" si="44"/>
        <v>-</v>
      </c>
      <c r="AE7" s="12" t="str">
        <f t="shared" si="44"/>
        <v>-</v>
      </c>
      <c r="AF7" s="12" t="str">
        <f t="shared" si="44"/>
        <v>-</v>
      </c>
      <c r="AG7" s="12" t="str">
        <f t="shared" si="44"/>
        <v>-</v>
      </c>
      <c r="AH7" s="12" t="str">
        <f t="shared" si="44"/>
        <v>-</v>
      </c>
      <c r="AI7" s="12" t="str">
        <f t="shared" si="44"/>
        <v>-</v>
      </c>
      <c r="AJ7" s="12" t="str">
        <f t="shared" si="44"/>
        <v>-</v>
      </c>
      <c r="AK7" s="12" t="str">
        <f t="shared" si="44"/>
        <v>-</v>
      </c>
      <c r="AL7" s="12" t="str">
        <f t="shared" si="44"/>
        <v>-</v>
      </c>
      <c r="AM7" s="12" t="str">
        <f t="shared" si="44"/>
        <v>-</v>
      </c>
      <c r="AN7" s="12" t="str">
        <f t="shared" si="44"/>
        <v>-</v>
      </c>
      <c r="AO7" s="12" t="str">
        <f t="shared" si="44"/>
        <v>-</v>
      </c>
      <c r="AP7" s="12" t="str">
        <f t="shared" si="44"/>
        <v>-</v>
      </c>
      <c r="AQ7" s="12" t="str">
        <f t="shared" si="44"/>
        <v>-</v>
      </c>
      <c r="AR7" s="12" t="str">
        <f t="shared" si="44"/>
        <v>-</v>
      </c>
      <c r="AS7" s="12" t="str">
        <f t="shared" si="44"/>
        <v>-</v>
      </c>
      <c r="AT7" s="12" t="str">
        <f t="shared" si="44"/>
        <v>-</v>
      </c>
      <c r="AU7" s="12" t="str">
        <f t="shared" si="44"/>
        <v>-</v>
      </c>
      <c r="AV7" s="12" t="str">
        <f t="shared" si="44"/>
        <v>-</v>
      </c>
      <c r="AW7" s="12" t="str">
        <f t="shared" si="44"/>
        <v>-</v>
      </c>
      <c r="AX7" s="16">
        <f>AX6+1</f>
        <v>2</v>
      </c>
      <c r="AY7" s="1"/>
      <c r="AZ7" s="16">
        <v>1</v>
      </c>
      <c r="BA7" s="13">
        <v>500</v>
      </c>
      <c r="BB7" s="13">
        <v>498.99865999999997</v>
      </c>
      <c r="BC7" s="14">
        <v>497.94835999999998</v>
      </c>
      <c r="BD7" s="14">
        <v>496.87592000000001</v>
      </c>
      <c r="BE7" s="14">
        <v>495.81869999999998</v>
      </c>
      <c r="BF7" s="14">
        <v>494.91412000000003</v>
      </c>
      <c r="BG7" s="14">
        <v>-2E+20</v>
      </c>
      <c r="BH7" s="14">
        <v>-2E+20</v>
      </c>
      <c r="BI7" s="14">
        <v>-2E+20</v>
      </c>
      <c r="BJ7" s="14">
        <v>-2E+20</v>
      </c>
      <c r="BK7" s="14">
        <v>-2E+20</v>
      </c>
      <c r="BL7" s="14">
        <v>-2E+20</v>
      </c>
      <c r="BM7" s="14">
        <v>-2E+20</v>
      </c>
      <c r="BN7" s="14">
        <v>-2E+20</v>
      </c>
      <c r="BO7" s="14">
        <v>-2E+20</v>
      </c>
      <c r="BP7" s="14">
        <v>-2E+20</v>
      </c>
      <c r="BQ7" s="14">
        <v>-2E+20</v>
      </c>
      <c r="BR7" s="14">
        <v>-2E+20</v>
      </c>
      <c r="BS7" s="14">
        <v>-2E+20</v>
      </c>
      <c r="BT7" s="14">
        <v>-2E+20</v>
      </c>
      <c r="BU7" s="14">
        <v>-2E+20</v>
      </c>
      <c r="BV7" s="14">
        <v>-2E+20</v>
      </c>
      <c r="BW7" s="14">
        <v>-2E+20</v>
      </c>
      <c r="BX7" s="14">
        <v>-2E+20</v>
      </c>
      <c r="BY7" s="14">
        <v>-2E+20</v>
      </c>
      <c r="BZ7" s="14">
        <v>-2E+20</v>
      </c>
      <c r="CA7" s="14">
        <v>-2E+20</v>
      </c>
      <c r="CB7" s="14">
        <v>-2E+20</v>
      </c>
      <c r="CC7" s="14">
        <v>-2E+20</v>
      </c>
      <c r="CD7" s="14">
        <v>-2E+20</v>
      </c>
      <c r="CE7" s="14">
        <v>-2E+20</v>
      </c>
      <c r="CF7" s="14">
        <v>-2E+20</v>
      </c>
      <c r="CG7" s="14">
        <v>-2E+20</v>
      </c>
      <c r="CH7" s="14">
        <v>-2E+20</v>
      </c>
      <c r="CI7" s="14">
        <v>-2E+20</v>
      </c>
      <c r="CJ7" s="14">
        <v>-2E+20</v>
      </c>
      <c r="CK7" s="14">
        <v>-2E+20</v>
      </c>
      <c r="CL7" s="14">
        <v>-2E+20</v>
      </c>
      <c r="CM7" s="14">
        <v>-2E+20</v>
      </c>
      <c r="CN7" s="14">
        <v>-2E+20</v>
      </c>
      <c r="CO7" s="14">
        <v>-2E+20</v>
      </c>
      <c r="CP7" s="1"/>
      <c r="CQ7" s="27">
        <f t="shared" ref="CQ7:CQ70" si="45">_xlfn.IFS(CR7&lt;=$CS$3,1,CR7&lt;=$CS$4,2,CR7&lt;=$CS$5,3)</f>
        <v>1</v>
      </c>
      <c r="CR7" s="16">
        <f>CR6+1</f>
        <v>2</v>
      </c>
      <c r="CS7" s="24">
        <v>1.0833333333333299</v>
      </c>
      <c r="CT7" s="1"/>
      <c r="CU7" s="30">
        <f t="shared" si="41"/>
        <v>1</v>
      </c>
      <c r="CV7" s="31">
        <v>36.6</v>
      </c>
      <c r="CW7" s="38">
        <f t="shared" si="42"/>
        <v>-0.39</v>
      </c>
      <c r="CX7" s="29"/>
      <c r="CY7" s="31">
        <v>60</v>
      </c>
      <c r="CZ7" s="29"/>
      <c r="DA7" s="31">
        <v>864001</v>
      </c>
      <c r="DB7" s="44">
        <f>DA7/DB$5</f>
        <v>10.000011574074074</v>
      </c>
      <c r="DC7" s="1"/>
      <c r="DD7" s="45">
        <v>1728000</v>
      </c>
      <c r="DE7" s="46">
        <f>Jocope!$DA$8/Jocope!DD7</f>
        <v>1461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</row>
    <row r="8" spans="1:134" ht="6.75" customHeight="1" x14ac:dyDescent="0.25">
      <c r="A8" s="3">
        <f t="shared" ref="A8:A29" si="46">A7+1</f>
        <v>3</v>
      </c>
      <c r="B8" s="68">
        <v>3</v>
      </c>
      <c r="C8" s="10">
        <v>0</v>
      </c>
      <c r="D8" s="69">
        <v>0</v>
      </c>
      <c r="E8" s="10">
        <v>0</v>
      </c>
      <c r="F8" s="1"/>
      <c r="G8" s="11" t="str">
        <f t="shared" si="39"/>
        <v>1,4</v>
      </c>
      <c r="H8" s="1"/>
      <c r="I8" s="16">
        <f t="shared" si="43"/>
        <v>3</v>
      </c>
      <c r="J8" s="12">
        <f t="shared" ref="J8:AW8" si="47">IF(ISNUMBER(MATCH(J31,$G$25:$G$29,0)),$D$2,IF(ISNUMBER(MATCH(J31,$G$32:$G$33,0)),$E$2,IF(ISNUMBER(MATCH(J31,$G$6:$G$24,0)),$C$2,$B$2)))</f>
        <v>1</v>
      </c>
      <c r="K8" s="12" t="str">
        <f t="shared" si="47"/>
        <v>-</v>
      </c>
      <c r="L8" s="12" t="str">
        <f t="shared" si="47"/>
        <v>-</v>
      </c>
      <c r="M8" s="12" t="str">
        <f t="shared" si="47"/>
        <v>-</v>
      </c>
      <c r="N8" s="12" t="str">
        <f t="shared" si="47"/>
        <v>-</v>
      </c>
      <c r="O8" s="12" t="str">
        <f t="shared" si="47"/>
        <v>-</v>
      </c>
      <c r="P8" s="12" t="str">
        <f t="shared" si="47"/>
        <v>-</v>
      </c>
      <c r="Q8" s="12" t="str">
        <f t="shared" si="47"/>
        <v>-</v>
      </c>
      <c r="R8" s="12" t="str">
        <f t="shared" si="47"/>
        <v>-</v>
      </c>
      <c r="S8" s="12" t="str">
        <f t="shared" si="47"/>
        <v>-</v>
      </c>
      <c r="T8" s="12" t="str">
        <f t="shared" si="47"/>
        <v>-</v>
      </c>
      <c r="U8" s="12" t="str">
        <f t="shared" si="47"/>
        <v>-</v>
      </c>
      <c r="V8" s="12" t="str">
        <f t="shared" si="47"/>
        <v>-</v>
      </c>
      <c r="W8" s="12" t="str">
        <f t="shared" si="47"/>
        <v>-</v>
      </c>
      <c r="X8" s="12" t="str">
        <f t="shared" si="47"/>
        <v>-</v>
      </c>
      <c r="Y8" s="12" t="str">
        <f t="shared" si="47"/>
        <v>-</v>
      </c>
      <c r="Z8" s="12" t="str">
        <f t="shared" si="47"/>
        <v>-</v>
      </c>
      <c r="AA8" s="12" t="str">
        <f t="shared" si="47"/>
        <v>-</v>
      </c>
      <c r="AB8" s="12" t="str">
        <f t="shared" si="47"/>
        <v>-</v>
      </c>
      <c r="AC8" s="12" t="str">
        <f t="shared" si="47"/>
        <v>-</v>
      </c>
      <c r="AD8" s="12" t="str">
        <f t="shared" si="47"/>
        <v>-</v>
      </c>
      <c r="AE8" s="12" t="str">
        <f t="shared" si="47"/>
        <v>-</v>
      </c>
      <c r="AF8" s="12" t="str">
        <f t="shared" si="47"/>
        <v>-</v>
      </c>
      <c r="AG8" s="12" t="str">
        <f t="shared" si="47"/>
        <v>-</v>
      </c>
      <c r="AH8" s="12" t="str">
        <f t="shared" si="47"/>
        <v>-</v>
      </c>
      <c r="AI8" s="12" t="str">
        <f t="shared" si="47"/>
        <v>-</v>
      </c>
      <c r="AJ8" s="12" t="str">
        <f t="shared" si="47"/>
        <v>-</v>
      </c>
      <c r="AK8" s="12" t="str">
        <f t="shared" si="47"/>
        <v>-</v>
      </c>
      <c r="AL8" s="12" t="str">
        <f t="shared" si="47"/>
        <v>-</v>
      </c>
      <c r="AM8" s="12" t="str">
        <f t="shared" si="47"/>
        <v>-</v>
      </c>
      <c r="AN8" s="12" t="str">
        <f t="shared" si="47"/>
        <v>-</v>
      </c>
      <c r="AO8" s="12" t="str">
        <f t="shared" si="47"/>
        <v>-</v>
      </c>
      <c r="AP8" s="12" t="str">
        <f t="shared" si="47"/>
        <v>-</v>
      </c>
      <c r="AQ8" s="12" t="str">
        <f t="shared" si="47"/>
        <v>-</v>
      </c>
      <c r="AR8" s="12" t="str">
        <f t="shared" si="47"/>
        <v>-</v>
      </c>
      <c r="AS8" s="12" t="str">
        <f t="shared" si="47"/>
        <v>-</v>
      </c>
      <c r="AT8" s="12" t="str">
        <f t="shared" si="47"/>
        <v>-</v>
      </c>
      <c r="AU8" s="12" t="str">
        <f t="shared" si="47"/>
        <v>-</v>
      </c>
      <c r="AV8" s="12" t="str">
        <f t="shared" si="47"/>
        <v>-</v>
      </c>
      <c r="AW8" s="12" t="str">
        <f t="shared" si="47"/>
        <v>-</v>
      </c>
      <c r="AX8" s="16">
        <f t="shared" ref="AX8:AX25" si="48">AX7+1</f>
        <v>3</v>
      </c>
      <c r="AY8" s="1"/>
      <c r="AZ8" s="16">
        <v>2</v>
      </c>
      <c r="BA8" s="13">
        <v>500</v>
      </c>
      <c r="BB8" s="13">
        <v>498.93973</v>
      </c>
      <c r="BC8" s="14">
        <v>497.86237</v>
      </c>
      <c r="BD8" s="14">
        <v>496.77100000000002</v>
      </c>
      <c r="BE8" s="14">
        <v>495.67284999999998</v>
      </c>
      <c r="BF8" s="14">
        <v>494.55470000000003</v>
      </c>
      <c r="BG8" s="14">
        <v>493.18009999999998</v>
      </c>
      <c r="BH8" s="14">
        <v>491.91226</v>
      </c>
      <c r="BI8" s="14">
        <v>490.72329999999999</v>
      </c>
      <c r="BJ8" s="14">
        <v>489.60665999999998</v>
      </c>
      <c r="BK8" s="14">
        <v>488.56423999999998</v>
      </c>
      <c r="BL8" s="14">
        <v>487.73604999999998</v>
      </c>
      <c r="BM8" s="14">
        <v>-2E+20</v>
      </c>
      <c r="BN8" s="14">
        <v>-2E+20</v>
      </c>
      <c r="BO8" s="14">
        <v>-2E+20</v>
      </c>
      <c r="BP8" s="14">
        <v>-2E+20</v>
      </c>
      <c r="BQ8" s="14">
        <v>-2E+20</v>
      </c>
      <c r="BR8" s="14">
        <v>-2E+20</v>
      </c>
      <c r="BS8" s="14">
        <v>-2E+20</v>
      </c>
      <c r="BT8" s="14">
        <v>-2E+20</v>
      </c>
      <c r="BU8" s="14">
        <v>-2E+20</v>
      </c>
      <c r="BV8" s="14">
        <v>-2E+20</v>
      </c>
      <c r="BW8" s="14">
        <v>-2E+20</v>
      </c>
      <c r="BX8" s="14">
        <v>-2E+20</v>
      </c>
      <c r="BY8" s="14">
        <v>-2E+20</v>
      </c>
      <c r="BZ8" s="14">
        <v>-2E+20</v>
      </c>
      <c r="CA8" s="14">
        <v>-2E+20</v>
      </c>
      <c r="CB8" s="14">
        <v>-2E+20</v>
      </c>
      <c r="CC8" s="14">
        <v>-2E+20</v>
      </c>
      <c r="CD8" s="14">
        <v>-2E+20</v>
      </c>
      <c r="CE8" s="14">
        <v>-2E+20</v>
      </c>
      <c r="CF8" s="14">
        <v>-2E+20</v>
      </c>
      <c r="CG8" s="14">
        <v>-2E+20</v>
      </c>
      <c r="CH8" s="14">
        <v>-2E+20</v>
      </c>
      <c r="CI8" s="14">
        <v>-2E+20</v>
      </c>
      <c r="CJ8" s="14">
        <v>-2E+20</v>
      </c>
      <c r="CK8" s="14">
        <v>-2E+20</v>
      </c>
      <c r="CL8" s="14">
        <v>-2E+20</v>
      </c>
      <c r="CM8" s="14">
        <v>-2E+20</v>
      </c>
      <c r="CN8" s="14">
        <v>-2E+20</v>
      </c>
      <c r="CO8" s="14">
        <v>-2E+20</v>
      </c>
      <c r="CP8" s="1"/>
      <c r="CQ8" s="27">
        <f t="shared" si="45"/>
        <v>1</v>
      </c>
      <c r="CR8" s="16">
        <f t="shared" ref="CR8:CR71" si="49">CR7+1</f>
        <v>3</v>
      </c>
      <c r="CS8" s="24">
        <v>1.1666666666666601</v>
      </c>
      <c r="CT8" s="1"/>
      <c r="CU8" s="30">
        <f t="shared" si="41"/>
        <v>1</v>
      </c>
      <c r="CV8" s="31">
        <v>73.2</v>
      </c>
      <c r="CW8" s="38">
        <f t="shared" si="42"/>
        <v>0.21999999999999997</v>
      </c>
      <c r="CX8" s="29"/>
      <c r="CY8" s="31">
        <v>90</v>
      </c>
      <c r="CZ8" s="29"/>
      <c r="DA8" s="31">
        <v>2524608000</v>
      </c>
      <c r="DB8" s="39">
        <f>DA8/DB$5</f>
        <v>29220</v>
      </c>
      <c r="DC8" s="1"/>
      <c r="DD8" s="45">
        <v>4320000</v>
      </c>
      <c r="DE8" s="46">
        <f>Jocope!$DA$8/Jocope!DD8</f>
        <v>584.4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</row>
    <row r="9" spans="1:134" ht="6.75" customHeight="1" x14ac:dyDescent="0.25">
      <c r="A9" s="3">
        <f t="shared" si="46"/>
        <v>4</v>
      </c>
      <c r="B9" s="68">
        <v>4</v>
      </c>
      <c r="C9" s="10">
        <v>0</v>
      </c>
      <c r="D9" s="69">
        <v>0</v>
      </c>
      <c r="E9" s="10">
        <v>0</v>
      </c>
      <c r="F9" s="1"/>
      <c r="G9" s="11" t="str">
        <f t="shared" si="39"/>
        <v>1,5</v>
      </c>
      <c r="H9" s="1"/>
      <c r="I9" s="16">
        <f t="shared" si="43"/>
        <v>4</v>
      </c>
      <c r="J9" s="12">
        <f t="shared" ref="J9:AW9" si="50">IF(ISNUMBER(MATCH(J32,$G$25:$G$29,0)),$D$2,IF(ISNUMBER(MATCH(J32,$G$32:$G$33,0)),$E$2,IF(ISNUMBER(MATCH(J32,$G$6:$G$24,0)),$C$2,$B$2)))</f>
        <v>1</v>
      </c>
      <c r="K9" s="12" t="str">
        <f t="shared" si="50"/>
        <v>-</v>
      </c>
      <c r="L9" s="12" t="str">
        <f t="shared" si="50"/>
        <v>-</v>
      </c>
      <c r="M9" s="12" t="str">
        <f t="shared" si="50"/>
        <v>-</v>
      </c>
      <c r="N9" s="12" t="str">
        <f t="shared" si="50"/>
        <v>-</v>
      </c>
      <c r="O9" s="12" t="str">
        <f t="shared" si="50"/>
        <v>-</v>
      </c>
      <c r="P9" s="12" t="str">
        <f t="shared" si="50"/>
        <v>-</v>
      </c>
      <c r="Q9" s="12" t="str">
        <f t="shared" si="50"/>
        <v>-</v>
      </c>
      <c r="R9" s="12" t="str">
        <f t="shared" si="50"/>
        <v>-</v>
      </c>
      <c r="S9" s="12" t="str">
        <f t="shared" si="50"/>
        <v>-</v>
      </c>
      <c r="T9" s="12" t="str">
        <f t="shared" si="50"/>
        <v>-</v>
      </c>
      <c r="U9" s="12" t="str">
        <f t="shared" si="50"/>
        <v>-</v>
      </c>
      <c r="V9" s="12" t="str">
        <f t="shared" si="50"/>
        <v>-</v>
      </c>
      <c r="W9" s="12" t="str">
        <f t="shared" si="50"/>
        <v>-</v>
      </c>
      <c r="X9" s="12" t="str">
        <f t="shared" si="50"/>
        <v>-</v>
      </c>
      <c r="Y9" s="12" t="str">
        <f t="shared" si="50"/>
        <v>-</v>
      </c>
      <c r="Z9" s="12" t="str">
        <f t="shared" si="50"/>
        <v>-</v>
      </c>
      <c r="AA9" s="12" t="str">
        <f t="shared" si="50"/>
        <v>-</v>
      </c>
      <c r="AB9" s="12" t="str">
        <f t="shared" si="50"/>
        <v>-</v>
      </c>
      <c r="AC9" s="12" t="str">
        <f t="shared" si="50"/>
        <v>-</v>
      </c>
      <c r="AD9" s="12" t="str">
        <f t="shared" si="50"/>
        <v>-</v>
      </c>
      <c r="AE9" s="12" t="str">
        <f t="shared" si="50"/>
        <v>-</v>
      </c>
      <c r="AF9" s="12" t="str">
        <f t="shared" si="50"/>
        <v>-</v>
      </c>
      <c r="AG9" s="12" t="str">
        <f t="shared" si="50"/>
        <v>-</v>
      </c>
      <c r="AH9" s="12" t="str">
        <f t="shared" si="50"/>
        <v>-</v>
      </c>
      <c r="AI9" s="12" t="str">
        <f t="shared" si="50"/>
        <v>-</v>
      </c>
      <c r="AJ9" s="12" t="str">
        <f t="shared" si="50"/>
        <v>-</v>
      </c>
      <c r="AK9" s="12" t="str">
        <f t="shared" si="50"/>
        <v>-</v>
      </c>
      <c r="AL9" s="12" t="str">
        <f t="shared" si="50"/>
        <v>-</v>
      </c>
      <c r="AM9" s="12" t="str">
        <f t="shared" si="50"/>
        <v>-</v>
      </c>
      <c r="AN9" s="12" t="str">
        <f t="shared" si="50"/>
        <v>-</v>
      </c>
      <c r="AO9" s="12" t="str">
        <f t="shared" si="50"/>
        <v>-</v>
      </c>
      <c r="AP9" s="12" t="str">
        <f t="shared" si="50"/>
        <v>-</v>
      </c>
      <c r="AQ9" s="12" t="str">
        <f t="shared" si="50"/>
        <v>-</v>
      </c>
      <c r="AR9" s="12" t="str">
        <f t="shared" si="50"/>
        <v>-</v>
      </c>
      <c r="AS9" s="12" t="str">
        <f t="shared" si="50"/>
        <v>-</v>
      </c>
      <c r="AT9" s="12" t="str">
        <f t="shared" si="50"/>
        <v>-</v>
      </c>
      <c r="AU9" s="12" t="str">
        <f t="shared" si="50"/>
        <v>-</v>
      </c>
      <c r="AV9" s="12" t="str">
        <f t="shared" si="50"/>
        <v>-</v>
      </c>
      <c r="AW9" s="12" t="str">
        <f t="shared" si="50"/>
        <v>-</v>
      </c>
      <c r="AX9" s="16">
        <f t="shared" si="48"/>
        <v>4</v>
      </c>
      <c r="AY9" s="1"/>
      <c r="AZ9" s="16">
        <v>3</v>
      </c>
      <c r="BA9" s="13">
        <v>500</v>
      </c>
      <c r="BB9" s="13">
        <v>498.89483999999999</v>
      </c>
      <c r="BC9" s="14">
        <v>497.78057999999999</v>
      </c>
      <c r="BD9" s="14">
        <v>496.65338000000003</v>
      </c>
      <c r="BE9" s="14">
        <v>495.50850000000003</v>
      </c>
      <c r="BF9" s="14">
        <v>494.32909999999998</v>
      </c>
      <c r="BG9" s="14">
        <v>493.07339999999999</v>
      </c>
      <c r="BH9" s="14">
        <v>491.83339999999998</v>
      </c>
      <c r="BI9" s="14">
        <v>490.62849999999997</v>
      </c>
      <c r="BJ9" s="14">
        <v>489.45934999999997</v>
      </c>
      <c r="BK9" s="14">
        <v>488.31295999999998</v>
      </c>
      <c r="BL9" s="14">
        <v>487.13900000000001</v>
      </c>
      <c r="BM9" s="14">
        <v>485.61689999999999</v>
      </c>
      <c r="BN9" s="14">
        <v>484.25301999999999</v>
      </c>
      <c r="BO9" s="14">
        <v>483.01159999999999</v>
      </c>
      <c r="BP9" s="14">
        <v>481.92757999999998</v>
      </c>
      <c r="BQ9" s="14">
        <v>481.14746000000002</v>
      </c>
      <c r="BR9" s="14">
        <v>-2E+20</v>
      </c>
      <c r="BS9" s="14">
        <v>-2E+20</v>
      </c>
      <c r="BT9" s="14">
        <v>-2E+20</v>
      </c>
      <c r="BU9" s="14">
        <v>-2E+20</v>
      </c>
      <c r="BV9" s="14">
        <v>-2E+20</v>
      </c>
      <c r="BW9" s="14">
        <v>-2E+20</v>
      </c>
      <c r="BX9" s="14">
        <v>-2E+20</v>
      </c>
      <c r="BY9" s="14">
        <v>-2E+20</v>
      </c>
      <c r="BZ9" s="14">
        <v>-2E+20</v>
      </c>
      <c r="CA9" s="14">
        <v>-2E+20</v>
      </c>
      <c r="CB9" s="14">
        <v>-2E+20</v>
      </c>
      <c r="CC9" s="14">
        <v>-2E+20</v>
      </c>
      <c r="CD9" s="14">
        <v>-2E+20</v>
      </c>
      <c r="CE9" s="14">
        <v>-2E+20</v>
      </c>
      <c r="CF9" s="14">
        <v>-2E+20</v>
      </c>
      <c r="CG9" s="14">
        <v>-2E+20</v>
      </c>
      <c r="CH9" s="14">
        <v>-2E+20</v>
      </c>
      <c r="CI9" s="14">
        <v>-2E+20</v>
      </c>
      <c r="CJ9" s="14">
        <v>-2E+20</v>
      </c>
      <c r="CK9" s="14">
        <v>-2E+20</v>
      </c>
      <c r="CL9" s="14">
        <v>-2E+20</v>
      </c>
      <c r="CM9" s="14">
        <v>-2E+20</v>
      </c>
      <c r="CN9" s="14">
        <v>-2E+20</v>
      </c>
      <c r="CO9" s="14">
        <v>-2E+20</v>
      </c>
      <c r="CP9" s="1"/>
      <c r="CQ9" s="27">
        <f t="shared" si="45"/>
        <v>1</v>
      </c>
      <c r="CR9" s="16">
        <f t="shared" si="49"/>
        <v>4</v>
      </c>
      <c r="CS9" s="24">
        <v>1.24999999999999</v>
      </c>
      <c r="CT9" s="1"/>
      <c r="CU9" s="30">
        <f t="shared" si="41"/>
        <v>1</v>
      </c>
      <c r="CV9" s="31">
        <v>109.8</v>
      </c>
      <c r="CW9" s="38">
        <f t="shared" si="42"/>
        <v>0.82999999999999985</v>
      </c>
      <c r="CX9" s="29"/>
      <c r="CY9" s="31">
        <v>120</v>
      </c>
      <c r="CZ9" s="29"/>
      <c r="DA9" s="1"/>
      <c r="DB9" s="1"/>
      <c r="DC9" s="1"/>
      <c r="DD9" s="45">
        <v>7776000</v>
      </c>
      <c r="DE9" s="46">
        <f>Jocope!$DA$8/Jocope!DD9</f>
        <v>324.66666666666669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</row>
    <row r="10" spans="1:134" ht="6.75" customHeight="1" x14ac:dyDescent="0.25">
      <c r="A10" s="3">
        <f t="shared" si="46"/>
        <v>5</v>
      </c>
      <c r="B10" s="68">
        <v>5</v>
      </c>
      <c r="C10" s="10">
        <v>0</v>
      </c>
      <c r="D10" s="69">
        <v>0</v>
      </c>
      <c r="E10" s="10">
        <v>0</v>
      </c>
      <c r="F10" s="1"/>
      <c r="G10" s="11" t="str">
        <f t="shared" si="39"/>
        <v>1,6</v>
      </c>
      <c r="H10" s="1"/>
      <c r="I10" s="16">
        <f t="shared" si="43"/>
        <v>5</v>
      </c>
      <c r="J10" s="12">
        <f t="shared" ref="J10:AW10" si="51">IF(ISNUMBER(MATCH(J33,$G$25:$G$29,0)),$D$2,IF(ISNUMBER(MATCH(J33,$G$32:$G$33,0)),$E$2,IF(ISNUMBER(MATCH(J33,$G$6:$G$24,0)),$C$2,$B$2)))</f>
        <v>1</v>
      </c>
      <c r="K10" s="12" t="str">
        <f t="shared" si="51"/>
        <v>-</v>
      </c>
      <c r="L10" s="12" t="str">
        <f t="shared" si="51"/>
        <v>-</v>
      </c>
      <c r="M10" s="12" t="str">
        <f t="shared" si="51"/>
        <v>-</v>
      </c>
      <c r="N10" s="12" t="str">
        <f t="shared" si="51"/>
        <v>-</v>
      </c>
      <c r="O10" s="12" t="str">
        <f t="shared" si="51"/>
        <v>-</v>
      </c>
      <c r="P10" s="12" t="str">
        <f t="shared" si="51"/>
        <v>-</v>
      </c>
      <c r="Q10" s="12" t="str">
        <f t="shared" si="51"/>
        <v>-</v>
      </c>
      <c r="R10" s="12" t="str">
        <f t="shared" si="51"/>
        <v>-</v>
      </c>
      <c r="S10" s="12" t="str">
        <f t="shared" si="51"/>
        <v>-</v>
      </c>
      <c r="T10" s="12" t="str">
        <f t="shared" si="51"/>
        <v>-</v>
      </c>
      <c r="U10" s="12" t="str">
        <f t="shared" si="51"/>
        <v>-</v>
      </c>
      <c r="V10" s="12" t="str">
        <f t="shared" si="51"/>
        <v>-</v>
      </c>
      <c r="W10" s="12" t="str">
        <f t="shared" si="51"/>
        <v>-</v>
      </c>
      <c r="X10" s="12" t="str">
        <f t="shared" si="51"/>
        <v>-</v>
      </c>
      <c r="Y10" s="12" t="str">
        <f t="shared" si="51"/>
        <v>-</v>
      </c>
      <c r="Z10" s="12" t="str">
        <f t="shared" si="51"/>
        <v>-</v>
      </c>
      <c r="AA10" s="12" t="str">
        <f t="shared" si="51"/>
        <v>-</v>
      </c>
      <c r="AB10" s="12" t="str">
        <f t="shared" si="51"/>
        <v>-</v>
      </c>
      <c r="AC10" s="12" t="str">
        <f t="shared" si="51"/>
        <v>-</v>
      </c>
      <c r="AD10" s="12" t="str">
        <f t="shared" si="51"/>
        <v>-</v>
      </c>
      <c r="AE10" s="12" t="str">
        <f t="shared" si="51"/>
        <v>-</v>
      </c>
      <c r="AF10" s="12" t="str">
        <f t="shared" si="51"/>
        <v>-</v>
      </c>
      <c r="AG10" s="12" t="str">
        <f t="shared" si="51"/>
        <v>-</v>
      </c>
      <c r="AH10" s="12" t="str">
        <f t="shared" si="51"/>
        <v>-</v>
      </c>
      <c r="AI10" s="12" t="str">
        <f t="shared" si="51"/>
        <v>-</v>
      </c>
      <c r="AJ10" s="12" t="str">
        <f t="shared" si="51"/>
        <v>-</v>
      </c>
      <c r="AK10" s="12" t="str">
        <f t="shared" si="51"/>
        <v>-</v>
      </c>
      <c r="AL10" s="12" t="str">
        <f t="shared" si="51"/>
        <v>-</v>
      </c>
      <c r="AM10" s="12" t="str">
        <f t="shared" si="51"/>
        <v>-</v>
      </c>
      <c r="AN10" s="12" t="str">
        <f t="shared" si="51"/>
        <v>-</v>
      </c>
      <c r="AO10" s="12" t="str">
        <f t="shared" si="51"/>
        <v>-</v>
      </c>
      <c r="AP10" s="12" t="str">
        <f t="shared" si="51"/>
        <v>-</v>
      </c>
      <c r="AQ10" s="12" t="str">
        <f t="shared" si="51"/>
        <v>-</v>
      </c>
      <c r="AR10" s="12" t="str">
        <f t="shared" si="51"/>
        <v>-</v>
      </c>
      <c r="AS10" s="12" t="str">
        <f t="shared" si="51"/>
        <v>-</v>
      </c>
      <c r="AT10" s="12" t="str">
        <f t="shared" si="51"/>
        <v>-</v>
      </c>
      <c r="AU10" s="12" t="str">
        <f t="shared" si="51"/>
        <v>-</v>
      </c>
      <c r="AV10" s="12" t="str">
        <f t="shared" si="51"/>
        <v>-</v>
      </c>
      <c r="AW10" s="12" t="str">
        <f t="shared" si="51"/>
        <v>-</v>
      </c>
      <c r="AX10" s="16">
        <f t="shared" si="48"/>
        <v>5</v>
      </c>
      <c r="AY10" s="1"/>
      <c r="AZ10" s="16">
        <v>4</v>
      </c>
      <c r="BA10" s="13">
        <v>500</v>
      </c>
      <c r="BB10" s="13">
        <v>498.85897999999997</v>
      </c>
      <c r="BC10" s="14">
        <v>497.71176000000003</v>
      </c>
      <c r="BD10" s="14">
        <v>496.55344000000002</v>
      </c>
      <c r="BE10" s="14">
        <v>495.37869999999998</v>
      </c>
      <c r="BF10" s="14">
        <v>494.17975000000001</v>
      </c>
      <c r="BG10" s="14">
        <v>492.95100000000002</v>
      </c>
      <c r="BH10" s="14">
        <v>491.71944999999999</v>
      </c>
      <c r="BI10" s="14">
        <v>490.49804999999998</v>
      </c>
      <c r="BJ10" s="14">
        <v>489.28625</v>
      </c>
      <c r="BK10" s="14">
        <v>488.06984999999997</v>
      </c>
      <c r="BL10" s="14">
        <v>486.81393000000003</v>
      </c>
      <c r="BM10" s="14">
        <v>485.45868000000002</v>
      </c>
      <c r="BN10" s="14">
        <v>484.13055000000003</v>
      </c>
      <c r="BO10" s="14">
        <v>482.85415999999998</v>
      </c>
      <c r="BP10" s="14">
        <v>481.62371999999999</v>
      </c>
      <c r="BQ10" s="14">
        <v>480.3673</v>
      </c>
      <c r="BR10" s="14">
        <v>478.70035000000001</v>
      </c>
      <c r="BS10" s="14">
        <v>477.20154000000002</v>
      </c>
      <c r="BT10" s="14">
        <v>475.81225999999998</v>
      </c>
      <c r="BU10" s="14">
        <v>474.53064000000001</v>
      </c>
      <c r="BV10" s="14">
        <v>473.40530000000001</v>
      </c>
      <c r="BW10" s="14">
        <v>472.59357</v>
      </c>
      <c r="BX10" s="14">
        <v>-2E+20</v>
      </c>
      <c r="BY10" s="14">
        <v>-2E+20</v>
      </c>
      <c r="BZ10" s="14">
        <v>-2E+20</v>
      </c>
      <c r="CA10" s="14">
        <v>-2E+20</v>
      </c>
      <c r="CB10" s="14">
        <v>-2E+20</v>
      </c>
      <c r="CC10" s="14">
        <v>-2E+20</v>
      </c>
      <c r="CD10" s="14">
        <v>-2E+20</v>
      </c>
      <c r="CE10" s="14">
        <v>-2E+20</v>
      </c>
      <c r="CF10" s="14">
        <v>-2E+20</v>
      </c>
      <c r="CG10" s="14">
        <v>-2E+20</v>
      </c>
      <c r="CH10" s="14">
        <v>-2E+20</v>
      </c>
      <c r="CI10" s="14">
        <v>-2E+20</v>
      </c>
      <c r="CJ10" s="14">
        <v>-2E+20</v>
      </c>
      <c r="CK10" s="14">
        <v>-2E+20</v>
      </c>
      <c r="CL10" s="14">
        <v>-2E+20</v>
      </c>
      <c r="CM10" s="14">
        <v>-2E+20</v>
      </c>
      <c r="CN10" s="14">
        <v>-2E+20</v>
      </c>
      <c r="CO10" s="14">
        <v>-2E+20</v>
      </c>
      <c r="CP10" s="1"/>
      <c r="CQ10" s="27">
        <f t="shared" si="45"/>
        <v>1</v>
      </c>
      <c r="CR10" s="16">
        <f t="shared" si="49"/>
        <v>5</v>
      </c>
      <c r="CS10" s="24">
        <v>1.3333333333333299</v>
      </c>
      <c r="CT10" s="1"/>
      <c r="CU10" s="30">
        <f t="shared" si="41"/>
        <v>1</v>
      </c>
      <c r="CV10" s="31">
        <v>146.4</v>
      </c>
      <c r="CW10" s="38">
        <f t="shared" si="42"/>
        <v>1.44</v>
      </c>
      <c r="CX10" s="29"/>
      <c r="CY10" s="31">
        <v>150</v>
      </c>
      <c r="CZ10" s="29"/>
      <c r="DA10" s="1"/>
      <c r="DB10" s="1"/>
      <c r="DC10" s="1"/>
      <c r="DD10" s="45">
        <v>15552000</v>
      </c>
      <c r="DE10" s="46">
        <f>Jocope!$DA$8/Jocope!DD10</f>
        <v>162.33333333333334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ht="6.75" customHeight="1" x14ac:dyDescent="0.25">
      <c r="A11" s="3">
        <f t="shared" si="46"/>
        <v>6</v>
      </c>
      <c r="B11" s="68">
        <v>6</v>
      </c>
      <c r="C11" s="10">
        <v>0</v>
      </c>
      <c r="D11" s="69">
        <v>0</v>
      </c>
      <c r="E11" s="10">
        <v>0</v>
      </c>
      <c r="F11" s="1"/>
      <c r="G11" s="11" t="str">
        <f t="shared" si="39"/>
        <v>1,7</v>
      </c>
      <c r="H11" s="1"/>
      <c r="I11" s="16">
        <f t="shared" si="43"/>
        <v>6</v>
      </c>
      <c r="J11" s="12">
        <f t="shared" ref="J11:AW11" si="52">IF(ISNUMBER(MATCH(J34,$G$25:$G$29,0)),$D$2,IF(ISNUMBER(MATCH(J34,$G$32:$G$33,0)),$E$2,IF(ISNUMBER(MATCH(J34,$G$6:$G$24,0)),$C$2,$B$2)))</f>
        <v>1</v>
      </c>
      <c r="K11" s="12" t="str">
        <f t="shared" si="52"/>
        <v>-</v>
      </c>
      <c r="L11" s="12" t="str">
        <f t="shared" si="52"/>
        <v>-</v>
      </c>
      <c r="M11" s="12" t="str">
        <f t="shared" si="52"/>
        <v>-</v>
      </c>
      <c r="N11" s="12" t="str">
        <f t="shared" si="52"/>
        <v>-</v>
      </c>
      <c r="O11" s="12" t="str">
        <f t="shared" si="52"/>
        <v>-</v>
      </c>
      <c r="P11" s="12" t="str">
        <f t="shared" si="52"/>
        <v>-</v>
      </c>
      <c r="Q11" s="12" t="str">
        <f t="shared" si="52"/>
        <v>-</v>
      </c>
      <c r="R11" s="12" t="str">
        <f t="shared" si="52"/>
        <v>-</v>
      </c>
      <c r="S11" s="12" t="str">
        <f t="shared" si="52"/>
        <v>-</v>
      </c>
      <c r="T11" s="12" t="str">
        <f t="shared" si="52"/>
        <v>-</v>
      </c>
      <c r="U11" s="12" t="str">
        <f t="shared" si="52"/>
        <v>-</v>
      </c>
      <c r="V11" s="12" t="str">
        <f t="shared" si="52"/>
        <v>-</v>
      </c>
      <c r="W11" s="12" t="str">
        <f t="shared" si="52"/>
        <v>-</v>
      </c>
      <c r="X11" s="12" t="str">
        <f t="shared" si="52"/>
        <v>-</v>
      </c>
      <c r="Y11" s="12" t="str">
        <f t="shared" si="52"/>
        <v>-</v>
      </c>
      <c r="Z11" s="12" t="str">
        <f t="shared" si="52"/>
        <v>-</v>
      </c>
      <c r="AA11" s="12" t="str">
        <f t="shared" si="52"/>
        <v>-</v>
      </c>
      <c r="AB11" s="12" t="str">
        <f t="shared" si="52"/>
        <v>-</v>
      </c>
      <c r="AC11" s="12" t="str">
        <f t="shared" si="52"/>
        <v>-</v>
      </c>
      <c r="AD11" s="12" t="str">
        <f t="shared" si="52"/>
        <v>-</v>
      </c>
      <c r="AE11" s="12" t="str">
        <f t="shared" si="52"/>
        <v>-</v>
      </c>
      <c r="AF11" s="12" t="str">
        <f t="shared" si="52"/>
        <v>-</v>
      </c>
      <c r="AG11" s="12" t="str">
        <f t="shared" si="52"/>
        <v>-</v>
      </c>
      <c r="AH11" s="12" t="str">
        <f t="shared" si="52"/>
        <v>-</v>
      </c>
      <c r="AI11" s="12" t="str">
        <f t="shared" si="52"/>
        <v>-</v>
      </c>
      <c r="AJ11" s="12" t="str">
        <f t="shared" si="52"/>
        <v>-</v>
      </c>
      <c r="AK11" s="12" t="str">
        <f t="shared" si="52"/>
        <v>-</v>
      </c>
      <c r="AL11" s="12" t="str">
        <f t="shared" si="52"/>
        <v>-</v>
      </c>
      <c r="AM11" s="12" t="str">
        <f t="shared" si="52"/>
        <v>-</v>
      </c>
      <c r="AN11" s="12" t="str">
        <f t="shared" si="52"/>
        <v>-</v>
      </c>
      <c r="AO11" s="12" t="str">
        <f t="shared" si="52"/>
        <v>-</v>
      </c>
      <c r="AP11" s="12" t="str">
        <f t="shared" si="52"/>
        <v>-</v>
      </c>
      <c r="AQ11" s="12" t="str">
        <f t="shared" si="52"/>
        <v>-</v>
      </c>
      <c r="AR11" s="12" t="str">
        <f t="shared" si="52"/>
        <v>-</v>
      </c>
      <c r="AS11" s="12" t="str">
        <f t="shared" si="52"/>
        <v>-</v>
      </c>
      <c r="AT11" s="12" t="str">
        <f t="shared" si="52"/>
        <v>-</v>
      </c>
      <c r="AU11" s="12" t="str">
        <f t="shared" si="52"/>
        <v>-</v>
      </c>
      <c r="AV11" s="12" t="str">
        <f t="shared" si="52"/>
        <v>-</v>
      </c>
      <c r="AW11" s="12" t="str">
        <f t="shared" si="52"/>
        <v>-</v>
      </c>
      <c r="AX11" s="16">
        <f t="shared" si="48"/>
        <v>6</v>
      </c>
      <c r="AY11" s="1"/>
      <c r="AZ11" s="16">
        <v>5</v>
      </c>
      <c r="BA11" s="13">
        <v>500</v>
      </c>
      <c r="BB11" s="13">
        <v>498.82929999999999</v>
      </c>
      <c r="BC11" s="14">
        <v>497.65402</v>
      </c>
      <c r="BD11" s="14">
        <v>496.4699</v>
      </c>
      <c r="BE11" s="14">
        <v>495.2731</v>
      </c>
      <c r="BF11" s="14">
        <v>494.06024000000002</v>
      </c>
      <c r="BG11" s="14">
        <v>492.83136000000002</v>
      </c>
      <c r="BH11" s="14">
        <v>491.59539999999998</v>
      </c>
      <c r="BI11" s="14">
        <v>490.35793999999999</v>
      </c>
      <c r="BJ11" s="14">
        <v>489.11779999999999</v>
      </c>
      <c r="BK11" s="14">
        <v>487.86619999999999</v>
      </c>
      <c r="BL11" s="14">
        <v>486.58819999999997</v>
      </c>
      <c r="BM11" s="14">
        <v>485.27330000000001</v>
      </c>
      <c r="BN11" s="14">
        <v>483.95639999999997</v>
      </c>
      <c r="BO11" s="14">
        <v>482.6508</v>
      </c>
      <c r="BP11" s="14">
        <v>481.3458</v>
      </c>
      <c r="BQ11" s="14">
        <v>479.99777</v>
      </c>
      <c r="BR11" s="14">
        <v>478.53214000000003</v>
      </c>
      <c r="BS11" s="14">
        <v>477.09204</v>
      </c>
      <c r="BT11" s="14">
        <v>475.70460000000003</v>
      </c>
      <c r="BU11" s="14">
        <v>474.37432999999999</v>
      </c>
      <c r="BV11" s="14">
        <v>473.0917</v>
      </c>
      <c r="BW11" s="14">
        <v>471.78183000000001</v>
      </c>
      <c r="BX11" s="14">
        <v>470.04442999999998</v>
      </c>
      <c r="BY11" s="14">
        <v>468.48282</v>
      </c>
      <c r="BZ11" s="14">
        <v>467.03653000000003</v>
      </c>
      <c r="CA11" s="14">
        <v>465.70391999999998</v>
      </c>
      <c r="CB11" s="14">
        <v>464.53573999999998</v>
      </c>
      <c r="CC11" s="14">
        <v>463.69470000000001</v>
      </c>
      <c r="CD11" s="14">
        <v>-2E+20</v>
      </c>
      <c r="CE11" s="14">
        <v>-2E+20</v>
      </c>
      <c r="CF11" s="14">
        <v>-2E+20</v>
      </c>
      <c r="CG11" s="14">
        <v>-2E+20</v>
      </c>
      <c r="CH11" s="14">
        <v>-2E+20</v>
      </c>
      <c r="CI11" s="14">
        <v>-2E+20</v>
      </c>
      <c r="CJ11" s="14">
        <v>-2E+20</v>
      </c>
      <c r="CK11" s="14">
        <v>-2E+20</v>
      </c>
      <c r="CL11" s="14">
        <v>-2E+20</v>
      </c>
      <c r="CM11" s="14">
        <v>-2E+20</v>
      </c>
      <c r="CN11" s="14">
        <v>-2E+20</v>
      </c>
      <c r="CO11" s="14">
        <v>-2E+20</v>
      </c>
      <c r="CP11" s="1"/>
      <c r="CQ11" s="27">
        <f t="shared" si="45"/>
        <v>1</v>
      </c>
      <c r="CR11" s="16">
        <f t="shared" si="49"/>
        <v>6</v>
      </c>
      <c r="CS11" s="24">
        <v>1.4166666666666601</v>
      </c>
      <c r="CT11" s="1"/>
      <c r="CU11" s="30">
        <f t="shared" si="41"/>
        <v>1</v>
      </c>
      <c r="CV11" s="31">
        <v>180</v>
      </c>
      <c r="CW11" s="38">
        <f t="shared" si="42"/>
        <v>2</v>
      </c>
      <c r="CX11" s="29"/>
      <c r="CY11" s="31">
        <v>180</v>
      </c>
      <c r="CZ11" s="29"/>
      <c r="DA11" s="32" t="s">
        <v>41</v>
      </c>
      <c r="DB11" s="37">
        <v>365</v>
      </c>
      <c r="DC11" s="1"/>
      <c r="DD11" s="45">
        <v>31536000</v>
      </c>
      <c r="DE11" s="46">
        <f>Jocope!$DA$8/Jocope!DD11</f>
        <v>80.054794520547944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</row>
    <row r="12" spans="1:134" ht="6.75" customHeight="1" x14ac:dyDescent="0.25">
      <c r="A12" s="3">
        <f t="shared" si="46"/>
        <v>7</v>
      </c>
      <c r="B12" s="68">
        <v>7</v>
      </c>
      <c r="C12" s="10">
        <v>0</v>
      </c>
      <c r="D12" s="69">
        <v>0</v>
      </c>
      <c r="E12" s="10">
        <v>0</v>
      </c>
      <c r="F12" s="1"/>
      <c r="G12" s="11" t="str">
        <f t="shared" si="39"/>
        <v>1,8</v>
      </c>
      <c r="H12" s="1"/>
      <c r="I12" s="16">
        <f t="shared" si="43"/>
        <v>7</v>
      </c>
      <c r="J12" s="12">
        <f t="shared" ref="J12:AW12" si="53">IF(ISNUMBER(MATCH(J35,$G$25:$G$29,0)),$D$2,IF(ISNUMBER(MATCH(J35,$G$32:$G$33,0)),$E$2,IF(ISNUMBER(MATCH(J35,$G$6:$G$24,0)),$C$2,$B$2)))</f>
        <v>1</v>
      </c>
      <c r="K12" s="12" t="str">
        <f t="shared" si="53"/>
        <v>-</v>
      </c>
      <c r="L12" s="12" t="str">
        <f t="shared" si="53"/>
        <v>-</v>
      </c>
      <c r="M12" s="12" t="str">
        <f t="shared" si="53"/>
        <v>-</v>
      </c>
      <c r="N12" s="12" t="str">
        <f t="shared" si="53"/>
        <v>-</v>
      </c>
      <c r="O12" s="12" t="str">
        <f t="shared" si="53"/>
        <v>-</v>
      </c>
      <c r="P12" s="12" t="str">
        <f t="shared" si="53"/>
        <v>-</v>
      </c>
      <c r="Q12" s="12" t="str">
        <f t="shared" si="53"/>
        <v>-</v>
      </c>
      <c r="R12" s="12" t="str">
        <f t="shared" si="53"/>
        <v>-</v>
      </c>
      <c r="S12" s="12" t="str">
        <f t="shared" si="53"/>
        <v>-</v>
      </c>
      <c r="T12" s="12" t="str">
        <f t="shared" si="53"/>
        <v>-</v>
      </c>
      <c r="U12" s="12" t="str">
        <f t="shared" si="53"/>
        <v>-</v>
      </c>
      <c r="V12" s="12" t="str">
        <f t="shared" si="53"/>
        <v>-</v>
      </c>
      <c r="W12" s="12" t="str">
        <f t="shared" si="53"/>
        <v>-</v>
      </c>
      <c r="X12" s="12" t="str">
        <f t="shared" si="53"/>
        <v>-</v>
      </c>
      <c r="Y12" s="12" t="str">
        <f t="shared" si="53"/>
        <v>-</v>
      </c>
      <c r="Z12" s="12" t="str">
        <f t="shared" si="53"/>
        <v>-</v>
      </c>
      <c r="AA12" s="12" t="str">
        <f t="shared" si="53"/>
        <v>-</v>
      </c>
      <c r="AB12" s="12" t="str">
        <f t="shared" si="53"/>
        <v>-</v>
      </c>
      <c r="AC12" s="12" t="str">
        <f t="shared" si="53"/>
        <v>-</v>
      </c>
      <c r="AD12" s="12" t="str">
        <f t="shared" si="53"/>
        <v>-</v>
      </c>
      <c r="AE12" s="12" t="str">
        <f t="shared" si="53"/>
        <v>-</v>
      </c>
      <c r="AF12" s="12" t="str">
        <f t="shared" si="53"/>
        <v>-</v>
      </c>
      <c r="AG12" s="12" t="str">
        <f t="shared" si="53"/>
        <v>-</v>
      </c>
      <c r="AH12" s="12" t="str">
        <f t="shared" si="53"/>
        <v>-</v>
      </c>
      <c r="AI12" s="12" t="str">
        <f t="shared" si="53"/>
        <v>-</v>
      </c>
      <c r="AJ12" s="12" t="str">
        <f t="shared" si="53"/>
        <v>-</v>
      </c>
      <c r="AK12" s="12" t="str">
        <f t="shared" si="53"/>
        <v>-</v>
      </c>
      <c r="AL12" s="12" t="str">
        <f t="shared" si="53"/>
        <v>-</v>
      </c>
      <c r="AM12" s="12" t="str">
        <f t="shared" si="53"/>
        <v>-</v>
      </c>
      <c r="AN12" s="12" t="str">
        <f t="shared" si="53"/>
        <v>-</v>
      </c>
      <c r="AO12" s="12" t="str">
        <f t="shared" si="53"/>
        <v>-</v>
      </c>
      <c r="AP12" s="12" t="str">
        <f t="shared" si="53"/>
        <v>-</v>
      </c>
      <c r="AQ12" s="12" t="str">
        <f t="shared" si="53"/>
        <v>-</v>
      </c>
      <c r="AR12" s="12" t="str">
        <f t="shared" si="53"/>
        <v>-</v>
      </c>
      <c r="AS12" s="12" t="str">
        <f t="shared" si="53"/>
        <v>-</v>
      </c>
      <c r="AT12" s="12" t="str">
        <f t="shared" si="53"/>
        <v>-</v>
      </c>
      <c r="AU12" s="12" t="str">
        <f t="shared" si="53"/>
        <v>-</v>
      </c>
      <c r="AV12" s="12" t="str">
        <f t="shared" si="53"/>
        <v>-</v>
      </c>
      <c r="AW12" s="12" t="str">
        <f t="shared" si="53"/>
        <v>-</v>
      </c>
      <c r="AX12" s="16">
        <f t="shared" si="48"/>
        <v>7</v>
      </c>
      <c r="AY12" s="1"/>
      <c r="AZ12" s="16">
        <v>6</v>
      </c>
      <c r="BA12" s="13">
        <v>500</v>
      </c>
      <c r="BB12" s="13">
        <v>498.80430000000001</v>
      </c>
      <c r="BC12" s="14">
        <v>497.60507000000001</v>
      </c>
      <c r="BD12" s="14">
        <v>496.39908000000003</v>
      </c>
      <c r="BE12" s="14">
        <v>495.18356</v>
      </c>
      <c r="BF12" s="14">
        <v>493.95672999999999</v>
      </c>
      <c r="BG12" s="14">
        <v>492.71884</v>
      </c>
      <c r="BH12" s="14">
        <v>491.47280000000001</v>
      </c>
      <c r="BI12" s="14">
        <v>490.22055</v>
      </c>
      <c r="BJ12" s="14">
        <v>488.96082000000001</v>
      </c>
      <c r="BK12" s="14">
        <v>487.68905999999998</v>
      </c>
      <c r="BL12" s="14">
        <v>486.39929999999998</v>
      </c>
      <c r="BM12" s="14">
        <v>485.0899</v>
      </c>
      <c r="BN12" s="14">
        <v>483.77094</v>
      </c>
      <c r="BO12" s="14">
        <v>482.44684000000001</v>
      </c>
      <c r="BP12" s="14">
        <v>481.11090000000002</v>
      </c>
      <c r="BQ12" s="14">
        <v>479.74579999999997</v>
      </c>
      <c r="BR12" s="14">
        <v>478.33846999999997</v>
      </c>
      <c r="BS12" s="14">
        <v>476.92984000000001</v>
      </c>
      <c r="BT12" s="14">
        <v>475.53976</v>
      </c>
      <c r="BU12" s="14">
        <v>474.17034999999998</v>
      </c>
      <c r="BV12" s="14">
        <v>472.80542000000003</v>
      </c>
      <c r="BW12" s="14">
        <v>471.39758</v>
      </c>
      <c r="BX12" s="14">
        <v>469.86865</v>
      </c>
      <c r="BY12" s="14">
        <v>468.36752000000001</v>
      </c>
      <c r="BZ12" s="14">
        <v>466.92282</v>
      </c>
      <c r="CA12" s="14">
        <v>465.53955000000002</v>
      </c>
      <c r="CB12" s="14">
        <v>464.20853</v>
      </c>
      <c r="CC12" s="14">
        <v>462.8537</v>
      </c>
      <c r="CD12" s="14">
        <v>461.065</v>
      </c>
      <c r="CE12" s="14">
        <v>459.47372000000001</v>
      </c>
      <c r="CF12" s="14">
        <v>458.03203999999999</v>
      </c>
      <c r="CG12" s="14">
        <v>456.77722</v>
      </c>
      <c r="CH12" s="14">
        <v>455.87616000000003</v>
      </c>
      <c r="CI12" s="14">
        <v>-2E+20</v>
      </c>
      <c r="CJ12" s="14">
        <v>-2E+20</v>
      </c>
      <c r="CK12" s="14">
        <v>-2E+20</v>
      </c>
      <c r="CL12" s="14">
        <v>-2E+20</v>
      </c>
      <c r="CM12" s="14">
        <v>-2E+20</v>
      </c>
      <c r="CN12" s="14">
        <v>-2E+20</v>
      </c>
      <c r="CO12" s="14">
        <v>-2E+20</v>
      </c>
      <c r="CP12" s="1"/>
      <c r="CQ12" s="27">
        <f t="shared" si="45"/>
        <v>1</v>
      </c>
      <c r="CR12" s="16">
        <f t="shared" si="49"/>
        <v>7</v>
      </c>
      <c r="CS12" s="24">
        <v>1.49999999999999</v>
      </c>
      <c r="CT12" s="1"/>
      <c r="CU12" s="30">
        <f t="shared" si="41"/>
        <v>2</v>
      </c>
      <c r="CV12" s="31">
        <v>183</v>
      </c>
      <c r="CW12" s="38">
        <f t="shared" si="42"/>
        <v>2.0499999999999998</v>
      </c>
      <c r="CX12" s="29"/>
      <c r="CY12" s="31">
        <v>216.25</v>
      </c>
      <c r="CZ12" s="29"/>
      <c r="DA12" s="31">
        <f>DA8/DA7</f>
        <v>2921.9966180594697</v>
      </c>
      <c r="DB12" s="39">
        <f>DB8/DB11</f>
        <v>80.054794520547944</v>
      </c>
      <c r="DC12" s="1"/>
      <c r="DD12" s="45">
        <v>94672800</v>
      </c>
      <c r="DE12" s="46">
        <f>Jocope!$DA$8/Jocope!DD12</f>
        <v>26.666666666666668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</row>
    <row r="13" spans="1:134" ht="6.75" customHeight="1" x14ac:dyDescent="0.25">
      <c r="A13" s="3">
        <f t="shared" si="46"/>
        <v>8</v>
      </c>
      <c r="B13" s="68">
        <v>8</v>
      </c>
      <c r="C13" s="10">
        <v>0</v>
      </c>
      <c r="D13" s="69">
        <v>0</v>
      </c>
      <c r="E13" s="10">
        <v>0</v>
      </c>
      <c r="F13" s="1"/>
      <c r="G13" s="11" t="str">
        <f t="shared" si="39"/>
        <v>1,9</v>
      </c>
      <c r="H13" s="1"/>
      <c r="I13" s="16">
        <f t="shared" si="43"/>
        <v>8</v>
      </c>
      <c r="J13" s="12">
        <f t="shared" ref="J13:AW13" si="54">IF(ISNUMBER(MATCH(J36,$G$25:$G$29,0)),$D$2,IF(ISNUMBER(MATCH(J36,$G$32:$G$33,0)),$E$2,IF(ISNUMBER(MATCH(J36,$G$6:$G$24,0)),$C$2,$B$2)))</f>
        <v>1</v>
      </c>
      <c r="K13" s="12" t="str">
        <f t="shared" si="54"/>
        <v>-</v>
      </c>
      <c r="L13" s="12" t="str">
        <f t="shared" si="54"/>
        <v>-</v>
      </c>
      <c r="M13" s="12" t="str">
        <f t="shared" si="54"/>
        <v>-</v>
      </c>
      <c r="N13" s="12" t="str">
        <f t="shared" si="54"/>
        <v>-</v>
      </c>
      <c r="O13" s="12" t="str">
        <f t="shared" si="54"/>
        <v>-</v>
      </c>
      <c r="P13" s="12" t="str">
        <f t="shared" si="54"/>
        <v>-</v>
      </c>
      <c r="Q13" s="12" t="str">
        <f t="shared" si="54"/>
        <v>-</v>
      </c>
      <c r="R13" s="12" t="str">
        <f t="shared" si="54"/>
        <v>-</v>
      </c>
      <c r="S13" s="12" t="str">
        <f t="shared" si="54"/>
        <v>-</v>
      </c>
      <c r="T13" s="12" t="str">
        <f t="shared" si="54"/>
        <v>-</v>
      </c>
      <c r="U13" s="12" t="str">
        <f t="shared" si="54"/>
        <v>-</v>
      </c>
      <c r="V13" s="12" t="str">
        <f t="shared" si="54"/>
        <v>-</v>
      </c>
      <c r="W13" s="12" t="str">
        <f t="shared" si="54"/>
        <v>-</v>
      </c>
      <c r="X13" s="12" t="str">
        <f t="shared" si="54"/>
        <v>-</v>
      </c>
      <c r="Y13" s="12" t="str">
        <f t="shared" si="54"/>
        <v>-</v>
      </c>
      <c r="Z13" s="12" t="str">
        <f t="shared" si="54"/>
        <v>-</v>
      </c>
      <c r="AA13" s="12" t="str">
        <f t="shared" si="54"/>
        <v>-</v>
      </c>
      <c r="AB13" s="12" t="str">
        <f t="shared" si="54"/>
        <v>-</v>
      </c>
      <c r="AC13" s="12" t="str">
        <f t="shared" si="54"/>
        <v>-</v>
      </c>
      <c r="AD13" s="12" t="str">
        <f t="shared" si="54"/>
        <v>-</v>
      </c>
      <c r="AE13" s="12" t="str">
        <f t="shared" si="54"/>
        <v>-</v>
      </c>
      <c r="AF13" s="12" t="str">
        <f t="shared" si="54"/>
        <v>-</v>
      </c>
      <c r="AG13" s="12" t="str">
        <f t="shared" si="54"/>
        <v>-</v>
      </c>
      <c r="AH13" s="12" t="str">
        <f t="shared" si="54"/>
        <v>-</v>
      </c>
      <c r="AI13" s="12" t="str">
        <f t="shared" si="54"/>
        <v>-</v>
      </c>
      <c r="AJ13" s="12" t="str">
        <f t="shared" si="54"/>
        <v>-</v>
      </c>
      <c r="AK13" s="12" t="str">
        <f t="shared" si="54"/>
        <v>-</v>
      </c>
      <c r="AL13" s="12" t="str">
        <f t="shared" si="54"/>
        <v>-</v>
      </c>
      <c r="AM13" s="12" t="str">
        <f t="shared" si="54"/>
        <v>-</v>
      </c>
      <c r="AN13" s="12" t="str">
        <f t="shared" si="54"/>
        <v>-</v>
      </c>
      <c r="AO13" s="12" t="str">
        <f t="shared" si="54"/>
        <v>-</v>
      </c>
      <c r="AP13" s="12" t="str">
        <f t="shared" si="54"/>
        <v>-</v>
      </c>
      <c r="AQ13" s="12" t="str">
        <f t="shared" si="54"/>
        <v>-</v>
      </c>
      <c r="AR13" s="12" t="str">
        <f t="shared" si="54"/>
        <v>-</v>
      </c>
      <c r="AS13" s="12" t="str">
        <f t="shared" si="54"/>
        <v>-</v>
      </c>
      <c r="AT13" s="12" t="str">
        <f t="shared" si="54"/>
        <v>-</v>
      </c>
      <c r="AU13" s="12" t="str">
        <f t="shared" si="54"/>
        <v>-</v>
      </c>
      <c r="AV13" s="12" t="str">
        <f t="shared" si="54"/>
        <v>-</v>
      </c>
      <c r="AW13" s="12" t="str">
        <f t="shared" si="54"/>
        <v>-</v>
      </c>
      <c r="AX13" s="16">
        <f t="shared" si="48"/>
        <v>8</v>
      </c>
      <c r="AY13" s="1"/>
      <c r="AZ13" s="16">
        <v>7</v>
      </c>
      <c r="BA13" s="13">
        <v>500</v>
      </c>
      <c r="BB13" s="13">
        <v>498.78280000000001</v>
      </c>
      <c r="BC13" s="14">
        <v>497.56290000000001</v>
      </c>
      <c r="BD13" s="14">
        <v>496.33774</v>
      </c>
      <c r="BE13" s="14">
        <v>495.10532000000001</v>
      </c>
      <c r="BF13" s="14">
        <v>493.86432000000002</v>
      </c>
      <c r="BG13" s="14">
        <v>492.61444</v>
      </c>
      <c r="BH13" s="14">
        <v>491.35645</v>
      </c>
      <c r="BI13" s="14">
        <v>490.09057999999999</v>
      </c>
      <c r="BJ13" s="14">
        <v>488.81585999999999</v>
      </c>
      <c r="BK13" s="14">
        <v>487.52985000000001</v>
      </c>
      <c r="BL13" s="14">
        <v>486.23007000000001</v>
      </c>
      <c r="BM13" s="14">
        <v>484.91604999999998</v>
      </c>
      <c r="BN13" s="14">
        <v>483.59059999999999</v>
      </c>
      <c r="BO13" s="14">
        <v>482.25473</v>
      </c>
      <c r="BP13" s="14">
        <v>480.90514999999999</v>
      </c>
      <c r="BQ13" s="14">
        <v>479.536</v>
      </c>
      <c r="BR13" s="14">
        <v>478.14614999999998</v>
      </c>
      <c r="BS13" s="14">
        <v>476.74907999999999</v>
      </c>
      <c r="BT13" s="14">
        <v>475.35424999999998</v>
      </c>
      <c r="BU13" s="14">
        <v>473.96194000000003</v>
      </c>
      <c r="BV13" s="14">
        <v>472.56195000000002</v>
      </c>
      <c r="BW13" s="14">
        <v>471.1345</v>
      </c>
      <c r="BX13" s="14">
        <v>469.66503999999998</v>
      </c>
      <c r="BY13" s="14">
        <v>468.19585999999998</v>
      </c>
      <c r="BZ13" s="14">
        <v>466.74765000000002</v>
      </c>
      <c r="CA13" s="14">
        <v>465.32288</v>
      </c>
      <c r="CB13" s="14">
        <v>463.90517999999997</v>
      </c>
      <c r="CC13" s="14">
        <v>462.44653</v>
      </c>
      <c r="CD13" s="14">
        <v>460.86757999999998</v>
      </c>
      <c r="CE13" s="14">
        <v>459.32409999999999</v>
      </c>
      <c r="CF13" s="14">
        <v>457.84519999999998</v>
      </c>
      <c r="CG13" s="14">
        <v>456.42345999999998</v>
      </c>
      <c r="CH13" s="14">
        <v>454.97507000000002</v>
      </c>
      <c r="CI13" s="14">
        <v>453.05610000000001</v>
      </c>
      <c r="CJ13" s="14">
        <v>451.33370000000002</v>
      </c>
      <c r="CK13" s="14">
        <v>449.73919999999998</v>
      </c>
      <c r="CL13" s="14">
        <v>448.26961999999997</v>
      </c>
      <c r="CM13" s="14">
        <v>446.98007000000001</v>
      </c>
      <c r="CN13" s="14">
        <v>446.05029999999999</v>
      </c>
      <c r="CO13" s="14">
        <v>-2E+20</v>
      </c>
      <c r="CP13" s="1"/>
      <c r="CQ13" s="27">
        <f t="shared" si="45"/>
        <v>1</v>
      </c>
      <c r="CR13" s="16">
        <f t="shared" si="49"/>
        <v>8</v>
      </c>
      <c r="CS13" s="24">
        <v>1.5833333333333299</v>
      </c>
      <c r="CT13" s="1"/>
      <c r="CU13" s="30">
        <f t="shared" si="41"/>
        <v>2</v>
      </c>
      <c r="CV13" s="31">
        <v>219.6</v>
      </c>
      <c r="CW13" s="38">
        <f t="shared" si="42"/>
        <v>2.6599999999999997</v>
      </c>
      <c r="CX13" s="29"/>
      <c r="CY13" s="31">
        <v>252.5</v>
      </c>
      <c r="CZ13" s="29"/>
      <c r="DA13" s="29"/>
      <c r="DB13" s="1"/>
      <c r="DC13" s="1"/>
      <c r="DD13" s="45">
        <v>157788000</v>
      </c>
      <c r="DE13" s="46">
        <f>Jocope!$DA$8/Jocope!DD13</f>
        <v>16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</row>
    <row r="14" spans="1:134" ht="6.75" customHeight="1" x14ac:dyDescent="0.25">
      <c r="A14" s="3">
        <f t="shared" si="46"/>
        <v>9</v>
      </c>
      <c r="B14" s="68">
        <v>9</v>
      </c>
      <c r="C14" s="10">
        <v>0</v>
      </c>
      <c r="D14" s="69">
        <v>0</v>
      </c>
      <c r="E14" s="10">
        <v>0</v>
      </c>
      <c r="F14" s="1"/>
      <c r="G14" s="11" t="str">
        <f t="shared" si="39"/>
        <v>1,10</v>
      </c>
      <c r="H14" s="1"/>
      <c r="I14" s="16">
        <f t="shared" si="43"/>
        <v>9</v>
      </c>
      <c r="J14" s="12">
        <f t="shared" ref="J14:AW14" si="55">IF(ISNUMBER(MATCH(J37,$G$25:$G$29,0)),$D$2,IF(ISNUMBER(MATCH(J37,$G$32:$G$33,0)),$E$2,IF(ISNUMBER(MATCH(J37,$G$6:$G$24,0)),$C$2,$B$2)))</f>
        <v>1</v>
      </c>
      <c r="K14" s="12" t="str">
        <f t="shared" si="55"/>
        <v>-</v>
      </c>
      <c r="L14" s="12" t="str">
        <f t="shared" si="55"/>
        <v>-</v>
      </c>
      <c r="M14" s="12" t="str">
        <f t="shared" si="55"/>
        <v>-</v>
      </c>
      <c r="N14" s="12" t="str">
        <f t="shared" si="55"/>
        <v>-</v>
      </c>
      <c r="O14" s="12" t="str">
        <f t="shared" si="55"/>
        <v>-</v>
      </c>
      <c r="P14" s="12" t="str">
        <f t="shared" si="55"/>
        <v>-</v>
      </c>
      <c r="Q14" s="12" t="str">
        <f t="shared" si="55"/>
        <v>-</v>
      </c>
      <c r="R14" s="12" t="str">
        <f t="shared" si="55"/>
        <v>-</v>
      </c>
      <c r="S14" s="12" t="str">
        <f t="shared" si="55"/>
        <v>-</v>
      </c>
      <c r="T14" s="12" t="str">
        <f t="shared" si="55"/>
        <v>-</v>
      </c>
      <c r="U14" s="12" t="str">
        <f t="shared" si="55"/>
        <v>-</v>
      </c>
      <c r="V14" s="12" t="str">
        <f t="shared" si="55"/>
        <v>-</v>
      </c>
      <c r="W14" s="12" t="str">
        <f t="shared" si="55"/>
        <v>-</v>
      </c>
      <c r="X14" s="12" t="str">
        <f t="shared" si="55"/>
        <v>-</v>
      </c>
      <c r="Y14" s="12" t="str">
        <f t="shared" si="55"/>
        <v>-</v>
      </c>
      <c r="Z14" s="12" t="str">
        <f t="shared" si="55"/>
        <v>-</v>
      </c>
      <c r="AA14" s="12" t="str">
        <f t="shared" si="55"/>
        <v>-</v>
      </c>
      <c r="AB14" s="12" t="str">
        <f t="shared" si="55"/>
        <v>-</v>
      </c>
      <c r="AC14" s="12" t="str">
        <f t="shared" si="55"/>
        <v>-</v>
      </c>
      <c r="AD14" s="12" t="str">
        <f t="shared" si="55"/>
        <v>-</v>
      </c>
      <c r="AE14" s="12" t="str">
        <f t="shared" si="55"/>
        <v>-</v>
      </c>
      <c r="AF14" s="12" t="str">
        <f t="shared" si="55"/>
        <v>-</v>
      </c>
      <c r="AG14" s="12" t="str">
        <f t="shared" si="55"/>
        <v>-</v>
      </c>
      <c r="AH14" s="12" t="str">
        <f t="shared" si="55"/>
        <v>-</v>
      </c>
      <c r="AI14" s="12" t="str">
        <f t="shared" si="55"/>
        <v>-</v>
      </c>
      <c r="AJ14" s="12" t="str">
        <f t="shared" si="55"/>
        <v>-</v>
      </c>
      <c r="AK14" s="12" t="str">
        <f t="shared" si="55"/>
        <v>-</v>
      </c>
      <c r="AL14" s="12" t="str">
        <f t="shared" si="55"/>
        <v>-</v>
      </c>
      <c r="AM14" s="12" t="str">
        <f t="shared" si="55"/>
        <v>-</v>
      </c>
      <c r="AN14" s="12" t="str">
        <f t="shared" si="55"/>
        <v>-</v>
      </c>
      <c r="AO14" s="12" t="str">
        <f t="shared" si="55"/>
        <v>-</v>
      </c>
      <c r="AP14" s="12" t="str">
        <f t="shared" si="55"/>
        <v>-</v>
      </c>
      <c r="AQ14" s="12" t="str">
        <f t="shared" si="55"/>
        <v>-</v>
      </c>
      <c r="AR14" s="12" t="str">
        <f t="shared" si="55"/>
        <v>-</v>
      </c>
      <c r="AS14" s="12" t="str">
        <f t="shared" si="55"/>
        <v>-</v>
      </c>
      <c r="AT14" s="12" t="str">
        <f t="shared" si="55"/>
        <v>-</v>
      </c>
      <c r="AU14" s="12" t="str">
        <f t="shared" si="55"/>
        <v>-</v>
      </c>
      <c r="AV14" s="12" t="str">
        <f t="shared" si="55"/>
        <v>-</v>
      </c>
      <c r="AW14" s="12" t="str">
        <f t="shared" si="55"/>
        <v>-</v>
      </c>
      <c r="AX14" s="16">
        <f t="shared" si="48"/>
        <v>9</v>
      </c>
      <c r="AY14" s="1"/>
      <c r="AZ14" s="16">
        <v>8</v>
      </c>
      <c r="BA14" s="13">
        <v>500</v>
      </c>
      <c r="BB14" s="13">
        <v>498.76404000000002</v>
      </c>
      <c r="BC14" s="14">
        <v>497.52593999999999</v>
      </c>
      <c r="BD14" s="14">
        <v>496.28372000000002</v>
      </c>
      <c r="BE14" s="14">
        <v>495.03568000000001</v>
      </c>
      <c r="BF14" s="14">
        <v>493.78070000000002</v>
      </c>
      <c r="BG14" s="14">
        <v>492.51819999999998</v>
      </c>
      <c r="BH14" s="14">
        <v>491.24792000000002</v>
      </c>
      <c r="BI14" s="14">
        <v>489.96953999999999</v>
      </c>
      <c r="BJ14" s="14">
        <v>488.68216000000001</v>
      </c>
      <c r="BK14" s="14">
        <v>487.38443000000001</v>
      </c>
      <c r="BL14" s="14">
        <v>486.07504</v>
      </c>
      <c r="BM14" s="14">
        <v>484.75362999999999</v>
      </c>
      <c r="BN14" s="14">
        <v>483.42075</v>
      </c>
      <c r="BO14" s="14">
        <v>482.07632000000001</v>
      </c>
      <c r="BP14" s="14">
        <v>480.71899999999999</v>
      </c>
      <c r="BQ14" s="14">
        <v>479.34694999999999</v>
      </c>
      <c r="BR14" s="14">
        <v>477.96096999999997</v>
      </c>
      <c r="BS14" s="14">
        <v>476.56607000000002</v>
      </c>
      <c r="BT14" s="14">
        <v>475.16622999999998</v>
      </c>
      <c r="BU14" s="14">
        <v>473.76119999999997</v>
      </c>
      <c r="BV14" s="14">
        <v>472.346</v>
      </c>
      <c r="BW14" s="14">
        <v>470.91332999999997</v>
      </c>
      <c r="BX14" s="14">
        <v>469.46114999999998</v>
      </c>
      <c r="BY14" s="14">
        <v>468.00319999999999</v>
      </c>
      <c r="BZ14" s="14">
        <v>466.54906999999997</v>
      </c>
      <c r="CA14" s="14">
        <v>465.09910000000002</v>
      </c>
      <c r="CB14" s="14">
        <v>463.64280000000002</v>
      </c>
      <c r="CC14" s="14">
        <v>462.15973000000002</v>
      </c>
      <c r="CD14" s="14">
        <v>460.63470000000001</v>
      </c>
      <c r="CE14" s="14">
        <v>459.10986000000003</v>
      </c>
      <c r="CF14" s="14">
        <v>457.60126000000002</v>
      </c>
      <c r="CG14" s="14">
        <v>456.09636999999998</v>
      </c>
      <c r="CH14" s="14">
        <v>454.5446</v>
      </c>
      <c r="CI14" s="14">
        <v>452.85953000000001</v>
      </c>
      <c r="CJ14" s="14">
        <v>451.20584000000002</v>
      </c>
      <c r="CK14" s="14">
        <v>449.61430000000001</v>
      </c>
      <c r="CL14" s="14">
        <v>448.08956999999998</v>
      </c>
      <c r="CM14" s="14">
        <v>446.62033000000002</v>
      </c>
      <c r="CN14" s="14">
        <v>445.12047999999999</v>
      </c>
      <c r="CO14" s="14">
        <v>443.13150000000002</v>
      </c>
      <c r="CP14" s="1"/>
      <c r="CQ14" s="27">
        <f t="shared" si="45"/>
        <v>1</v>
      </c>
      <c r="CR14" s="16">
        <f t="shared" si="49"/>
        <v>9</v>
      </c>
      <c r="CS14" s="24">
        <v>1.6666666666666601</v>
      </c>
      <c r="CT14" s="1"/>
      <c r="CU14" s="30">
        <f t="shared" si="41"/>
        <v>2</v>
      </c>
      <c r="CV14" s="31">
        <v>256.2</v>
      </c>
      <c r="CW14" s="38">
        <f t="shared" si="42"/>
        <v>3.2699999999999996</v>
      </c>
      <c r="CX14" s="29"/>
      <c r="CY14" s="31">
        <v>288.75</v>
      </c>
      <c r="CZ14" s="29"/>
      <c r="DA14" s="29"/>
      <c r="DB14" s="1"/>
      <c r="DC14" s="1"/>
      <c r="DD14" s="45">
        <v>220903200</v>
      </c>
      <c r="DE14" s="46">
        <f>Jocope!$DA$8/Jocope!DD14</f>
        <v>11.428571428571429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</row>
    <row r="15" spans="1:134" ht="6.75" customHeight="1" x14ac:dyDescent="0.25">
      <c r="A15" s="3">
        <f t="shared" si="46"/>
        <v>10</v>
      </c>
      <c r="B15" s="68">
        <v>10</v>
      </c>
      <c r="C15" s="10">
        <v>0</v>
      </c>
      <c r="D15" s="69">
        <v>0</v>
      </c>
      <c r="E15" s="10">
        <v>0</v>
      </c>
      <c r="F15" s="1"/>
      <c r="G15" s="11" t="str">
        <f t="shared" si="39"/>
        <v>1,11</v>
      </c>
      <c r="H15" s="1"/>
      <c r="I15" s="16">
        <f t="shared" si="43"/>
        <v>10</v>
      </c>
      <c r="J15" s="12">
        <f t="shared" ref="J15:AW15" si="56">IF(ISNUMBER(MATCH(J38,$G$25:$G$29,0)),$D$2,IF(ISNUMBER(MATCH(J38,$G$32:$G$33,0)),$E$2,IF(ISNUMBER(MATCH(J38,$G$6:$G$24,0)),$C$2,$B$2)))</f>
        <v>1</v>
      </c>
      <c r="K15" s="12" t="str">
        <f t="shared" si="56"/>
        <v>-</v>
      </c>
      <c r="L15" s="12" t="str">
        <f t="shared" si="56"/>
        <v>-</v>
      </c>
      <c r="M15" s="12" t="str">
        <f t="shared" si="56"/>
        <v>-</v>
      </c>
      <c r="N15" s="12" t="str">
        <f t="shared" si="56"/>
        <v>-</v>
      </c>
      <c r="O15" s="12" t="str">
        <f t="shared" si="56"/>
        <v>-</v>
      </c>
      <c r="P15" s="12" t="str">
        <f t="shared" si="56"/>
        <v>-</v>
      </c>
      <c r="Q15" s="12" t="str">
        <f t="shared" si="56"/>
        <v>-</v>
      </c>
      <c r="R15" s="12" t="str">
        <f t="shared" si="56"/>
        <v>-</v>
      </c>
      <c r="S15" s="12" t="str">
        <f t="shared" si="56"/>
        <v>-</v>
      </c>
      <c r="T15" s="12" t="str">
        <f t="shared" si="56"/>
        <v>-</v>
      </c>
      <c r="U15" s="12" t="str">
        <f t="shared" si="56"/>
        <v>-</v>
      </c>
      <c r="V15" s="12" t="str">
        <f t="shared" si="56"/>
        <v>-</v>
      </c>
      <c r="W15" s="12" t="str">
        <f t="shared" si="56"/>
        <v>-</v>
      </c>
      <c r="X15" s="12" t="str">
        <f t="shared" si="56"/>
        <v>-</v>
      </c>
      <c r="Y15" s="12" t="str">
        <f t="shared" si="56"/>
        <v>-</v>
      </c>
      <c r="Z15" s="12" t="str">
        <f t="shared" si="56"/>
        <v>-</v>
      </c>
      <c r="AA15" s="12" t="str">
        <f t="shared" si="56"/>
        <v>-</v>
      </c>
      <c r="AB15" s="12" t="str">
        <f t="shared" si="56"/>
        <v>-</v>
      </c>
      <c r="AC15" s="12" t="str">
        <f t="shared" si="56"/>
        <v>-</v>
      </c>
      <c r="AD15" s="12" t="str">
        <f t="shared" si="56"/>
        <v>-</v>
      </c>
      <c r="AE15" s="12" t="str">
        <f t="shared" si="56"/>
        <v>-</v>
      </c>
      <c r="AF15" s="12" t="str">
        <f t="shared" si="56"/>
        <v>-</v>
      </c>
      <c r="AG15" s="12" t="str">
        <f t="shared" si="56"/>
        <v>-</v>
      </c>
      <c r="AH15" s="12" t="str">
        <f t="shared" si="56"/>
        <v>-</v>
      </c>
      <c r="AI15" s="12" t="str">
        <f t="shared" si="56"/>
        <v>-</v>
      </c>
      <c r="AJ15" s="12" t="str">
        <f t="shared" si="56"/>
        <v>-</v>
      </c>
      <c r="AK15" s="12" t="str">
        <f t="shared" si="56"/>
        <v>-</v>
      </c>
      <c r="AL15" s="12" t="str">
        <f t="shared" si="56"/>
        <v>-</v>
      </c>
      <c r="AM15" s="12" t="str">
        <f t="shared" si="56"/>
        <v>-</v>
      </c>
      <c r="AN15" s="12" t="str">
        <f t="shared" si="56"/>
        <v>-</v>
      </c>
      <c r="AO15" s="12" t="str">
        <f t="shared" si="56"/>
        <v>-</v>
      </c>
      <c r="AP15" s="12" t="str">
        <f t="shared" si="56"/>
        <v>-</v>
      </c>
      <c r="AQ15" s="12" t="str">
        <f t="shared" si="56"/>
        <v>-</v>
      </c>
      <c r="AR15" s="12" t="str">
        <f t="shared" si="56"/>
        <v>-</v>
      </c>
      <c r="AS15" s="12" t="str">
        <f t="shared" si="56"/>
        <v>-</v>
      </c>
      <c r="AT15" s="12" t="str">
        <f t="shared" si="56"/>
        <v>-</v>
      </c>
      <c r="AU15" s="12" t="str">
        <f t="shared" si="56"/>
        <v>-</v>
      </c>
      <c r="AV15" s="12" t="str">
        <f t="shared" si="56"/>
        <v>-</v>
      </c>
      <c r="AW15" s="12" t="str">
        <f t="shared" si="56"/>
        <v>-</v>
      </c>
      <c r="AX15" s="16">
        <f t="shared" si="48"/>
        <v>10</v>
      </c>
      <c r="AY15" s="1"/>
      <c r="AZ15" s="16">
        <v>9</v>
      </c>
      <c r="BA15" s="13">
        <v>500</v>
      </c>
      <c r="BB15" s="13">
        <v>498.74743999999998</v>
      </c>
      <c r="BC15" s="14">
        <v>497.49313000000001</v>
      </c>
      <c r="BD15" s="14">
        <v>496.23543999999998</v>
      </c>
      <c r="BE15" s="14">
        <v>494.97300000000001</v>
      </c>
      <c r="BF15" s="14">
        <v>493.70468</v>
      </c>
      <c r="BG15" s="14">
        <v>492.42970000000003</v>
      </c>
      <c r="BH15" s="14">
        <v>491.14749999999998</v>
      </c>
      <c r="BI15" s="14">
        <v>489.85744999999997</v>
      </c>
      <c r="BJ15" s="14">
        <v>488.55883999999998</v>
      </c>
      <c r="BK15" s="14">
        <v>487.25063999999998</v>
      </c>
      <c r="BL15" s="14">
        <v>485.93209999999999</v>
      </c>
      <c r="BM15" s="14">
        <v>484.60271999999998</v>
      </c>
      <c r="BN15" s="14">
        <v>483.26240000000001</v>
      </c>
      <c r="BO15" s="14">
        <v>481.91086000000001</v>
      </c>
      <c r="BP15" s="14">
        <v>480.54752000000002</v>
      </c>
      <c r="BQ15" s="14">
        <v>479.17189999999999</v>
      </c>
      <c r="BR15" s="14">
        <v>477.78473000000002</v>
      </c>
      <c r="BS15" s="14">
        <v>476.38803000000001</v>
      </c>
      <c r="BT15" s="14">
        <v>474.98340000000002</v>
      </c>
      <c r="BU15" s="14">
        <v>473.57065</v>
      </c>
      <c r="BV15" s="14">
        <v>472.14758</v>
      </c>
      <c r="BW15" s="14">
        <v>470.71167000000003</v>
      </c>
      <c r="BX15" s="14">
        <v>469.26306</v>
      </c>
      <c r="BY15" s="14">
        <v>467.80667</v>
      </c>
      <c r="BZ15" s="14">
        <v>466.34636999999998</v>
      </c>
      <c r="CA15" s="14">
        <v>464.88164999999998</v>
      </c>
      <c r="CB15" s="14">
        <v>463.40717000000001</v>
      </c>
      <c r="CC15" s="14">
        <v>461.91482999999999</v>
      </c>
      <c r="CD15" s="14">
        <v>460.40159999999997</v>
      </c>
      <c r="CE15" s="14">
        <v>458.87939999999998</v>
      </c>
      <c r="CF15" s="14">
        <v>457.35352</v>
      </c>
      <c r="CG15" s="14">
        <v>455.81621999999999</v>
      </c>
      <c r="CH15" s="14">
        <v>454.24734000000001</v>
      </c>
      <c r="CI15" s="14">
        <v>452.63159999999999</v>
      </c>
      <c r="CJ15" s="14">
        <v>451.01578000000001</v>
      </c>
      <c r="CK15" s="14">
        <v>449.42255</v>
      </c>
      <c r="CL15" s="14">
        <v>447.85399999999998</v>
      </c>
      <c r="CM15" s="14">
        <v>446.29122999999998</v>
      </c>
      <c r="CN15" s="14">
        <v>444.67984000000001</v>
      </c>
      <c r="CO15" s="14">
        <v>442.93</v>
      </c>
      <c r="CP15" s="1"/>
      <c r="CQ15" s="27">
        <f t="shared" si="45"/>
        <v>1</v>
      </c>
      <c r="CR15" s="16">
        <f t="shared" si="49"/>
        <v>10</v>
      </c>
      <c r="CS15" s="24">
        <v>1.74999999999999</v>
      </c>
      <c r="CT15" s="1"/>
      <c r="CU15" s="30">
        <f t="shared" si="41"/>
        <v>2</v>
      </c>
      <c r="CV15" s="31">
        <v>292.8</v>
      </c>
      <c r="CW15" s="38">
        <f t="shared" si="42"/>
        <v>3.88</v>
      </c>
      <c r="CX15" s="29"/>
      <c r="CY15" s="31">
        <v>325</v>
      </c>
      <c r="CZ15" s="29"/>
      <c r="DA15" s="29"/>
      <c r="DB15" s="1"/>
      <c r="DC15" s="1"/>
      <c r="DD15" s="45">
        <v>946728000</v>
      </c>
      <c r="DE15" s="46">
        <f>Jocope!$DA$8/Jocope!DD15</f>
        <v>2.6666666666666665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</row>
    <row r="16" spans="1:134" ht="6.75" customHeight="1" x14ac:dyDescent="0.25">
      <c r="A16" s="3">
        <f t="shared" si="46"/>
        <v>11</v>
      </c>
      <c r="B16" s="68">
        <v>11</v>
      </c>
      <c r="C16" s="10">
        <v>0</v>
      </c>
      <c r="D16" s="69">
        <v>0</v>
      </c>
      <c r="E16" s="10">
        <v>0</v>
      </c>
      <c r="F16" s="1"/>
      <c r="G16" s="11" t="str">
        <f t="shared" si="39"/>
        <v>1,12</v>
      </c>
      <c r="H16" s="1"/>
      <c r="I16" s="16">
        <f t="shared" si="43"/>
        <v>11</v>
      </c>
      <c r="J16" s="12">
        <f t="shared" ref="J16:AW16" si="57">IF(ISNUMBER(MATCH(J39,$G$25:$G$29,0)),$D$2,IF(ISNUMBER(MATCH(J39,$G$32:$G$33,0)),$E$2,IF(ISNUMBER(MATCH(J39,$G$6:$G$24,0)),$C$2,$B$2)))</f>
        <v>1</v>
      </c>
      <c r="K16" s="12" t="str">
        <f t="shared" si="57"/>
        <v>-</v>
      </c>
      <c r="L16" s="12" t="str">
        <f t="shared" si="57"/>
        <v>-</v>
      </c>
      <c r="M16" s="12" t="str">
        <f t="shared" si="57"/>
        <v>-</v>
      </c>
      <c r="N16" s="12" t="str">
        <f t="shared" si="57"/>
        <v>-</v>
      </c>
      <c r="O16" s="12" t="str">
        <f t="shared" si="57"/>
        <v>-</v>
      </c>
      <c r="P16" s="12" t="str">
        <f t="shared" si="57"/>
        <v>-</v>
      </c>
      <c r="Q16" s="12" t="str">
        <f t="shared" si="57"/>
        <v>-</v>
      </c>
      <c r="R16" s="12" t="str">
        <f t="shared" si="57"/>
        <v>-</v>
      </c>
      <c r="S16" s="12" t="str">
        <f t="shared" si="57"/>
        <v>-</v>
      </c>
      <c r="T16" s="12" t="str">
        <f t="shared" si="57"/>
        <v>-</v>
      </c>
      <c r="U16" s="12" t="str">
        <f t="shared" si="57"/>
        <v>-</v>
      </c>
      <c r="V16" s="12" t="str">
        <f t="shared" si="57"/>
        <v>-</v>
      </c>
      <c r="W16" s="12" t="str">
        <f t="shared" si="57"/>
        <v>-</v>
      </c>
      <c r="X16" s="12" t="str">
        <f t="shared" si="57"/>
        <v>-</v>
      </c>
      <c r="Y16" s="12" t="str">
        <f t="shared" si="57"/>
        <v>-</v>
      </c>
      <c r="Z16" s="12" t="str">
        <f t="shared" si="57"/>
        <v>-</v>
      </c>
      <c r="AA16" s="12" t="str">
        <f t="shared" si="57"/>
        <v>-</v>
      </c>
      <c r="AB16" s="12" t="str">
        <f t="shared" si="57"/>
        <v>-</v>
      </c>
      <c r="AC16" s="12" t="str">
        <f t="shared" si="57"/>
        <v>-</v>
      </c>
      <c r="AD16" s="12" t="str">
        <f t="shared" si="57"/>
        <v>-</v>
      </c>
      <c r="AE16" s="12" t="str">
        <f t="shared" si="57"/>
        <v>-</v>
      </c>
      <c r="AF16" s="12" t="str">
        <f t="shared" si="57"/>
        <v>-</v>
      </c>
      <c r="AG16" s="12" t="str">
        <f t="shared" si="57"/>
        <v>-</v>
      </c>
      <c r="AH16" s="12" t="str">
        <f t="shared" si="57"/>
        <v>-</v>
      </c>
      <c r="AI16" s="12" t="str">
        <f t="shared" si="57"/>
        <v>-</v>
      </c>
      <c r="AJ16" s="12" t="str">
        <f t="shared" si="57"/>
        <v>-</v>
      </c>
      <c r="AK16" s="12" t="str">
        <f t="shared" si="57"/>
        <v>-</v>
      </c>
      <c r="AL16" s="12" t="str">
        <f t="shared" si="57"/>
        <v>-</v>
      </c>
      <c r="AM16" s="12" t="str">
        <f t="shared" si="57"/>
        <v>-</v>
      </c>
      <c r="AN16" s="12" t="str">
        <f t="shared" si="57"/>
        <v>-</v>
      </c>
      <c r="AO16" s="12" t="str">
        <f t="shared" si="57"/>
        <v>-</v>
      </c>
      <c r="AP16" s="12" t="str">
        <f t="shared" si="57"/>
        <v>-</v>
      </c>
      <c r="AQ16" s="12" t="str">
        <f t="shared" si="57"/>
        <v>-</v>
      </c>
      <c r="AR16" s="12" t="str">
        <f t="shared" si="57"/>
        <v>-</v>
      </c>
      <c r="AS16" s="12" t="str">
        <f t="shared" si="57"/>
        <v>-</v>
      </c>
      <c r="AT16" s="12" t="str">
        <f t="shared" si="57"/>
        <v>-</v>
      </c>
      <c r="AU16" s="12" t="str">
        <f t="shared" si="57"/>
        <v>-</v>
      </c>
      <c r="AV16" s="12" t="str">
        <f t="shared" si="57"/>
        <v>-</v>
      </c>
      <c r="AW16" s="12" t="str">
        <f t="shared" si="57"/>
        <v>-</v>
      </c>
      <c r="AX16" s="16">
        <f t="shared" si="48"/>
        <v>11</v>
      </c>
      <c r="AY16" s="1"/>
      <c r="AZ16" s="16">
        <v>10</v>
      </c>
      <c r="BA16" s="13">
        <v>500</v>
      </c>
      <c r="BB16" s="13">
        <v>498.73257000000001</v>
      </c>
      <c r="BC16" s="14">
        <v>497.46370000000002</v>
      </c>
      <c r="BD16" s="14">
        <v>496.19200000000001</v>
      </c>
      <c r="BE16" s="14">
        <v>494.9162</v>
      </c>
      <c r="BF16" s="14">
        <v>493.63528000000002</v>
      </c>
      <c r="BG16" s="14">
        <v>492.34841999999998</v>
      </c>
      <c r="BH16" s="14">
        <v>491.05489999999998</v>
      </c>
      <c r="BI16" s="14">
        <v>489.75400000000002</v>
      </c>
      <c r="BJ16" s="14">
        <v>488.44504000000001</v>
      </c>
      <c r="BK16" s="14">
        <v>487.12723</v>
      </c>
      <c r="BL16" s="14">
        <v>485.79996</v>
      </c>
      <c r="BM16" s="14">
        <v>484.46269999999998</v>
      </c>
      <c r="BN16" s="14">
        <v>483.11523</v>
      </c>
      <c r="BO16" s="14">
        <v>481.75716999999997</v>
      </c>
      <c r="BP16" s="14">
        <v>480.38828000000001</v>
      </c>
      <c r="BQ16" s="14">
        <v>479.00839999999999</v>
      </c>
      <c r="BR16" s="14">
        <v>477.61797999999999</v>
      </c>
      <c r="BS16" s="14">
        <v>476.21789999999999</v>
      </c>
      <c r="BT16" s="14">
        <v>474.80871999999999</v>
      </c>
      <c r="BU16" s="14">
        <v>473.39037999999999</v>
      </c>
      <c r="BV16" s="14">
        <v>471.96197999999998</v>
      </c>
      <c r="BW16" s="14">
        <v>470.52267000000001</v>
      </c>
      <c r="BX16" s="14">
        <v>469.07278000000002</v>
      </c>
      <c r="BY16" s="14">
        <v>467.61410000000001</v>
      </c>
      <c r="BZ16" s="14">
        <v>466.14803999999998</v>
      </c>
      <c r="CA16" s="14">
        <v>464.67399999999998</v>
      </c>
      <c r="CB16" s="14">
        <v>463.18936000000002</v>
      </c>
      <c r="CC16" s="14">
        <v>461.69085999999999</v>
      </c>
      <c r="CD16" s="14">
        <v>460.17752000000002</v>
      </c>
      <c r="CE16" s="14">
        <v>458.65260000000001</v>
      </c>
      <c r="CF16" s="14">
        <v>457.11721999999997</v>
      </c>
      <c r="CG16" s="14">
        <v>455.56765999999999</v>
      </c>
      <c r="CH16" s="14">
        <v>453.99698000000001</v>
      </c>
      <c r="CI16" s="14">
        <v>452.40370000000001</v>
      </c>
      <c r="CJ16" s="14">
        <v>450.8032</v>
      </c>
      <c r="CK16" s="14">
        <v>449.20614999999998</v>
      </c>
      <c r="CL16" s="14">
        <v>447.61264</v>
      </c>
      <c r="CM16" s="14">
        <v>446.01076999999998</v>
      </c>
      <c r="CN16" s="14">
        <v>444.3777</v>
      </c>
      <c r="CO16" s="14">
        <v>442.69655999999998</v>
      </c>
      <c r="CP16" s="1"/>
      <c r="CQ16" s="27">
        <f t="shared" si="45"/>
        <v>1</v>
      </c>
      <c r="CR16" s="16">
        <f t="shared" si="49"/>
        <v>11</v>
      </c>
      <c r="CS16" s="24">
        <v>1.8333333333333299</v>
      </c>
      <c r="CT16" s="1"/>
      <c r="CU16" s="30">
        <f t="shared" si="41"/>
        <v>2</v>
      </c>
      <c r="CV16" s="31">
        <v>329.4</v>
      </c>
      <c r="CW16" s="38">
        <f t="shared" si="42"/>
        <v>4.4899999999999993</v>
      </c>
      <c r="CX16" s="29"/>
      <c r="CY16" s="31">
        <v>361.25</v>
      </c>
      <c r="CZ16" s="29"/>
      <c r="DA16" s="29"/>
      <c r="DB16" s="1"/>
      <c r="DC16" s="1"/>
      <c r="DD16" s="45">
        <v>1105000000</v>
      </c>
      <c r="DE16" s="46">
        <f>Jocope!$DA$8/Jocope!DD16</f>
        <v>2.2847131221719459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</row>
    <row r="17" spans="1:134" ht="6.75" customHeight="1" x14ac:dyDescent="0.25">
      <c r="A17" s="3">
        <f t="shared" si="46"/>
        <v>12</v>
      </c>
      <c r="B17" s="68">
        <v>12</v>
      </c>
      <c r="C17" s="10">
        <v>0</v>
      </c>
      <c r="D17" s="69">
        <v>0</v>
      </c>
      <c r="E17" s="10">
        <v>0</v>
      </c>
      <c r="F17" s="1"/>
      <c r="G17" s="11" t="str">
        <f t="shared" si="39"/>
        <v>1,13</v>
      </c>
      <c r="H17" s="1"/>
      <c r="I17" s="16">
        <f t="shared" si="43"/>
        <v>12</v>
      </c>
      <c r="J17" s="12">
        <f t="shared" ref="J17:AW17" si="58">IF(ISNUMBER(MATCH(J40,$G$25:$G$29,0)),$D$2,IF(ISNUMBER(MATCH(J40,$G$32:$G$33,0)),$E$2,IF(ISNUMBER(MATCH(J40,$G$6:$G$24,0)),$C$2,$B$2)))</f>
        <v>1</v>
      </c>
      <c r="K17" s="12" t="str">
        <f t="shared" si="58"/>
        <v>-</v>
      </c>
      <c r="L17" s="12" t="str">
        <f t="shared" si="58"/>
        <v>-</v>
      </c>
      <c r="M17" s="12" t="str">
        <f t="shared" si="58"/>
        <v>-</v>
      </c>
      <c r="N17" s="12" t="str">
        <f t="shared" si="58"/>
        <v>-</v>
      </c>
      <c r="O17" s="12" t="str">
        <f t="shared" si="58"/>
        <v>-</v>
      </c>
      <c r="P17" s="12" t="str">
        <f t="shared" si="58"/>
        <v>-</v>
      </c>
      <c r="Q17" s="12" t="str">
        <f t="shared" si="58"/>
        <v>-</v>
      </c>
      <c r="R17" s="12" t="str">
        <f t="shared" si="58"/>
        <v>-</v>
      </c>
      <c r="S17" s="12" t="str">
        <f t="shared" si="58"/>
        <v>-</v>
      </c>
      <c r="T17" s="12" t="str">
        <f t="shared" si="58"/>
        <v>-</v>
      </c>
      <c r="U17" s="12" t="str">
        <f t="shared" si="58"/>
        <v>-</v>
      </c>
      <c r="V17" s="12" t="str">
        <f t="shared" si="58"/>
        <v>-</v>
      </c>
      <c r="W17" s="12" t="str">
        <f t="shared" si="58"/>
        <v>-</v>
      </c>
      <c r="X17" s="12" t="str">
        <f t="shared" si="58"/>
        <v>-</v>
      </c>
      <c r="Y17" s="12" t="str">
        <f t="shared" si="58"/>
        <v>-</v>
      </c>
      <c r="Z17" s="12" t="str">
        <f t="shared" si="58"/>
        <v>-</v>
      </c>
      <c r="AA17" s="12" t="str">
        <f t="shared" si="58"/>
        <v>-</v>
      </c>
      <c r="AB17" s="12" t="str">
        <f t="shared" si="58"/>
        <v>-</v>
      </c>
      <c r="AC17" s="12" t="str">
        <f t="shared" si="58"/>
        <v>-</v>
      </c>
      <c r="AD17" s="12" t="str">
        <f t="shared" si="58"/>
        <v>-</v>
      </c>
      <c r="AE17" s="12" t="str">
        <f t="shared" si="58"/>
        <v>-</v>
      </c>
      <c r="AF17" s="12" t="str">
        <f t="shared" si="58"/>
        <v>-</v>
      </c>
      <c r="AG17" s="12" t="str">
        <f t="shared" si="58"/>
        <v>-</v>
      </c>
      <c r="AH17" s="12" t="str">
        <f t="shared" si="58"/>
        <v>-</v>
      </c>
      <c r="AI17" s="12" t="str">
        <f t="shared" si="58"/>
        <v>-</v>
      </c>
      <c r="AJ17" s="12" t="str">
        <f t="shared" si="58"/>
        <v>-</v>
      </c>
      <c r="AK17" s="12" t="str">
        <f t="shared" si="58"/>
        <v>-</v>
      </c>
      <c r="AL17" s="12" t="str">
        <f t="shared" si="58"/>
        <v>-</v>
      </c>
      <c r="AM17" s="12" t="str">
        <f t="shared" si="58"/>
        <v>-</v>
      </c>
      <c r="AN17" s="12" t="str">
        <f t="shared" si="58"/>
        <v>-</v>
      </c>
      <c r="AO17" s="12" t="str">
        <f t="shared" si="58"/>
        <v>-</v>
      </c>
      <c r="AP17" s="12" t="str">
        <f t="shared" si="58"/>
        <v>-</v>
      </c>
      <c r="AQ17" s="12" t="str">
        <f t="shared" si="58"/>
        <v>-</v>
      </c>
      <c r="AR17" s="12" t="str">
        <f t="shared" si="58"/>
        <v>-</v>
      </c>
      <c r="AS17" s="12" t="str">
        <f t="shared" si="58"/>
        <v>-</v>
      </c>
      <c r="AT17" s="12" t="str">
        <f t="shared" si="58"/>
        <v>-</v>
      </c>
      <c r="AU17" s="12" t="str">
        <f t="shared" si="58"/>
        <v>-</v>
      </c>
      <c r="AV17" s="12" t="str">
        <f t="shared" si="58"/>
        <v>-</v>
      </c>
      <c r="AW17" s="12" t="str">
        <f t="shared" si="58"/>
        <v>-</v>
      </c>
      <c r="AX17" s="16">
        <f t="shared" si="48"/>
        <v>12</v>
      </c>
      <c r="AY17" s="1"/>
      <c r="AZ17" s="16">
        <v>11</v>
      </c>
      <c r="BA17" s="13">
        <v>500</v>
      </c>
      <c r="BB17" s="13">
        <v>498.71917999999999</v>
      </c>
      <c r="BC17" s="14">
        <v>497.43709999999999</v>
      </c>
      <c r="BD17" s="14">
        <v>496.15260000000001</v>
      </c>
      <c r="BE17" s="14">
        <v>494.86446999999998</v>
      </c>
      <c r="BF17" s="14">
        <v>493.57184000000001</v>
      </c>
      <c r="BG17" s="14">
        <v>492.27382999999998</v>
      </c>
      <c r="BH17" s="14">
        <v>490.96967000000001</v>
      </c>
      <c r="BI17" s="14">
        <v>489.65863000000002</v>
      </c>
      <c r="BJ17" s="14">
        <v>488.34005999999999</v>
      </c>
      <c r="BK17" s="14">
        <v>487.01330000000002</v>
      </c>
      <c r="BL17" s="14">
        <v>485.67775999999998</v>
      </c>
      <c r="BM17" s="14">
        <v>484.33300000000003</v>
      </c>
      <c r="BN17" s="14">
        <v>482.97863999999998</v>
      </c>
      <c r="BO17" s="14">
        <v>481.61437999999998</v>
      </c>
      <c r="BP17" s="14">
        <v>480.24</v>
      </c>
      <c r="BQ17" s="14">
        <v>478.85547000000003</v>
      </c>
      <c r="BR17" s="14">
        <v>477.46093999999999</v>
      </c>
      <c r="BS17" s="14">
        <v>476.05680000000001</v>
      </c>
      <c r="BT17" s="14">
        <v>474.64321999999999</v>
      </c>
      <c r="BU17" s="14">
        <v>473.22018000000003</v>
      </c>
      <c r="BV17" s="14">
        <v>471.78730000000002</v>
      </c>
      <c r="BW17" s="14">
        <v>470.34426999999999</v>
      </c>
      <c r="BX17" s="14">
        <v>468.89127000000002</v>
      </c>
      <c r="BY17" s="14">
        <v>467.42896000000002</v>
      </c>
      <c r="BZ17" s="14">
        <v>465.95767000000001</v>
      </c>
      <c r="CA17" s="14">
        <v>464.47696000000002</v>
      </c>
      <c r="CB17" s="14">
        <v>462.98543999999998</v>
      </c>
      <c r="CC17" s="14">
        <v>461.48169999999999</v>
      </c>
      <c r="CD17" s="14">
        <v>459.96505999999999</v>
      </c>
      <c r="CE17" s="14">
        <v>458.43621999999999</v>
      </c>
      <c r="CF17" s="14">
        <v>456.89514000000003</v>
      </c>
      <c r="CG17" s="14">
        <v>455.34017999999998</v>
      </c>
      <c r="CH17" s="14">
        <v>453.76922999999999</v>
      </c>
      <c r="CI17" s="14">
        <v>452.18297999999999</v>
      </c>
      <c r="CJ17" s="14">
        <v>450.58715999999998</v>
      </c>
      <c r="CK17" s="14">
        <v>448.98617999999999</v>
      </c>
      <c r="CL17" s="14">
        <v>447.37959999999998</v>
      </c>
      <c r="CM17" s="14">
        <v>445.76157000000001</v>
      </c>
      <c r="CN17" s="14">
        <v>444.12349999999998</v>
      </c>
      <c r="CO17" s="14">
        <v>442.46298000000002</v>
      </c>
      <c r="CP17" s="1"/>
      <c r="CQ17" s="27">
        <f t="shared" si="45"/>
        <v>1</v>
      </c>
      <c r="CR17" s="16">
        <f t="shared" si="49"/>
        <v>12</v>
      </c>
      <c r="CS17" s="24">
        <v>1.9166666666666601</v>
      </c>
      <c r="CT17" s="1"/>
      <c r="CU17" s="30">
        <f t="shared" si="41"/>
        <v>2</v>
      </c>
      <c r="CV17" s="31">
        <v>366</v>
      </c>
      <c r="CW17" s="38">
        <f t="shared" si="42"/>
        <v>5.0999999999999996</v>
      </c>
      <c r="CX17" s="29"/>
      <c r="CY17" s="31">
        <v>397.5</v>
      </c>
      <c r="CZ17" s="29"/>
      <c r="DA17" s="29"/>
      <c r="DB17" s="1"/>
      <c r="DC17" s="1"/>
      <c r="DD17" s="45">
        <v>1578000000</v>
      </c>
      <c r="DE17" s="46">
        <f>Jocope!$DA$8/Jocope!DD17</f>
        <v>1.5998783269961978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</row>
    <row r="18" spans="1:134" ht="6.75" customHeight="1" x14ac:dyDescent="0.25">
      <c r="A18" s="3">
        <f t="shared" si="46"/>
        <v>13</v>
      </c>
      <c r="B18" s="68">
        <v>13</v>
      </c>
      <c r="C18" s="10">
        <v>0</v>
      </c>
      <c r="D18" s="69">
        <v>0</v>
      </c>
      <c r="E18" s="10">
        <v>0</v>
      </c>
      <c r="F18" s="1"/>
      <c r="G18" s="11" t="str">
        <f t="shared" si="39"/>
        <v>1,14</v>
      </c>
      <c r="H18" s="1"/>
      <c r="I18" s="16">
        <f t="shared" si="43"/>
        <v>13</v>
      </c>
      <c r="J18" s="12">
        <f t="shared" ref="J18:AW18" si="59">IF(ISNUMBER(MATCH(J41,$G$25:$G$29,0)),$D$2,IF(ISNUMBER(MATCH(J41,$G$32:$G$33,0)),$E$2,IF(ISNUMBER(MATCH(J41,$G$6:$G$24,0)),$C$2,$B$2)))</f>
        <v>1</v>
      </c>
      <c r="K18" s="12" t="str">
        <f t="shared" si="59"/>
        <v>-</v>
      </c>
      <c r="L18" s="12" t="str">
        <f t="shared" si="59"/>
        <v>-</v>
      </c>
      <c r="M18" s="12" t="str">
        <f t="shared" si="59"/>
        <v>-</v>
      </c>
      <c r="N18" s="12" t="str">
        <f t="shared" si="59"/>
        <v>-</v>
      </c>
      <c r="O18" s="12" t="str">
        <f t="shared" si="59"/>
        <v>-</v>
      </c>
      <c r="P18" s="12" t="str">
        <f t="shared" si="59"/>
        <v>-</v>
      </c>
      <c r="Q18" s="12" t="str">
        <f t="shared" si="59"/>
        <v>-</v>
      </c>
      <c r="R18" s="12" t="str">
        <f t="shared" si="59"/>
        <v>-</v>
      </c>
      <c r="S18" s="12" t="str">
        <f t="shared" si="59"/>
        <v>-</v>
      </c>
      <c r="T18" s="12" t="str">
        <f t="shared" si="59"/>
        <v>-</v>
      </c>
      <c r="U18" s="12" t="str">
        <f t="shared" si="59"/>
        <v>-</v>
      </c>
      <c r="V18" s="12" t="str">
        <f t="shared" si="59"/>
        <v>-</v>
      </c>
      <c r="W18" s="12" t="str">
        <f t="shared" si="59"/>
        <v>-</v>
      </c>
      <c r="X18" s="12" t="str">
        <f t="shared" si="59"/>
        <v>-</v>
      </c>
      <c r="Y18" s="12" t="str">
        <f t="shared" si="59"/>
        <v>-</v>
      </c>
      <c r="Z18" s="12" t="str">
        <f t="shared" si="59"/>
        <v>-</v>
      </c>
      <c r="AA18" s="12" t="str">
        <f t="shared" si="59"/>
        <v>-</v>
      </c>
      <c r="AB18" s="12" t="str">
        <f t="shared" si="59"/>
        <v>-</v>
      </c>
      <c r="AC18" s="12" t="str">
        <f t="shared" si="59"/>
        <v>-</v>
      </c>
      <c r="AD18" s="12" t="str">
        <f t="shared" si="59"/>
        <v>-</v>
      </c>
      <c r="AE18" s="12" t="str">
        <f t="shared" si="59"/>
        <v>-</v>
      </c>
      <c r="AF18" s="12" t="str">
        <f t="shared" si="59"/>
        <v>-</v>
      </c>
      <c r="AG18" s="12" t="str">
        <f t="shared" si="59"/>
        <v>-</v>
      </c>
      <c r="AH18" s="12" t="str">
        <f t="shared" si="59"/>
        <v>-</v>
      </c>
      <c r="AI18" s="12" t="str">
        <f t="shared" si="59"/>
        <v>-</v>
      </c>
      <c r="AJ18" s="12" t="str">
        <f t="shared" si="59"/>
        <v>-</v>
      </c>
      <c r="AK18" s="12" t="str">
        <f t="shared" si="59"/>
        <v>-</v>
      </c>
      <c r="AL18" s="12" t="str">
        <f t="shared" si="59"/>
        <v>-</v>
      </c>
      <c r="AM18" s="12" t="str">
        <f t="shared" si="59"/>
        <v>-</v>
      </c>
      <c r="AN18" s="12" t="str">
        <f t="shared" si="59"/>
        <v>-</v>
      </c>
      <c r="AO18" s="12" t="str">
        <f t="shared" si="59"/>
        <v>-</v>
      </c>
      <c r="AP18" s="12" t="str">
        <f t="shared" si="59"/>
        <v>-</v>
      </c>
      <c r="AQ18" s="12" t="str">
        <f t="shared" si="59"/>
        <v>-</v>
      </c>
      <c r="AR18" s="12" t="str">
        <f t="shared" si="59"/>
        <v>-</v>
      </c>
      <c r="AS18" s="12" t="str">
        <f t="shared" si="59"/>
        <v>-</v>
      </c>
      <c r="AT18" s="12" t="str">
        <f t="shared" si="59"/>
        <v>-</v>
      </c>
      <c r="AU18" s="12" t="str">
        <f t="shared" si="59"/>
        <v>-</v>
      </c>
      <c r="AV18" s="12" t="str">
        <f t="shared" si="59"/>
        <v>-</v>
      </c>
      <c r="AW18" s="12" t="str">
        <f t="shared" si="59"/>
        <v>-</v>
      </c>
      <c r="AX18" s="16">
        <f t="shared" si="48"/>
        <v>13</v>
      </c>
      <c r="AY18" s="1"/>
      <c r="AZ18" s="16">
        <v>12</v>
      </c>
      <c r="BA18" s="13">
        <v>500</v>
      </c>
      <c r="BB18" s="13">
        <v>498.70702999999997</v>
      </c>
      <c r="BC18" s="14">
        <v>497.41296</v>
      </c>
      <c r="BD18" s="14">
        <v>496.11673000000002</v>
      </c>
      <c r="BE18" s="14">
        <v>494.81732</v>
      </c>
      <c r="BF18" s="14">
        <v>493.51382000000001</v>
      </c>
      <c r="BG18" s="14">
        <v>492.20537999999999</v>
      </c>
      <c r="BH18" s="14">
        <v>490.8913</v>
      </c>
      <c r="BI18" s="14">
        <v>489.57080000000002</v>
      </c>
      <c r="BJ18" s="14">
        <v>488.24329999999998</v>
      </c>
      <c r="BK18" s="14">
        <v>486.90814</v>
      </c>
      <c r="BL18" s="14">
        <v>485.56482</v>
      </c>
      <c r="BM18" s="14">
        <v>484.21289999999999</v>
      </c>
      <c r="BN18" s="14">
        <v>482.85192999999998</v>
      </c>
      <c r="BO18" s="14">
        <v>481.48165999999998</v>
      </c>
      <c r="BP18" s="14">
        <v>480.1019</v>
      </c>
      <c r="BQ18" s="14">
        <v>478.71251999999998</v>
      </c>
      <c r="BR18" s="14">
        <v>477.31353999999999</v>
      </c>
      <c r="BS18" s="14">
        <v>475.9051</v>
      </c>
      <c r="BT18" s="14">
        <v>474.48719999999997</v>
      </c>
      <c r="BU18" s="14">
        <v>473.0598</v>
      </c>
      <c r="BV18" s="14">
        <v>471.62270000000001</v>
      </c>
      <c r="BW18" s="14">
        <v>470.17579999999998</v>
      </c>
      <c r="BX18" s="14">
        <v>468.71910000000003</v>
      </c>
      <c r="BY18" s="14">
        <v>467.25274999999999</v>
      </c>
      <c r="BZ18" s="14">
        <v>465.77672999999999</v>
      </c>
      <c r="CA18" s="14">
        <v>464.29068000000001</v>
      </c>
      <c r="CB18" s="14">
        <v>462.79381999999998</v>
      </c>
      <c r="CC18" s="14">
        <v>461.28534000000002</v>
      </c>
      <c r="CD18" s="14">
        <v>459.76479999999998</v>
      </c>
      <c r="CE18" s="14">
        <v>458.2321</v>
      </c>
      <c r="CF18" s="14">
        <v>456.68695000000002</v>
      </c>
      <c r="CG18" s="14">
        <v>455.12866000000002</v>
      </c>
      <c r="CH18" s="14">
        <v>453.55673000000002</v>
      </c>
      <c r="CI18" s="14">
        <v>451.97185999999999</v>
      </c>
      <c r="CJ18" s="14">
        <v>450.37628000000001</v>
      </c>
      <c r="CK18" s="14">
        <v>448.77181999999999</v>
      </c>
      <c r="CL18" s="14">
        <v>447.15805</v>
      </c>
      <c r="CM18" s="14">
        <v>445.53237999999999</v>
      </c>
      <c r="CN18" s="14">
        <v>443.89177999999998</v>
      </c>
      <c r="CO18" s="14">
        <v>442.23633000000001</v>
      </c>
      <c r="CP18" s="1"/>
      <c r="CQ18" s="27">
        <f t="shared" si="45"/>
        <v>1</v>
      </c>
      <c r="CR18" s="16">
        <f t="shared" si="49"/>
        <v>13</v>
      </c>
      <c r="CS18" s="24">
        <v>1.99999999999999</v>
      </c>
      <c r="CT18" s="1"/>
      <c r="CU18" s="30">
        <f t="shared" si="41"/>
        <v>2</v>
      </c>
      <c r="CV18" s="31">
        <v>402.6</v>
      </c>
      <c r="CW18" s="38">
        <f t="shared" si="42"/>
        <v>5.71</v>
      </c>
      <c r="CX18" s="29"/>
      <c r="CY18" s="31">
        <v>433.75</v>
      </c>
      <c r="CZ18" s="29"/>
      <c r="DA18" s="29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</row>
    <row r="19" spans="1:134" ht="6.75" customHeight="1" x14ac:dyDescent="0.25">
      <c r="A19" s="3">
        <f t="shared" si="46"/>
        <v>14</v>
      </c>
      <c r="B19" s="68">
        <v>14</v>
      </c>
      <c r="C19" s="10">
        <v>0</v>
      </c>
      <c r="D19" s="69">
        <v>0</v>
      </c>
      <c r="E19" s="10">
        <v>0</v>
      </c>
      <c r="F19" s="1"/>
      <c r="G19" s="11" t="str">
        <f t="shared" si="39"/>
        <v>1,15</v>
      </c>
      <c r="H19" s="1"/>
      <c r="I19" s="16">
        <f t="shared" si="43"/>
        <v>14</v>
      </c>
      <c r="J19" s="12">
        <f t="shared" ref="J19:AW19" si="60">IF(ISNUMBER(MATCH(J42,$G$25:$G$29,0)),$D$2,IF(ISNUMBER(MATCH(J42,$G$32:$G$33,0)),$E$2,IF(ISNUMBER(MATCH(J42,$G$6:$G$24,0)),$C$2,$B$2)))</f>
        <v>1</v>
      </c>
      <c r="K19" s="12" t="str">
        <f t="shared" si="60"/>
        <v>-</v>
      </c>
      <c r="L19" s="12" t="str">
        <f t="shared" si="60"/>
        <v>-</v>
      </c>
      <c r="M19" s="12" t="str">
        <f t="shared" si="60"/>
        <v>-</v>
      </c>
      <c r="N19" s="12" t="str">
        <f t="shared" si="60"/>
        <v>-</v>
      </c>
      <c r="O19" s="12" t="str">
        <f t="shared" si="60"/>
        <v>-</v>
      </c>
      <c r="P19" s="12" t="str">
        <f t="shared" si="60"/>
        <v>-</v>
      </c>
      <c r="Q19" s="12" t="str">
        <f t="shared" si="60"/>
        <v>-</v>
      </c>
      <c r="R19" s="12" t="str">
        <f t="shared" si="60"/>
        <v>-</v>
      </c>
      <c r="S19" s="12" t="str">
        <f t="shared" si="60"/>
        <v>-</v>
      </c>
      <c r="T19" s="12" t="str">
        <f t="shared" si="60"/>
        <v>-</v>
      </c>
      <c r="U19" s="12" t="str">
        <f t="shared" si="60"/>
        <v>-</v>
      </c>
      <c r="V19" s="12" t="str">
        <f t="shared" si="60"/>
        <v>-</v>
      </c>
      <c r="W19" s="12" t="str">
        <f t="shared" si="60"/>
        <v>-</v>
      </c>
      <c r="X19" s="12" t="str">
        <f t="shared" si="60"/>
        <v>-</v>
      </c>
      <c r="Y19" s="12" t="str">
        <f t="shared" si="60"/>
        <v>-</v>
      </c>
      <c r="Z19" s="12" t="str">
        <f t="shared" si="60"/>
        <v>-</v>
      </c>
      <c r="AA19" s="12" t="str">
        <f t="shared" si="60"/>
        <v>-</v>
      </c>
      <c r="AB19" s="12" t="str">
        <f t="shared" si="60"/>
        <v>-</v>
      </c>
      <c r="AC19" s="12" t="str">
        <f t="shared" si="60"/>
        <v>-</v>
      </c>
      <c r="AD19" s="12" t="str">
        <f t="shared" si="60"/>
        <v>-</v>
      </c>
      <c r="AE19" s="12" t="str">
        <f t="shared" si="60"/>
        <v>-</v>
      </c>
      <c r="AF19" s="12" t="str">
        <f t="shared" si="60"/>
        <v>-</v>
      </c>
      <c r="AG19" s="12" t="str">
        <f t="shared" si="60"/>
        <v>-</v>
      </c>
      <c r="AH19" s="12" t="str">
        <f t="shared" si="60"/>
        <v>-</v>
      </c>
      <c r="AI19" s="12" t="str">
        <f t="shared" si="60"/>
        <v>-</v>
      </c>
      <c r="AJ19" s="12" t="str">
        <f t="shared" si="60"/>
        <v>-</v>
      </c>
      <c r="AK19" s="12" t="str">
        <f t="shared" si="60"/>
        <v>-</v>
      </c>
      <c r="AL19" s="12" t="str">
        <f t="shared" si="60"/>
        <v>-</v>
      </c>
      <c r="AM19" s="12" t="str">
        <f t="shared" si="60"/>
        <v>-</v>
      </c>
      <c r="AN19" s="12" t="str">
        <f t="shared" si="60"/>
        <v>-</v>
      </c>
      <c r="AO19" s="12" t="str">
        <f t="shared" si="60"/>
        <v>-</v>
      </c>
      <c r="AP19" s="12" t="str">
        <f t="shared" si="60"/>
        <v>-</v>
      </c>
      <c r="AQ19" s="12" t="str">
        <f t="shared" si="60"/>
        <v>-</v>
      </c>
      <c r="AR19" s="12" t="str">
        <f t="shared" si="60"/>
        <v>-</v>
      </c>
      <c r="AS19" s="12" t="str">
        <f t="shared" si="60"/>
        <v>-</v>
      </c>
      <c r="AT19" s="12" t="str">
        <f t="shared" si="60"/>
        <v>-</v>
      </c>
      <c r="AU19" s="12" t="str">
        <f t="shared" si="60"/>
        <v>-</v>
      </c>
      <c r="AV19" s="12" t="str">
        <f t="shared" si="60"/>
        <v>-</v>
      </c>
      <c r="AW19" s="12" t="str">
        <f t="shared" si="60"/>
        <v>-</v>
      </c>
      <c r="AX19" s="16">
        <f t="shared" si="48"/>
        <v>14</v>
      </c>
      <c r="AY19" s="1"/>
      <c r="AZ19" s="16">
        <v>13</v>
      </c>
      <c r="BA19" s="13">
        <v>500</v>
      </c>
      <c r="BB19" s="13">
        <v>498.69598000000002</v>
      </c>
      <c r="BC19" s="14">
        <v>497.39100000000002</v>
      </c>
      <c r="BD19" s="14">
        <v>496.08404999999999</v>
      </c>
      <c r="BE19" s="14">
        <v>494.77422999999999</v>
      </c>
      <c r="BF19" s="14">
        <v>493.46069999999997</v>
      </c>
      <c r="BG19" s="14">
        <v>492.14260000000002</v>
      </c>
      <c r="BH19" s="14">
        <v>490.81927000000002</v>
      </c>
      <c r="BI19" s="14">
        <v>489.49</v>
      </c>
      <c r="BJ19" s="14">
        <v>488.15417000000002</v>
      </c>
      <c r="BK19" s="14">
        <v>486.81115999999997</v>
      </c>
      <c r="BL19" s="14">
        <v>485.46050000000002</v>
      </c>
      <c r="BM19" s="14">
        <v>484.10174999999998</v>
      </c>
      <c r="BN19" s="14">
        <v>482.73450000000003</v>
      </c>
      <c r="BO19" s="14">
        <v>481.35845999999998</v>
      </c>
      <c r="BP19" s="14">
        <v>479.97340000000003</v>
      </c>
      <c r="BQ19" s="14">
        <v>478.57913000000002</v>
      </c>
      <c r="BR19" s="14">
        <v>477.17563000000001</v>
      </c>
      <c r="BS19" s="14">
        <v>475.76285000000001</v>
      </c>
      <c r="BT19" s="14">
        <v>474.34070000000003</v>
      </c>
      <c r="BU19" s="14">
        <v>472.90915000000001</v>
      </c>
      <c r="BV19" s="14">
        <v>471.46800000000002</v>
      </c>
      <c r="BW19" s="14">
        <v>470.01715000000002</v>
      </c>
      <c r="BX19" s="14">
        <v>468.55658</v>
      </c>
      <c r="BY19" s="14">
        <v>467.08618000000001</v>
      </c>
      <c r="BZ19" s="14">
        <v>465.60583000000003</v>
      </c>
      <c r="CA19" s="14">
        <v>464.11520000000002</v>
      </c>
      <c r="CB19" s="14">
        <v>462.61380000000003</v>
      </c>
      <c r="CC19" s="14">
        <v>461.10109999999997</v>
      </c>
      <c r="CD19" s="14">
        <v>459.57672000000002</v>
      </c>
      <c r="CE19" s="14">
        <v>458.04039999999998</v>
      </c>
      <c r="CF19" s="14">
        <v>456.49187999999998</v>
      </c>
      <c r="CG19" s="14">
        <v>454.93085000000002</v>
      </c>
      <c r="CH19" s="14">
        <v>453.35719999999998</v>
      </c>
      <c r="CI19" s="14">
        <v>451.77140000000003</v>
      </c>
      <c r="CJ19" s="14">
        <v>450.17435</v>
      </c>
      <c r="CK19" s="14">
        <v>448.56673999999998</v>
      </c>
      <c r="CL19" s="14">
        <v>446.94835999999998</v>
      </c>
      <c r="CM19" s="14">
        <v>445.31810000000002</v>
      </c>
      <c r="CN19" s="14">
        <v>443.67493000000002</v>
      </c>
      <c r="CO19" s="14">
        <v>442.01904000000002</v>
      </c>
      <c r="CP19" s="1"/>
      <c r="CQ19" s="27">
        <f t="shared" si="45"/>
        <v>1</v>
      </c>
      <c r="CR19" s="16">
        <f t="shared" si="49"/>
        <v>14</v>
      </c>
      <c r="CS19" s="24">
        <v>2.0833333333333299</v>
      </c>
      <c r="CT19" s="1"/>
      <c r="CU19" s="30">
        <f t="shared" si="41"/>
        <v>2</v>
      </c>
      <c r="CV19" s="31">
        <v>439.2</v>
      </c>
      <c r="CW19" s="38">
        <f t="shared" si="42"/>
        <v>6.3199999999999994</v>
      </c>
      <c r="CX19" s="29"/>
      <c r="CY19" s="31">
        <v>470</v>
      </c>
      <c r="CZ19" s="29"/>
      <c r="DA19" s="29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</row>
    <row r="20" spans="1:134" ht="6.75" customHeight="1" x14ac:dyDescent="0.25">
      <c r="A20" s="3">
        <f t="shared" si="46"/>
        <v>15</v>
      </c>
      <c r="B20" s="68">
        <v>15</v>
      </c>
      <c r="C20" s="10">
        <v>0</v>
      </c>
      <c r="D20" s="69">
        <v>0</v>
      </c>
      <c r="E20" s="10">
        <v>0</v>
      </c>
      <c r="F20" s="1"/>
      <c r="G20" s="11" t="str">
        <f t="shared" si="39"/>
        <v>1,16</v>
      </c>
      <c r="H20" s="1"/>
      <c r="I20" s="16">
        <f t="shared" si="43"/>
        <v>15</v>
      </c>
      <c r="J20" s="12">
        <f t="shared" ref="J20:AW20" si="61">IF(ISNUMBER(MATCH(J43,$G$25:$G$29,0)),$D$2,IF(ISNUMBER(MATCH(J43,$G$32:$G$33,0)),$E$2,IF(ISNUMBER(MATCH(J43,$G$6:$G$24,0)),$C$2,$B$2)))</f>
        <v>1</v>
      </c>
      <c r="K20" s="12" t="str">
        <f t="shared" si="61"/>
        <v>-</v>
      </c>
      <c r="L20" s="12" t="str">
        <f t="shared" si="61"/>
        <v>-</v>
      </c>
      <c r="M20" s="12" t="str">
        <f t="shared" si="61"/>
        <v>-</v>
      </c>
      <c r="N20" s="12" t="str">
        <f t="shared" si="61"/>
        <v>-</v>
      </c>
      <c r="O20" s="12" t="str">
        <f t="shared" si="61"/>
        <v>-</v>
      </c>
      <c r="P20" s="12" t="str">
        <f t="shared" si="61"/>
        <v>-</v>
      </c>
      <c r="Q20" s="12" t="str">
        <f t="shared" si="61"/>
        <v>-</v>
      </c>
      <c r="R20" s="12" t="str">
        <f t="shared" si="61"/>
        <v>-</v>
      </c>
      <c r="S20" s="12" t="str">
        <f t="shared" si="61"/>
        <v>-</v>
      </c>
      <c r="T20" s="12" t="str">
        <f t="shared" si="61"/>
        <v>-</v>
      </c>
      <c r="U20" s="12" t="str">
        <f t="shared" si="61"/>
        <v>-</v>
      </c>
      <c r="V20" s="12" t="str">
        <f t="shared" si="61"/>
        <v>-</v>
      </c>
      <c r="W20" s="12" t="str">
        <f t="shared" si="61"/>
        <v>-</v>
      </c>
      <c r="X20" s="12" t="str">
        <f t="shared" si="61"/>
        <v>-</v>
      </c>
      <c r="Y20" s="12" t="str">
        <f t="shared" si="61"/>
        <v>-</v>
      </c>
      <c r="Z20" s="12" t="str">
        <f t="shared" si="61"/>
        <v>-</v>
      </c>
      <c r="AA20" s="12" t="str">
        <f t="shared" si="61"/>
        <v>-</v>
      </c>
      <c r="AB20" s="12" t="str">
        <f t="shared" si="61"/>
        <v>-</v>
      </c>
      <c r="AC20" s="12" t="str">
        <f t="shared" si="61"/>
        <v>-</v>
      </c>
      <c r="AD20" s="12" t="str">
        <f t="shared" si="61"/>
        <v>-</v>
      </c>
      <c r="AE20" s="12" t="str">
        <f t="shared" si="61"/>
        <v>-</v>
      </c>
      <c r="AF20" s="12" t="str">
        <f t="shared" si="61"/>
        <v>-</v>
      </c>
      <c r="AG20" s="12" t="str">
        <f t="shared" si="61"/>
        <v>-</v>
      </c>
      <c r="AH20" s="12" t="str">
        <f t="shared" si="61"/>
        <v>-</v>
      </c>
      <c r="AI20" s="12" t="str">
        <f t="shared" si="61"/>
        <v>-</v>
      </c>
      <c r="AJ20" s="12" t="str">
        <f t="shared" si="61"/>
        <v>-</v>
      </c>
      <c r="AK20" s="12" t="str">
        <f t="shared" si="61"/>
        <v>-</v>
      </c>
      <c r="AL20" s="12" t="str">
        <f t="shared" si="61"/>
        <v>-</v>
      </c>
      <c r="AM20" s="12" t="str">
        <f t="shared" si="61"/>
        <v>-</v>
      </c>
      <c r="AN20" s="12" t="str">
        <f t="shared" si="61"/>
        <v>-</v>
      </c>
      <c r="AO20" s="12" t="str">
        <f t="shared" si="61"/>
        <v>-</v>
      </c>
      <c r="AP20" s="12" t="str">
        <f t="shared" si="61"/>
        <v>-</v>
      </c>
      <c r="AQ20" s="12" t="str">
        <f t="shared" si="61"/>
        <v>-</v>
      </c>
      <c r="AR20" s="12" t="str">
        <f t="shared" si="61"/>
        <v>-</v>
      </c>
      <c r="AS20" s="12" t="str">
        <f t="shared" si="61"/>
        <v>-</v>
      </c>
      <c r="AT20" s="12" t="str">
        <f t="shared" si="61"/>
        <v>-</v>
      </c>
      <c r="AU20" s="12" t="str">
        <f t="shared" si="61"/>
        <v>-</v>
      </c>
      <c r="AV20" s="12" t="str">
        <f t="shared" si="61"/>
        <v>-</v>
      </c>
      <c r="AW20" s="12" t="str">
        <f t="shared" si="61"/>
        <v>-</v>
      </c>
      <c r="AX20" s="16">
        <f t="shared" si="48"/>
        <v>15</v>
      </c>
      <c r="AY20" s="1"/>
      <c r="AZ20" s="16">
        <v>14</v>
      </c>
      <c r="BA20" s="13">
        <v>500</v>
      </c>
      <c r="BB20" s="13">
        <v>498.68594000000002</v>
      </c>
      <c r="BC20" s="14">
        <v>497.37099999999998</v>
      </c>
      <c r="BD20" s="14">
        <v>496.05426</v>
      </c>
      <c r="BE20" s="14">
        <v>494.73489999999998</v>
      </c>
      <c r="BF20" s="14">
        <v>493.41210000000001</v>
      </c>
      <c r="BG20" s="14">
        <v>492.08510000000001</v>
      </c>
      <c r="BH20" s="14">
        <v>490.75319999999999</v>
      </c>
      <c r="BI20" s="14">
        <v>489.41577000000001</v>
      </c>
      <c r="BJ20" s="14">
        <v>488.07217000000003</v>
      </c>
      <c r="BK20" s="14">
        <v>486.72185999999999</v>
      </c>
      <c r="BL20" s="14">
        <v>485.36432000000002</v>
      </c>
      <c r="BM20" s="14">
        <v>483.9991</v>
      </c>
      <c r="BN20" s="14">
        <v>482.6259</v>
      </c>
      <c r="BO20" s="14">
        <v>481.24430000000001</v>
      </c>
      <c r="BP20" s="14">
        <v>479.85406</v>
      </c>
      <c r="BQ20" s="14">
        <v>478.45501999999999</v>
      </c>
      <c r="BR20" s="14">
        <v>477.04703000000001</v>
      </c>
      <c r="BS20" s="14">
        <v>475.62993999999998</v>
      </c>
      <c r="BT20" s="14">
        <v>474.20364000000001</v>
      </c>
      <c r="BU20" s="14">
        <v>472.76803999999998</v>
      </c>
      <c r="BV20" s="14">
        <v>471.32294000000002</v>
      </c>
      <c r="BW20" s="14">
        <v>469.86826000000002</v>
      </c>
      <c r="BX20" s="14">
        <v>468.40384</v>
      </c>
      <c r="BY20" s="14">
        <v>466.92957000000001</v>
      </c>
      <c r="BZ20" s="14">
        <v>465.44522000000001</v>
      </c>
      <c r="CA20" s="14">
        <v>463.95049999999998</v>
      </c>
      <c r="CB20" s="14">
        <v>462.44506999999999</v>
      </c>
      <c r="CC20" s="14">
        <v>460.92853000000002</v>
      </c>
      <c r="CD20" s="14">
        <v>459.40057000000002</v>
      </c>
      <c r="CE20" s="14">
        <v>457.86090000000002</v>
      </c>
      <c r="CF20" s="14">
        <v>456.30932999999999</v>
      </c>
      <c r="CG20" s="14">
        <v>454.74563999999998</v>
      </c>
      <c r="CH20" s="14">
        <v>453.16986000000003</v>
      </c>
      <c r="CI20" s="14">
        <v>451.58215000000001</v>
      </c>
      <c r="CJ20" s="14">
        <v>449.98293999999999</v>
      </c>
      <c r="CK20" s="14">
        <v>448.37247000000002</v>
      </c>
      <c r="CL20" s="14">
        <v>446.75058000000001</v>
      </c>
      <c r="CM20" s="14">
        <v>445.11680000000001</v>
      </c>
      <c r="CN20" s="14">
        <v>443.47073</v>
      </c>
      <c r="CO20" s="14">
        <v>441.8125</v>
      </c>
      <c r="CP20" s="1"/>
      <c r="CQ20" s="27">
        <f t="shared" si="45"/>
        <v>1</v>
      </c>
      <c r="CR20" s="16">
        <f t="shared" si="49"/>
        <v>15</v>
      </c>
      <c r="CS20" s="24">
        <v>2.1666666666666599</v>
      </c>
      <c r="CT20" s="1"/>
      <c r="CU20" s="30">
        <f t="shared" si="41"/>
        <v>2</v>
      </c>
      <c r="CV20" s="31">
        <v>475.8</v>
      </c>
      <c r="CW20" s="38">
        <f t="shared" si="42"/>
        <v>6.9300000000000006</v>
      </c>
      <c r="CX20" s="29"/>
      <c r="CY20" s="31">
        <v>506.25</v>
      </c>
      <c r="CZ20" s="29"/>
      <c r="DA20" s="29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</row>
    <row r="21" spans="1:134" ht="6.75" customHeight="1" x14ac:dyDescent="0.25">
      <c r="A21" s="3">
        <f t="shared" si="46"/>
        <v>16</v>
      </c>
      <c r="B21" s="68">
        <v>16</v>
      </c>
      <c r="C21" s="10">
        <v>0</v>
      </c>
      <c r="D21" s="69">
        <v>0</v>
      </c>
      <c r="E21" s="10">
        <v>0</v>
      </c>
      <c r="F21" s="1"/>
      <c r="G21" s="11" t="str">
        <f t="shared" si="39"/>
        <v>1,17</v>
      </c>
      <c r="H21" s="1"/>
      <c r="I21" s="16">
        <f t="shared" si="43"/>
        <v>16</v>
      </c>
      <c r="J21" s="12">
        <f t="shared" ref="J21:AW21" si="62">IF(ISNUMBER(MATCH(J44,$G$25:$G$29,0)),$D$2,IF(ISNUMBER(MATCH(J44,$G$32:$G$33,0)),$E$2,IF(ISNUMBER(MATCH(J44,$G$6:$G$24,0)),$C$2,$B$2)))</f>
        <v>1</v>
      </c>
      <c r="K21" s="12" t="str">
        <f t="shared" si="62"/>
        <v>-</v>
      </c>
      <c r="L21" s="12" t="str">
        <f t="shared" si="62"/>
        <v>-</v>
      </c>
      <c r="M21" s="12" t="str">
        <f t="shared" si="62"/>
        <v>-</v>
      </c>
      <c r="N21" s="12" t="str">
        <f t="shared" si="62"/>
        <v>-</v>
      </c>
      <c r="O21" s="12" t="str">
        <f t="shared" si="62"/>
        <v>-</v>
      </c>
      <c r="P21" s="12" t="str">
        <f t="shared" si="62"/>
        <v>-</v>
      </c>
      <c r="Q21" s="12" t="str">
        <f t="shared" si="62"/>
        <v>-</v>
      </c>
      <c r="R21" s="12" t="str">
        <f t="shared" si="62"/>
        <v>-</v>
      </c>
      <c r="S21" s="12" t="str">
        <f t="shared" si="62"/>
        <v>-</v>
      </c>
      <c r="T21" s="12" t="str">
        <f t="shared" si="62"/>
        <v>-</v>
      </c>
      <c r="U21" s="12" t="str">
        <f t="shared" si="62"/>
        <v>-</v>
      </c>
      <c r="V21" s="12" t="str">
        <f t="shared" si="62"/>
        <v>-</v>
      </c>
      <c r="W21" s="12" t="str">
        <f t="shared" si="62"/>
        <v>-</v>
      </c>
      <c r="X21" s="12" t="str">
        <f t="shared" si="62"/>
        <v>-</v>
      </c>
      <c r="Y21" s="12" t="str">
        <f t="shared" si="62"/>
        <v>-</v>
      </c>
      <c r="Z21" s="12" t="str">
        <f t="shared" si="62"/>
        <v>-</v>
      </c>
      <c r="AA21" s="12" t="str">
        <f t="shared" si="62"/>
        <v>-</v>
      </c>
      <c r="AB21" s="12" t="str">
        <f t="shared" si="62"/>
        <v>-</v>
      </c>
      <c r="AC21" s="12" t="str">
        <f t="shared" si="62"/>
        <v>-</v>
      </c>
      <c r="AD21" s="12" t="str">
        <f t="shared" si="62"/>
        <v>-</v>
      </c>
      <c r="AE21" s="12" t="str">
        <f t="shared" si="62"/>
        <v>-</v>
      </c>
      <c r="AF21" s="12" t="str">
        <f t="shared" si="62"/>
        <v>-</v>
      </c>
      <c r="AG21" s="12" t="str">
        <f t="shared" si="62"/>
        <v>-</v>
      </c>
      <c r="AH21" s="12" t="str">
        <f t="shared" si="62"/>
        <v>-</v>
      </c>
      <c r="AI21" s="12" t="str">
        <f t="shared" si="62"/>
        <v>-</v>
      </c>
      <c r="AJ21" s="12" t="str">
        <f t="shared" si="62"/>
        <v>-</v>
      </c>
      <c r="AK21" s="12" t="str">
        <f t="shared" si="62"/>
        <v>-</v>
      </c>
      <c r="AL21" s="12" t="str">
        <f t="shared" si="62"/>
        <v>-</v>
      </c>
      <c r="AM21" s="12" t="str">
        <f t="shared" si="62"/>
        <v>-</v>
      </c>
      <c r="AN21" s="12" t="str">
        <f t="shared" si="62"/>
        <v>-</v>
      </c>
      <c r="AO21" s="12" t="str">
        <f t="shared" si="62"/>
        <v>-</v>
      </c>
      <c r="AP21" s="12" t="str">
        <f t="shared" si="62"/>
        <v>-</v>
      </c>
      <c r="AQ21" s="12" t="str">
        <f t="shared" si="62"/>
        <v>-</v>
      </c>
      <c r="AR21" s="12" t="str">
        <f t="shared" si="62"/>
        <v>-</v>
      </c>
      <c r="AS21" s="12" t="str">
        <f t="shared" si="62"/>
        <v>-</v>
      </c>
      <c r="AT21" s="12" t="str">
        <f t="shared" si="62"/>
        <v>-</v>
      </c>
      <c r="AU21" s="12" t="str">
        <f t="shared" si="62"/>
        <v>-</v>
      </c>
      <c r="AV21" s="12" t="str">
        <f t="shared" si="62"/>
        <v>-</v>
      </c>
      <c r="AW21" s="12">
        <f t="shared" si="62"/>
        <v>2</v>
      </c>
      <c r="AX21" s="16">
        <f t="shared" si="48"/>
        <v>16</v>
      </c>
      <c r="AY21" s="1"/>
      <c r="AZ21" s="16">
        <v>15</v>
      </c>
      <c r="BA21" s="13">
        <v>500</v>
      </c>
      <c r="BB21" s="13">
        <v>498.67680000000001</v>
      </c>
      <c r="BC21" s="14">
        <v>497.35278</v>
      </c>
      <c r="BD21" s="14">
        <v>496.02710000000002</v>
      </c>
      <c r="BE21" s="14">
        <v>494.69896999999997</v>
      </c>
      <c r="BF21" s="14">
        <v>493.36770000000001</v>
      </c>
      <c r="BG21" s="14">
        <v>492.03250000000003</v>
      </c>
      <c r="BH21" s="14">
        <v>490.6927</v>
      </c>
      <c r="BI21" s="14">
        <v>489.34769999999997</v>
      </c>
      <c r="BJ21" s="14">
        <v>487.99689999999998</v>
      </c>
      <c r="BK21" s="14">
        <v>486.63974000000002</v>
      </c>
      <c r="BL21" s="14">
        <v>485.2758</v>
      </c>
      <c r="BM21" s="14">
        <v>483.90454</v>
      </c>
      <c r="BN21" s="14">
        <v>482.52562999999998</v>
      </c>
      <c r="BO21" s="14">
        <v>481.13873000000001</v>
      </c>
      <c r="BP21" s="14">
        <v>479.74356</v>
      </c>
      <c r="BQ21" s="14">
        <v>478.33987000000002</v>
      </c>
      <c r="BR21" s="14">
        <v>476.92750000000001</v>
      </c>
      <c r="BS21" s="14">
        <v>475.50623000000002</v>
      </c>
      <c r="BT21" s="14">
        <v>474.07589999999999</v>
      </c>
      <c r="BU21" s="14">
        <v>472.63637999999997</v>
      </c>
      <c r="BV21" s="14">
        <v>471.1875</v>
      </c>
      <c r="BW21" s="14">
        <v>469.72910000000002</v>
      </c>
      <c r="BX21" s="14">
        <v>468.26101999999997</v>
      </c>
      <c r="BY21" s="14">
        <v>466.78302000000002</v>
      </c>
      <c r="BZ21" s="14">
        <v>465.29494999999997</v>
      </c>
      <c r="CA21" s="14">
        <v>463.79653999999999</v>
      </c>
      <c r="CB21" s="14">
        <v>462.28744999999998</v>
      </c>
      <c r="CC21" s="14">
        <v>460.76740000000001</v>
      </c>
      <c r="CD21" s="14">
        <v>459.23608000000002</v>
      </c>
      <c r="CE21" s="14">
        <v>457.69333</v>
      </c>
      <c r="CF21" s="14">
        <v>456.13884999999999</v>
      </c>
      <c r="CG21" s="14">
        <v>454.57256999999998</v>
      </c>
      <c r="CH21" s="14">
        <v>452.99441999999999</v>
      </c>
      <c r="CI21" s="14">
        <v>451.40445</v>
      </c>
      <c r="CJ21" s="14">
        <v>449.80282999999997</v>
      </c>
      <c r="CK21" s="14">
        <v>448.18959999999998</v>
      </c>
      <c r="CL21" s="14">
        <v>446.56466999999998</v>
      </c>
      <c r="CM21" s="14">
        <v>444.92775999999998</v>
      </c>
      <c r="CN21" s="14">
        <v>443.27872000000002</v>
      </c>
      <c r="CO21" s="14">
        <v>441.61750000000001</v>
      </c>
      <c r="CP21" s="1"/>
      <c r="CQ21" s="27">
        <f t="shared" si="45"/>
        <v>1</v>
      </c>
      <c r="CR21" s="16">
        <f t="shared" si="49"/>
        <v>16</v>
      </c>
      <c r="CS21" s="24">
        <v>2.2499999999999898</v>
      </c>
      <c r="CT21" s="1"/>
      <c r="CU21" s="30">
        <f t="shared" si="41"/>
        <v>2</v>
      </c>
      <c r="CV21" s="31">
        <v>512.4</v>
      </c>
      <c r="CW21" s="38">
        <f t="shared" si="42"/>
        <v>7.5399999999999991</v>
      </c>
      <c r="CX21" s="29"/>
      <c r="CY21" s="31">
        <v>542.5</v>
      </c>
      <c r="CZ21" s="29"/>
      <c r="DA21" s="29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</row>
    <row r="22" spans="1:134" ht="6.75" customHeight="1" x14ac:dyDescent="0.25">
      <c r="A22" s="3">
        <f t="shared" si="46"/>
        <v>17</v>
      </c>
      <c r="B22" s="68">
        <v>17</v>
      </c>
      <c r="C22" s="10">
        <v>0</v>
      </c>
      <c r="D22" s="69">
        <v>0</v>
      </c>
      <c r="E22" s="10">
        <v>0</v>
      </c>
      <c r="F22" s="1"/>
      <c r="G22" s="11" t="str">
        <f t="shared" si="39"/>
        <v>1,18</v>
      </c>
      <c r="H22" s="1"/>
      <c r="I22" s="16">
        <f t="shared" si="43"/>
        <v>17</v>
      </c>
      <c r="J22" s="12">
        <f t="shared" ref="J22:AW22" si="63">IF(ISNUMBER(MATCH(J45,$G$25:$G$29,0)),$D$2,IF(ISNUMBER(MATCH(J45,$G$32:$G$33,0)),$E$2,IF(ISNUMBER(MATCH(J45,$G$6:$G$24,0)),$C$2,$B$2)))</f>
        <v>3</v>
      </c>
      <c r="K22" s="12" t="str">
        <f t="shared" si="63"/>
        <v>-</v>
      </c>
      <c r="L22" s="12" t="str">
        <f t="shared" si="63"/>
        <v>-</v>
      </c>
      <c r="M22" s="12" t="str">
        <f t="shared" si="63"/>
        <v>-</v>
      </c>
      <c r="N22" s="12" t="str">
        <f t="shared" si="63"/>
        <v>-</v>
      </c>
      <c r="O22" s="12" t="str">
        <f t="shared" si="63"/>
        <v>-</v>
      </c>
      <c r="P22" s="12" t="str">
        <f t="shared" si="63"/>
        <v>-</v>
      </c>
      <c r="Q22" s="12" t="str">
        <f t="shared" si="63"/>
        <v>-</v>
      </c>
      <c r="R22" s="12" t="str">
        <f t="shared" si="63"/>
        <v>-</v>
      </c>
      <c r="S22" s="12" t="str">
        <f t="shared" si="63"/>
        <v>-</v>
      </c>
      <c r="T22" s="12" t="str">
        <f t="shared" si="63"/>
        <v>-</v>
      </c>
      <c r="U22" s="12" t="str">
        <f t="shared" si="63"/>
        <v>-</v>
      </c>
      <c r="V22" s="12" t="str">
        <f t="shared" si="63"/>
        <v>-</v>
      </c>
      <c r="W22" s="12" t="str">
        <f t="shared" si="63"/>
        <v>-</v>
      </c>
      <c r="X22" s="12" t="str">
        <f t="shared" si="63"/>
        <v>-</v>
      </c>
      <c r="Y22" s="12" t="str">
        <f t="shared" si="63"/>
        <v>-</v>
      </c>
      <c r="Z22" s="12" t="str">
        <f t="shared" si="63"/>
        <v>-</v>
      </c>
      <c r="AA22" s="12" t="str">
        <f t="shared" si="63"/>
        <v>-</v>
      </c>
      <c r="AB22" s="12" t="str">
        <f t="shared" si="63"/>
        <v>-</v>
      </c>
      <c r="AC22" s="12" t="str">
        <f t="shared" si="63"/>
        <v>-</v>
      </c>
      <c r="AD22" s="12" t="str">
        <f t="shared" si="63"/>
        <v>-</v>
      </c>
      <c r="AE22" s="12" t="str">
        <f t="shared" si="63"/>
        <v>-</v>
      </c>
      <c r="AF22" s="12" t="str">
        <f t="shared" si="63"/>
        <v>-</v>
      </c>
      <c r="AG22" s="12" t="str">
        <f t="shared" si="63"/>
        <v>-</v>
      </c>
      <c r="AH22" s="12" t="str">
        <f t="shared" si="63"/>
        <v>-</v>
      </c>
      <c r="AI22" s="12" t="str">
        <f t="shared" si="63"/>
        <v>-</v>
      </c>
      <c r="AJ22" s="12" t="str">
        <f t="shared" si="63"/>
        <v>-</v>
      </c>
      <c r="AK22" s="12" t="str">
        <f t="shared" si="63"/>
        <v>-</v>
      </c>
      <c r="AL22" s="12" t="str">
        <f t="shared" si="63"/>
        <v>-</v>
      </c>
      <c r="AM22" s="12" t="str">
        <f t="shared" si="63"/>
        <v>-</v>
      </c>
      <c r="AN22" s="12" t="str">
        <f t="shared" si="63"/>
        <v>-</v>
      </c>
      <c r="AO22" s="12" t="str">
        <f t="shared" si="63"/>
        <v>-</v>
      </c>
      <c r="AP22" s="12" t="str">
        <f t="shared" si="63"/>
        <v>-</v>
      </c>
      <c r="AQ22" s="12" t="str">
        <f t="shared" si="63"/>
        <v>-</v>
      </c>
      <c r="AR22" s="12" t="str">
        <f t="shared" si="63"/>
        <v>-</v>
      </c>
      <c r="AS22" s="12" t="str">
        <f t="shared" si="63"/>
        <v>-</v>
      </c>
      <c r="AT22" s="12" t="str">
        <f t="shared" si="63"/>
        <v>-</v>
      </c>
      <c r="AU22" s="12" t="str">
        <f t="shared" si="63"/>
        <v>-</v>
      </c>
      <c r="AV22" s="12" t="str">
        <f t="shared" si="63"/>
        <v>-</v>
      </c>
      <c r="AW22" s="12">
        <f t="shared" si="63"/>
        <v>2</v>
      </c>
      <c r="AX22" s="16">
        <f t="shared" si="48"/>
        <v>17</v>
      </c>
      <c r="AY22" s="1"/>
      <c r="AZ22" s="16">
        <v>16</v>
      </c>
      <c r="BA22" s="13">
        <v>500</v>
      </c>
      <c r="BB22" s="13">
        <v>498.66849999999999</v>
      </c>
      <c r="BC22" s="14">
        <v>497.33618000000001</v>
      </c>
      <c r="BD22" s="14">
        <v>496.00234999999998</v>
      </c>
      <c r="BE22" s="14">
        <v>494.66626000000002</v>
      </c>
      <c r="BF22" s="14">
        <v>493.3272</v>
      </c>
      <c r="BG22" s="14">
        <v>491.98446999999999</v>
      </c>
      <c r="BH22" s="14">
        <v>490.63740000000001</v>
      </c>
      <c r="BI22" s="14">
        <v>489.28543000000002</v>
      </c>
      <c r="BJ22" s="14">
        <v>487.92795000000001</v>
      </c>
      <c r="BK22" s="14">
        <v>486.56448</v>
      </c>
      <c r="BL22" s="14">
        <v>485.19452000000001</v>
      </c>
      <c r="BM22" s="14">
        <v>483.81760000000003</v>
      </c>
      <c r="BN22" s="14">
        <v>482.43338</v>
      </c>
      <c r="BO22" s="14">
        <v>481.04147</v>
      </c>
      <c r="BP22" s="14">
        <v>479.64157</v>
      </c>
      <c r="BQ22" s="14">
        <v>478.23345999999998</v>
      </c>
      <c r="BR22" s="14">
        <v>476.81682999999998</v>
      </c>
      <c r="BS22" s="14">
        <v>475.39154000000002</v>
      </c>
      <c r="BT22" s="14">
        <v>473.95737000000003</v>
      </c>
      <c r="BU22" s="14">
        <v>472.51413000000002</v>
      </c>
      <c r="BV22" s="14">
        <v>471.0616</v>
      </c>
      <c r="BW22" s="14">
        <v>469.59964000000002</v>
      </c>
      <c r="BX22" s="14">
        <v>468.12801999999999</v>
      </c>
      <c r="BY22" s="14">
        <v>466.64657999999997</v>
      </c>
      <c r="BZ22" s="14">
        <v>465.15505999999999</v>
      </c>
      <c r="CA22" s="14">
        <v>463.65323000000001</v>
      </c>
      <c r="CB22" s="14">
        <v>462.14078000000001</v>
      </c>
      <c r="CC22" s="14">
        <v>460.61752000000001</v>
      </c>
      <c r="CD22" s="14">
        <v>459.08312999999998</v>
      </c>
      <c r="CE22" s="14">
        <v>457.53739999999999</v>
      </c>
      <c r="CF22" s="14">
        <v>455.98020000000002</v>
      </c>
      <c r="CG22" s="14">
        <v>454.41135000000003</v>
      </c>
      <c r="CH22" s="14">
        <v>452.83075000000002</v>
      </c>
      <c r="CI22" s="14">
        <v>451.23840000000001</v>
      </c>
      <c r="CJ22" s="14">
        <v>449.63434000000001</v>
      </c>
      <c r="CK22" s="14">
        <v>448.01846</v>
      </c>
      <c r="CL22" s="14">
        <v>446.39071999999999</v>
      </c>
      <c r="CM22" s="14">
        <v>444.75092000000001</v>
      </c>
      <c r="CN22" s="14">
        <v>443.09888000000001</v>
      </c>
      <c r="CO22" s="14">
        <v>441.43454000000003</v>
      </c>
      <c r="CP22" s="1"/>
      <c r="CQ22" s="27">
        <f t="shared" si="45"/>
        <v>1</v>
      </c>
      <c r="CR22" s="16">
        <f t="shared" si="49"/>
        <v>17</v>
      </c>
      <c r="CS22" s="24">
        <v>2.3333333333333299</v>
      </c>
      <c r="CT22" s="1"/>
      <c r="CU22" s="30">
        <f t="shared" si="41"/>
        <v>2</v>
      </c>
      <c r="CV22" s="31">
        <v>549</v>
      </c>
      <c r="CW22" s="38">
        <f t="shared" si="42"/>
        <v>8.15</v>
      </c>
      <c r="CX22" s="29"/>
      <c r="CY22" s="31">
        <v>578.75</v>
      </c>
      <c r="CZ22" s="29"/>
      <c r="DA22" s="29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</row>
    <row r="23" spans="1:134" ht="6.75" customHeight="1" x14ac:dyDescent="0.25">
      <c r="A23" s="3">
        <f t="shared" si="46"/>
        <v>18</v>
      </c>
      <c r="B23" s="68">
        <v>18</v>
      </c>
      <c r="C23" s="10">
        <v>0</v>
      </c>
      <c r="D23" s="69">
        <v>0</v>
      </c>
      <c r="E23" s="10">
        <v>0</v>
      </c>
      <c r="F23" s="1"/>
      <c r="G23" s="11" t="str">
        <f t="shared" si="39"/>
        <v>1,19</v>
      </c>
      <c r="H23" s="1"/>
      <c r="I23" s="16">
        <f t="shared" si="43"/>
        <v>18</v>
      </c>
      <c r="J23" s="12">
        <f t="shared" ref="J23:AW23" si="64">IF(ISNUMBER(MATCH(J46,$G$25:$G$29,0)),$D$2,IF(ISNUMBER(MATCH(J46,$G$32:$G$33,0)),$E$2,IF(ISNUMBER(MATCH(J46,$G$6:$G$24,0)),$C$2,$B$2)))</f>
        <v>3</v>
      </c>
      <c r="K23" s="12" t="str">
        <f t="shared" si="64"/>
        <v>-</v>
      </c>
      <c r="L23" s="12" t="str">
        <f t="shared" si="64"/>
        <v>-</v>
      </c>
      <c r="M23" s="12" t="str">
        <f t="shared" si="64"/>
        <v>-</v>
      </c>
      <c r="N23" s="12" t="str">
        <f t="shared" si="64"/>
        <v>-</v>
      </c>
      <c r="O23" s="12" t="str">
        <f t="shared" si="64"/>
        <v>-</v>
      </c>
      <c r="P23" s="12" t="str">
        <f t="shared" si="64"/>
        <v>-</v>
      </c>
      <c r="Q23" s="12" t="str">
        <f t="shared" si="64"/>
        <v>-</v>
      </c>
      <c r="R23" s="12" t="str">
        <f t="shared" si="64"/>
        <v>-</v>
      </c>
      <c r="S23" s="12" t="str">
        <f t="shared" si="64"/>
        <v>-</v>
      </c>
      <c r="T23" s="12" t="str">
        <f t="shared" si="64"/>
        <v>-</v>
      </c>
      <c r="U23" s="12" t="str">
        <f t="shared" si="64"/>
        <v>-</v>
      </c>
      <c r="V23" s="12" t="str">
        <f t="shared" si="64"/>
        <v>-</v>
      </c>
      <c r="W23" s="12" t="str">
        <f t="shared" si="64"/>
        <v>-</v>
      </c>
      <c r="X23" s="12" t="str">
        <f t="shared" si="64"/>
        <v>-</v>
      </c>
      <c r="Y23" s="12" t="str">
        <f t="shared" si="64"/>
        <v>-</v>
      </c>
      <c r="Z23" s="12" t="str">
        <f t="shared" si="64"/>
        <v>-</v>
      </c>
      <c r="AA23" s="12" t="str">
        <f t="shared" si="64"/>
        <v>-</v>
      </c>
      <c r="AB23" s="12" t="str">
        <f t="shared" si="64"/>
        <v>-</v>
      </c>
      <c r="AC23" s="12" t="str">
        <f t="shared" si="64"/>
        <v>-</v>
      </c>
      <c r="AD23" s="12" t="str">
        <f t="shared" si="64"/>
        <v>-</v>
      </c>
      <c r="AE23" s="12" t="str">
        <f t="shared" si="64"/>
        <v>-</v>
      </c>
      <c r="AF23" s="12" t="str">
        <f t="shared" si="64"/>
        <v>-</v>
      </c>
      <c r="AG23" s="12" t="str">
        <f t="shared" si="64"/>
        <v>-</v>
      </c>
      <c r="AH23" s="12" t="str">
        <f t="shared" si="64"/>
        <v>-</v>
      </c>
      <c r="AI23" s="12" t="str">
        <f t="shared" si="64"/>
        <v>-</v>
      </c>
      <c r="AJ23" s="12" t="str">
        <f t="shared" si="64"/>
        <v>-</v>
      </c>
      <c r="AK23" s="12" t="str">
        <f t="shared" si="64"/>
        <v>-</v>
      </c>
      <c r="AL23" s="12" t="str">
        <f t="shared" si="64"/>
        <v>-</v>
      </c>
      <c r="AM23" s="12" t="str">
        <f t="shared" si="64"/>
        <v>-</v>
      </c>
      <c r="AN23" s="12" t="str">
        <f t="shared" si="64"/>
        <v>-</v>
      </c>
      <c r="AO23" s="12" t="str">
        <f t="shared" si="64"/>
        <v>-</v>
      </c>
      <c r="AP23" s="12" t="str">
        <f t="shared" si="64"/>
        <v>-</v>
      </c>
      <c r="AQ23" s="12" t="str">
        <f t="shared" si="64"/>
        <v>-</v>
      </c>
      <c r="AR23" s="12" t="str">
        <f t="shared" si="64"/>
        <v>-</v>
      </c>
      <c r="AS23" s="12" t="str">
        <f t="shared" si="64"/>
        <v>-</v>
      </c>
      <c r="AT23" s="12" t="str">
        <f t="shared" si="64"/>
        <v>-</v>
      </c>
      <c r="AU23" s="12" t="str">
        <f t="shared" si="64"/>
        <v>-</v>
      </c>
      <c r="AV23" s="12" t="str">
        <f t="shared" si="64"/>
        <v>-</v>
      </c>
      <c r="AW23" s="12">
        <f t="shared" si="64"/>
        <v>2</v>
      </c>
      <c r="AX23" s="16">
        <f t="shared" si="48"/>
        <v>18</v>
      </c>
      <c r="AY23" s="1"/>
      <c r="AZ23" s="16">
        <v>17</v>
      </c>
      <c r="BA23" s="13">
        <v>500</v>
      </c>
      <c r="BB23" s="13">
        <v>498.66091999999998</v>
      </c>
      <c r="BC23" s="14">
        <v>497.32114000000001</v>
      </c>
      <c r="BD23" s="14">
        <v>495.97989999999999</v>
      </c>
      <c r="BE23" s="14">
        <v>494.63654000000002</v>
      </c>
      <c r="BF23" s="14">
        <v>493.29037</v>
      </c>
      <c r="BG23" s="14">
        <v>491.94072999999997</v>
      </c>
      <c r="BH23" s="14">
        <v>490.58699999999999</v>
      </c>
      <c r="BI23" s="14">
        <v>489.22863999999998</v>
      </c>
      <c r="BJ23" s="14">
        <v>487.86505</v>
      </c>
      <c r="BK23" s="14">
        <v>486.49572999999998</v>
      </c>
      <c r="BL23" s="14">
        <v>485.12018</v>
      </c>
      <c r="BM23" s="14">
        <v>483.738</v>
      </c>
      <c r="BN23" s="14">
        <v>482.34879999999998</v>
      </c>
      <c r="BO23" s="14">
        <v>480.95218</v>
      </c>
      <c r="BP23" s="14">
        <v>479.54782</v>
      </c>
      <c r="BQ23" s="14">
        <v>478.13549999999998</v>
      </c>
      <c r="BR23" s="14">
        <v>476.71487000000002</v>
      </c>
      <c r="BS23" s="14">
        <v>475.28577000000001</v>
      </c>
      <c r="BT23" s="14">
        <v>473.84789999999998</v>
      </c>
      <c r="BU23" s="14">
        <v>472.40109999999999</v>
      </c>
      <c r="BV23" s="14">
        <v>470.94513000000001</v>
      </c>
      <c r="BW23" s="14">
        <v>469.47982999999999</v>
      </c>
      <c r="BX23" s="14">
        <v>468.00490000000002</v>
      </c>
      <c r="BY23" s="14">
        <v>466.52019999999999</v>
      </c>
      <c r="BZ23" s="14">
        <v>465.02548000000002</v>
      </c>
      <c r="CA23" s="14">
        <v>463.52048000000002</v>
      </c>
      <c r="CB23" s="14">
        <v>462.00497000000001</v>
      </c>
      <c r="CC23" s="14">
        <v>460.47872999999998</v>
      </c>
      <c r="CD23" s="14">
        <v>458.94146999999998</v>
      </c>
      <c r="CE23" s="14">
        <v>457.39303999999998</v>
      </c>
      <c r="CF23" s="14">
        <v>455.83319999999998</v>
      </c>
      <c r="CG23" s="14">
        <v>454.26184000000001</v>
      </c>
      <c r="CH23" s="14">
        <v>452.67883</v>
      </c>
      <c r="CI23" s="14">
        <v>451.08409999999998</v>
      </c>
      <c r="CJ23" s="14">
        <v>449.4776</v>
      </c>
      <c r="CK23" s="14">
        <v>447.85919999999999</v>
      </c>
      <c r="CL23" s="14">
        <v>446.22879999999998</v>
      </c>
      <c r="CM23" s="14">
        <v>444.58623999999998</v>
      </c>
      <c r="CN23" s="14">
        <v>442.93137000000002</v>
      </c>
      <c r="CO23" s="14">
        <v>441.26400000000001</v>
      </c>
      <c r="CP23" s="1"/>
      <c r="CQ23" s="27">
        <f t="shared" si="45"/>
        <v>1</v>
      </c>
      <c r="CR23" s="16">
        <f t="shared" si="49"/>
        <v>18</v>
      </c>
      <c r="CS23" s="24">
        <v>2.4166666666666599</v>
      </c>
      <c r="CT23" s="1"/>
      <c r="CU23" s="30">
        <f t="shared" si="41"/>
        <v>2</v>
      </c>
      <c r="CV23" s="31">
        <v>585.6</v>
      </c>
      <c r="CW23" s="38">
        <f t="shared" si="42"/>
        <v>8.76</v>
      </c>
      <c r="CX23" s="29"/>
      <c r="CY23" s="31">
        <v>615</v>
      </c>
      <c r="CZ23" s="29"/>
      <c r="DA23" s="29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</row>
    <row r="24" spans="1:134" ht="6.75" customHeight="1" x14ac:dyDescent="0.25">
      <c r="A24" s="3">
        <f t="shared" si="46"/>
        <v>19</v>
      </c>
      <c r="B24" s="22">
        <v>19</v>
      </c>
      <c r="C24" s="10">
        <v>0</v>
      </c>
      <c r="D24" s="69">
        <v>0</v>
      </c>
      <c r="E24" s="10">
        <v>0</v>
      </c>
      <c r="F24" s="1"/>
      <c r="G24" s="11" t="str">
        <f t="shared" si="39"/>
        <v>1,20</v>
      </c>
      <c r="H24" s="1"/>
      <c r="I24" s="16">
        <f t="shared" si="43"/>
        <v>19</v>
      </c>
      <c r="J24" s="12">
        <f t="shared" ref="J24:AW24" si="65">IF(ISNUMBER(MATCH(J47,$G$25:$G$29,0)),$D$2,IF(ISNUMBER(MATCH(J47,$G$32:$G$33,0)),$E$2,IF(ISNUMBER(MATCH(J47,$G$6:$G$24,0)),$C$2,$B$2)))</f>
        <v>1</v>
      </c>
      <c r="K24" s="12" t="str">
        <f t="shared" si="65"/>
        <v>-</v>
      </c>
      <c r="L24" s="12" t="str">
        <f t="shared" si="65"/>
        <v>-</v>
      </c>
      <c r="M24" s="12" t="str">
        <f t="shared" si="65"/>
        <v>-</v>
      </c>
      <c r="N24" s="12" t="str">
        <f t="shared" si="65"/>
        <v>-</v>
      </c>
      <c r="O24" s="12" t="str">
        <f t="shared" si="65"/>
        <v>-</v>
      </c>
      <c r="P24" s="12" t="str">
        <f t="shared" si="65"/>
        <v>-</v>
      </c>
      <c r="Q24" s="12" t="str">
        <f t="shared" si="65"/>
        <v>-</v>
      </c>
      <c r="R24" s="12" t="str">
        <f t="shared" si="65"/>
        <v>-</v>
      </c>
      <c r="S24" s="12" t="str">
        <f t="shared" si="65"/>
        <v>-</v>
      </c>
      <c r="T24" s="12" t="str">
        <f t="shared" si="65"/>
        <v>-</v>
      </c>
      <c r="U24" s="12" t="str">
        <f t="shared" si="65"/>
        <v>-</v>
      </c>
      <c r="V24" s="12" t="str">
        <f t="shared" si="65"/>
        <v>-</v>
      </c>
      <c r="W24" s="12" t="str">
        <f t="shared" si="65"/>
        <v>-</v>
      </c>
      <c r="X24" s="12" t="str">
        <f t="shared" si="65"/>
        <v>-</v>
      </c>
      <c r="Y24" s="12" t="str">
        <f t="shared" si="65"/>
        <v>-</v>
      </c>
      <c r="Z24" s="12" t="str">
        <f t="shared" si="65"/>
        <v>-</v>
      </c>
      <c r="AA24" s="12" t="str">
        <f t="shared" si="65"/>
        <v>-</v>
      </c>
      <c r="AB24" s="12" t="str">
        <f t="shared" si="65"/>
        <v>-</v>
      </c>
      <c r="AC24" s="12" t="str">
        <f t="shared" si="65"/>
        <v>-</v>
      </c>
      <c r="AD24" s="12" t="str">
        <f t="shared" si="65"/>
        <v>-</v>
      </c>
      <c r="AE24" s="12" t="str">
        <f t="shared" si="65"/>
        <v>-</v>
      </c>
      <c r="AF24" s="12" t="str">
        <f t="shared" si="65"/>
        <v>-</v>
      </c>
      <c r="AG24" s="12" t="str">
        <f t="shared" si="65"/>
        <v>-</v>
      </c>
      <c r="AH24" s="12" t="str">
        <f t="shared" si="65"/>
        <v>-</v>
      </c>
      <c r="AI24" s="12" t="str">
        <f t="shared" si="65"/>
        <v>-</v>
      </c>
      <c r="AJ24" s="12" t="str">
        <f t="shared" si="65"/>
        <v>-</v>
      </c>
      <c r="AK24" s="12" t="str">
        <f t="shared" si="65"/>
        <v>-</v>
      </c>
      <c r="AL24" s="12" t="str">
        <f t="shared" si="65"/>
        <v>-</v>
      </c>
      <c r="AM24" s="12" t="str">
        <f t="shared" si="65"/>
        <v>-</v>
      </c>
      <c r="AN24" s="12" t="str">
        <f t="shared" si="65"/>
        <v>-</v>
      </c>
      <c r="AO24" s="12" t="str">
        <f t="shared" si="65"/>
        <v>-</v>
      </c>
      <c r="AP24" s="12" t="str">
        <f t="shared" si="65"/>
        <v>-</v>
      </c>
      <c r="AQ24" s="12" t="str">
        <f t="shared" si="65"/>
        <v>-</v>
      </c>
      <c r="AR24" s="12" t="str">
        <f t="shared" si="65"/>
        <v>-</v>
      </c>
      <c r="AS24" s="12" t="str">
        <f t="shared" si="65"/>
        <v>-</v>
      </c>
      <c r="AT24" s="12" t="str">
        <f t="shared" si="65"/>
        <v>-</v>
      </c>
      <c r="AU24" s="12" t="str">
        <f t="shared" si="65"/>
        <v>-</v>
      </c>
      <c r="AV24" s="12" t="str">
        <f t="shared" si="65"/>
        <v>-</v>
      </c>
      <c r="AW24" s="12">
        <f t="shared" si="65"/>
        <v>2</v>
      </c>
      <c r="AX24" s="16">
        <f t="shared" si="48"/>
        <v>19</v>
      </c>
      <c r="AY24" s="1"/>
      <c r="AZ24" s="16">
        <v>18</v>
      </c>
      <c r="BA24" s="13">
        <v>500</v>
      </c>
      <c r="BB24" s="13">
        <v>498.65408000000002</v>
      </c>
      <c r="BC24" s="14">
        <v>497.30752999999999</v>
      </c>
      <c r="BD24" s="14">
        <v>495.95956000000001</v>
      </c>
      <c r="BE24" s="14">
        <v>494.60962000000001</v>
      </c>
      <c r="BF24" s="14">
        <v>493.25700000000001</v>
      </c>
      <c r="BG24" s="14">
        <v>491.90109999999999</v>
      </c>
      <c r="BH24" s="14">
        <v>490.54129999999998</v>
      </c>
      <c r="BI24" s="14">
        <v>489.17705999999998</v>
      </c>
      <c r="BJ24" s="14">
        <v>487.80786000000001</v>
      </c>
      <c r="BK24" s="14">
        <v>486.43313999999998</v>
      </c>
      <c r="BL24" s="14">
        <v>485.05250000000001</v>
      </c>
      <c r="BM24" s="14">
        <v>483.66543999999999</v>
      </c>
      <c r="BN24" s="14">
        <v>482.27159999999998</v>
      </c>
      <c r="BO24" s="14">
        <v>480.87060000000002</v>
      </c>
      <c r="BP24" s="14">
        <v>479.46210000000002</v>
      </c>
      <c r="BQ24" s="14">
        <v>478.04579999999999</v>
      </c>
      <c r="BR24" s="14">
        <v>476.62142999999998</v>
      </c>
      <c r="BS24" s="14">
        <v>475.18869999999998</v>
      </c>
      <c r="BT24" s="14">
        <v>473.74738000000002</v>
      </c>
      <c r="BU24" s="14">
        <v>472.29723999999999</v>
      </c>
      <c r="BV24" s="14">
        <v>470.83803999999998</v>
      </c>
      <c r="BW24" s="14">
        <v>469.36957000000001</v>
      </c>
      <c r="BX24" s="14">
        <v>467.89157</v>
      </c>
      <c r="BY24" s="14">
        <v>466.40386999999998</v>
      </c>
      <c r="BZ24" s="14">
        <v>464.90616</v>
      </c>
      <c r="CA24" s="14">
        <v>463.39830000000001</v>
      </c>
      <c r="CB24" s="14">
        <v>461.87993999999998</v>
      </c>
      <c r="CC24" s="14">
        <v>460.35091999999997</v>
      </c>
      <c r="CD24" s="14">
        <v>458.81103999999999</v>
      </c>
      <c r="CE24" s="14">
        <v>457.26</v>
      </c>
      <c r="CF24" s="14">
        <v>455.69772</v>
      </c>
      <c r="CG24" s="14">
        <v>454.12396000000001</v>
      </c>
      <c r="CH24" s="14">
        <v>452.53863999999999</v>
      </c>
      <c r="CI24" s="14">
        <v>450.94162</v>
      </c>
      <c r="CJ24" s="14">
        <v>449.33276000000001</v>
      </c>
      <c r="CK24" s="14">
        <v>447.71194000000003</v>
      </c>
      <c r="CL24" s="14">
        <v>446.07904000000002</v>
      </c>
      <c r="CM24" s="14">
        <v>444.43389999999999</v>
      </c>
      <c r="CN24" s="14">
        <v>442.77634</v>
      </c>
      <c r="CO24" s="14">
        <v>441.10617000000002</v>
      </c>
      <c r="CP24" s="1"/>
      <c r="CQ24" s="27">
        <f t="shared" si="45"/>
        <v>1</v>
      </c>
      <c r="CR24" s="16">
        <f t="shared" si="49"/>
        <v>19</v>
      </c>
      <c r="CS24" s="24">
        <v>2.5</v>
      </c>
      <c r="CT24" s="1"/>
      <c r="CU24" s="30">
        <f t="shared" si="41"/>
        <v>2</v>
      </c>
      <c r="CV24" s="31">
        <v>622.20000000000005</v>
      </c>
      <c r="CW24" s="38">
        <f t="shared" si="42"/>
        <v>9.370000000000001</v>
      </c>
      <c r="CX24" s="29"/>
      <c r="CY24" s="31">
        <v>651.25</v>
      </c>
      <c r="CZ24" s="29"/>
      <c r="DA24" s="29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</row>
    <row r="25" spans="1:134" ht="6.75" customHeight="1" x14ac:dyDescent="0.25">
      <c r="A25" s="3">
        <f t="shared" si="46"/>
        <v>20</v>
      </c>
      <c r="B25" s="68">
        <v>15</v>
      </c>
      <c r="C25" s="10">
        <v>0</v>
      </c>
      <c r="D25" s="69">
        <v>39</v>
      </c>
      <c r="E25" s="10">
        <v>-0.2</v>
      </c>
      <c r="F25" s="1"/>
      <c r="G25" s="15" t="str">
        <f>_xlfn.CONCAT(D25+1,",",B25+1)</f>
        <v>40,16</v>
      </c>
      <c r="H25" s="1"/>
      <c r="I25" s="20">
        <f t="shared" si="43"/>
        <v>20</v>
      </c>
      <c r="J25" s="12">
        <f t="shared" ref="J25:AW25" si="66">IF(ISNUMBER(MATCH(J48,$G$25:$G$29,0)),$D$2,IF(ISNUMBER(MATCH(J48,$G$32:$G$33,0)),$E$2,IF(ISNUMBER(MATCH(J48,$G$6:$G$24,0)),$C$2,$B$2)))</f>
        <v>1</v>
      </c>
      <c r="K25" s="12" t="str">
        <f t="shared" si="66"/>
        <v>-</v>
      </c>
      <c r="L25" s="12" t="str">
        <f t="shared" si="66"/>
        <v>-</v>
      </c>
      <c r="M25" s="12" t="str">
        <f t="shared" si="66"/>
        <v>-</v>
      </c>
      <c r="N25" s="12" t="str">
        <f t="shared" si="66"/>
        <v>-</v>
      </c>
      <c r="O25" s="12" t="str">
        <f t="shared" si="66"/>
        <v>-</v>
      </c>
      <c r="P25" s="12" t="str">
        <f t="shared" si="66"/>
        <v>-</v>
      </c>
      <c r="Q25" s="12" t="str">
        <f t="shared" si="66"/>
        <v>-</v>
      </c>
      <c r="R25" s="12" t="str">
        <f t="shared" si="66"/>
        <v>-</v>
      </c>
      <c r="S25" s="12" t="str">
        <f t="shared" si="66"/>
        <v>-</v>
      </c>
      <c r="T25" s="12" t="str">
        <f t="shared" si="66"/>
        <v>-</v>
      </c>
      <c r="U25" s="12" t="str">
        <f t="shared" si="66"/>
        <v>-</v>
      </c>
      <c r="V25" s="12" t="str">
        <f t="shared" si="66"/>
        <v>-</v>
      </c>
      <c r="W25" s="12" t="str">
        <f t="shared" si="66"/>
        <v>-</v>
      </c>
      <c r="X25" s="12" t="str">
        <f t="shared" si="66"/>
        <v>-</v>
      </c>
      <c r="Y25" s="12" t="str">
        <f t="shared" si="66"/>
        <v>-</v>
      </c>
      <c r="Z25" s="12" t="str">
        <f t="shared" si="66"/>
        <v>-</v>
      </c>
      <c r="AA25" s="12" t="str">
        <f t="shared" si="66"/>
        <v>-</v>
      </c>
      <c r="AB25" s="12" t="str">
        <f t="shared" si="66"/>
        <v>-</v>
      </c>
      <c r="AC25" s="12" t="str">
        <f t="shared" si="66"/>
        <v>-</v>
      </c>
      <c r="AD25" s="12" t="str">
        <f t="shared" si="66"/>
        <v>-</v>
      </c>
      <c r="AE25" s="12" t="str">
        <f t="shared" si="66"/>
        <v>-</v>
      </c>
      <c r="AF25" s="12" t="str">
        <f t="shared" si="66"/>
        <v>-</v>
      </c>
      <c r="AG25" s="12" t="str">
        <f t="shared" si="66"/>
        <v>-</v>
      </c>
      <c r="AH25" s="12" t="str">
        <f t="shared" si="66"/>
        <v>-</v>
      </c>
      <c r="AI25" s="12" t="str">
        <f t="shared" si="66"/>
        <v>-</v>
      </c>
      <c r="AJ25" s="12" t="str">
        <f t="shared" si="66"/>
        <v>-</v>
      </c>
      <c r="AK25" s="12" t="str">
        <f t="shared" si="66"/>
        <v>-</v>
      </c>
      <c r="AL25" s="12" t="str">
        <f t="shared" si="66"/>
        <v>-</v>
      </c>
      <c r="AM25" s="12" t="str">
        <f t="shared" si="66"/>
        <v>-</v>
      </c>
      <c r="AN25" s="12" t="str">
        <f t="shared" si="66"/>
        <v>-</v>
      </c>
      <c r="AO25" s="12" t="str">
        <f t="shared" si="66"/>
        <v>-</v>
      </c>
      <c r="AP25" s="12" t="str">
        <f t="shared" si="66"/>
        <v>-</v>
      </c>
      <c r="AQ25" s="12" t="str">
        <f t="shared" si="66"/>
        <v>-</v>
      </c>
      <c r="AR25" s="12" t="str">
        <f t="shared" si="66"/>
        <v>-</v>
      </c>
      <c r="AS25" s="12" t="str">
        <f t="shared" si="66"/>
        <v>-</v>
      </c>
      <c r="AT25" s="12" t="str">
        <f t="shared" si="66"/>
        <v>-</v>
      </c>
      <c r="AU25" s="12" t="str">
        <f t="shared" si="66"/>
        <v>-</v>
      </c>
      <c r="AV25" s="12" t="str">
        <f t="shared" si="66"/>
        <v>-</v>
      </c>
      <c r="AW25" s="12">
        <f t="shared" si="66"/>
        <v>2</v>
      </c>
      <c r="AX25" s="16">
        <f t="shared" si="48"/>
        <v>20</v>
      </c>
      <c r="AY25" s="1"/>
      <c r="AZ25" s="16">
        <v>19</v>
      </c>
      <c r="BA25" s="13">
        <v>500</v>
      </c>
      <c r="BB25" s="13">
        <v>498.64794999999998</v>
      </c>
      <c r="BC25" s="14">
        <v>497.29525999999998</v>
      </c>
      <c r="BD25" s="14">
        <v>495.94125000000003</v>
      </c>
      <c r="BE25" s="14">
        <v>494.58535999999998</v>
      </c>
      <c r="BF25" s="14">
        <v>493.2269</v>
      </c>
      <c r="BG25" s="14">
        <v>491.86532999999997</v>
      </c>
      <c r="BH25" s="14">
        <v>490.50002999999998</v>
      </c>
      <c r="BI25" s="14">
        <v>489.13049999999998</v>
      </c>
      <c r="BJ25" s="14">
        <v>487.75616000000002</v>
      </c>
      <c r="BK25" s="14">
        <v>486.37655999999998</v>
      </c>
      <c r="BL25" s="14">
        <v>484.99117999999999</v>
      </c>
      <c r="BM25" s="14">
        <v>483.59967</v>
      </c>
      <c r="BN25" s="14">
        <v>482.20157</v>
      </c>
      <c r="BO25" s="14">
        <v>480.79649999999998</v>
      </c>
      <c r="BP25" s="14">
        <v>479.38416000000001</v>
      </c>
      <c r="BQ25" s="14">
        <v>477.96420000000001</v>
      </c>
      <c r="BR25" s="14">
        <v>476.53631999999999</v>
      </c>
      <c r="BS25" s="14">
        <v>475.10021999999998</v>
      </c>
      <c r="BT25" s="14">
        <v>473.65570000000002</v>
      </c>
      <c r="BU25" s="14">
        <v>472.20245</v>
      </c>
      <c r="BV25" s="14">
        <v>470.74023</v>
      </c>
      <c r="BW25" s="14">
        <v>469.26882999999998</v>
      </c>
      <c r="BX25" s="14">
        <v>467.78800000000001</v>
      </c>
      <c r="BY25" s="14">
        <v>466.29750000000001</v>
      </c>
      <c r="BZ25" s="14">
        <v>464.79705999999999</v>
      </c>
      <c r="CA25" s="14">
        <v>463.28649999999999</v>
      </c>
      <c r="CB25" s="14">
        <v>461.76555999999999</v>
      </c>
      <c r="CC25" s="14">
        <v>460.23403999999999</v>
      </c>
      <c r="CD25" s="14">
        <v>458.69168000000002</v>
      </c>
      <c r="CE25" s="14">
        <v>457.13830000000002</v>
      </c>
      <c r="CF25" s="14">
        <v>455.57369999999997</v>
      </c>
      <c r="CG25" s="14">
        <v>453.99770000000001</v>
      </c>
      <c r="CH25" s="14">
        <v>452.41016000000002</v>
      </c>
      <c r="CI25" s="14">
        <v>450.8109</v>
      </c>
      <c r="CJ25" s="14">
        <v>449.19986</v>
      </c>
      <c r="CK25" s="14">
        <v>447.57677999999999</v>
      </c>
      <c r="CL25" s="14">
        <v>445.94155999999998</v>
      </c>
      <c r="CM25" s="14">
        <v>444.29399999999998</v>
      </c>
      <c r="CN25" s="14">
        <v>442.63394</v>
      </c>
      <c r="CO25" s="14">
        <v>440.96114999999998</v>
      </c>
      <c r="CP25" s="1"/>
      <c r="CQ25" s="27">
        <f t="shared" si="45"/>
        <v>1</v>
      </c>
      <c r="CR25" s="16">
        <f t="shared" si="49"/>
        <v>20</v>
      </c>
      <c r="CS25" s="24">
        <v>2.5833333333333299</v>
      </c>
      <c r="CT25" s="1"/>
      <c r="CU25" s="30">
        <f t="shared" si="41"/>
        <v>2</v>
      </c>
      <c r="CV25" s="31">
        <v>658.8</v>
      </c>
      <c r="CW25" s="38">
        <f t="shared" si="42"/>
        <v>9.9799999999999986</v>
      </c>
      <c r="CX25" s="29"/>
      <c r="CY25" s="31">
        <v>687.5</v>
      </c>
      <c r="CZ25" s="29"/>
      <c r="DA25" s="29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</row>
    <row r="26" spans="1:134" ht="6.75" customHeight="1" x14ac:dyDescent="0.25">
      <c r="A26" s="3">
        <f t="shared" si="46"/>
        <v>21</v>
      </c>
      <c r="B26" s="68">
        <v>16</v>
      </c>
      <c r="C26" s="10">
        <v>0</v>
      </c>
      <c r="D26" s="69">
        <v>39</v>
      </c>
      <c r="E26" s="10">
        <v>-0.2</v>
      </c>
      <c r="F26" s="1"/>
      <c r="G26" s="15" t="str">
        <f t="shared" ref="G26:G29" si="67">_xlfn.CONCAT(D26+1,",",B26+1)</f>
        <v>40,17</v>
      </c>
      <c r="H26" s="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27">
        <f t="shared" si="45"/>
        <v>1</v>
      </c>
      <c r="CR26" s="16">
        <f t="shared" si="49"/>
        <v>21</v>
      </c>
      <c r="CS26" s="24">
        <v>2.6666666666666599</v>
      </c>
      <c r="CT26" s="1"/>
      <c r="CU26" s="30">
        <f t="shared" si="41"/>
        <v>2</v>
      </c>
      <c r="CV26" s="31">
        <v>695.4</v>
      </c>
      <c r="CW26" s="38">
        <f t="shared" si="42"/>
        <v>10.59</v>
      </c>
      <c r="CX26" s="29"/>
      <c r="CY26" s="31">
        <v>723.75</v>
      </c>
      <c r="CZ26" s="29"/>
      <c r="DA26" s="29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</row>
    <row r="27" spans="1:134" ht="6.75" customHeight="1" x14ac:dyDescent="0.25">
      <c r="A27" s="3">
        <f t="shared" si="46"/>
        <v>22</v>
      </c>
      <c r="B27" s="68">
        <v>17</v>
      </c>
      <c r="C27" s="10">
        <v>0</v>
      </c>
      <c r="D27" s="69">
        <v>39</v>
      </c>
      <c r="E27" s="10">
        <v>-0.2</v>
      </c>
      <c r="F27" s="1"/>
      <c r="G27" s="15" t="str">
        <f t="shared" si="67"/>
        <v>40,18</v>
      </c>
      <c r="H27" s="1"/>
      <c r="I27" s="20">
        <f>COUNT(J5:AW5)</f>
        <v>40</v>
      </c>
      <c r="J27" s="16">
        <v>1</v>
      </c>
      <c r="K27" s="16">
        <f t="shared" ref="K27:AW27" si="68">IF(ISNUMBER(K28),J27+1,"")</f>
        <v>2</v>
      </c>
      <c r="L27" s="16">
        <f t="shared" si="68"/>
        <v>3</v>
      </c>
      <c r="M27" s="16">
        <f t="shared" si="68"/>
        <v>4</v>
      </c>
      <c r="N27" s="16">
        <f t="shared" si="68"/>
        <v>5</v>
      </c>
      <c r="O27" s="16">
        <f t="shared" si="68"/>
        <v>6</v>
      </c>
      <c r="P27" s="16">
        <f t="shared" si="68"/>
        <v>7</v>
      </c>
      <c r="Q27" s="16">
        <f t="shared" si="68"/>
        <v>8</v>
      </c>
      <c r="R27" s="16">
        <f t="shared" si="68"/>
        <v>9</v>
      </c>
      <c r="S27" s="16">
        <f t="shared" si="68"/>
        <v>10</v>
      </c>
      <c r="T27" s="16">
        <f t="shared" si="68"/>
        <v>11</v>
      </c>
      <c r="U27" s="16">
        <f t="shared" si="68"/>
        <v>12</v>
      </c>
      <c r="V27" s="16">
        <f t="shared" si="68"/>
        <v>13</v>
      </c>
      <c r="W27" s="16">
        <f t="shared" si="68"/>
        <v>14</v>
      </c>
      <c r="X27" s="16">
        <f t="shared" si="68"/>
        <v>15</v>
      </c>
      <c r="Y27" s="16">
        <f t="shared" si="68"/>
        <v>16</v>
      </c>
      <c r="Z27" s="16">
        <f t="shared" si="68"/>
        <v>17</v>
      </c>
      <c r="AA27" s="16">
        <f t="shared" si="68"/>
        <v>18</v>
      </c>
      <c r="AB27" s="16">
        <f t="shared" si="68"/>
        <v>19</v>
      </c>
      <c r="AC27" s="16">
        <f t="shared" si="68"/>
        <v>20</v>
      </c>
      <c r="AD27" s="16">
        <f t="shared" si="68"/>
        <v>21</v>
      </c>
      <c r="AE27" s="16">
        <f t="shared" si="68"/>
        <v>22</v>
      </c>
      <c r="AF27" s="16">
        <f t="shared" si="68"/>
        <v>23</v>
      </c>
      <c r="AG27" s="16">
        <f t="shared" si="68"/>
        <v>24</v>
      </c>
      <c r="AH27" s="16">
        <f t="shared" si="68"/>
        <v>25</v>
      </c>
      <c r="AI27" s="16">
        <f t="shared" si="68"/>
        <v>26</v>
      </c>
      <c r="AJ27" s="16">
        <f t="shared" si="68"/>
        <v>27</v>
      </c>
      <c r="AK27" s="16">
        <f t="shared" si="68"/>
        <v>28</v>
      </c>
      <c r="AL27" s="16">
        <f t="shared" si="68"/>
        <v>29</v>
      </c>
      <c r="AM27" s="16">
        <f t="shared" si="68"/>
        <v>30</v>
      </c>
      <c r="AN27" s="16">
        <f t="shared" si="68"/>
        <v>31</v>
      </c>
      <c r="AO27" s="16">
        <f t="shared" si="68"/>
        <v>32</v>
      </c>
      <c r="AP27" s="16">
        <f t="shared" si="68"/>
        <v>33</v>
      </c>
      <c r="AQ27" s="16">
        <f t="shared" si="68"/>
        <v>34</v>
      </c>
      <c r="AR27" s="16">
        <f t="shared" si="68"/>
        <v>35</v>
      </c>
      <c r="AS27" s="16">
        <f t="shared" si="68"/>
        <v>36</v>
      </c>
      <c r="AT27" s="16">
        <f t="shared" si="68"/>
        <v>37</v>
      </c>
      <c r="AU27" s="16">
        <f t="shared" si="68"/>
        <v>38</v>
      </c>
      <c r="AV27" s="16">
        <f t="shared" si="68"/>
        <v>39</v>
      </c>
      <c r="AW27" s="16">
        <f t="shared" si="68"/>
        <v>40</v>
      </c>
      <c r="AX27" s="16"/>
      <c r="AY27" s="1"/>
      <c r="AZ27" s="8" t="s">
        <v>34</v>
      </c>
      <c r="BA27" s="8"/>
      <c r="BB27" s="8"/>
      <c r="BC27" s="8"/>
      <c r="BD27" s="8"/>
      <c r="BE27" s="8"/>
      <c r="BF27" s="8"/>
      <c r="BG27" s="8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27">
        <f t="shared" si="45"/>
        <v>1</v>
      </c>
      <c r="CR27" s="16">
        <f t="shared" si="49"/>
        <v>22</v>
      </c>
      <c r="CS27" s="24">
        <v>2.75</v>
      </c>
      <c r="CT27" s="1"/>
      <c r="CU27" s="30">
        <f t="shared" si="41"/>
        <v>2</v>
      </c>
      <c r="CV27" s="31">
        <v>732</v>
      </c>
      <c r="CW27" s="38">
        <f t="shared" si="42"/>
        <v>11.2</v>
      </c>
      <c r="CX27" s="29"/>
      <c r="CY27" s="31">
        <v>760</v>
      </c>
      <c r="CZ27" s="29"/>
      <c r="DA27" s="29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</row>
    <row r="28" spans="1:134" ht="6.75" customHeight="1" x14ac:dyDescent="0.25">
      <c r="A28" s="3">
        <f t="shared" si="46"/>
        <v>23</v>
      </c>
      <c r="B28" s="68">
        <v>18</v>
      </c>
      <c r="C28" s="10">
        <v>0</v>
      </c>
      <c r="D28" s="69">
        <v>39</v>
      </c>
      <c r="E28" s="10">
        <v>-0.2</v>
      </c>
      <c r="F28" s="1"/>
      <c r="G28" s="15" t="str">
        <f t="shared" si="67"/>
        <v>40,19</v>
      </c>
      <c r="H28" s="1"/>
      <c r="I28" s="20">
        <f>COUNT(I6:I25)</f>
        <v>20</v>
      </c>
      <c r="J28" s="16">
        <f>ROW()</f>
        <v>28</v>
      </c>
      <c r="K28" s="16">
        <f>ROW()</f>
        <v>28</v>
      </c>
      <c r="L28" s="16">
        <f>ROW()</f>
        <v>28</v>
      </c>
      <c r="M28" s="16">
        <f>ROW()</f>
        <v>28</v>
      </c>
      <c r="N28" s="16">
        <f>ROW()</f>
        <v>28</v>
      </c>
      <c r="O28" s="16">
        <f>ROW()</f>
        <v>28</v>
      </c>
      <c r="P28" s="16">
        <f>ROW()</f>
        <v>28</v>
      </c>
      <c r="Q28" s="16">
        <f>ROW()</f>
        <v>28</v>
      </c>
      <c r="R28" s="16">
        <f>ROW()</f>
        <v>28</v>
      </c>
      <c r="S28" s="16">
        <f>ROW()</f>
        <v>28</v>
      </c>
      <c r="T28" s="16">
        <f>ROW()</f>
        <v>28</v>
      </c>
      <c r="U28" s="16">
        <f>ROW()</f>
        <v>28</v>
      </c>
      <c r="V28" s="16">
        <f>ROW()</f>
        <v>28</v>
      </c>
      <c r="W28" s="16">
        <f>ROW()</f>
        <v>28</v>
      </c>
      <c r="X28" s="16">
        <f>ROW()</f>
        <v>28</v>
      </c>
      <c r="Y28" s="16">
        <f>ROW()</f>
        <v>28</v>
      </c>
      <c r="Z28" s="16">
        <f>ROW()</f>
        <v>28</v>
      </c>
      <c r="AA28" s="16">
        <f>ROW()</f>
        <v>28</v>
      </c>
      <c r="AB28" s="16">
        <f>ROW()</f>
        <v>28</v>
      </c>
      <c r="AC28" s="16">
        <f>ROW()</f>
        <v>28</v>
      </c>
      <c r="AD28" s="16">
        <f>ROW()</f>
        <v>28</v>
      </c>
      <c r="AE28" s="16">
        <f>ROW()</f>
        <v>28</v>
      </c>
      <c r="AF28" s="16">
        <f>ROW()</f>
        <v>28</v>
      </c>
      <c r="AG28" s="16">
        <f>ROW()</f>
        <v>28</v>
      </c>
      <c r="AH28" s="16">
        <f>ROW()</f>
        <v>28</v>
      </c>
      <c r="AI28" s="16">
        <f>ROW()</f>
        <v>28</v>
      </c>
      <c r="AJ28" s="16">
        <f>ROW()</f>
        <v>28</v>
      </c>
      <c r="AK28" s="16">
        <f>ROW()</f>
        <v>28</v>
      </c>
      <c r="AL28" s="16">
        <f>ROW()</f>
        <v>28</v>
      </c>
      <c r="AM28" s="16">
        <f>ROW()</f>
        <v>28</v>
      </c>
      <c r="AN28" s="16">
        <f>ROW()</f>
        <v>28</v>
      </c>
      <c r="AO28" s="16">
        <f>ROW()</f>
        <v>28</v>
      </c>
      <c r="AP28" s="16">
        <f>ROW()</f>
        <v>28</v>
      </c>
      <c r="AQ28" s="16">
        <f>ROW()</f>
        <v>28</v>
      </c>
      <c r="AR28" s="16">
        <f>ROW()</f>
        <v>28</v>
      </c>
      <c r="AS28" s="16">
        <f>ROW()</f>
        <v>28</v>
      </c>
      <c r="AT28" s="16">
        <f>ROW()</f>
        <v>28</v>
      </c>
      <c r="AU28" s="16">
        <f>ROW()</f>
        <v>28</v>
      </c>
      <c r="AV28" s="16">
        <f>ROW()</f>
        <v>28</v>
      </c>
      <c r="AW28" s="16">
        <f>ROW()</f>
        <v>28</v>
      </c>
      <c r="AX28" s="16"/>
      <c r="AY28" s="1"/>
      <c r="AZ28" s="5" t="s">
        <v>3</v>
      </c>
      <c r="BA28" s="16">
        <f>BA50</f>
        <v>0</v>
      </c>
      <c r="BB28" s="16">
        <f>BA28+1</f>
        <v>1</v>
      </c>
      <c r="BC28" s="16">
        <f t="shared" ref="BC28" si="69">BB28+1</f>
        <v>2</v>
      </c>
      <c r="BD28" s="16">
        <f t="shared" ref="BD28" si="70">BC28+1</f>
        <v>3</v>
      </c>
      <c r="BE28" s="16">
        <f t="shared" ref="BE28" si="71">BD28+1</f>
        <v>4</v>
      </c>
      <c r="BF28" s="16">
        <f t="shared" ref="BF28" si="72">BE28+1</f>
        <v>5</v>
      </c>
      <c r="BG28" s="16">
        <f t="shared" ref="BG28" si="73">BF28+1</f>
        <v>6</v>
      </c>
      <c r="BH28" s="16">
        <f t="shared" ref="BH28" si="74">BG28+1</f>
        <v>7</v>
      </c>
      <c r="BI28" s="16">
        <f t="shared" ref="BI28" si="75">BH28+1</f>
        <v>8</v>
      </c>
      <c r="BJ28" s="16">
        <f t="shared" ref="BJ28" si="76">BI28+1</f>
        <v>9</v>
      </c>
      <c r="BK28" s="16">
        <f t="shared" ref="BK28" si="77">BJ28+1</f>
        <v>10</v>
      </c>
      <c r="BL28" s="16">
        <f t="shared" ref="BL28" si="78">BK28+1</f>
        <v>11</v>
      </c>
      <c r="BM28" s="16">
        <f t="shared" ref="BM28" si="79">BL28+1</f>
        <v>12</v>
      </c>
      <c r="BN28" s="16">
        <f t="shared" ref="BN28" si="80">BM28+1</f>
        <v>13</v>
      </c>
      <c r="BO28" s="16">
        <f t="shared" ref="BO28" si="81">BN28+1</f>
        <v>14</v>
      </c>
      <c r="BP28" s="16">
        <f t="shared" ref="BP28" si="82">BO28+1</f>
        <v>15</v>
      </c>
      <c r="BQ28" s="16">
        <f t="shared" ref="BQ28" si="83">BP28+1</f>
        <v>16</v>
      </c>
      <c r="BR28" s="16">
        <f t="shared" ref="BR28" si="84">BQ28+1</f>
        <v>17</v>
      </c>
      <c r="BS28" s="16">
        <f t="shared" ref="BS28" si="85">BR28+1</f>
        <v>18</v>
      </c>
      <c r="BT28" s="16">
        <f t="shared" ref="BT28" si="86">BS28+1</f>
        <v>19</v>
      </c>
      <c r="BU28" s="16">
        <f t="shared" ref="BU28" si="87">BT28+1</f>
        <v>20</v>
      </c>
      <c r="BV28" s="16">
        <f t="shared" ref="BV28" si="88">BU28+1</f>
        <v>21</v>
      </c>
      <c r="BW28" s="16">
        <f t="shared" ref="BW28" si="89">BV28+1</f>
        <v>22</v>
      </c>
      <c r="BX28" s="16">
        <f t="shared" ref="BX28" si="90">BW28+1</f>
        <v>23</v>
      </c>
      <c r="BY28" s="16">
        <f t="shared" ref="BY28" si="91">BX28+1</f>
        <v>24</v>
      </c>
      <c r="BZ28" s="16">
        <f t="shared" ref="BZ28" si="92">BY28+1</f>
        <v>25</v>
      </c>
      <c r="CA28" s="16">
        <f t="shared" ref="CA28" si="93">BZ28+1</f>
        <v>26</v>
      </c>
      <c r="CB28" s="16">
        <f t="shared" ref="CB28" si="94">CA28+1</f>
        <v>27</v>
      </c>
      <c r="CC28" s="16">
        <f t="shared" ref="CC28" si="95">CB28+1</f>
        <v>28</v>
      </c>
      <c r="CD28" s="16">
        <f t="shared" ref="CD28" si="96">CC28+1</f>
        <v>29</v>
      </c>
      <c r="CE28" s="16">
        <f t="shared" ref="CE28" si="97">CD28+1</f>
        <v>30</v>
      </c>
      <c r="CF28" s="16">
        <f t="shared" ref="CF28" si="98">CE28+1</f>
        <v>31</v>
      </c>
      <c r="CG28" s="16">
        <f t="shared" ref="CG28" si="99">CF28+1</f>
        <v>32</v>
      </c>
      <c r="CH28" s="16">
        <f t="shared" ref="CH28" si="100">CG28+1</f>
        <v>33</v>
      </c>
      <c r="CI28" s="16">
        <f t="shared" ref="CI28" si="101">CH28+1</f>
        <v>34</v>
      </c>
      <c r="CJ28" s="16">
        <f t="shared" ref="CJ28" si="102">CI28+1</f>
        <v>35</v>
      </c>
      <c r="CK28" s="16">
        <f t="shared" ref="CK28" si="103">CJ28+1</f>
        <v>36</v>
      </c>
      <c r="CL28" s="16">
        <f t="shared" ref="CL28" si="104">CK28+1</f>
        <v>37</v>
      </c>
      <c r="CM28" s="16">
        <f t="shared" ref="CM28" si="105">CL28+1</f>
        <v>38</v>
      </c>
      <c r="CN28" s="16">
        <f t="shared" ref="CN28" si="106">CM28+1</f>
        <v>39</v>
      </c>
      <c r="CO28" s="16">
        <v>0</v>
      </c>
      <c r="CP28" s="1"/>
      <c r="CQ28" s="27">
        <f t="shared" si="45"/>
        <v>1</v>
      </c>
      <c r="CR28" s="16">
        <f t="shared" si="49"/>
        <v>23</v>
      </c>
      <c r="CS28" s="24">
        <v>2.8333333333333299</v>
      </c>
      <c r="CT28" s="1"/>
      <c r="CU28" s="30">
        <f t="shared" si="41"/>
        <v>2</v>
      </c>
      <c r="CV28" s="31">
        <v>768.6</v>
      </c>
      <c r="CW28" s="38">
        <f t="shared" si="42"/>
        <v>11.81</v>
      </c>
      <c r="CX28" s="29"/>
      <c r="CY28" s="31">
        <v>796.25</v>
      </c>
      <c r="CZ28" s="29"/>
      <c r="DA28" s="29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</row>
    <row r="29" spans="1:134" ht="6.75" customHeight="1" thickBot="1" x14ac:dyDescent="0.3">
      <c r="A29" s="3">
        <f t="shared" si="46"/>
        <v>24</v>
      </c>
      <c r="B29" s="22">
        <v>19</v>
      </c>
      <c r="C29" s="70">
        <v>0</v>
      </c>
      <c r="D29" s="71">
        <v>39</v>
      </c>
      <c r="E29" s="10">
        <v>-0.2</v>
      </c>
      <c r="F29" s="1"/>
      <c r="G29" s="15" t="str">
        <f t="shared" si="67"/>
        <v>40,20</v>
      </c>
      <c r="H29" s="1"/>
      <c r="I29" s="16">
        <f>COLUMN()</f>
        <v>9</v>
      </c>
      <c r="J29" s="19" t="str">
        <f t="shared" ref="J29:Y44" si="107">_xlfn.CONCAT(COLUMN()-$I29,",",ROW()-J$28)</f>
        <v>1,1</v>
      </c>
      <c r="K29" s="19" t="str">
        <f t="shared" si="107"/>
        <v>2,1</v>
      </c>
      <c r="L29" s="19" t="str">
        <f t="shared" si="107"/>
        <v>3,1</v>
      </c>
      <c r="M29" s="19" t="str">
        <f t="shared" si="107"/>
        <v>4,1</v>
      </c>
      <c r="N29" s="19" t="str">
        <f t="shared" si="107"/>
        <v>5,1</v>
      </c>
      <c r="O29" s="19" t="str">
        <f t="shared" si="107"/>
        <v>6,1</v>
      </c>
      <c r="P29" s="19" t="str">
        <f t="shared" si="107"/>
        <v>7,1</v>
      </c>
      <c r="Q29" s="19" t="str">
        <f t="shared" si="107"/>
        <v>8,1</v>
      </c>
      <c r="R29" s="19" t="str">
        <f t="shared" si="107"/>
        <v>9,1</v>
      </c>
      <c r="S29" s="19" t="str">
        <f t="shared" si="107"/>
        <v>10,1</v>
      </c>
      <c r="T29" s="19" t="str">
        <f t="shared" si="107"/>
        <v>11,1</v>
      </c>
      <c r="U29" s="19" t="str">
        <f t="shared" si="107"/>
        <v>12,1</v>
      </c>
      <c r="V29" s="19" t="str">
        <f t="shared" si="107"/>
        <v>13,1</v>
      </c>
      <c r="W29" s="19" t="str">
        <f t="shared" si="107"/>
        <v>14,1</v>
      </c>
      <c r="X29" s="19" t="str">
        <f t="shared" si="107"/>
        <v>15,1</v>
      </c>
      <c r="Y29" s="19" t="str">
        <f t="shared" si="107"/>
        <v>16,1</v>
      </c>
      <c r="Z29" s="19" t="str">
        <f t="shared" ref="Z29:AO44" si="108">_xlfn.CONCAT(COLUMN()-$I29,",",ROW()-Z$28)</f>
        <v>17,1</v>
      </c>
      <c r="AA29" s="19" t="str">
        <f t="shared" si="108"/>
        <v>18,1</v>
      </c>
      <c r="AB29" s="19" t="str">
        <f t="shared" si="108"/>
        <v>19,1</v>
      </c>
      <c r="AC29" s="19" t="str">
        <f t="shared" si="108"/>
        <v>20,1</v>
      </c>
      <c r="AD29" s="19" t="str">
        <f t="shared" si="108"/>
        <v>21,1</v>
      </c>
      <c r="AE29" s="19" t="str">
        <f t="shared" si="108"/>
        <v>22,1</v>
      </c>
      <c r="AF29" s="19" t="str">
        <f t="shared" si="108"/>
        <v>23,1</v>
      </c>
      <c r="AG29" s="19" t="str">
        <f t="shared" si="108"/>
        <v>24,1</v>
      </c>
      <c r="AH29" s="19" t="str">
        <f t="shared" si="108"/>
        <v>25,1</v>
      </c>
      <c r="AI29" s="19" t="str">
        <f t="shared" si="108"/>
        <v>26,1</v>
      </c>
      <c r="AJ29" s="19" t="str">
        <f t="shared" si="108"/>
        <v>27,1</v>
      </c>
      <c r="AK29" s="19" t="str">
        <f t="shared" si="108"/>
        <v>28,1</v>
      </c>
      <c r="AL29" s="19" t="str">
        <f t="shared" si="108"/>
        <v>29,1</v>
      </c>
      <c r="AM29" s="19" t="str">
        <f t="shared" si="108"/>
        <v>30,1</v>
      </c>
      <c r="AN29" s="19" t="str">
        <f t="shared" si="108"/>
        <v>31,1</v>
      </c>
      <c r="AO29" s="19" t="str">
        <f t="shared" si="108"/>
        <v>32,1</v>
      </c>
      <c r="AP29" s="19" t="str">
        <f t="shared" ref="AP29:AW31" si="109">_xlfn.CONCAT(COLUMN()-$I29,",",ROW()-AP$28)</f>
        <v>33,1</v>
      </c>
      <c r="AQ29" s="19" t="str">
        <f t="shared" si="109"/>
        <v>34,1</v>
      </c>
      <c r="AR29" s="19" t="str">
        <f t="shared" si="109"/>
        <v>35,1</v>
      </c>
      <c r="AS29" s="19" t="str">
        <f t="shared" si="109"/>
        <v>36,1</v>
      </c>
      <c r="AT29" s="19" t="str">
        <f t="shared" si="109"/>
        <v>37,1</v>
      </c>
      <c r="AU29" s="19" t="str">
        <f t="shared" si="109"/>
        <v>38,1</v>
      </c>
      <c r="AV29" s="19" t="str">
        <f t="shared" si="109"/>
        <v>39,1</v>
      </c>
      <c r="AW29" s="19" t="str">
        <f t="shared" si="109"/>
        <v>40,1</v>
      </c>
      <c r="AX29" s="16">
        <f>AX28+1</f>
        <v>1</v>
      </c>
      <c r="AY29" s="1"/>
      <c r="AZ29" s="16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"/>
      <c r="CQ29" s="27">
        <f t="shared" si="45"/>
        <v>1</v>
      </c>
      <c r="CR29" s="16">
        <f t="shared" si="49"/>
        <v>24</v>
      </c>
      <c r="CS29" s="24">
        <v>2.9166666666666599</v>
      </c>
      <c r="CT29" s="1"/>
      <c r="CU29" s="30">
        <f t="shared" si="41"/>
        <v>2</v>
      </c>
      <c r="CV29" s="31">
        <v>805.2</v>
      </c>
      <c r="CW29" s="38">
        <f t="shared" si="42"/>
        <v>12.42</v>
      </c>
      <c r="CX29" s="29"/>
      <c r="CY29" s="31">
        <v>832.5</v>
      </c>
      <c r="CZ29" s="29"/>
      <c r="DA29" s="29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</row>
    <row r="30" spans="1:134" ht="6.75" customHeight="1" x14ac:dyDescent="0.25">
      <c r="A30" s="1"/>
      <c r="B30" s="21">
        <f>B29+1</f>
        <v>20</v>
      </c>
      <c r="C30" s="1"/>
      <c r="D30" s="1" t="s">
        <v>0</v>
      </c>
      <c r="E30" s="23" t="str">
        <f>_xlfn.CONCAT("[",B29,",",C29,",",D29,",",E29,"]")</f>
        <v>[19,0,39,-0.2]</v>
      </c>
      <c r="F30" s="1"/>
      <c r="G30" s="1"/>
      <c r="H30" s="1"/>
      <c r="I30" s="16">
        <f>COLUMN()</f>
        <v>9</v>
      </c>
      <c r="J30" s="19" t="str">
        <f t="shared" si="107"/>
        <v>1,2</v>
      </c>
      <c r="K30" s="19" t="str">
        <f t="shared" si="107"/>
        <v>2,2</v>
      </c>
      <c r="L30" s="19" t="str">
        <f t="shared" si="107"/>
        <v>3,2</v>
      </c>
      <c r="M30" s="19" t="str">
        <f t="shared" si="107"/>
        <v>4,2</v>
      </c>
      <c r="N30" s="19" t="str">
        <f t="shared" si="107"/>
        <v>5,2</v>
      </c>
      <c r="O30" s="19" t="str">
        <f t="shared" si="107"/>
        <v>6,2</v>
      </c>
      <c r="P30" s="19" t="str">
        <f t="shared" si="107"/>
        <v>7,2</v>
      </c>
      <c r="Q30" s="19" t="str">
        <f t="shared" si="107"/>
        <v>8,2</v>
      </c>
      <c r="R30" s="19" t="str">
        <f t="shared" si="107"/>
        <v>9,2</v>
      </c>
      <c r="S30" s="19" t="str">
        <f t="shared" si="107"/>
        <v>10,2</v>
      </c>
      <c r="T30" s="19" t="str">
        <f t="shared" si="107"/>
        <v>11,2</v>
      </c>
      <c r="U30" s="19" t="str">
        <f t="shared" si="107"/>
        <v>12,2</v>
      </c>
      <c r="V30" s="19" t="str">
        <f t="shared" si="107"/>
        <v>13,2</v>
      </c>
      <c r="W30" s="19" t="str">
        <f t="shared" si="107"/>
        <v>14,2</v>
      </c>
      <c r="X30" s="19" t="str">
        <f t="shared" si="107"/>
        <v>15,2</v>
      </c>
      <c r="Y30" s="19" t="str">
        <f t="shared" si="107"/>
        <v>16,2</v>
      </c>
      <c r="Z30" s="19" t="str">
        <f t="shared" si="108"/>
        <v>17,2</v>
      </c>
      <c r="AA30" s="19" t="str">
        <f t="shared" si="108"/>
        <v>18,2</v>
      </c>
      <c r="AB30" s="19" t="str">
        <f t="shared" si="108"/>
        <v>19,2</v>
      </c>
      <c r="AC30" s="19" t="str">
        <f t="shared" si="108"/>
        <v>20,2</v>
      </c>
      <c r="AD30" s="19" t="str">
        <f t="shared" si="108"/>
        <v>21,2</v>
      </c>
      <c r="AE30" s="19" t="str">
        <f t="shared" si="108"/>
        <v>22,2</v>
      </c>
      <c r="AF30" s="19" t="str">
        <f t="shared" si="108"/>
        <v>23,2</v>
      </c>
      <c r="AG30" s="19" t="str">
        <f t="shared" si="108"/>
        <v>24,2</v>
      </c>
      <c r="AH30" s="19" t="str">
        <f t="shared" si="108"/>
        <v>25,2</v>
      </c>
      <c r="AI30" s="19" t="str">
        <f t="shared" si="108"/>
        <v>26,2</v>
      </c>
      <c r="AJ30" s="19" t="str">
        <f t="shared" si="108"/>
        <v>27,2</v>
      </c>
      <c r="AK30" s="19" t="str">
        <f t="shared" si="108"/>
        <v>28,2</v>
      </c>
      <c r="AL30" s="19" t="str">
        <f t="shared" si="108"/>
        <v>29,2</v>
      </c>
      <c r="AM30" s="19" t="str">
        <f t="shared" si="108"/>
        <v>30,2</v>
      </c>
      <c r="AN30" s="19" t="str">
        <f t="shared" si="108"/>
        <v>31,2</v>
      </c>
      <c r="AO30" s="19" t="str">
        <f t="shared" si="108"/>
        <v>32,2</v>
      </c>
      <c r="AP30" s="19" t="str">
        <f t="shared" si="109"/>
        <v>33,2</v>
      </c>
      <c r="AQ30" s="19" t="str">
        <f t="shared" si="109"/>
        <v>34,2</v>
      </c>
      <c r="AR30" s="19" t="str">
        <f t="shared" si="109"/>
        <v>35,2</v>
      </c>
      <c r="AS30" s="19" t="str">
        <f t="shared" si="109"/>
        <v>36,2</v>
      </c>
      <c r="AT30" s="19" t="str">
        <f t="shared" si="109"/>
        <v>37,2</v>
      </c>
      <c r="AU30" s="19" t="str">
        <f t="shared" si="109"/>
        <v>38,2</v>
      </c>
      <c r="AV30" s="19" t="str">
        <f t="shared" si="109"/>
        <v>39,2</v>
      </c>
      <c r="AW30" s="19" t="str">
        <f t="shared" si="109"/>
        <v>40,2</v>
      </c>
      <c r="AX30" s="16">
        <f>AX29+1</f>
        <v>2</v>
      </c>
      <c r="AY30" s="1"/>
      <c r="AZ30" s="16">
        <v>1</v>
      </c>
      <c r="BA30" s="10">
        <v>0.94857199999999997</v>
      </c>
      <c r="BB30" s="10">
        <v>0.88655335000000002</v>
      </c>
      <c r="BC30" s="10">
        <v>0.79074394999999997</v>
      </c>
      <c r="BD30" s="10">
        <v>0.66638976000000005</v>
      </c>
      <c r="BE30" s="10">
        <v>0.48199278000000001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"/>
      <c r="CQ30" s="27">
        <f t="shared" si="45"/>
        <v>1</v>
      </c>
      <c r="CR30" s="16">
        <f t="shared" si="49"/>
        <v>25</v>
      </c>
      <c r="CS30" s="24">
        <v>3</v>
      </c>
      <c r="CT30" s="1"/>
      <c r="CU30" s="30">
        <f t="shared" si="41"/>
        <v>2</v>
      </c>
      <c r="CV30" s="31">
        <v>841.8</v>
      </c>
      <c r="CW30" s="38">
        <f t="shared" si="42"/>
        <v>13.03</v>
      </c>
      <c r="CX30" s="29"/>
      <c r="CY30" s="31">
        <v>868.75</v>
      </c>
      <c r="CZ30" s="29"/>
      <c r="DA30" s="29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</row>
    <row r="31" spans="1:134" ht="6.75" customHeight="1" x14ac:dyDescent="0.25">
      <c r="A31" s="3"/>
      <c r="B31" s="1"/>
      <c r="C31" s="1"/>
      <c r="D31" s="1" t="s">
        <v>0</v>
      </c>
      <c r="E31" s="23" t="s">
        <v>46</v>
      </c>
      <c r="F31" s="1"/>
      <c r="G31" s="9"/>
      <c r="H31" s="1"/>
      <c r="I31" s="16">
        <f>COLUMN()</f>
        <v>9</v>
      </c>
      <c r="J31" s="19" t="str">
        <f t="shared" si="107"/>
        <v>1,3</v>
      </c>
      <c r="K31" s="19" t="str">
        <f t="shared" si="107"/>
        <v>2,3</v>
      </c>
      <c r="L31" s="19" t="str">
        <f t="shared" si="107"/>
        <v>3,3</v>
      </c>
      <c r="M31" s="19" t="str">
        <f t="shared" si="107"/>
        <v>4,3</v>
      </c>
      <c r="N31" s="19" t="str">
        <f t="shared" si="107"/>
        <v>5,3</v>
      </c>
      <c r="O31" s="19" t="str">
        <f t="shared" si="107"/>
        <v>6,3</v>
      </c>
      <c r="P31" s="19" t="str">
        <f t="shared" si="107"/>
        <v>7,3</v>
      </c>
      <c r="Q31" s="19" t="str">
        <f t="shared" si="107"/>
        <v>8,3</v>
      </c>
      <c r="R31" s="19" t="str">
        <f t="shared" si="107"/>
        <v>9,3</v>
      </c>
      <c r="S31" s="19" t="str">
        <f t="shared" si="107"/>
        <v>10,3</v>
      </c>
      <c r="T31" s="19" t="str">
        <f t="shared" si="107"/>
        <v>11,3</v>
      </c>
      <c r="U31" s="19" t="str">
        <f t="shared" si="107"/>
        <v>12,3</v>
      </c>
      <c r="V31" s="19" t="str">
        <f t="shared" si="107"/>
        <v>13,3</v>
      </c>
      <c r="W31" s="19" t="str">
        <f t="shared" si="107"/>
        <v>14,3</v>
      </c>
      <c r="X31" s="19" t="str">
        <f t="shared" si="107"/>
        <v>15,3</v>
      </c>
      <c r="Y31" s="19" t="str">
        <f t="shared" si="107"/>
        <v>16,3</v>
      </c>
      <c r="Z31" s="19" t="str">
        <f t="shared" si="108"/>
        <v>17,3</v>
      </c>
      <c r="AA31" s="19" t="str">
        <f t="shared" si="108"/>
        <v>18,3</v>
      </c>
      <c r="AB31" s="19" t="str">
        <f t="shared" si="108"/>
        <v>19,3</v>
      </c>
      <c r="AC31" s="19" t="str">
        <f t="shared" si="108"/>
        <v>20,3</v>
      </c>
      <c r="AD31" s="19" t="str">
        <f t="shared" si="108"/>
        <v>21,3</v>
      </c>
      <c r="AE31" s="19" t="str">
        <f t="shared" si="108"/>
        <v>22,3</v>
      </c>
      <c r="AF31" s="19" t="str">
        <f t="shared" si="108"/>
        <v>23,3</v>
      </c>
      <c r="AG31" s="19" t="str">
        <f t="shared" si="108"/>
        <v>24,3</v>
      </c>
      <c r="AH31" s="19" t="str">
        <f t="shared" si="108"/>
        <v>25,3</v>
      </c>
      <c r="AI31" s="19" t="str">
        <f t="shared" si="108"/>
        <v>26,3</v>
      </c>
      <c r="AJ31" s="19" t="str">
        <f t="shared" si="108"/>
        <v>27,3</v>
      </c>
      <c r="AK31" s="19" t="str">
        <f t="shared" si="108"/>
        <v>28,3</v>
      </c>
      <c r="AL31" s="19" t="str">
        <f t="shared" si="108"/>
        <v>29,3</v>
      </c>
      <c r="AM31" s="19" t="str">
        <f t="shared" si="108"/>
        <v>30,3</v>
      </c>
      <c r="AN31" s="19" t="str">
        <f t="shared" si="108"/>
        <v>31,3</v>
      </c>
      <c r="AO31" s="19" t="str">
        <f t="shared" si="108"/>
        <v>32,3</v>
      </c>
      <c r="AP31" s="19" t="str">
        <f t="shared" si="109"/>
        <v>33,3</v>
      </c>
      <c r="AQ31" s="19" t="str">
        <f t="shared" si="109"/>
        <v>34,3</v>
      </c>
      <c r="AR31" s="19" t="str">
        <f t="shared" si="109"/>
        <v>35,3</v>
      </c>
      <c r="AS31" s="19" t="str">
        <f t="shared" si="109"/>
        <v>36,3</v>
      </c>
      <c r="AT31" s="19" t="str">
        <f t="shared" si="109"/>
        <v>37,3</v>
      </c>
      <c r="AU31" s="19" t="str">
        <f t="shared" si="109"/>
        <v>38,3</v>
      </c>
      <c r="AV31" s="19" t="str">
        <f t="shared" si="109"/>
        <v>39,3</v>
      </c>
      <c r="AW31" s="19" t="str">
        <f t="shared" si="109"/>
        <v>40,3</v>
      </c>
      <c r="AX31" s="16">
        <f t="shared" ref="AX31:AX48" si="110">AX30+1</f>
        <v>3</v>
      </c>
      <c r="AY31" s="1"/>
      <c r="AZ31" s="16">
        <v>2</v>
      </c>
      <c r="BA31" s="10">
        <v>1.0602625999999999</v>
      </c>
      <c r="BB31" s="10">
        <v>1.0773661999999999</v>
      </c>
      <c r="BC31" s="10">
        <v>1.0913839999999999</v>
      </c>
      <c r="BD31" s="10">
        <v>1.0981272</v>
      </c>
      <c r="BE31" s="10">
        <v>1.1181705</v>
      </c>
      <c r="BF31" s="10">
        <v>1.3745643999999999</v>
      </c>
      <c r="BG31" s="10">
        <v>1.2678480000000001</v>
      </c>
      <c r="BH31" s="10">
        <v>1.1889902000000001</v>
      </c>
      <c r="BI31" s="10">
        <v>1.0942284</v>
      </c>
      <c r="BJ31" s="10">
        <v>0.94395850000000003</v>
      </c>
      <c r="BK31" s="10">
        <v>0.67324799999999996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"/>
      <c r="CQ31" s="27">
        <f t="shared" si="45"/>
        <v>1</v>
      </c>
      <c r="CR31" s="16">
        <f t="shared" si="49"/>
        <v>26</v>
      </c>
      <c r="CS31" s="24">
        <v>3.0833333333333299</v>
      </c>
      <c r="CT31" s="1"/>
      <c r="CU31" s="30">
        <f t="shared" si="41"/>
        <v>2</v>
      </c>
      <c r="CV31" s="31">
        <v>878.4</v>
      </c>
      <c r="CW31" s="38">
        <f t="shared" si="42"/>
        <v>13.639999999999999</v>
      </c>
      <c r="CX31" s="29"/>
      <c r="CY31" s="31">
        <v>905</v>
      </c>
      <c r="CZ31" s="29"/>
      <c r="DA31" s="29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</row>
    <row r="32" spans="1:134" ht="6.75" customHeight="1" x14ac:dyDescent="0.25">
      <c r="A32" s="3"/>
      <c r="B32" s="1"/>
      <c r="C32" s="1"/>
      <c r="D32" s="1"/>
      <c r="E32" s="1"/>
      <c r="F32" s="1"/>
      <c r="G32" s="17" t="str">
        <f>G21</f>
        <v>1,17</v>
      </c>
      <c r="H32" s="1"/>
      <c r="I32" s="16">
        <f>COLUMN()</f>
        <v>9</v>
      </c>
      <c r="J32" s="19" t="str">
        <f t="shared" si="107"/>
        <v>1,4</v>
      </c>
      <c r="K32" s="19" t="str">
        <f t="shared" si="107"/>
        <v>2,4</v>
      </c>
      <c r="L32" s="19" t="str">
        <f t="shared" si="107"/>
        <v>3,4</v>
      </c>
      <c r="M32" s="19" t="str">
        <f t="shared" si="107"/>
        <v>4,4</v>
      </c>
      <c r="N32" s="19" t="str">
        <f t="shared" si="107"/>
        <v>5,4</v>
      </c>
      <c r="O32" s="19" t="str">
        <f t="shared" si="107"/>
        <v>6,4</v>
      </c>
      <c r="P32" s="19" t="str">
        <f t="shared" si="107"/>
        <v>7,4</v>
      </c>
      <c r="Q32" s="19" t="str">
        <f t="shared" si="107"/>
        <v>8,4</v>
      </c>
      <c r="R32" s="19" t="str">
        <f t="shared" si="107"/>
        <v>9,4</v>
      </c>
      <c r="S32" s="19" t="str">
        <f t="shared" si="107"/>
        <v>10,4</v>
      </c>
      <c r="T32" s="19" t="str">
        <f t="shared" si="107"/>
        <v>11,4</v>
      </c>
      <c r="U32" s="19" t="str">
        <f t="shared" si="107"/>
        <v>12,4</v>
      </c>
      <c r="V32" s="19" t="str">
        <f t="shared" si="107"/>
        <v>13,4</v>
      </c>
      <c r="W32" s="19" t="str">
        <f t="shared" si="107"/>
        <v>14,4</v>
      </c>
      <c r="X32" s="19" t="str">
        <f t="shared" si="107"/>
        <v>15,4</v>
      </c>
      <c r="Y32" s="19" t="str">
        <f t="shared" si="107"/>
        <v>16,4</v>
      </c>
      <c r="Z32" s="19" t="str">
        <f t="shared" si="108"/>
        <v>17,4</v>
      </c>
      <c r="AA32" s="19" t="str">
        <f t="shared" si="108"/>
        <v>18,4</v>
      </c>
      <c r="AB32" s="19" t="str">
        <f t="shared" si="108"/>
        <v>19,4</v>
      </c>
      <c r="AC32" s="19" t="str">
        <f t="shared" si="108"/>
        <v>20,4</v>
      </c>
      <c r="AD32" s="19" t="str">
        <f t="shared" si="108"/>
        <v>21,4</v>
      </c>
      <c r="AE32" s="19" t="str">
        <f t="shared" si="108"/>
        <v>22,4</v>
      </c>
      <c r="AF32" s="19" t="str">
        <f t="shared" si="108"/>
        <v>23,4</v>
      </c>
      <c r="AG32" s="19" t="str">
        <f t="shared" si="108"/>
        <v>24,4</v>
      </c>
      <c r="AH32" s="19" t="str">
        <f t="shared" si="108"/>
        <v>25,4</v>
      </c>
      <c r="AI32" s="19" t="str">
        <f t="shared" si="108"/>
        <v>26,4</v>
      </c>
      <c r="AJ32" s="19" t="str">
        <f t="shared" si="108"/>
        <v>27,4</v>
      </c>
      <c r="AK32" s="19" t="str">
        <f t="shared" si="108"/>
        <v>28,4</v>
      </c>
      <c r="AL32" s="19" t="str">
        <f t="shared" si="108"/>
        <v>29,4</v>
      </c>
      <c r="AM32" s="19" t="str">
        <f t="shared" si="108"/>
        <v>30,4</v>
      </c>
      <c r="AN32" s="19" t="str">
        <f t="shared" si="108"/>
        <v>31,4</v>
      </c>
      <c r="AO32" s="19" t="str">
        <f t="shared" si="108"/>
        <v>32,4</v>
      </c>
      <c r="AP32" s="19" t="str">
        <f t="shared" ref="AP32:AR48" si="111">_xlfn.CONCAT(COLUMN()-$I32,",",ROW()-AP$28)</f>
        <v>33,4</v>
      </c>
      <c r="AQ32" s="19" t="str">
        <f t="shared" si="111"/>
        <v>34,4</v>
      </c>
      <c r="AR32" s="19" t="str">
        <f t="shared" si="111"/>
        <v>35,4</v>
      </c>
      <c r="AS32" s="19"/>
      <c r="AT32" s="19" t="str">
        <f t="shared" ref="AT32:AW48" si="112">_xlfn.CONCAT(COLUMN()-$I32,",",ROW()-AT$28)</f>
        <v>37,4</v>
      </c>
      <c r="AU32" s="19" t="str">
        <f t="shared" si="112"/>
        <v>38,4</v>
      </c>
      <c r="AV32" s="19" t="str">
        <f t="shared" si="112"/>
        <v>39,4</v>
      </c>
      <c r="AW32" s="19" t="str">
        <f t="shared" si="112"/>
        <v>40,4</v>
      </c>
      <c r="AX32" s="16">
        <f t="shared" si="110"/>
        <v>4</v>
      </c>
      <c r="AY32" s="1"/>
      <c r="AZ32" s="16">
        <v>3</v>
      </c>
      <c r="BA32" s="10">
        <v>1.1051774999999999</v>
      </c>
      <c r="BB32" s="10">
        <v>1.1142429</v>
      </c>
      <c r="BC32" s="10">
        <v>1.1272035</v>
      </c>
      <c r="BD32" s="10">
        <v>1.1448697999999999</v>
      </c>
      <c r="BE32" s="10">
        <v>1.1794157999999999</v>
      </c>
      <c r="BF32" s="10">
        <v>1.2556818000000001</v>
      </c>
      <c r="BG32" s="10">
        <v>1.2399895000000001</v>
      </c>
      <c r="BH32" s="10">
        <v>1.2048945</v>
      </c>
      <c r="BI32" s="10">
        <v>1.1691822000000001</v>
      </c>
      <c r="BJ32" s="10">
        <v>1.1463714</v>
      </c>
      <c r="BK32" s="10">
        <v>1.1739556</v>
      </c>
      <c r="BL32" s="10">
        <v>1.5221155</v>
      </c>
      <c r="BM32" s="10">
        <v>1.3638835</v>
      </c>
      <c r="BN32" s="10">
        <v>1.241428</v>
      </c>
      <c r="BO32" s="10">
        <v>1.0840049</v>
      </c>
      <c r="BP32" s="10">
        <v>0.78013480000000002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"/>
      <c r="CQ32" s="27">
        <f t="shared" si="45"/>
        <v>1</v>
      </c>
      <c r="CR32" s="16">
        <f t="shared" si="49"/>
        <v>27</v>
      </c>
      <c r="CS32" s="24">
        <v>3.1666666666666599</v>
      </c>
      <c r="CT32" s="1"/>
      <c r="CU32" s="30">
        <f t="shared" si="41"/>
        <v>2</v>
      </c>
      <c r="CV32" s="31">
        <v>915</v>
      </c>
      <c r="CW32" s="38">
        <f t="shared" si="42"/>
        <v>14.25</v>
      </c>
      <c r="CX32" s="29"/>
      <c r="CY32" s="31">
        <v>941.25</v>
      </c>
      <c r="CZ32" s="29"/>
      <c r="DA32" s="29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</row>
    <row r="33" spans="1:134" ht="6.75" customHeight="1" x14ac:dyDescent="0.25">
      <c r="A33" s="3"/>
      <c r="B33" s="8"/>
      <c r="C33" s="8"/>
      <c r="D33" s="8"/>
      <c r="E33" s="1"/>
      <c r="F33" s="1"/>
      <c r="G33" s="17" t="str">
        <f t="shared" ref="G33" si="113">G22</f>
        <v>1,18</v>
      </c>
      <c r="H33" s="1"/>
      <c r="I33" s="16">
        <f>COLUMN()</f>
        <v>9</v>
      </c>
      <c r="J33" s="19" t="str">
        <f t="shared" si="107"/>
        <v>1,5</v>
      </c>
      <c r="K33" s="19" t="str">
        <f t="shared" si="107"/>
        <v>2,5</v>
      </c>
      <c r="L33" s="19" t="str">
        <f t="shared" si="107"/>
        <v>3,5</v>
      </c>
      <c r="M33" s="19" t="str">
        <f t="shared" si="107"/>
        <v>4,5</v>
      </c>
      <c r="N33" s="19" t="str">
        <f t="shared" si="107"/>
        <v>5,5</v>
      </c>
      <c r="O33" s="19" t="str">
        <f t="shared" si="107"/>
        <v>6,5</v>
      </c>
      <c r="P33" s="19" t="str">
        <f t="shared" si="107"/>
        <v>7,5</v>
      </c>
      <c r="Q33" s="19" t="str">
        <f t="shared" si="107"/>
        <v>8,5</v>
      </c>
      <c r="R33" s="19" t="str">
        <f t="shared" si="107"/>
        <v>9,5</v>
      </c>
      <c r="S33" s="19" t="str">
        <f t="shared" si="107"/>
        <v>10,5</v>
      </c>
      <c r="T33" s="19" t="str">
        <f t="shared" si="107"/>
        <v>11,5</v>
      </c>
      <c r="U33" s="19" t="str">
        <f t="shared" si="107"/>
        <v>12,5</v>
      </c>
      <c r="V33" s="19" t="str">
        <f t="shared" si="107"/>
        <v>13,5</v>
      </c>
      <c r="W33" s="19" t="str">
        <f t="shared" si="107"/>
        <v>14,5</v>
      </c>
      <c r="X33" s="19" t="str">
        <f t="shared" si="107"/>
        <v>15,5</v>
      </c>
      <c r="Y33" s="19" t="str">
        <f t="shared" si="107"/>
        <v>16,5</v>
      </c>
      <c r="Z33" s="19" t="str">
        <f t="shared" si="108"/>
        <v>17,5</v>
      </c>
      <c r="AA33" s="19" t="str">
        <f t="shared" si="108"/>
        <v>18,5</v>
      </c>
      <c r="AB33" s="19" t="str">
        <f t="shared" si="108"/>
        <v>19,5</v>
      </c>
      <c r="AC33" s="19" t="str">
        <f t="shared" si="108"/>
        <v>20,5</v>
      </c>
      <c r="AD33" s="19" t="str">
        <f t="shared" si="108"/>
        <v>21,5</v>
      </c>
      <c r="AE33" s="19" t="str">
        <f t="shared" si="108"/>
        <v>22,5</v>
      </c>
      <c r="AF33" s="19" t="str">
        <f t="shared" si="108"/>
        <v>23,5</v>
      </c>
      <c r="AG33" s="19" t="str">
        <f t="shared" si="108"/>
        <v>24,5</v>
      </c>
      <c r="AH33" s="19" t="str">
        <f t="shared" si="108"/>
        <v>25,5</v>
      </c>
      <c r="AI33" s="19" t="str">
        <f t="shared" si="108"/>
        <v>26,5</v>
      </c>
      <c r="AJ33" s="19" t="str">
        <f t="shared" si="108"/>
        <v>27,5</v>
      </c>
      <c r="AK33" s="19" t="str">
        <f t="shared" si="108"/>
        <v>28,5</v>
      </c>
      <c r="AL33" s="19" t="str">
        <f t="shared" si="108"/>
        <v>29,5</v>
      </c>
      <c r="AM33" s="19" t="str">
        <f t="shared" si="108"/>
        <v>30,5</v>
      </c>
      <c r="AN33" s="19" t="str">
        <f t="shared" si="108"/>
        <v>31,5</v>
      </c>
      <c r="AO33" s="19" t="str">
        <f t="shared" si="108"/>
        <v>32,5</v>
      </c>
      <c r="AP33" s="19" t="str">
        <f t="shared" si="111"/>
        <v>33,5</v>
      </c>
      <c r="AQ33" s="19" t="str">
        <f t="shared" si="111"/>
        <v>34,5</v>
      </c>
      <c r="AR33" s="19" t="str">
        <f t="shared" si="111"/>
        <v>35,5</v>
      </c>
      <c r="AS33" s="19" t="str">
        <f t="shared" ref="AS33:AS48" si="114">_xlfn.CONCAT(COLUMN()-$I33,",",ROW()-AS$28)</f>
        <v>36,5</v>
      </c>
      <c r="AT33" s="19" t="str">
        <f t="shared" si="112"/>
        <v>37,5</v>
      </c>
      <c r="AU33" s="19" t="str">
        <f t="shared" si="112"/>
        <v>38,5</v>
      </c>
      <c r="AV33" s="19" t="str">
        <f t="shared" si="112"/>
        <v>39,5</v>
      </c>
      <c r="AW33" s="19" t="str">
        <f t="shared" si="112"/>
        <v>40,5</v>
      </c>
      <c r="AX33" s="16">
        <f t="shared" si="110"/>
        <v>5</v>
      </c>
      <c r="AY33" s="1"/>
      <c r="AZ33" s="16">
        <v>4</v>
      </c>
      <c r="BA33" s="10">
        <v>1.141027</v>
      </c>
      <c r="BB33" s="10">
        <v>1.1472244</v>
      </c>
      <c r="BC33" s="10">
        <v>1.1583171000000001</v>
      </c>
      <c r="BD33" s="10">
        <v>1.1747329</v>
      </c>
      <c r="BE33" s="10">
        <v>1.1989415000000001</v>
      </c>
      <c r="BF33" s="10">
        <v>1.2287570999999999</v>
      </c>
      <c r="BG33" s="10">
        <v>1.2315335999999999</v>
      </c>
      <c r="BH33" s="10">
        <v>1.2214160999999999</v>
      </c>
      <c r="BI33" s="10">
        <v>1.2117884000000001</v>
      </c>
      <c r="BJ33" s="10">
        <v>1.2164170000000001</v>
      </c>
      <c r="BK33" s="10">
        <v>1.2559175</v>
      </c>
      <c r="BL33" s="10">
        <v>1.3552592999999999</v>
      </c>
      <c r="BM33" s="10">
        <v>1.3281069000000001</v>
      </c>
      <c r="BN33" s="10">
        <v>1.2763958</v>
      </c>
      <c r="BO33" s="10">
        <v>1.2304516999999999</v>
      </c>
      <c r="BP33" s="10">
        <v>1.2563994999999999</v>
      </c>
      <c r="BQ33" s="10">
        <v>1.6669803999999999</v>
      </c>
      <c r="BR33" s="10">
        <v>1.4987961999999999</v>
      </c>
      <c r="BS33" s="10">
        <v>1.3892868</v>
      </c>
      <c r="BT33" s="10">
        <v>1.2816262</v>
      </c>
      <c r="BU33" s="10">
        <v>1.1253238000000001</v>
      </c>
      <c r="BV33" s="10">
        <v>0.81173720000000005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"/>
      <c r="CQ33" s="27">
        <f t="shared" si="45"/>
        <v>1</v>
      </c>
      <c r="CR33" s="16">
        <f t="shared" si="49"/>
        <v>28</v>
      </c>
      <c r="CS33" s="24">
        <v>3.25</v>
      </c>
      <c r="CT33" s="1"/>
      <c r="CU33" s="30">
        <f t="shared" si="41"/>
        <v>2</v>
      </c>
      <c r="CV33" s="31">
        <v>951.6</v>
      </c>
      <c r="CW33" s="38">
        <f t="shared" si="42"/>
        <v>14.860000000000001</v>
      </c>
      <c r="CX33" s="29"/>
      <c r="CY33" s="31">
        <v>977.5</v>
      </c>
      <c r="CZ33" s="29"/>
      <c r="DA33" s="29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</row>
    <row r="34" spans="1:134" ht="6.75" customHeight="1" x14ac:dyDescent="0.25">
      <c r="A34" s="3"/>
      <c r="B34" s="9">
        <v>0</v>
      </c>
      <c r="C34" s="9">
        <v>1</v>
      </c>
      <c r="D34" s="9">
        <v>2</v>
      </c>
      <c r="E34" s="1"/>
      <c r="F34" s="1"/>
      <c r="G34" s="1"/>
      <c r="H34" s="1"/>
      <c r="I34" s="16">
        <f>COLUMN()</f>
        <v>9</v>
      </c>
      <c r="J34" s="19" t="str">
        <f t="shared" si="107"/>
        <v>1,6</v>
      </c>
      <c r="K34" s="19" t="str">
        <f t="shared" si="107"/>
        <v>2,6</v>
      </c>
      <c r="L34" s="19" t="str">
        <f t="shared" si="107"/>
        <v>3,6</v>
      </c>
      <c r="M34" s="19" t="str">
        <f t="shared" si="107"/>
        <v>4,6</v>
      </c>
      <c r="N34" s="19" t="str">
        <f t="shared" si="107"/>
        <v>5,6</v>
      </c>
      <c r="O34" s="19" t="str">
        <f t="shared" si="107"/>
        <v>6,6</v>
      </c>
      <c r="P34" s="19" t="str">
        <f t="shared" si="107"/>
        <v>7,6</v>
      </c>
      <c r="Q34" s="19" t="str">
        <f t="shared" si="107"/>
        <v>8,6</v>
      </c>
      <c r="R34" s="19" t="str">
        <f t="shared" si="107"/>
        <v>9,6</v>
      </c>
      <c r="S34" s="19" t="str">
        <f t="shared" si="107"/>
        <v>10,6</v>
      </c>
      <c r="T34" s="19" t="str">
        <f t="shared" si="107"/>
        <v>11,6</v>
      </c>
      <c r="U34" s="19" t="str">
        <f t="shared" si="107"/>
        <v>12,6</v>
      </c>
      <c r="V34" s="19" t="str">
        <f t="shared" si="107"/>
        <v>13,6</v>
      </c>
      <c r="W34" s="19" t="str">
        <f t="shared" si="107"/>
        <v>14,6</v>
      </c>
      <c r="X34" s="19" t="str">
        <f t="shared" si="107"/>
        <v>15,6</v>
      </c>
      <c r="Y34" s="19" t="str">
        <f t="shared" si="107"/>
        <v>16,6</v>
      </c>
      <c r="Z34" s="19" t="str">
        <f t="shared" si="108"/>
        <v>17,6</v>
      </c>
      <c r="AA34" s="19" t="str">
        <f t="shared" si="108"/>
        <v>18,6</v>
      </c>
      <c r="AB34" s="19" t="str">
        <f t="shared" si="108"/>
        <v>19,6</v>
      </c>
      <c r="AC34" s="19" t="str">
        <f t="shared" si="108"/>
        <v>20,6</v>
      </c>
      <c r="AD34" s="19" t="str">
        <f t="shared" si="108"/>
        <v>21,6</v>
      </c>
      <c r="AE34" s="19" t="str">
        <f t="shared" si="108"/>
        <v>22,6</v>
      </c>
      <c r="AF34" s="19" t="str">
        <f t="shared" si="108"/>
        <v>23,6</v>
      </c>
      <c r="AG34" s="19" t="str">
        <f t="shared" si="108"/>
        <v>24,6</v>
      </c>
      <c r="AH34" s="19" t="str">
        <f t="shared" si="108"/>
        <v>25,6</v>
      </c>
      <c r="AI34" s="19" t="str">
        <f t="shared" si="108"/>
        <v>26,6</v>
      </c>
      <c r="AJ34" s="19" t="str">
        <f t="shared" si="108"/>
        <v>27,6</v>
      </c>
      <c r="AK34" s="19" t="str">
        <f t="shared" si="108"/>
        <v>28,6</v>
      </c>
      <c r="AL34" s="19" t="str">
        <f t="shared" si="108"/>
        <v>29,6</v>
      </c>
      <c r="AM34" s="19" t="str">
        <f t="shared" si="108"/>
        <v>30,6</v>
      </c>
      <c r="AN34" s="19" t="str">
        <f t="shared" si="108"/>
        <v>31,6</v>
      </c>
      <c r="AO34" s="19" t="str">
        <f t="shared" si="108"/>
        <v>32,6</v>
      </c>
      <c r="AP34" s="19" t="str">
        <f t="shared" si="111"/>
        <v>33,6</v>
      </c>
      <c r="AQ34" s="19" t="str">
        <f t="shared" si="111"/>
        <v>34,6</v>
      </c>
      <c r="AR34" s="19" t="str">
        <f t="shared" si="111"/>
        <v>35,6</v>
      </c>
      <c r="AS34" s="19" t="str">
        <f t="shared" si="114"/>
        <v>36,6</v>
      </c>
      <c r="AT34" s="19" t="str">
        <f t="shared" si="112"/>
        <v>37,6</v>
      </c>
      <c r="AU34" s="19" t="str">
        <f t="shared" si="112"/>
        <v>38,6</v>
      </c>
      <c r="AV34" s="19" t="str">
        <f t="shared" si="112"/>
        <v>39,6</v>
      </c>
      <c r="AW34" s="19" t="str">
        <f t="shared" si="112"/>
        <v>40,6</v>
      </c>
      <c r="AX34" s="16">
        <f t="shared" si="110"/>
        <v>6</v>
      </c>
      <c r="AY34" s="1"/>
      <c r="AZ34" s="16">
        <v>5</v>
      </c>
      <c r="BA34" s="10">
        <v>1.1706791000000001</v>
      </c>
      <c r="BB34" s="10">
        <v>1.1753106</v>
      </c>
      <c r="BC34" s="10">
        <v>1.1841074</v>
      </c>
      <c r="BD34" s="10">
        <v>1.1968032</v>
      </c>
      <c r="BE34" s="10">
        <v>1.2128597000000001</v>
      </c>
      <c r="BF34" s="10">
        <v>1.2288717</v>
      </c>
      <c r="BG34" s="10">
        <v>1.2359720000000001</v>
      </c>
      <c r="BH34" s="10">
        <v>1.2374476999999999</v>
      </c>
      <c r="BI34" s="10">
        <v>1.2401385</v>
      </c>
      <c r="BJ34" s="10">
        <v>1.2515904</v>
      </c>
      <c r="BK34" s="10">
        <v>1.2780384</v>
      </c>
      <c r="BL34" s="10">
        <v>1.3148972999999999</v>
      </c>
      <c r="BM34" s="10">
        <v>1.316889</v>
      </c>
      <c r="BN34" s="10">
        <v>1.3055966000000001</v>
      </c>
      <c r="BO34" s="10">
        <v>1.3050066</v>
      </c>
      <c r="BP34" s="10">
        <v>1.3480312999999999</v>
      </c>
      <c r="BQ34" s="10">
        <v>1.4656106</v>
      </c>
      <c r="BR34" s="10">
        <v>1.4401215000000001</v>
      </c>
      <c r="BS34" s="10">
        <v>1.3874378999999999</v>
      </c>
      <c r="BT34" s="10">
        <v>1.3302683</v>
      </c>
      <c r="BU34" s="10">
        <v>1.2826078999999999</v>
      </c>
      <c r="BV34" s="10">
        <v>1.3098875999999999</v>
      </c>
      <c r="BW34" s="10">
        <v>1.7373896</v>
      </c>
      <c r="BX34" s="10">
        <v>1.5616033</v>
      </c>
      <c r="BY34" s="10">
        <v>1.4463079999999999</v>
      </c>
      <c r="BZ34" s="10">
        <v>1.3325962</v>
      </c>
      <c r="CA34" s="10">
        <v>1.1682037000000001</v>
      </c>
      <c r="CB34" s="10">
        <v>0.84101420000000005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"/>
      <c r="CQ34" s="27">
        <f t="shared" si="45"/>
        <v>1</v>
      </c>
      <c r="CR34" s="16">
        <f t="shared" si="49"/>
        <v>29</v>
      </c>
      <c r="CS34" s="24">
        <v>3.3333333333333299</v>
      </c>
      <c r="CT34" s="1"/>
      <c r="CU34" s="30">
        <f t="shared" si="41"/>
        <v>2</v>
      </c>
      <c r="CV34" s="31">
        <v>988.2</v>
      </c>
      <c r="CW34" s="38">
        <f t="shared" si="42"/>
        <v>15.470000000000002</v>
      </c>
      <c r="CX34" s="29"/>
      <c r="CY34" s="31">
        <v>1013.75</v>
      </c>
      <c r="CZ34" s="29"/>
      <c r="DA34" s="29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</row>
    <row r="35" spans="1:134" ht="6.75" customHeight="1" x14ac:dyDescent="0.25">
      <c r="A35" s="3"/>
      <c r="B35" s="18" t="s">
        <v>4</v>
      </c>
      <c r="C35" s="18" t="s">
        <v>4</v>
      </c>
      <c r="D35" s="18" t="s">
        <v>4</v>
      </c>
      <c r="E35" s="1"/>
      <c r="F35" s="1" t="s">
        <v>0</v>
      </c>
      <c r="G35" s="1"/>
      <c r="H35" s="1"/>
      <c r="I35" s="16">
        <f>COLUMN()</f>
        <v>9</v>
      </c>
      <c r="J35" s="19" t="str">
        <f t="shared" si="107"/>
        <v>1,7</v>
      </c>
      <c r="K35" s="19" t="str">
        <f t="shared" si="107"/>
        <v>2,7</v>
      </c>
      <c r="L35" s="19" t="str">
        <f t="shared" si="107"/>
        <v>3,7</v>
      </c>
      <c r="M35" s="19" t="str">
        <f t="shared" si="107"/>
        <v>4,7</v>
      </c>
      <c r="N35" s="19" t="str">
        <f t="shared" si="107"/>
        <v>5,7</v>
      </c>
      <c r="O35" s="19" t="str">
        <f t="shared" si="107"/>
        <v>6,7</v>
      </c>
      <c r="P35" s="19" t="str">
        <f t="shared" si="107"/>
        <v>7,7</v>
      </c>
      <c r="Q35" s="19" t="str">
        <f t="shared" si="107"/>
        <v>8,7</v>
      </c>
      <c r="R35" s="19" t="str">
        <f t="shared" si="107"/>
        <v>9,7</v>
      </c>
      <c r="S35" s="19" t="str">
        <f t="shared" si="107"/>
        <v>10,7</v>
      </c>
      <c r="T35" s="19" t="str">
        <f t="shared" si="107"/>
        <v>11,7</v>
      </c>
      <c r="U35" s="19" t="str">
        <f t="shared" si="107"/>
        <v>12,7</v>
      </c>
      <c r="V35" s="19" t="str">
        <f t="shared" si="107"/>
        <v>13,7</v>
      </c>
      <c r="W35" s="19" t="str">
        <f t="shared" si="107"/>
        <v>14,7</v>
      </c>
      <c r="X35" s="19" t="str">
        <f t="shared" si="107"/>
        <v>15,7</v>
      </c>
      <c r="Y35" s="19" t="str">
        <f t="shared" si="107"/>
        <v>16,7</v>
      </c>
      <c r="Z35" s="19" t="str">
        <f t="shared" si="108"/>
        <v>17,7</v>
      </c>
      <c r="AA35" s="19" t="str">
        <f t="shared" si="108"/>
        <v>18,7</v>
      </c>
      <c r="AB35" s="19" t="str">
        <f t="shared" si="108"/>
        <v>19,7</v>
      </c>
      <c r="AC35" s="19" t="str">
        <f t="shared" si="108"/>
        <v>20,7</v>
      </c>
      <c r="AD35" s="19" t="str">
        <f t="shared" si="108"/>
        <v>21,7</v>
      </c>
      <c r="AE35" s="19" t="str">
        <f t="shared" si="108"/>
        <v>22,7</v>
      </c>
      <c r="AF35" s="19" t="str">
        <f t="shared" si="108"/>
        <v>23,7</v>
      </c>
      <c r="AG35" s="19" t="str">
        <f t="shared" si="108"/>
        <v>24,7</v>
      </c>
      <c r="AH35" s="19" t="str">
        <f t="shared" si="108"/>
        <v>25,7</v>
      </c>
      <c r="AI35" s="19" t="str">
        <f t="shared" si="108"/>
        <v>26,7</v>
      </c>
      <c r="AJ35" s="19" t="str">
        <f t="shared" si="108"/>
        <v>27,7</v>
      </c>
      <c r="AK35" s="19" t="str">
        <f t="shared" si="108"/>
        <v>28,7</v>
      </c>
      <c r="AL35" s="19" t="str">
        <f t="shared" si="108"/>
        <v>29,7</v>
      </c>
      <c r="AM35" s="19" t="str">
        <f t="shared" si="108"/>
        <v>30,7</v>
      </c>
      <c r="AN35" s="19" t="str">
        <f t="shared" si="108"/>
        <v>31,7</v>
      </c>
      <c r="AO35" s="19" t="str">
        <f t="shared" si="108"/>
        <v>32,7</v>
      </c>
      <c r="AP35" s="19" t="str">
        <f t="shared" si="111"/>
        <v>33,7</v>
      </c>
      <c r="AQ35" s="19" t="str">
        <f t="shared" si="111"/>
        <v>34,7</v>
      </c>
      <c r="AR35" s="19" t="str">
        <f t="shared" si="111"/>
        <v>35,7</v>
      </c>
      <c r="AS35" s="19" t="str">
        <f t="shared" si="114"/>
        <v>36,7</v>
      </c>
      <c r="AT35" s="19" t="str">
        <f t="shared" si="112"/>
        <v>37,7</v>
      </c>
      <c r="AU35" s="19" t="str">
        <f t="shared" si="112"/>
        <v>38,7</v>
      </c>
      <c r="AV35" s="19" t="str">
        <f t="shared" si="112"/>
        <v>39,7</v>
      </c>
      <c r="AW35" s="19" t="str">
        <f t="shared" si="112"/>
        <v>40,7</v>
      </c>
      <c r="AX35" s="16">
        <f t="shared" si="110"/>
        <v>7</v>
      </c>
      <c r="AY35" s="1"/>
      <c r="AZ35" s="16">
        <v>6</v>
      </c>
      <c r="BA35" s="10">
        <v>1.1956997</v>
      </c>
      <c r="BB35" s="10">
        <v>1.1992315</v>
      </c>
      <c r="BC35" s="10">
        <v>1.205999</v>
      </c>
      <c r="BD35" s="10">
        <v>1.2155125</v>
      </c>
      <c r="BE35" s="10">
        <v>1.2268227</v>
      </c>
      <c r="BF35" s="10">
        <v>1.2378979000000001</v>
      </c>
      <c r="BG35" s="10">
        <v>1.2460351000000001</v>
      </c>
      <c r="BH35" s="10">
        <v>1.2522644999999999</v>
      </c>
      <c r="BI35" s="10">
        <v>1.2597274000000001</v>
      </c>
      <c r="BJ35" s="10">
        <v>1.2717679</v>
      </c>
      <c r="BK35" s="10">
        <v>1.2897481</v>
      </c>
      <c r="BL35" s="10">
        <v>1.3094025</v>
      </c>
      <c r="BM35" s="10">
        <v>1.3189554999999999</v>
      </c>
      <c r="BN35" s="10">
        <v>1.3240947999999999</v>
      </c>
      <c r="BO35" s="10">
        <v>1.3359468999999999</v>
      </c>
      <c r="BP35" s="10">
        <v>1.3651084</v>
      </c>
      <c r="BQ35" s="10">
        <v>1.4073093000000001</v>
      </c>
      <c r="BR35" s="10">
        <v>1.4086411999999999</v>
      </c>
      <c r="BS35" s="10">
        <v>1.3900751</v>
      </c>
      <c r="BT35" s="10">
        <v>1.3694006999999999</v>
      </c>
      <c r="BU35" s="10">
        <v>1.3649521</v>
      </c>
      <c r="BV35" s="10">
        <v>1.4078158999999999</v>
      </c>
      <c r="BW35" s="10">
        <v>1.5289406000000001</v>
      </c>
      <c r="BX35" s="10">
        <v>1.5011123</v>
      </c>
      <c r="BY35" s="10">
        <v>1.4447247000000001</v>
      </c>
      <c r="BZ35" s="10">
        <v>1.3832766999999999</v>
      </c>
      <c r="CA35" s="10">
        <v>1.3310006999999999</v>
      </c>
      <c r="CB35" s="10">
        <v>1.3548388</v>
      </c>
      <c r="CC35" s="10">
        <v>1.7887002000000001</v>
      </c>
      <c r="CD35" s="10">
        <v>1.5912839999999999</v>
      </c>
      <c r="CE35" s="10">
        <v>1.4416618000000001</v>
      </c>
      <c r="CF35" s="10">
        <v>1.2548254000000001</v>
      </c>
      <c r="CG35" s="10">
        <v>0.90107404999999996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"/>
      <c r="CQ35" s="27">
        <f t="shared" si="45"/>
        <v>1</v>
      </c>
      <c r="CR35" s="16">
        <f t="shared" si="49"/>
        <v>30</v>
      </c>
      <c r="CS35" s="24">
        <v>3.4166666666666599</v>
      </c>
      <c r="CT35" s="1"/>
      <c r="CU35" s="30">
        <f t="shared" si="41"/>
        <v>2</v>
      </c>
      <c r="CV35" s="31">
        <v>1024.8</v>
      </c>
      <c r="CW35" s="38">
        <f t="shared" si="42"/>
        <v>16.079999999999998</v>
      </c>
      <c r="CX35" s="29"/>
      <c r="CY35" s="31">
        <v>1050</v>
      </c>
      <c r="CZ35" s="29"/>
      <c r="DA35" s="29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</row>
    <row r="36" spans="1:134" ht="6.75" customHeight="1" x14ac:dyDescent="0.25">
      <c r="A36" s="3"/>
      <c r="B36" s="18" t="s">
        <v>5</v>
      </c>
      <c r="C36" s="18" t="s">
        <v>5</v>
      </c>
      <c r="D36" s="18" t="s">
        <v>5</v>
      </c>
      <c r="E36" s="1" t="s">
        <v>0</v>
      </c>
      <c r="F36" s="1" t="s">
        <v>0</v>
      </c>
      <c r="G36" s="1"/>
      <c r="H36" s="1"/>
      <c r="I36" s="16">
        <f>COLUMN()</f>
        <v>9</v>
      </c>
      <c r="J36" s="19" t="str">
        <f t="shared" si="107"/>
        <v>1,8</v>
      </c>
      <c r="K36" s="19" t="str">
        <f t="shared" si="107"/>
        <v>2,8</v>
      </c>
      <c r="L36" s="19" t="str">
        <f t="shared" si="107"/>
        <v>3,8</v>
      </c>
      <c r="M36" s="19" t="str">
        <f t="shared" si="107"/>
        <v>4,8</v>
      </c>
      <c r="N36" s="19" t="str">
        <f t="shared" si="107"/>
        <v>5,8</v>
      </c>
      <c r="O36" s="19" t="str">
        <f t="shared" si="107"/>
        <v>6,8</v>
      </c>
      <c r="P36" s="19" t="str">
        <f t="shared" si="107"/>
        <v>7,8</v>
      </c>
      <c r="Q36" s="19" t="str">
        <f t="shared" si="107"/>
        <v>8,8</v>
      </c>
      <c r="R36" s="19" t="str">
        <f t="shared" si="107"/>
        <v>9,8</v>
      </c>
      <c r="S36" s="19" t="str">
        <f t="shared" si="107"/>
        <v>10,8</v>
      </c>
      <c r="T36" s="19" t="str">
        <f t="shared" si="107"/>
        <v>11,8</v>
      </c>
      <c r="U36" s="19" t="str">
        <f t="shared" si="107"/>
        <v>12,8</v>
      </c>
      <c r="V36" s="19" t="str">
        <f t="shared" si="107"/>
        <v>13,8</v>
      </c>
      <c r="W36" s="19" t="str">
        <f t="shared" si="107"/>
        <v>14,8</v>
      </c>
      <c r="X36" s="19" t="str">
        <f t="shared" si="107"/>
        <v>15,8</v>
      </c>
      <c r="Y36" s="19" t="str">
        <f t="shared" si="107"/>
        <v>16,8</v>
      </c>
      <c r="Z36" s="19" t="str">
        <f t="shared" si="108"/>
        <v>17,8</v>
      </c>
      <c r="AA36" s="19" t="str">
        <f t="shared" si="108"/>
        <v>18,8</v>
      </c>
      <c r="AB36" s="19" t="str">
        <f t="shared" si="108"/>
        <v>19,8</v>
      </c>
      <c r="AC36" s="19" t="str">
        <f t="shared" si="108"/>
        <v>20,8</v>
      </c>
      <c r="AD36" s="19" t="str">
        <f t="shared" si="108"/>
        <v>21,8</v>
      </c>
      <c r="AE36" s="19" t="str">
        <f t="shared" si="108"/>
        <v>22,8</v>
      </c>
      <c r="AF36" s="19" t="str">
        <f t="shared" si="108"/>
        <v>23,8</v>
      </c>
      <c r="AG36" s="19" t="str">
        <f t="shared" si="108"/>
        <v>24,8</v>
      </c>
      <c r="AH36" s="19" t="str">
        <f t="shared" si="108"/>
        <v>25,8</v>
      </c>
      <c r="AI36" s="19" t="str">
        <f t="shared" si="108"/>
        <v>26,8</v>
      </c>
      <c r="AJ36" s="19" t="str">
        <f t="shared" si="108"/>
        <v>27,8</v>
      </c>
      <c r="AK36" s="19" t="str">
        <f t="shared" si="108"/>
        <v>28,8</v>
      </c>
      <c r="AL36" s="19" t="str">
        <f t="shared" si="108"/>
        <v>29,8</v>
      </c>
      <c r="AM36" s="19" t="str">
        <f t="shared" si="108"/>
        <v>30,8</v>
      </c>
      <c r="AN36" s="19" t="str">
        <f t="shared" si="108"/>
        <v>31,8</v>
      </c>
      <c r="AO36" s="19" t="str">
        <f t="shared" si="108"/>
        <v>32,8</v>
      </c>
      <c r="AP36" s="19" t="str">
        <f t="shared" si="111"/>
        <v>33,8</v>
      </c>
      <c r="AQ36" s="19" t="str">
        <f t="shared" si="111"/>
        <v>34,8</v>
      </c>
      <c r="AR36" s="19" t="str">
        <f t="shared" si="111"/>
        <v>35,8</v>
      </c>
      <c r="AS36" s="19" t="str">
        <f t="shared" si="114"/>
        <v>36,8</v>
      </c>
      <c r="AT36" s="19" t="str">
        <f t="shared" si="112"/>
        <v>37,8</v>
      </c>
      <c r="AU36" s="19" t="str">
        <f t="shared" si="112"/>
        <v>38,8</v>
      </c>
      <c r="AV36" s="19" t="str">
        <f t="shared" si="112"/>
        <v>39,8</v>
      </c>
      <c r="AW36" s="19" t="str">
        <f t="shared" si="112"/>
        <v>40,8</v>
      </c>
      <c r="AX36" s="16">
        <f t="shared" si="110"/>
        <v>8</v>
      </c>
      <c r="AY36" s="1"/>
      <c r="AZ36" s="16">
        <v>7</v>
      </c>
      <c r="BA36" s="10">
        <v>1.2171886000000001</v>
      </c>
      <c r="BB36" s="10">
        <v>1.2199167</v>
      </c>
      <c r="BC36" s="10">
        <v>1.2251445000000001</v>
      </c>
      <c r="BD36" s="10">
        <v>1.2324252</v>
      </c>
      <c r="BE36" s="10">
        <v>1.2410209000000001</v>
      </c>
      <c r="BF36" s="10">
        <v>1.249862</v>
      </c>
      <c r="BG36" s="10">
        <v>1.2580058999999999</v>
      </c>
      <c r="BH36" s="10">
        <v>1.2658478</v>
      </c>
      <c r="BI36" s="10">
        <v>1.2747386000000001</v>
      </c>
      <c r="BJ36" s="10">
        <v>1.2860057</v>
      </c>
      <c r="BK36" s="10">
        <v>1.2997836</v>
      </c>
      <c r="BL36" s="10">
        <v>1.3140092000000001</v>
      </c>
      <c r="BM36" s="10">
        <v>1.3254356</v>
      </c>
      <c r="BN36" s="10">
        <v>1.3358802999999999</v>
      </c>
      <c r="BO36" s="10">
        <v>1.3495779999999999</v>
      </c>
      <c r="BP36" s="10">
        <v>1.3691458000000001</v>
      </c>
      <c r="BQ36" s="10">
        <v>1.3898767999999999</v>
      </c>
      <c r="BR36" s="10">
        <v>1.3970591999999999</v>
      </c>
      <c r="BS36" s="10">
        <v>1.3948205</v>
      </c>
      <c r="BT36" s="10">
        <v>1.3923076000000001</v>
      </c>
      <c r="BU36" s="10">
        <v>1.3999839000000001</v>
      </c>
      <c r="BV36" s="10">
        <v>1.4274837</v>
      </c>
      <c r="BW36" s="10">
        <v>1.4694442999999999</v>
      </c>
      <c r="BX36" s="10">
        <v>1.4691806000000001</v>
      </c>
      <c r="BY36" s="10">
        <v>1.4482018999999999</v>
      </c>
      <c r="BZ36" s="10">
        <v>1.4247854</v>
      </c>
      <c r="CA36" s="10">
        <v>1.4176835999999999</v>
      </c>
      <c r="CB36" s="10">
        <v>1.4586402000000001</v>
      </c>
      <c r="CC36" s="10">
        <v>1.5789637999999999</v>
      </c>
      <c r="CD36" s="10">
        <v>1.54349</v>
      </c>
      <c r="CE36" s="10">
        <v>1.4788760999999999</v>
      </c>
      <c r="CF36" s="10">
        <v>1.4217403</v>
      </c>
      <c r="CG36" s="10">
        <v>1.4483967</v>
      </c>
      <c r="CH36" s="10">
        <v>1.9189727999999999</v>
      </c>
      <c r="CI36" s="10">
        <v>1.7223918</v>
      </c>
      <c r="CJ36" s="10">
        <v>1.5945071</v>
      </c>
      <c r="CK36" s="10">
        <v>1.4695885</v>
      </c>
      <c r="CL36" s="10">
        <v>1.2895329</v>
      </c>
      <c r="CM36" s="10">
        <v>0.92979455</v>
      </c>
      <c r="CN36" s="10">
        <v>0</v>
      </c>
      <c r="CO36" s="10">
        <v>0</v>
      </c>
      <c r="CP36" s="1"/>
      <c r="CQ36" s="27">
        <f t="shared" si="45"/>
        <v>1</v>
      </c>
      <c r="CR36" s="16">
        <f t="shared" si="49"/>
        <v>31</v>
      </c>
      <c r="CS36" s="24">
        <v>3.5</v>
      </c>
      <c r="CT36" s="1"/>
      <c r="CU36" s="30">
        <f t="shared" si="41"/>
        <v>2</v>
      </c>
      <c r="CV36" s="31">
        <v>1061.4000000000001</v>
      </c>
      <c r="CW36" s="38">
        <f t="shared" si="42"/>
        <v>16.690000000000001</v>
      </c>
      <c r="CX36" s="29"/>
      <c r="CY36" s="31">
        <v>1086.25</v>
      </c>
      <c r="CZ36" s="29"/>
      <c r="DA36" s="29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</row>
    <row r="37" spans="1:134" ht="6.75" customHeight="1" x14ac:dyDescent="0.25">
      <c r="A37" s="3"/>
      <c r="B37" s="18" t="s">
        <v>6</v>
      </c>
      <c r="C37" s="18" t="s">
        <v>6</v>
      </c>
      <c r="D37" s="18" t="s">
        <v>6</v>
      </c>
      <c r="E37" s="1" t="s">
        <v>0</v>
      </c>
      <c r="F37" s="1" t="s">
        <v>0</v>
      </c>
      <c r="G37" s="1"/>
      <c r="H37" s="1"/>
      <c r="I37" s="16">
        <f>COLUMN()</f>
        <v>9</v>
      </c>
      <c r="J37" s="19" t="str">
        <f t="shared" si="107"/>
        <v>1,9</v>
      </c>
      <c r="K37" s="19" t="str">
        <f t="shared" si="107"/>
        <v>2,9</v>
      </c>
      <c r="L37" s="19" t="str">
        <f t="shared" si="107"/>
        <v>3,9</v>
      </c>
      <c r="M37" s="19" t="str">
        <f t="shared" si="107"/>
        <v>4,9</v>
      </c>
      <c r="N37" s="19" t="str">
        <f t="shared" si="107"/>
        <v>5,9</v>
      </c>
      <c r="O37" s="19" t="str">
        <f t="shared" si="107"/>
        <v>6,9</v>
      </c>
      <c r="P37" s="19" t="str">
        <f t="shared" si="107"/>
        <v>7,9</v>
      </c>
      <c r="Q37" s="19" t="str">
        <f t="shared" si="107"/>
        <v>8,9</v>
      </c>
      <c r="R37" s="19" t="str">
        <f t="shared" si="107"/>
        <v>9,9</v>
      </c>
      <c r="S37" s="19" t="str">
        <f t="shared" si="107"/>
        <v>10,9</v>
      </c>
      <c r="T37" s="19" t="str">
        <f t="shared" si="107"/>
        <v>11,9</v>
      </c>
      <c r="U37" s="19" t="str">
        <f t="shared" si="107"/>
        <v>12,9</v>
      </c>
      <c r="V37" s="19" t="str">
        <f t="shared" si="107"/>
        <v>13,9</v>
      </c>
      <c r="W37" s="19" t="str">
        <f t="shared" si="107"/>
        <v>14,9</v>
      </c>
      <c r="X37" s="19" t="str">
        <f t="shared" si="107"/>
        <v>15,9</v>
      </c>
      <c r="Y37" s="19" t="str">
        <f t="shared" si="107"/>
        <v>16,9</v>
      </c>
      <c r="Z37" s="19" t="str">
        <f t="shared" si="108"/>
        <v>17,9</v>
      </c>
      <c r="AA37" s="19" t="str">
        <f t="shared" si="108"/>
        <v>18,9</v>
      </c>
      <c r="AB37" s="19" t="str">
        <f t="shared" si="108"/>
        <v>19,9</v>
      </c>
      <c r="AC37" s="19" t="str">
        <f t="shared" si="108"/>
        <v>20,9</v>
      </c>
      <c r="AD37" s="19" t="str">
        <f t="shared" si="108"/>
        <v>21,9</v>
      </c>
      <c r="AE37" s="19" t="str">
        <f t="shared" si="108"/>
        <v>22,9</v>
      </c>
      <c r="AF37" s="19" t="str">
        <f t="shared" si="108"/>
        <v>23,9</v>
      </c>
      <c r="AG37" s="19" t="str">
        <f t="shared" si="108"/>
        <v>24,9</v>
      </c>
      <c r="AH37" s="19" t="str">
        <f t="shared" si="108"/>
        <v>25,9</v>
      </c>
      <c r="AI37" s="19" t="str">
        <f t="shared" si="108"/>
        <v>26,9</v>
      </c>
      <c r="AJ37" s="19" t="str">
        <f t="shared" si="108"/>
        <v>27,9</v>
      </c>
      <c r="AK37" s="19" t="str">
        <f t="shared" si="108"/>
        <v>28,9</v>
      </c>
      <c r="AL37" s="19" t="str">
        <f t="shared" si="108"/>
        <v>29,9</v>
      </c>
      <c r="AM37" s="19" t="str">
        <f t="shared" si="108"/>
        <v>30,9</v>
      </c>
      <c r="AN37" s="19" t="str">
        <f t="shared" si="108"/>
        <v>31,9</v>
      </c>
      <c r="AO37" s="19" t="str">
        <f t="shared" si="108"/>
        <v>32,9</v>
      </c>
      <c r="AP37" s="19" t="str">
        <f t="shared" si="111"/>
        <v>33,9</v>
      </c>
      <c r="AQ37" s="19" t="str">
        <f t="shared" si="111"/>
        <v>34,9</v>
      </c>
      <c r="AR37" s="19" t="str">
        <f t="shared" si="111"/>
        <v>35,9</v>
      </c>
      <c r="AS37" s="19" t="str">
        <f t="shared" si="114"/>
        <v>36,9</v>
      </c>
      <c r="AT37" s="19" t="str">
        <f t="shared" si="112"/>
        <v>37,9</v>
      </c>
      <c r="AU37" s="19" t="str">
        <f t="shared" si="112"/>
        <v>38,9</v>
      </c>
      <c r="AV37" s="19" t="str">
        <f t="shared" si="112"/>
        <v>39,9</v>
      </c>
      <c r="AW37" s="19" t="str">
        <f t="shared" si="112"/>
        <v>40,9</v>
      </c>
      <c r="AX37" s="16">
        <f t="shared" si="110"/>
        <v>9</v>
      </c>
      <c r="AY37" s="1"/>
      <c r="AZ37" s="16">
        <v>8</v>
      </c>
      <c r="BA37" s="10">
        <v>1.2359494</v>
      </c>
      <c r="BB37" s="10">
        <v>1.238102</v>
      </c>
      <c r="BC37" s="10">
        <v>1.2422373</v>
      </c>
      <c r="BD37" s="10">
        <v>1.2480229</v>
      </c>
      <c r="BE37" s="10">
        <v>1.2549736</v>
      </c>
      <c r="BF37" s="10">
        <v>1.2625232</v>
      </c>
      <c r="BG37" s="10">
        <v>1.2702788</v>
      </c>
      <c r="BH37" s="10">
        <v>1.2783822</v>
      </c>
      <c r="BI37" s="10">
        <v>1.2873732</v>
      </c>
      <c r="BJ37" s="10">
        <v>1.2977327999999999</v>
      </c>
      <c r="BK37" s="10">
        <v>1.3093712</v>
      </c>
      <c r="BL37" s="10">
        <v>1.321415</v>
      </c>
      <c r="BM37" s="10">
        <v>1.3328975000000001</v>
      </c>
      <c r="BN37" s="10">
        <v>1.3444126000000001</v>
      </c>
      <c r="BO37" s="10">
        <v>1.3573389</v>
      </c>
      <c r="BP37" s="10">
        <v>1.37202</v>
      </c>
      <c r="BQ37" s="10">
        <v>1.3859931999999999</v>
      </c>
      <c r="BR37" s="10">
        <v>1.394898</v>
      </c>
      <c r="BS37" s="10">
        <v>1.3998398999999999</v>
      </c>
      <c r="BT37" s="10">
        <v>1.4050256000000001</v>
      </c>
      <c r="BU37" s="10">
        <v>1.4151918999999999</v>
      </c>
      <c r="BV37" s="10">
        <v>1.4326905000000001</v>
      </c>
      <c r="BW37" s="10">
        <v>1.4521723</v>
      </c>
      <c r="BX37" s="10">
        <v>1.457964</v>
      </c>
      <c r="BY37" s="10">
        <v>1.4541166999999999</v>
      </c>
      <c r="BZ37" s="10">
        <v>1.4499793000000001</v>
      </c>
      <c r="CA37" s="10">
        <v>1.4563079000000001</v>
      </c>
      <c r="CB37" s="10">
        <v>1.4830748</v>
      </c>
      <c r="CC37" s="10">
        <v>1.5250243999999999</v>
      </c>
      <c r="CD37" s="10">
        <v>1.5248360999999999</v>
      </c>
      <c r="CE37" s="10">
        <v>1.5086124000000001</v>
      </c>
      <c r="CF37" s="10">
        <v>1.5048630000000001</v>
      </c>
      <c r="CG37" s="10">
        <v>1.5517996999999999</v>
      </c>
      <c r="CH37" s="10">
        <v>1.6850559000000001</v>
      </c>
      <c r="CI37" s="10">
        <v>1.6536957000000001</v>
      </c>
      <c r="CJ37" s="10">
        <v>1.5915410000000001</v>
      </c>
      <c r="CK37" s="10">
        <v>1.5247253999999999</v>
      </c>
      <c r="CL37" s="10">
        <v>1.4692158</v>
      </c>
      <c r="CM37" s="10">
        <v>1.4998506</v>
      </c>
      <c r="CN37" s="10">
        <v>1.9890000999999999</v>
      </c>
      <c r="CO37" s="10">
        <v>1.787493</v>
      </c>
      <c r="CP37" s="1"/>
      <c r="CQ37" s="27">
        <f t="shared" si="45"/>
        <v>1</v>
      </c>
      <c r="CR37" s="16">
        <f t="shared" si="49"/>
        <v>32</v>
      </c>
      <c r="CS37" s="24">
        <v>3.5833333333333299</v>
      </c>
      <c r="CT37" s="1"/>
      <c r="CU37" s="30">
        <f t="shared" si="41"/>
        <v>2</v>
      </c>
      <c r="CV37" s="31">
        <v>1098</v>
      </c>
      <c r="CW37" s="38">
        <f t="shared" si="42"/>
        <v>17.3</v>
      </c>
      <c r="CX37" s="29"/>
      <c r="CY37" s="31">
        <v>1122.5</v>
      </c>
      <c r="CZ37" s="29"/>
      <c r="DA37" s="29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</row>
    <row r="38" spans="1:134" ht="6.75" customHeight="1" x14ac:dyDescent="0.25">
      <c r="A38" s="3"/>
      <c r="B38" s="18" t="s">
        <v>7</v>
      </c>
      <c r="C38" s="18" t="s">
        <v>7</v>
      </c>
      <c r="D38" s="18" t="s">
        <v>7</v>
      </c>
      <c r="E38" s="1" t="s">
        <v>0</v>
      </c>
      <c r="F38" s="1" t="s">
        <v>0</v>
      </c>
      <c r="G38" s="1"/>
      <c r="H38" s="1"/>
      <c r="I38" s="16">
        <f>COLUMN()</f>
        <v>9</v>
      </c>
      <c r="J38" s="19" t="str">
        <f t="shared" si="107"/>
        <v>1,10</v>
      </c>
      <c r="K38" s="19" t="str">
        <f t="shared" si="107"/>
        <v>2,10</v>
      </c>
      <c r="L38" s="19" t="str">
        <f t="shared" si="107"/>
        <v>3,10</v>
      </c>
      <c r="M38" s="19" t="str">
        <f t="shared" si="107"/>
        <v>4,10</v>
      </c>
      <c r="N38" s="19" t="str">
        <f t="shared" si="107"/>
        <v>5,10</v>
      </c>
      <c r="O38" s="19" t="str">
        <f t="shared" si="107"/>
        <v>6,10</v>
      </c>
      <c r="P38" s="19" t="str">
        <f t="shared" si="107"/>
        <v>7,10</v>
      </c>
      <c r="Q38" s="19" t="str">
        <f t="shared" si="107"/>
        <v>8,10</v>
      </c>
      <c r="R38" s="19" t="str">
        <f t="shared" si="107"/>
        <v>9,10</v>
      </c>
      <c r="S38" s="19" t="str">
        <f t="shared" si="107"/>
        <v>10,10</v>
      </c>
      <c r="T38" s="19" t="str">
        <f t="shared" si="107"/>
        <v>11,10</v>
      </c>
      <c r="U38" s="19" t="str">
        <f t="shared" si="107"/>
        <v>12,10</v>
      </c>
      <c r="V38" s="19" t="str">
        <f t="shared" si="107"/>
        <v>13,10</v>
      </c>
      <c r="W38" s="19" t="str">
        <f t="shared" si="107"/>
        <v>14,10</v>
      </c>
      <c r="X38" s="19" t="str">
        <f t="shared" si="107"/>
        <v>15,10</v>
      </c>
      <c r="Y38" s="19" t="str">
        <f t="shared" si="107"/>
        <v>16,10</v>
      </c>
      <c r="Z38" s="19" t="str">
        <f t="shared" si="108"/>
        <v>17,10</v>
      </c>
      <c r="AA38" s="19" t="str">
        <f t="shared" si="108"/>
        <v>18,10</v>
      </c>
      <c r="AB38" s="19" t="str">
        <f t="shared" si="108"/>
        <v>19,10</v>
      </c>
      <c r="AC38" s="19" t="str">
        <f t="shared" si="108"/>
        <v>20,10</v>
      </c>
      <c r="AD38" s="19" t="str">
        <f t="shared" si="108"/>
        <v>21,10</v>
      </c>
      <c r="AE38" s="19" t="str">
        <f t="shared" si="108"/>
        <v>22,10</v>
      </c>
      <c r="AF38" s="19" t="str">
        <f t="shared" si="108"/>
        <v>23,10</v>
      </c>
      <c r="AG38" s="19" t="str">
        <f t="shared" si="108"/>
        <v>24,10</v>
      </c>
      <c r="AH38" s="19" t="str">
        <f t="shared" si="108"/>
        <v>25,10</v>
      </c>
      <c r="AI38" s="19" t="str">
        <f t="shared" si="108"/>
        <v>26,10</v>
      </c>
      <c r="AJ38" s="19" t="str">
        <f t="shared" si="108"/>
        <v>27,10</v>
      </c>
      <c r="AK38" s="19" t="str">
        <f t="shared" si="108"/>
        <v>28,10</v>
      </c>
      <c r="AL38" s="19" t="str">
        <f t="shared" si="108"/>
        <v>29,10</v>
      </c>
      <c r="AM38" s="19" t="str">
        <f t="shared" si="108"/>
        <v>30,10</v>
      </c>
      <c r="AN38" s="19" t="str">
        <f t="shared" si="108"/>
        <v>31,10</v>
      </c>
      <c r="AO38" s="19" t="str">
        <f t="shared" si="108"/>
        <v>32,10</v>
      </c>
      <c r="AP38" s="19" t="str">
        <f t="shared" si="111"/>
        <v>33,10</v>
      </c>
      <c r="AQ38" s="19" t="str">
        <f t="shared" si="111"/>
        <v>34,10</v>
      </c>
      <c r="AR38" s="19" t="str">
        <f t="shared" si="111"/>
        <v>35,10</v>
      </c>
      <c r="AS38" s="19" t="str">
        <f t="shared" si="114"/>
        <v>36,10</v>
      </c>
      <c r="AT38" s="19" t="str">
        <f t="shared" si="112"/>
        <v>37,10</v>
      </c>
      <c r="AU38" s="19" t="str">
        <f t="shared" si="112"/>
        <v>38,10</v>
      </c>
      <c r="AV38" s="19" t="str">
        <f t="shared" si="112"/>
        <v>39,10</v>
      </c>
      <c r="AW38" s="19" t="str">
        <f t="shared" si="112"/>
        <v>40,10</v>
      </c>
      <c r="AX38" s="16">
        <f t="shared" si="110"/>
        <v>10</v>
      </c>
      <c r="AY38" s="1"/>
      <c r="AZ38" s="16">
        <v>9</v>
      </c>
      <c r="BA38" s="10">
        <v>1.2525575</v>
      </c>
      <c r="BB38" s="10">
        <v>1.2543046</v>
      </c>
      <c r="BC38" s="10">
        <v>1.2576797</v>
      </c>
      <c r="BD38" s="10">
        <v>1.2624557000000001</v>
      </c>
      <c r="BE38" s="10">
        <v>1.2683274</v>
      </c>
      <c r="BF38" s="10">
        <v>1.2749782000000001</v>
      </c>
      <c r="BG38" s="10">
        <v>1.2822042</v>
      </c>
      <c r="BH38" s="10">
        <v>1.2900289</v>
      </c>
      <c r="BI38" s="10">
        <v>1.2986393000000001</v>
      </c>
      <c r="BJ38" s="10">
        <v>1.3081811999999999</v>
      </c>
      <c r="BK38" s="10">
        <v>1.3185536</v>
      </c>
      <c r="BL38" s="10">
        <v>1.3293820999999999</v>
      </c>
      <c r="BM38" s="10">
        <v>1.3403271000000001</v>
      </c>
      <c r="BN38" s="10">
        <v>1.3515334999999999</v>
      </c>
      <c r="BO38" s="10">
        <v>1.3633453</v>
      </c>
      <c r="BP38" s="10">
        <v>1.375602</v>
      </c>
      <c r="BQ38" s="10">
        <v>1.3871781999999999</v>
      </c>
      <c r="BR38" s="10">
        <v>1.3967000999999999</v>
      </c>
      <c r="BS38" s="10">
        <v>1.4046152000000001</v>
      </c>
      <c r="BT38" s="10">
        <v>1.4127628999999999</v>
      </c>
      <c r="BU38" s="10">
        <v>1.4230678000000001</v>
      </c>
      <c r="BV38" s="10">
        <v>1.4359139999999999</v>
      </c>
      <c r="BW38" s="10">
        <v>1.4485904000000001</v>
      </c>
      <c r="BX38" s="10">
        <v>1.4563862999999999</v>
      </c>
      <c r="BY38" s="10">
        <v>1.4603216999999999</v>
      </c>
      <c r="BZ38" s="10">
        <v>1.4647071</v>
      </c>
      <c r="CA38" s="10">
        <v>1.4744941</v>
      </c>
      <c r="CB38" s="10">
        <v>1.4923267</v>
      </c>
      <c r="CC38" s="10">
        <v>1.513223</v>
      </c>
      <c r="CD38" s="10">
        <v>1.5222175</v>
      </c>
      <c r="CE38" s="10">
        <v>1.5258742999999999</v>
      </c>
      <c r="CF38" s="10">
        <v>1.5372998</v>
      </c>
      <c r="CG38" s="10">
        <v>1.5688827999999999</v>
      </c>
      <c r="CH38" s="10">
        <v>1.6157554000000001</v>
      </c>
      <c r="CI38" s="10">
        <v>1.6157938000000001</v>
      </c>
      <c r="CJ38" s="10">
        <v>1.5932360999999999</v>
      </c>
      <c r="CK38" s="10">
        <v>1.5685562</v>
      </c>
      <c r="CL38" s="10">
        <v>1.5627538999999999</v>
      </c>
      <c r="CM38" s="10">
        <v>1.6113923999999999</v>
      </c>
      <c r="CN38" s="10">
        <v>1.7498621999999999</v>
      </c>
      <c r="CO38" s="10">
        <v>1.7179545000000001</v>
      </c>
      <c r="CP38" s="1"/>
      <c r="CQ38" s="27">
        <f t="shared" si="45"/>
        <v>1</v>
      </c>
      <c r="CR38" s="16">
        <f t="shared" si="49"/>
        <v>33</v>
      </c>
      <c r="CS38" s="24">
        <v>3.6666666666666599</v>
      </c>
      <c r="CT38" s="1"/>
      <c r="CU38" s="30">
        <f t="shared" ref="CU38:CU69" si="115">IF(CV38&lt;=CU$4,1,2)</f>
        <v>2</v>
      </c>
      <c r="CV38" s="31">
        <v>1134.5999999999999</v>
      </c>
      <c r="CW38" s="38">
        <f t="shared" ref="CW38:CW69" si="116">IF(CV38=0,0,(CV38/CW$5)-1)</f>
        <v>17.91</v>
      </c>
      <c r="CX38" s="29"/>
      <c r="CY38" s="31">
        <v>1158.75</v>
      </c>
      <c r="CZ38" s="29"/>
      <c r="DA38" s="29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</row>
    <row r="39" spans="1:134" ht="6.75" customHeight="1" x14ac:dyDescent="0.25">
      <c r="A39" s="3"/>
      <c r="B39" s="18" t="s">
        <v>8</v>
      </c>
      <c r="C39" s="18" t="s">
        <v>8</v>
      </c>
      <c r="D39" s="18" t="s">
        <v>8</v>
      </c>
      <c r="E39" s="1" t="s">
        <v>0</v>
      </c>
      <c r="F39" s="1" t="s">
        <v>0</v>
      </c>
      <c r="G39" s="1"/>
      <c r="H39" s="1"/>
      <c r="I39" s="16">
        <f>COLUMN()</f>
        <v>9</v>
      </c>
      <c r="J39" s="19" t="str">
        <f t="shared" si="107"/>
        <v>1,11</v>
      </c>
      <c r="K39" s="19" t="str">
        <f t="shared" si="107"/>
        <v>2,11</v>
      </c>
      <c r="L39" s="19" t="str">
        <f t="shared" si="107"/>
        <v>3,11</v>
      </c>
      <c r="M39" s="19" t="str">
        <f t="shared" si="107"/>
        <v>4,11</v>
      </c>
      <c r="N39" s="19" t="str">
        <f t="shared" si="107"/>
        <v>5,11</v>
      </c>
      <c r="O39" s="19" t="str">
        <f t="shared" si="107"/>
        <v>6,11</v>
      </c>
      <c r="P39" s="19" t="str">
        <f t="shared" si="107"/>
        <v>7,11</v>
      </c>
      <c r="Q39" s="19" t="str">
        <f t="shared" si="107"/>
        <v>8,11</v>
      </c>
      <c r="R39" s="19" t="str">
        <f t="shared" si="107"/>
        <v>9,11</v>
      </c>
      <c r="S39" s="19" t="str">
        <f t="shared" si="107"/>
        <v>10,11</v>
      </c>
      <c r="T39" s="19" t="str">
        <f t="shared" si="107"/>
        <v>11,11</v>
      </c>
      <c r="U39" s="19" t="str">
        <f t="shared" si="107"/>
        <v>12,11</v>
      </c>
      <c r="V39" s="19" t="str">
        <f t="shared" si="107"/>
        <v>13,11</v>
      </c>
      <c r="W39" s="19" t="str">
        <f t="shared" si="107"/>
        <v>14,11</v>
      </c>
      <c r="X39" s="19" t="str">
        <f t="shared" si="107"/>
        <v>15,11</v>
      </c>
      <c r="Y39" s="19" t="str">
        <f t="shared" si="107"/>
        <v>16,11</v>
      </c>
      <c r="Z39" s="19" t="str">
        <f t="shared" si="108"/>
        <v>17,11</v>
      </c>
      <c r="AA39" s="19" t="str">
        <f t="shared" si="108"/>
        <v>18,11</v>
      </c>
      <c r="AB39" s="19" t="str">
        <f t="shared" si="108"/>
        <v>19,11</v>
      </c>
      <c r="AC39" s="19" t="str">
        <f t="shared" si="108"/>
        <v>20,11</v>
      </c>
      <c r="AD39" s="19" t="str">
        <f t="shared" si="108"/>
        <v>21,11</v>
      </c>
      <c r="AE39" s="19" t="str">
        <f t="shared" si="108"/>
        <v>22,11</v>
      </c>
      <c r="AF39" s="19" t="str">
        <f t="shared" si="108"/>
        <v>23,11</v>
      </c>
      <c r="AG39" s="19" t="str">
        <f t="shared" si="108"/>
        <v>24,11</v>
      </c>
      <c r="AH39" s="19" t="str">
        <f t="shared" si="108"/>
        <v>25,11</v>
      </c>
      <c r="AI39" s="19" t="str">
        <f t="shared" si="108"/>
        <v>26,11</v>
      </c>
      <c r="AJ39" s="19" t="str">
        <f t="shared" si="108"/>
        <v>27,11</v>
      </c>
      <c r="AK39" s="19" t="str">
        <f t="shared" si="108"/>
        <v>28,11</v>
      </c>
      <c r="AL39" s="19" t="str">
        <f t="shared" si="108"/>
        <v>29,11</v>
      </c>
      <c r="AM39" s="19" t="str">
        <f t="shared" si="108"/>
        <v>30,11</v>
      </c>
      <c r="AN39" s="19" t="str">
        <f t="shared" si="108"/>
        <v>31,11</v>
      </c>
      <c r="AO39" s="19" t="str">
        <f t="shared" si="108"/>
        <v>32,11</v>
      </c>
      <c r="AP39" s="19" t="str">
        <f t="shared" si="111"/>
        <v>33,11</v>
      </c>
      <c r="AQ39" s="19" t="str">
        <f t="shared" si="111"/>
        <v>34,11</v>
      </c>
      <c r="AR39" s="19" t="str">
        <f t="shared" si="111"/>
        <v>35,11</v>
      </c>
      <c r="AS39" s="19" t="str">
        <f t="shared" si="114"/>
        <v>36,11</v>
      </c>
      <c r="AT39" s="19" t="str">
        <f t="shared" si="112"/>
        <v>37,11</v>
      </c>
      <c r="AU39" s="19" t="str">
        <f t="shared" si="112"/>
        <v>38,11</v>
      </c>
      <c r="AV39" s="19" t="str">
        <f t="shared" si="112"/>
        <v>39,11</v>
      </c>
      <c r="AW39" s="19" t="str">
        <f t="shared" si="112"/>
        <v>40,11</v>
      </c>
      <c r="AX39" s="16">
        <f t="shared" si="110"/>
        <v>11</v>
      </c>
      <c r="AY39" s="1"/>
      <c r="AZ39" s="16">
        <v>10</v>
      </c>
      <c r="BA39" s="10">
        <v>1.2674185</v>
      </c>
      <c r="BB39" s="10">
        <v>1.2688794999999999</v>
      </c>
      <c r="BC39" s="10">
        <v>1.2717209</v>
      </c>
      <c r="BD39" s="10">
        <v>1.2757927</v>
      </c>
      <c r="BE39" s="10">
        <v>1.2809021</v>
      </c>
      <c r="BF39" s="10">
        <v>1.2868580999999999</v>
      </c>
      <c r="BG39" s="10">
        <v>1.2935306</v>
      </c>
      <c r="BH39" s="10">
        <v>1.3008900000000001</v>
      </c>
      <c r="BI39" s="10">
        <v>1.3089739</v>
      </c>
      <c r="BJ39" s="10">
        <v>1.3177991</v>
      </c>
      <c r="BK39" s="10">
        <v>1.3272797000000001</v>
      </c>
      <c r="BL39" s="10">
        <v>1.3372325</v>
      </c>
      <c r="BM39" s="10">
        <v>1.3474952</v>
      </c>
      <c r="BN39" s="10">
        <v>1.3580493</v>
      </c>
      <c r="BO39" s="10">
        <v>1.3689065</v>
      </c>
      <c r="BP39" s="10">
        <v>1.3798645</v>
      </c>
      <c r="BQ39" s="10">
        <v>1.3904175000000001</v>
      </c>
      <c r="BR39" s="10">
        <v>1.400109</v>
      </c>
      <c r="BS39" s="10">
        <v>1.4091578</v>
      </c>
      <c r="BT39" s="10">
        <v>1.4183431</v>
      </c>
      <c r="BU39" s="10">
        <v>1.4284024</v>
      </c>
      <c r="BV39" s="10">
        <v>1.4393077000000001</v>
      </c>
      <c r="BW39" s="10">
        <v>1.4498888000000001</v>
      </c>
      <c r="BX39" s="10">
        <v>1.4586692000000001</v>
      </c>
      <c r="BY39" s="10">
        <v>1.4660766000000001</v>
      </c>
      <c r="BZ39" s="10">
        <v>1.4740335</v>
      </c>
      <c r="CA39" s="10">
        <v>1.4846344</v>
      </c>
      <c r="CB39" s="10">
        <v>1.4985149</v>
      </c>
      <c r="CC39" s="10">
        <v>1.5133238</v>
      </c>
      <c r="CD39" s="10">
        <v>1.5249366</v>
      </c>
      <c r="CE39" s="10">
        <v>1.5353675</v>
      </c>
      <c r="CF39" s="10">
        <v>1.5495787999999999</v>
      </c>
      <c r="CG39" s="10">
        <v>1.5706766999999999</v>
      </c>
      <c r="CH39" s="10">
        <v>1.5932892999999999</v>
      </c>
      <c r="CI39" s="10">
        <v>1.6004879999999999</v>
      </c>
      <c r="CJ39" s="10">
        <v>1.5970534999999999</v>
      </c>
      <c r="CK39" s="10">
        <v>1.5935094000000001</v>
      </c>
      <c r="CL39" s="10">
        <v>1.6018515</v>
      </c>
      <c r="CM39" s="10">
        <v>1.6331027</v>
      </c>
      <c r="CN39" s="10">
        <v>1.6811016999999999</v>
      </c>
      <c r="CO39" s="10">
        <v>1.6809229000000001</v>
      </c>
      <c r="CP39" s="1"/>
      <c r="CQ39" s="27">
        <f t="shared" si="45"/>
        <v>1</v>
      </c>
      <c r="CR39" s="16">
        <f t="shared" si="49"/>
        <v>34</v>
      </c>
      <c r="CS39" s="24">
        <v>3.75</v>
      </c>
      <c r="CT39" s="1"/>
      <c r="CU39" s="30">
        <f t="shared" si="115"/>
        <v>2</v>
      </c>
      <c r="CV39" s="31">
        <v>1171.2</v>
      </c>
      <c r="CW39" s="38">
        <f t="shared" si="116"/>
        <v>18.52</v>
      </c>
      <c r="CX39" s="29"/>
      <c r="CY39" s="31">
        <v>1195</v>
      </c>
      <c r="CZ39" s="29"/>
      <c r="DA39" s="29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</row>
    <row r="40" spans="1:134" ht="6.75" customHeight="1" x14ac:dyDescent="0.25">
      <c r="A40" s="3"/>
      <c r="B40" s="18" t="s">
        <v>9</v>
      </c>
      <c r="C40" s="18" t="s">
        <v>9</v>
      </c>
      <c r="D40" s="18" t="s">
        <v>9</v>
      </c>
      <c r="E40" s="1" t="s">
        <v>0</v>
      </c>
      <c r="F40" s="1" t="s">
        <v>0</v>
      </c>
      <c r="G40" s="1"/>
      <c r="H40" s="1"/>
      <c r="I40" s="16">
        <f>COLUMN()</f>
        <v>9</v>
      </c>
      <c r="J40" s="19" t="str">
        <f t="shared" si="107"/>
        <v>1,12</v>
      </c>
      <c r="K40" s="19" t="str">
        <f t="shared" si="107"/>
        <v>2,12</v>
      </c>
      <c r="L40" s="19" t="str">
        <f t="shared" si="107"/>
        <v>3,12</v>
      </c>
      <c r="M40" s="19" t="str">
        <f t="shared" si="107"/>
        <v>4,12</v>
      </c>
      <c r="N40" s="19" t="str">
        <f t="shared" si="107"/>
        <v>5,12</v>
      </c>
      <c r="O40" s="19" t="str">
        <f t="shared" si="107"/>
        <v>6,12</v>
      </c>
      <c r="P40" s="19" t="str">
        <f t="shared" si="107"/>
        <v>7,12</v>
      </c>
      <c r="Q40" s="19" t="str">
        <f t="shared" si="107"/>
        <v>8,12</v>
      </c>
      <c r="R40" s="19" t="str">
        <f t="shared" si="107"/>
        <v>9,12</v>
      </c>
      <c r="S40" s="19" t="str">
        <f t="shared" si="107"/>
        <v>10,12</v>
      </c>
      <c r="T40" s="19" t="str">
        <f t="shared" si="107"/>
        <v>11,12</v>
      </c>
      <c r="U40" s="19" t="str">
        <f t="shared" si="107"/>
        <v>12,12</v>
      </c>
      <c r="V40" s="19" t="str">
        <f t="shared" si="107"/>
        <v>13,12</v>
      </c>
      <c r="W40" s="19" t="str">
        <f t="shared" si="107"/>
        <v>14,12</v>
      </c>
      <c r="X40" s="19" t="str">
        <f t="shared" si="107"/>
        <v>15,12</v>
      </c>
      <c r="Y40" s="19" t="str">
        <f t="shared" si="107"/>
        <v>16,12</v>
      </c>
      <c r="Z40" s="19" t="str">
        <f t="shared" si="108"/>
        <v>17,12</v>
      </c>
      <c r="AA40" s="19" t="str">
        <f t="shared" si="108"/>
        <v>18,12</v>
      </c>
      <c r="AB40" s="19" t="str">
        <f t="shared" si="108"/>
        <v>19,12</v>
      </c>
      <c r="AC40" s="19" t="str">
        <f t="shared" si="108"/>
        <v>20,12</v>
      </c>
      <c r="AD40" s="19" t="str">
        <f t="shared" si="108"/>
        <v>21,12</v>
      </c>
      <c r="AE40" s="19" t="str">
        <f t="shared" si="108"/>
        <v>22,12</v>
      </c>
      <c r="AF40" s="19" t="str">
        <f t="shared" si="108"/>
        <v>23,12</v>
      </c>
      <c r="AG40" s="19" t="str">
        <f t="shared" si="108"/>
        <v>24,12</v>
      </c>
      <c r="AH40" s="19" t="str">
        <f t="shared" si="108"/>
        <v>25,12</v>
      </c>
      <c r="AI40" s="19" t="str">
        <f t="shared" si="108"/>
        <v>26,12</v>
      </c>
      <c r="AJ40" s="19" t="str">
        <f t="shared" si="108"/>
        <v>27,12</v>
      </c>
      <c r="AK40" s="19" t="str">
        <f t="shared" si="108"/>
        <v>28,12</v>
      </c>
      <c r="AL40" s="19" t="str">
        <f t="shared" si="108"/>
        <v>29,12</v>
      </c>
      <c r="AM40" s="19" t="str">
        <f t="shared" si="108"/>
        <v>30,12</v>
      </c>
      <c r="AN40" s="19" t="str">
        <f t="shared" si="108"/>
        <v>31,12</v>
      </c>
      <c r="AO40" s="19" t="str">
        <f t="shared" si="108"/>
        <v>32,12</v>
      </c>
      <c r="AP40" s="19" t="str">
        <f t="shared" si="111"/>
        <v>33,12</v>
      </c>
      <c r="AQ40" s="19" t="str">
        <f t="shared" si="111"/>
        <v>34,12</v>
      </c>
      <c r="AR40" s="19" t="str">
        <f t="shared" si="111"/>
        <v>35,12</v>
      </c>
      <c r="AS40" s="19" t="str">
        <f t="shared" si="114"/>
        <v>36,12</v>
      </c>
      <c r="AT40" s="19" t="str">
        <f t="shared" si="112"/>
        <v>37,12</v>
      </c>
      <c r="AU40" s="19" t="str">
        <f t="shared" si="112"/>
        <v>38,12</v>
      </c>
      <c r="AV40" s="19" t="str">
        <f t="shared" si="112"/>
        <v>39,12</v>
      </c>
      <c r="AW40" s="19" t="str">
        <f t="shared" si="112"/>
        <v>40,12</v>
      </c>
      <c r="AX40" s="16">
        <f t="shared" si="110"/>
        <v>12</v>
      </c>
      <c r="AY40" s="1"/>
      <c r="AZ40" s="16">
        <v>11</v>
      </c>
      <c r="BA40" s="10">
        <v>1.2808183</v>
      </c>
      <c r="BB40" s="10">
        <v>1.2820742000000001</v>
      </c>
      <c r="BC40" s="10">
        <v>1.2845317999999999</v>
      </c>
      <c r="BD40" s="10">
        <v>1.2880923</v>
      </c>
      <c r="BE40" s="10">
        <v>1.2926302000000001</v>
      </c>
      <c r="BF40" s="10">
        <v>1.2980212</v>
      </c>
      <c r="BG40" s="10">
        <v>1.3041703</v>
      </c>
      <c r="BH40" s="10">
        <v>1.3110265000000001</v>
      </c>
      <c r="BI40" s="10">
        <v>1.3185674999999999</v>
      </c>
      <c r="BJ40" s="10">
        <v>1.3267614000000001</v>
      </c>
      <c r="BK40" s="10">
        <v>1.3355337</v>
      </c>
      <c r="BL40" s="10">
        <v>1.344773</v>
      </c>
      <c r="BM40" s="10">
        <v>1.3543721</v>
      </c>
      <c r="BN40" s="10">
        <v>1.3642616000000001</v>
      </c>
      <c r="BO40" s="10">
        <v>1.3743669999999999</v>
      </c>
      <c r="BP40" s="10">
        <v>1.3845316999999999</v>
      </c>
      <c r="BQ40" s="10">
        <v>1.3945181</v>
      </c>
      <c r="BR40" s="10">
        <v>1.4041606</v>
      </c>
      <c r="BS40" s="10">
        <v>1.413564</v>
      </c>
      <c r="BT40" s="10">
        <v>1.4230493</v>
      </c>
      <c r="BU40" s="10">
        <v>1.4328909999999999</v>
      </c>
      <c r="BV40" s="10">
        <v>1.4430254</v>
      </c>
      <c r="BW40" s="10">
        <v>1.4529881</v>
      </c>
      <c r="BX40" s="10">
        <v>1.4623250999999999</v>
      </c>
      <c r="BY40" s="10">
        <v>1.471282</v>
      </c>
      <c r="BZ40" s="10">
        <v>1.4807159000000001</v>
      </c>
      <c r="CA40" s="10">
        <v>1.4914951000000001</v>
      </c>
      <c r="CB40" s="10">
        <v>1.5037749</v>
      </c>
      <c r="CC40" s="10">
        <v>1.5166206</v>
      </c>
      <c r="CD40" s="10">
        <v>1.5288373</v>
      </c>
      <c r="CE40" s="10">
        <v>1.5410801999999999</v>
      </c>
      <c r="CF40" s="10">
        <v>1.5549712</v>
      </c>
      <c r="CG40" s="10">
        <v>1.5709559</v>
      </c>
      <c r="CH40" s="10">
        <v>1.5862368</v>
      </c>
      <c r="CI40" s="10">
        <v>1.5958152000000001</v>
      </c>
      <c r="CJ40" s="10">
        <v>1.6009804999999999</v>
      </c>
      <c r="CK40" s="10">
        <v>1.6065763</v>
      </c>
      <c r="CL40" s="10">
        <v>1.6180401</v>
      </c>
      <c r="CM40" s="10">
        <v>1.6380650000000001</v>
      </c>
      <c r="CN40" s="10">
        <v>1.6605190000000001</v>
      </c>
      <c r="CO40" s="10">
        <v>1.6674465000000001</v>
      </c>
      <c r="CP40" s="1"/>
      <c r="CQ40" s="27">
        <f t="shared" si="45"/>
        <v>1</v>
      </c>
      <c r="CR40" s="16">
        <f t="shared" si="49"/>
        <v>35</v>
      </c>
      <c r="CS40" s="24">
        <v>3.8333333333333299</v>
      </c>
      <c r="CT40" s="1"/>
      <c r="CU40" s="30">
        <f t="shared" si="115"/>
        <v>2</v>
      </c>
      <c r="CV40" s="31">
        <v>1207.8</v>
      </c>
      <c r="CW40" s="38">
        <f t="shared" si="116"/>
        <v>19.13</v>
      </c>
      <c r="CX40" s="29"/>
      <c r="CY40" s="31">
        <v>1231.25</v>
      </c>
      <c r="CZ40" s="29"/>
      <c r="DA40" s="29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</row>
    <row r="41" spans="1:134" ht="6.75" customHeight="1" x14ac:dyDescent="0.25">
      <c r="A41" s="3"/>
      <c r="B41" s="18" t="s">
        <v>10</v>
      </c>
      <c r="C41" s="18" t="s">
        <v>10</v>
      </c>
      <c r="D41" s="18" t="s">
        <v>10</v>
      </c>
      <c r="E41" s="1" t="s">
        <v>0</v>
      </c>
      <c r="F41" s="1" t="s">
        <v>0</v>
      </c>
      <c r="G41" s="1"/>
      <c r="H41" s="1"/>
      <c r="I41" s="16">
        <f>COLUMN()</f>
        <v>9</v>
      </c>
      <c r="J41" s="19" t="str">
        <f t="shared" si="107"/>
        <v>1,13</v>
      </c>
      <c r="K41" s="19" t="str">
        <f t="shared" si="107"/>
        <v>2,13</v>
      </c>
      <c r="L41" s="19" t="str">
        <f t="shared" si="107"/>
        <v>3,13</v>
      </c>
      <c r="M41" s="19" t="str">
        <f t="shared" si="107"/>
        <v>4,13</v>
      </c>
      <c r="N41" s="19" t="str">
        <f t="shared" si="107"/>
        <v>5,13</v>
      </c>
      <c r="O41" s="19" t="str">
        <f t="shared" si="107"/>
        <v>6,13</v>
      </c>
      <c r="P41" s="19" t="str">
        <f t="shared" si="107"/>
        <v>7,13</v>
      </c>
      <c r="Q41" s="19" t="str">
        <f t="shared" si="107"/>
        <v>8,13</v>
      </c>
      <c r="R41" s="19" t="str">
        <f t="shared" si="107"/>
        <v>9,13</v>
      </c>
      <c r="S41" s="19" t="str">
        <f t="shared" si="107"/>
        <v>10,13</v>
      </c>
      <c r="T41" s="19" t="str">
        <f t="shared" si="107"/>
        <v>11,13</v>
      </c>
      <c r="U41" s="19" t="str">
        <f t="shared" si="107"/>
        <v>12,13</v>
      </c>
      <c r="V41" s="19" t="str">
        <f t="shared" si="107"/>
        <v>13,13</v>
      </c>
      <c r="W41" s="19" t="str">
        <f t="shared" si="107"/>
        <v>14,13</v>
      </c>
      <c r="X41" s="19" t="str">
        <f t="shared" si="107"/>
        <v>15,13</v>
      </c>
      <c r="Y41" s="19" t="str">
        <f t="shared" si="107"/>
        <v>16,13</v>
      </c>
      <c r="Z41" s="19" t="str">
        <f t="shared" si="108"/>
        <v>17,13</v>
      </c>
      <c r="AA41" s="19" t="str">
        <f t="shared" si="108"/>
        <v>18,13</v>
      </c>
      <c r="AB41" s="19" t="str">
        <f t="shared" si="108"/>
        <v>19,13</v>
      </c>
      <c r="AC41" s="19" t="str">
        <f t="shared" si="108"/>
        <v>20,13</v>
      </c>
      <c r="AD41" s="19" t="str">
        <f t="shared" si="108"/>
        <v>21,13</v>
      </c>
      <c r="AE41" s="19" t="str">
        <f t="shared" si="108"/>
        <v>22,13</v>
      </c>
      <c r="AF41" s="19" t="str">
        <f t="shared" si="108"/>
        <v>23,13</v>
      </c>
      <c r="AG41" s="19" t="str">
        <f t="shared" si="108"/>
        <v>24,13</v>
      </c>
      <c r="AH41" s="19" t="str">
        <f t="shared" si="108"/>
        <v>25,13</v>
      </c>
      <c r="AI41" s="19" t="str">
        <f t="shared" si="108"/>
        <v>26,13</v>
      </c>
      <c r="AJ41" s="19" t="str">
        <f t="shared" si="108"/>
        <v>27,13</v>
      </c>
      <c r="AK41" s="19" t="str">
        <f t="shared" si="108"/>
        <v>28,13</v>
      </c>
      <c r="AL41" s="19" t="str">
        <f t="shared" si="108"/>
        <v>29,13</v>
      </c>
      <c r="AM41" s="19" t="str">
        <f t="shared" si="108"/>
        <v>30,13</v>
      </c>
      <c r="AN41" s="19" t="str">
        <f t="shared" si="108"/>
        <v>31,13</v>
      </c>
      <c r="AO41" s="19" t="str">
        <f t="shared" si="108"/>
        <v>32,13</v>
      </c>
      <c r="AP41" s="19" t="str">
        <f t="shared" si="111"/>
        <v>33,13</v>
      </c>
      <c r="AQ41" s="19" t="str">
        <f t="shared" si="111"/>
        <v>34,13</v>
      </c>
      <c r="AR41" s="19" t="str">
        <f t="shared" si="111"/>
        <v>35,13</v>
      </c>
      <c r="AS41" s="19" t="str">
        <f t="shared" si="114"/>
        <v>36,13</v>
      </c>
      <c r="AT41" s="19" t="str">
        <f t="shared" si="112"/>
        <v>37,13</v>
      </c>
      <c r="AU41" s="19" t="str">
        <f t="shared" si="112"/>
        <v>38,13</v>
      </c>
      <c r="AV41" s="19" t="str">
        <f t="shared" si="112"/>
        <v>39,13</v>
      </c>
      <c r="AW41" s="19" t="str">
        <f t="shared" si="112"/>
        <v>40,13</v>
      </c>
      <c r="AX41" s="16">
        <f t="shared" si="110"/>
        <v>13</v>
      </c>
      <c r="AY41" s="1"/>
      <c r="AZ41" s="16">
        <v>12</v>
      </c>
      <c r="BA41" s="10">
        <v>1.2929624</v>
      </c>
      <c r="BB41" s="10">
        <v>1.2940670000000001</v>
      </c>
      <c r="BC41" s="10">
        <v>1.2962399</v>
      </c>
      <c r="BD41" s="10">
        <v>1.2994142</v>
      </c>
      <c r="BE41" s="10">
        <v>1.3035053999999999</v>
      </c>
      <c r="BF41" s="10">
        <v>1.3084264999999999</v>
      </c>
      <c r="BG41" s="10">
        <v>1.3141026</v>
      </c>
      <c r="BH41" s="10">
        <v>1.3204781000000001</v>
      </c>
      <c r="BI41" s="10">
        <v>1.3275083999999999</v>
      </c>
      <c r="BJ41" s="10">
        <v>1.3351449</v>
      </c>
      <c r="BK41" s="10">
        <v>1.343321</v>
      </c>
      <c r="BL41" s="10">
        <v>1.3519539</v>
      </c>
      <c r="BM41" s="10">
        <v>1.3609587000000001</v>
      </c>
      <c r="BN41" s="10">
        <v>1.3702582000000001</v>
      </c>
      <c r="BO41" s="10">
        <v>1.3797680999999999</v>
      </c>
      <c r="BP41" s="10">
        <v>1.3893774999999999</v>
      </c>
      <c r="BQ41" s="10">
        <v>1.3989625999999999</v>
      </c>
      <c r="BR41" s="10">
        <v>1.4084517000000001</v>
      </c>
      <c r="BS41" s="10">
        <v>1.4178877999999999</v>
      </c>
      <c r="BT41" s="10">
        <v>1.4273994000000001</v>
      </c>
      <c r="BU41" s="10">
        <v>1.4370868999999999</v>
      </c>
      <c r="BV41" s="10">
        <v>1.4469144</v>
      </c>
      <c r="BW41" s="10">
        <v>1.4567131</v>
      </c>
      <c r="BX41" s="10">
        <v>1.466361</v>
      </c>
      <c r="BY41" s="10">
        <v>1.4760107</v>
      </c>
      <c r="BZ41" s="10">
        <v>1.4860526000000001</v>
      </c>
      <c r="CA41" s="10">
        <v>1.4968553</v>
      </c>
      <c r="CB41" s="10">
        <v>1.5084689</v>
      </c>
      <c r="CC41" s="10">
        <v>1.5205462999999999</v>
      </c>
      <c r="CD41" s="10">
        <v>1.5327120000000001</v>
      </c>
      <c r="CE41" s="10">
        <v>1.5451448999999999</v>
      </c>
      <c r="CF41" s="10">
        <v>1.55827</v>
      </c>
      <c r="CG41" s="10">
        <v>1.5719388000000001</v>
      </c>
      <c r="CH41" s="10">
        <v>1.5848868</v>
      </c>
      <c r="CI41" s="10">
        <v>1.5955558000000001</v>
      </c>
      <c r="CJ41" s="10">
        <v>1.6044768</v>
      </c>
      <c r="CK41" s="10">
        <v>1.6137754</v>
      </c>
      <c r="CL41" s="10">
        <v>1.6256675</v>
      </c>
      <c r="CM41" s="10">
        <v>1.6405981999999999</v>
      </c>
      <c r="CN41" s="10">
        <v>1.6554629000000001</v>
      </c>
      <c r="CO41" s="10">
        <v>1.6648647999999999</v>
      </c>
      <c r="CP41" s="1"/>
      <c r="CQ41" s="27">
        <f t="shared" si="45"/>
        <v>1</v>
      </c>
      <c r="CR41" s="16">
        <f t="shared" si="49"/>
        <v>36</v>
      </c>
      <c r="CS41" s="24">
        <v>3.9166666666666599</v>
      </c>
      <c r="CT41" s="1"/>
      <c r="CU41" s="30">
        <f t="shared" si="115"/>
        <v>2</v>
      </c>
      <c r="CV41" s="31">
        <v>1244.4000000000001</v>
      </c>
      <c r="CW41" s="38">
        <f t="shared" si="116"/>
        <v>19.740000000000002</v>
      </c>
      <c r="CX41" s="29"/>
      <c r="CY41" s="31">
        <v>1267.5</v>
      </c>
      <c r="CZ41" s="29"/>
      <c r="DA41" s="29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</row>
    <row r="42" spans="1:134" ht="6.75" customHeight="1" x14ac:dyDescent="0.25">
      <c r="A42" s="1"/>
      <c r="B42" s="18" t="s">
        <v>11</v>
      </c>
      <c r="C42" s="18" t="s">
        <v>11</v>
      </c>
      <c r="D42" s="18" t="s">
        <v>11</v>
      </c>
      <c r="E42" s="1" t="s">
        <v>0</v>
      </c>
      <c r="F42" s="1" t="s">
        <v>0</v>
      </c>
      <c r="G42" s="1"/>
      <c r="H42" s="1"/>
      <c r="I42" s="16">
        <f>COLUMN()</f>
        <v>9</v>
      </c>
      <c r="J42" s="19" t="str">
        <f t="shared" si="107"/>
        <v>1,14</v>
      </c>
      <c r="K42" s="19" t="str">
        <f t="shared" si="107"/>
        <v>2,14</v>
      </c>
      <c r="L42" s="19" t="str">
        <f t="shared" si="107"/>
        <v>3,14</v>
      </c>
      <c r="M42" s="19" t="str">
        <f t="shared" si="107"/>
        <v>4,14</v>
      </c>
      <c r="N42" s="19" t="str">
        <f t="shared" si="107"/>
        <v>5,14</v>
      </c>
      <c r="O42" s="19" t="str">
        <f t="shared" si="107"/>
        <v>6,14</v>
      </c>
      <c r="P42" s="19" t="str">
        <f t="shared" si="107"/>
        <v>7,14</v>
      </c>
      <c r="Q42" s="19" t="str">
        <f t="shared" si="107"/>
        <v>8,14</v>
      </c>
      <c r="R42" s="19" t="str">
        <f t="shared" si="107"/>
        <v>9,14</v>
      </c>
      <c r="S42" s="19" t="str">
        <f t="shared" si="107"/>
        <v>10,14</v>
      </c>
      <c r="T42" s="19" t="str">
        <f t="shared" si="107"/>
        <v>11,14</v>
      </c>
      <c r="U42" s="19" t="str">
        <f t="shared" si="107"/>
        <v>12,14</v>
      </c>
      <c r="V42" s="19" t="str">
        <f t="shared" si="107"/>
        <v>13,14</v>
      </c>
      <c r="W42" s="19" t="str">
        <f t="shared" si="107"/>
        <v>14,14</v>
      </c>
      <c r="X42" s="19" t="str">
        <f t="shared" si="107"/>
        <v>15,14</v>
      </c>
      <c r="Y42" s="19" t="str">
        <f t="shared" si="107"/>
        <v>16,14</v>
      </c>
      <c r="Z42" s="19" t="str">
        <f t="shared" si="108"/>
        <v>17,14</v>
      </c>
      <c r="AA42" s="19" t="str">
        <f t="shared" si="108"/>
        <v>18,14</v>
      </c>
      <c r="AB42" s="19" t="str">
        <f t="shared" si="108"/>
        <v>19,14</v>
      </c>
      <c r="AC42" s="19" t="str">
        <f t="shared" si="108"/>
        <v>20,14</v>
      </c>
      <c r="AD42" s="19" t="str">
        <f t="shared" si="108"/>
        <v>21,14</v>
      </c>
      <c r="AE42" s="19" t="str">
        <f t="shared" si="108"/>
        <v>22,14</v>
      </c>
      <c r="AF42" s="19" t="str">
        <f t="shared" si="108"/>
        <v>23,14</v>
      </c>
      <c r="AG42" s="19" t="str">
        <f t="shared" si="108"/>
        <v>24,14</v>
      </c>
      <c r="AH42" s="19" t="str">
        <f t="shared" si="108"/>
        <v>25,14</v>
      </c>
      <c r="AI42" s="19" t="str">
        <f t="shared" si="108"/>
        <v>26,14</v>
      </c>
      <c r="AJ42" s="19" t="str">
        <f t="shared" si="108"/>
        <v>27,14</v>
      </c>
      <c r="AK42" s="19" t="str">
        <f t="shared" si="108"/>
        <v>28,14</v>
      </c>
      <c r="AL42" s="19" t="str">
        <f t="shared" si="108"/>
        <v>29,14</v>
      </c>
      <c r="AM42" s="19" t="str">
        <f t="shared" si="108"/>
        <v>30,14</v>
      </c>
      <c r="AN42" s="19" t="str">
        <f t="shared" si="108"/>
        <v>31,14</v>
      </c>
      <c r="AO42" s="19" t="str">
        <f t="shared" si="108"/>
        <v>32,14</v>
      </c>
      <c r="AP42" s="19" t="str">
        <f t="shared" si="111"/>
        <v>33,14</v>
      </c>
      <c r="AQ42" s="19" t="str">
        <f t="shared" si="111"/>
        <v>34,14</v>
      </c>
      <c r="AR42" s="19" t="str">
        <f t="shared" si="111"/>
        <v>35,14</v>
      </c>
      <c r="AS42" s="19" t="str">
        <f t="shared" si="114"/>
        <v>36,14</v>
      </c>
      <c r="AT42" s="19" t="str">
        <f t="shared" si="112"/>
        <v>37,14</v>
      </c>
      <c r="AU42" s="19" t="str">
        <f t="shared" si="112"/>
        <v>38,14</v>
      </c>
      <c r="AV42" s="19" t="str">
        <f t="shared" si="112"/>
        <v>39,14</v>
      </c>
      <c r="AW42" s="19" t="str">
        <f t="shared" si="112"/>
        <v>40,14</v>
      </c>
      <c r="AX42" s="16">
        <f t="shared" si="110"/>
        <v>14</v>
      </c>
      <c r="AY42" s="1"/>
      <c r="AZ42" s="16">
        <v>13</v>
      </c>
      <c r="BA42" s="10">
        <v>1.3040019</v>
      </c>
      <c r="BB42" s="10">
        <v>1.3049917</v>
      </c>
      <c r="BC42" s="10">
        <v>1.3069462999999999</v>
      </c>
      <c r="BD42" s="10">
        <v>1.3098192</v>
      </c>
      <c r="BE42" s="10">
        <v>1.3135507</v>
      </c>
      <c r="BF42" s="10">
        <v>1.3180765999999999</v>
      </c>
      <c r="BG42" s="10">
        <v>1.3233359</v>
      </c>
      <c r="BH42" s="10">
        <v>1.3292747</v>
      </c>
      <c r="BI42" s="10">
        <v>1.3358431</v>
      </c>
      <c r="BJ42" s="10">
        <v>1.342989</v>
      </c>
      <c r="BK42" s="10">
        <v>1.3506514999999999</v>
      </c>
      <c r="BL42" s="10">
        <v>1.3587625000000001</v>
      </c>
      <c r="BM42" s="10">
        <v>1.3672504000000001</v>
      </c>
      <c r="BN42" s="10">
        <v>1.3760444000000001</v>
      </c>
      <c r="BO42" s="10">
        <v>1.38507</v>
      </c>
      <c r="BP42" s="10">
        <v>1.3942474</v>
      </c>
      <c r="BQ42" s="10">
        <v>1.4035031</v>
      </c>
      <c r="BR42" s="10">
        <v>1.4127955000000001</v>
      </c>
      <c r="BS42" s="10">
        <v>1.4221364000000001</v>
      </c>
      <c r="BT42" s="10">
        <v>1.4315732999999999</v>
      </c>
      <c r="BU42" s="10">
        <v>1.4411432</v>
      </c>
      <c r="BV42" s="10">
        <v>1.4508323999999999</v>
      </c>
      <c r="BW42" s="10">
        <v>1.4605888</v>
      </c>
      <c r="BX42" s="10">
        <v>1.4703953999999999</v>
      </c>
      <c r="BY42" s="10">
        <v>1.4803470000000001</v>
      </c>
      <c r="BZ42" s="10">
        <v>1.4906287</v>
      </c>
      <c r="CA42" s="10">
        <v>1.5014045</v>
      </c>
      <c r="CB42" s="10">
        <v>1.5126991000000001</v>
      </c>
      <c r="CC42" s="10">
        <v>1.524384</v>
      </c>
      <c r="CD42" s="10">
        <v>1.5363192999999999</v>
      </c>
      <c r="CE42" s="10">
        <v>1.5485173000000001</v>
      </c>
      <c r="CF42" s="10">
        <v>1.5610253000000001</v>
      </c>
      <c r="CG42" s="10">
        <v>1.5736424</v>
      </c>
      <c r="CH42" s="10">
        <v>1.5858159999999999</v>
      </c>
      <c r="CI42" s="10">
        <v>1.5970439999999999</v>
      </c>
      <c r="CJ42" s="10">
        <v>1.6075959</v>
      </c>
      <c r="CK42" s="10">
        <v>1.6183809</v>
      </c>
      <c r="CL42" s="10">
        <v>1.6302562</v>
      </c>
      <c r="CM42" s="10">
        <v>1.6431977</v>
      </c>
      <c r="CN42" s="10">
        <v>1.6558691999999999</v>
      </c>
      <c r="CO42" s="10">
        <v>1.6665814999999999</v>
      </c>
      <c r="CP42" s="1"/>
      <c r="CQ42" s="27">
        <f t="shared" si="45"/>
        <v>1</v>
      </c>
      <c r="CR42" s="16">
        <f t="shared" si="49"/>
        <v>37</v>
      </c>
      <c r="CS42" s="24">
        <v>4</v>
      </c>
      <c r="CT42" s="1"/>
      <c r="CU42" s="30">
        <f t="shared" si="115"/>
        <v>2</v>
      </c>
      <c r="CV42" s="31">
        <v>1281</v>
      </c>
      <c r="CW42" s="38">
        <f t="shared" si="116"/>
        <v>20.350000000000001</v>
      </c>
      <c r="CX42" s="29"/>
      <c r="CY42" s="31">
        <v>1303.75</v>
      </c>
      <c r="CZ42" s="29"/>
      <c r="DA42" s="29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</row>
    <row r="43" spans="1:134" ht="6.75" customHeight="1" x14ac:dyDescent="0.25">
      <c r="A43" s="1"/>
      <c r="B43" s="18" t="s">
        <v>12</v>
      </c>
      <c r="C43" s="18" t="s">
        <v>12</v>
      </c>
      <c r="D43" s="18" t="s">
        <v>12</v>
      </c>
      <c r="E43" s="1" t="s">
        <v>0</v>
      </c>
      <c r="F43" s="1" t="s">
        <v>0</v>
      </c>
      <c r="G43" s="1"/>
      <c r="H43" s="1"/>
      <c r="I43" s="16">
        <f>COLUMN()</f>
        <v>9</v>
      </c>
      <c r="J43" s="19" t="str">
        <f t="shared" si="107"/>
        <v>1,15</v>
      </c>
      <c r="K43" s="19" t="str">
        <f t="shared" si="107"/>
        <v>2,15</v>
      </c>
      <c r="L43" s="19" t="str">
        <f t="shared" si="107"/>
        <v>3,15</v>
      </c>
      <c r="M43" s="19" t="str">
        <f t="shared" si="107"/>
        <v>4,15</v>
      </c>
      <c r="N43" s="19" t="str">
        <f t="shared" si="107"/>
        <v>5,15</v>
      </c>
      <c r="O43" s="19" t="str">
        <f t="shared" si="107"/>
        <v>6,15</v>
      </c>
      <c r="P43" s="19" t="str">
        <f t="shared" si="107"/>
        <v>7,15</v>
      </c>
      <c r="Q43" s="19" t="str">
        <f t="shared" si="107"/>
        <v>8,15</v>
      </c>
      <c r="R43" s="19" t="str">
        <f t="shared" si="107"/>
        <v>9,15</v>
      </c>
      <c r="S43" s="19" t="str">
        <f t="shared" si="107"/>
        <v>10,15</v>
      </c>
      <c r="T43" s="19" t="str">
        <f t="shared" si="107"/>
        <v>11,15</v>
      </c>
      <c r="U43" s="19" t="str">
        <f t="shared" si="107"/>
        <v>12,15</v>
      </c>
      <c r="V43" s="19" t="str">
        <f t="shared" si="107"/>
        <v>13,15</v>
      </c>
      <c r="W43" s="19" t="str">
        <f t="shared" si="107"/>
        <v>14,15</v>
      </c>
      <c r="X43" s="19" t="str">
        <f t="shared" si="107"/>
        <v>15,15</v>
      </c>
      <c r="Y43" s="19" t="str">
        <f t="shared" si="107"/>
        <v>16,15</v>
      </c>
      <c r="Z43" s="19" t="str">
        <f t="shared" si="108"/>
        <v>17,15</v>
      </c>
      <c r="AA43" s="19" t="str">
        <f t="shared" si="108"/>
        <v>18,15</v>
      </c>
      <c r="AB43" s="19" t="str">
        <f t="shared" si="108"/>
        <v>19,15</v>
      </c>
      <c r="AC43" s="19" t="str">
        <f t="shared" si="108"/>
        <v>20,15</v>
      </c>
      <c r="AD43" s="19" t="str">
        <f t="shared" si="108"/>
        <v>21,15</v>
      </c>
      <c r="AE43" s="19" t="str">
        <f t="shared" si="108"/>
        <v>22,15</v>
      </c>
      <c r="AF43" s="19" t="str">
        <f t="shared" si="108"/>
        <v>23,15</v>
      </c>
      <c r="AG43" s="19" t="str">
        <f t="shared" si="108"/>
        <v>24,15</v>
      </c>
      <c r="AH43" s="19" t="str">
        <f t="shared" si="108"/>
        <v>25,15</v>
      </c>
      <c r="AI43" s="19" t="str">
        <f t="shared" si="108"/>
        <v>26,15</v>
      </c>
      <c r="AJ43" s="19" t="str">
        <f t="shared" si="108"/>
        <v>27,15</v>
      </c>
      <c r="AK43" s="19" t="str">
        <f t="shared" si="108"/>
        <v>28,15</v>
      </c>
      <c r="AL43" s="19" t="str">
        <f t="shared" si="108"/>
        <v>29,15</v>
      </c>
      <c r="AM43" s="19" t="str">
        <f t="shared" si="108"/>
        <v>30,15</v>
      </c>
      <c r="AN43" s="19" t="str">
        <f t="shared" si="108"/>
        <v>31,15</v>
      </c>
      <c r="AO43" s="19" t="str">
        <f t="shared" si="108"/>
        <v>32,15</v>
      </c>
      <c r="AP43" s="19" t="str">
        <f t="shared" si="111"/>
        <v>33,15</v>
      </c>
      <c r="AQ43" s="19" t="str">
        <f t="shared" si="111"/>
        <v>34,15</v>
      </c>
      <c r="AR43" s="19" t="str">
        <f t="shared" si="111"/>
        <v>35,15</v>
      </c>
      <c r="AS43" s="19" t="str">
        <f t="shared" si="114"/>
        <v>36,15</v>
      </c>
      <c r="AT43" s="19" t="str">
        <f t="shared" si="112"/>
        <v>37,15</v>
      </c>
      <c r="AU43" s="19" t="str">
        <f t="shared" si="112"/>
        <v>38,15</v>
      </c>
      <c r="AV43" s="19" t="str">
        <f t="shared" si="112"/>
        <v>39,15</v>
      </c>
      <c r="AW43" s="19" t="str">
        <f t="shared" si="112"/>
        <v>40,15</v>
      </c>
      <c r="AX43" s="16">
        <f t="shared" si="110"/>
        <v>15</v>
      </c>
      <c r="AY43" s="1"/>
      <c r="AZ43" s="16">
        <v>14</v>
      </c>
      <c r="BA43" s="10">
        <v>1.3140514999999999</v>
      </c>
      <c r="BB43" s="10">
        <v>1.3149518</v>
      </c>
      <c r="BC43" s="10">
        <v>1.3167342</v>
      </c>
      <c r="BD43" s="10">
        <v>1.3193656</v>
      </c>
      <c r="BE43" s="10">
        <v>1.3228017999999999</v>
      </c>
      <c r="BF43" s="10">
        <v>1.3269933</v>
      </c>
      <c r="BG43" s="10">
        <v>1.3318894999999999</v>
      </c>
      <c r="BH43" s="10">
        <v>1.3374413999999999</v>
      </c>
      <c r="BI43" s="10">
        <v>1.3436005</v>
      </c>
      <c r="BJ43" s="10">
        <v>1.3503162</v>
      </c>
      <c r="BK43" s="10">
        <v>1.3575337000000001</v>
      </c>
      <c r="BL43" s="10">
        <v>1.3651941999999999</v>
      </c>
      <c r="BM43" s="10">
        <v>1.3732363999999999</v>
      </c>
      <c r="BN43" s="10">
        <v>1.3815987999999999</v>
      </c>
      <c r="BO43" s="10">
        <v>1.3902197999999999</v>
      </c>
      <c r="BP43" s="10">
        <v>1.3990393000000001</v>
      </c>
      <c r="BQ43" s="10">
        <v>1.4080064999999999</v>
      </c>
      <c r="BR43" s="10">
        <v>1.4170910999999999</v>
      </c>
      <c r="BS43" s="10">
        <v>1.4262889999999999</v>
      </c>
      <c r="BT43" s="10">
        <v>1.4356142000000001</v>
      </c>
      <c r="BU43" s="10">
        <v>1.4450798</v>
      </c>
      <c r="BV43" s="10">
        <v>1.4546832000000001</v>
      </c>
      <c r="BW43" s="10">
        <v>1.4644143999999999</v>
      </c>
      <c r="BX43" s="10">
        <v>1.4742849</v>
      </c>
      <c r="BY43" s="10">
        <v>1.4843531000000001</v>
      </c>
      <c r="BZ43" s="10">
        <v>1.4947109000000001</v>
      </c>
      <c r="CA43" s="10">
        <v>1.5054349</v>
      </c>
      <c r="CB43" s="10">
        <v>1.5165390000000001</v>
      </c>
      <c r="CC43" s="10">
        <v>1.5279711</v>
      </c>
      <c r="CD43" s="10">
        <v>1.5396638</v>
      </c>
      <c r="CE43" s="10">
        <v>1.5515801</v>
      </c>
      <c r="CF43" s="10">
        <v>1.5636711000000001</v>
      </c>
      <c r="CG43" s="10">
        <v>1.5757897000000001</v>
      </c>
      <c r="CH43" s="10">
        <v>1.5876908000000001</v>
      </c>
      <c r="CI43" s="10">
        <v>1.5992084</v>
      </c>
      <c r="CJ43" s="10">
        <v>1.6104817</v>
      </c>
      <c r="CK43" s="10">
        <v>1.6218961000000001</v>
      </c>
      <c r="CL43" s="10">
        <v>1.6337788</v>
      </c>
      <c r="CM43" s="10">
        <v>1.6460668000000001</v>
      </c>
      <c r="CN43" s="10">
        <v>1.6582353000000001</v>
      </c>
      <c r="CO43" s="10">
        <v>1.6697682</v>
      </c>
      <c r="CP43" s="1"/>
      <c r="CQ43" s="27">
        <f t="shared" si="45"/>
        <v>1</v>
      </c>
      <c r="CR43" s="16">
        <f t="shared" si="49"/>
        <v>38</v>
      </c>
      <c r="CS43" s="24">
        <v>4.0833333333333304</v>
      </c>
      <c r="CT43" s="1"/>
      <c r="CU43" s="30">
        <f t="shared" si="115"/>
        <v>2</v>
      </c>
      <c r="CV43" s="31">
        <v>1317.6</v>
      </c>
      <c r="CW43" s="38">
        <f t="shared" si="116"/>
        <v>20.959999999999997</v>
      </c>
      <c r="CX43" s="29"/>
      <c r="CY43" s="31">
        <v>1340</v>
      </c>
      <c r="CZ43" s="29"/>
      <c r="DA43" s="29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</row>
    <row r="44" spans="1:134" ht="6.75" customHeight="1" x14ac:dyDescent="0.25">
      <c r="A44" s="1"/>
      <c r="B44" s="18" t="s">
        <v>13</v>
      </c>
      <c r="C44" s="18" t="s">
        <v>13</v>
      </c>
      <c r="D44" s="18" t="s">
        <v>13</v>
      </c>
      <c r="E44" s="1" t="s">
        <v>0</v>
      </c>
      <c r="F44" s="1" t="s">
        <v>0</v>
      </c>
      <c r="G44" s="1"/>
      <c r="H44" s="1"/>
      <c r="I44" s="16">
        <f>COLUMN()</f>
        <v>9</v>
      </c>
      <c r="J44" s="19" t="str">
        <f t="shared" si="107"/>
        <v>1,16</v>
      </c>
      <c r="K44" s="19" t="str">
        <f t="shared" si="107"/>
        <v>2,16</v>
      </c>
      <c r="L44" s="19" t="str">
        <f t="shared" si="107"/>
        <v>3,16</v>
      </c>
      <c r="M44" s="19" t="str">
        <f t="shared" si="107"/>
        <v>4,16</v>
      </c>
      <c r="N44" s="19" t="str">
        <f t="shared" si="107"/>
        <v>5,16</v>
      </c>
      <c r="O44" s="19" t="str">
        <f t="shared" si="107"/>
        <v>6,16</v>
      </c>
      <c r="P44" s="19" t="str">
        <f t="shared" si="107"/>
        <v>7,16</v>
      </c>
      <c r="Q44" s="19" t="str">
        <f t="shared" si="107"/>
        <v>8,16</v>
      </c>
      <c r="R44" s="19" t="str">
        <f t="shared" si="107"/>
        <v>9,16</v>
      </c>
      <c r="S44" s="19" t="str">
        <f t="shared" si="107"/>
        <v>10,16</v>
      </c>
      <c r="T44" s="19" t="str">
        <f t="shared" si="107"/>
        <v>11,16</v>
      </c>
      <c r="U44" s="19" t="str">
        <f t="shared" si="107"/>
        <v>12,16</v>
      </c>
      <c r="V44" s="19" t="str">
        <f t="shared" si="107"/>
        <v>13,16</v>
      </c>
      <c r="W44" s="19" t="str">
        <f t="shared" si="107"/>
        <v>14,16</v>
      </c>
      <c r="X44" s="19" t="str">
        <f t="shared" si="107"/>
        <v>15,16</v>
      </c>
      <c r="Y44" s="19" t="str">
        <f t="shared" ref="Y44:AC48" si="117">_xlfn.CONCAT(COLUMN()-$I44,",",ROW()-Y$28)</f>
        <v>16,16</v>
      </c>
      <c r="Z44" s="19" t="str">
        <f t="shared" si="117"/>
        <v>17,16</v>
      </c>
      <c r="AA44" s="19" t="str">
        <f t="shared" si="117"/>
        <v>18,16</v>
      </c>
      <c r="AB44" s="19" t="str">
        <f t="shared" si="117"/>
        <v>19,16</v>
      </c>
      <c r="AC44" s="19" t="str">
        <f t="shared" si="117"/>
        <v>20,16</v>
      </c>
      <c r="AD44" s="19" t="str">
        <f t="shared" si="108"/>
        <v>21,16</v>
      </c>
      <c r="AE44" s="19" t="str">
        <f t="shared" si="108"/>
        <v>22,16</v>
      </c>
      <c r="AF44" s="19" t="str">
        <f t="shared" si="108"/>
        <v>23,16</v>
      </c>
      <c r="AG44" s="19" t="str">
        <f t="shared" si="108"/>
        <v>24,16</v>
      </c>
      <c r="AH44" s="19" t="str">
        <f t="shared" si="108"/>
        <v>25,16</v>
      </c>
      <c r="AI44" s="19" t="str">
        <f t="shared" si="108"/>
        <v>26,16</v>
      </c>
      <c r="AJ44" s="19" t="str">
        <f t="shared" si="108"/>
        <v>27,16</v>
      </c>
      <c r="AK44" s="19" t="str">
        <f t="shared" si="108"/>
        <v>28,16</v>
      </c>
      <c r="AL44" s="19" t="str">
        <f t="shared" si="108"/>
        <v>29,16</v>
      </c>
      <c r="AM44" s="19" t="str">
        <f t="shared" si="108"/>
        <v>30,16</v>
      </c>
      <c r="AN44" s="19" t="str">
        <f t="shared" si="108"/>
        <v>31,16</v>
      </c>
      <c r="AO44" s="19" t="str">
        <f t="shared" si="108"/>
        <v>32,16</v>
      </c>
      <c r="AP44" s="19" t="str">
        <f t="shared" si="111"/>
        <v>33,16</v>
      </c>
      <c r="AQ44" s="19" t="str">
        <f t="shared" si="111"/>
        <v>34,16</v>
      </c>
      <c r="AR44" s="19" t="str">
        <f t="shared" si="111"/>
        <v>35,16</v>
      </c>
      <c r="AS44" s="19" t="str">
        <f t="shared" si="114"/>
        <v>36,16</v>
      </c>
      <c r="AT44" s="19" t="str">
        <f t="shared" si="112"/>
        <v>37,16</v>
      </c>
      <c r="AU44" s="19" t="str">
        <f t="shared" si="112"/>
        <v>38,16</v>
      </c>
      <c r="AV44" s="19" t="str">
        <f t="shared" si="112"/>
        <v>39,16</v>
      </c>
      <c r="AW44" s="19" t="str">
        <f t="shared" si="112"/>
        <v>40,16</v>
      </c>
      <c r="AX44" s="16">
        <f t="shared" si="110"/>
        <v>16</v>
      </c>
      <c r="AY44" s="1"/>
      <c r="AZ44" s="16">
        <v>15</v>
      </c>
      <c r="BA44" s="10">
        <v>1.3232010000000001</v>
      </c>
      <c r="BB44" s="10">
        <v>1.3240293999999999</v>
      </c>
      <c r="BC44" s="10">
        <v>1.3256732</v>
      </c>
      <c r="BD44" s="10">
        <v>1.3281072</v>
      </c>
      <c r="BE44" s="10">
        <v>1.3312978</v>
      </c>
      <c r="BF44" s="10">
        <v>1.3352052999999999</v>
      </c>
      <c r="BG44" s="10">
        <v>1.3397876</v>
      </c>
      <c r="BH44" s="10">
        <v>1.3450010999999999</v>
      </c>
      <c r="BI44" s="10">
        <v>1.3508012</v>
      </c>
      <c r="BJ44" s="10">
        <v>1.3571416000000001</v>
      </c>
      <c r="BK44" s="10">
        <v>1.3639729</v>
      </c>
      <c r="BL44" s="10">
        <v>1.3712441</v>
      </c>
      <c r="BM44" s="10">
        <v>1.3789022</v>
      </c>
      <c r="BN44" s="10">
        <v>1.386895</v>
      </c>
      <c r="BO44" s="10">
        <v>1.3951709999999999</v>
      </c>
      <c r="BP44" s="10">
        <v>1.4036834</v>
      </c>
      <c r="BQ44" s="10">
        <v>1.4123929</v>
      </c>
      <c r="BR44" s="10">
        <v>1.4212735000000001</v>
      </c>
      <c r="BS44" s="10">
        <v>1.4303140999999999</v>
      </c>
      <c r="BT44" s="10">
        <v>1.4395149</v>
      </c>
      <c r="BU44" s="10">
        <v>1.4488786</v>
      </c>
      <c r="BV44" s="10">
        <v>1.4584063</v>
      </c>
      <c r="BW44" s="10">
        <v>1.4681005</v>
      </c>
      <c r="BX44" s="10">
        <v>1.4779766000000001</v>
      </c>
      <c r="BY44" s="10">
        <v>1.4880697000000001</v>
      </c>
      <c r="BZ44" s="10">
        <v>1.4984268999999999</v>
      </c>
      <c r="CA44" s="10">
        <v>1.5090851999999999</v>
      </c>
      <c r="CB44" s="10">
        <v>1.5200507999999999</v>
      </c>
      <c r="CC44" s="10">
        <v>1.5312977999999999</v>
      </c>
      <c r="CD44" s="10">
        <v>1.5427848</v>
      </c>
      <c r="CE44" s="10">
        <v>1.554468</v>
      </c>
      <c r="CF44" s="10">
        <v>1.5662893</v>
      </c>
      <c r="CG44" s="10">
        <v>1.5781542</v>
      </c>
      <c r="CH44" s="10">
        <v>1.5899494000000001</v>
      </c>
      <c r="CI44" s="10">
        <v>1.6016169</v>
      </c>
      <c r="CJ44" s="10">
        <v>1.6132264999999999</v>
      </c>
      <c r="CK44" s="10">
        <v>1.624943</v>
      </c>
      <c r="CL44" s="10">
        <v>1.6368961</v>
      </c>
      <c r="CM44" s="10">
        <v>1.6490555</v>
      </c>
      <c r="CN44" s="10">
        <v>1.6612368</v>
      </c>
      <c r="CO44" s="10">
        <v>1.6733066999999999</v>
      </c>
      <c r="CP44" s="1"/>
      <c r="CQ44" s="27">
        <f t="shared" si="45"/>
        <v>1</v>
      </c>
      <c r="CR44" s="16">
        <f t="shared" si="49"/>
        <v>39</v>
      </c>
      <c r="CS44" s="24">
        <v>4.1666666666666599</v>
      </c>
      <c r="CT44" s="1"/>
      <c r="CU44" s="30">
        <f t="shared" si="115"/>
        <v>2</v>
      </c>
      <c r="CV44" s="31">
        <v>1354.2</v>
      </c>
      <c r="CW44" s="38">
        <f t="shared" si="116"/>
        <v>21.57</v>
      </c>
      <c r="CX44" s="29"/>
      <c r="CY44" s="31">
        <v>1376.25</v>
      </c>
      <c r="CZ44" s="29"/>
      <c r="DA44" s="29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</row>
    <row r="45" spans="1:134" ht="6.75" customHeight="1" x14ac:dyDescent="0.25">
      <c r="A45" s="1"/>
      <c r="B45" s="18" t="s">
        <v>14</v>
      </c>
      <c r="C45" s="18" t="s">
        <v>14</v>
      </c>
      <c r="D45" s="18" t="s">
        <v>14</v>
      </c>
      <c r="E45" s="1" t="s">
        <v>0</v>
      </c>
      <c r="F45" s="1" t="s">
        <v>0</v>
      </c>
      <c r="G45" s="1"/>
      <c r="H45" s="1"/>
      <c r="I45" s="16">
        <f>COLUMN()</f>
        <v>9</v>
      </c>
      <c r="J45" s="19" t="str">
        <f t="shared" ref="J45:X48" si="118">_xlfn.CONCAT(COLUMN()-$I45,",",ROW()-J$28)</f>
        <v>1,17</v>
      </c>
      <c r="K45" s="19" t="str">
        <f t="shared" si="118"/>
        <v>2,17</v>
      </c>
      <c r="L45" s="19" t="str">
        <f t="shared" si="118"/>
        <v>3,17</v>
      </c>
      <c r="M45" s="19" t="str">
        <f t="shared" si="118"/>
        <v>4,17</v>
      </c>
      <c r="N45" s="19" t="str">
        <f t="shared" si="118"/>
        <v>5,17</v>
      </c>
      <c r="O45" s="19" t="str">
        <f t="shared" si="118"/>
        <v>6,17</v>
      </c>
      <c r="P45" s="19" t="str">
        <f t="shared" si="118"/>
        <v>7,17</v>
      </c>
      <c r="Q45" s="19" t="str">
        <f t="shared" si="118"/>
        <v>8,17</v>
      </c>
      <c r="R45" s="19" t="str">
        <f t="shared" si="118"/>
        <v>9,17</v>
      </c>
      <c r="S45" s="19" t="str">
        <f t="shared" si="118"/>
        <v>10,17</v>
      </c>
      <c r="T45" s="19" t="str">
        <f t="shared" si="118"/>
        <v>11,17</v>
      </c>
      <c r="U45" s="19" t="str">
        <f t="shared" si="118"/>
        <v>12,17</v>
      </c>
      <c r="V45" s="19" t="str">
        <f t="shared" si="118"/>
        <v>13,17</v>
      </c>
      <c r="W45" s="19" t="str">
        <f t="shared" si="118"/>
        <v>14,17</v>
      </c>
      <c r="X45" s="19" t="str">
        <f t="shared" si="118"/>
        <v>15,17</v>
      </c>
      <c r="Y45" s="19" t="str">
        <f t="shared" si="117"/>
        <v>16,17</v>
      </c>
      <c r="Z45" s="19" t="str">
        <f t="shared" si="117"/>
        <v>17,17</v>
      </c>
      <c r="AA45" s="19" t="str">
        <f t="shared" si="117"/>
        <v>18,17</v>
      </c>
      <c r="AB45" s="19" t="str">
        <f t="shared" si="117"/>
        <v>19,17</v>
      </c>
      <c r="AC45" s="19" t="str">
        <f t="shared" si="117"/>
        <v>20,17</v>
      </c>
      <c r="AD45" s="19" t="str">
        <f t="shared" ref="AD45:AO48" si="119">_xlfn.CONCAT(COLUMN()-$I45,",",ROW()-AD$28)</f>
        <v>21,17</v>
      </c>
      <c r="AE45" s="19" t="str">
        <f t="shared" si="119"/>
        <v>22,17</v>
      </c>
      <c r="AF45" s="19" t="str">
        <f t="shared" si="119"/>
        <v>23,17</v>
      </c>
      <c r="AG45" s="19" t="str">
        <f t="shared" si="119"/>
        <v>24,17</v>
      </c>
      <c r="AH45" s="19" t="str">
        <f t="shared" si="119"/>
        <v>25,17</v>
      </c>
      <c r="AI45" s="19" t="str">
        <f t="shared" si="119"/>
        <v>26,17</v>
      </c>
      <c r="AJ45" s="19" t="str">
        <f t="shared" si="119"/>
        <v>27,17</v>
      </c>
      <c r="AK45" s="19" t="str">
        <f t="shared" si="119"/>
        <v>28,17</v>
      </c>
      <c r="AL45" s="19" t="str">
        <f t="shared" si="119"/>
        <v>29,17</v>
      </c>
      <c r="AM45" s="19" t="str">
        <f t="shared" si="119"/>
        <v>30,17</v>
      </c>
      <c r="AN45" s="19" t="str">
        <f t="shared" si="119"/>
        <v>31,17</v>
      </c>
      <c r="AO45" s="19" t="str">
        <f t="shared" si="119"/>
        <v>32,17</v>
      </c>
      <c r="AP45" s="19" t="str">
        <f t="shared" si="111"/>
        <v>33,17</v>
      </c>
      <c r="AQ45" s="19" t="str">
        <f t="shared" si="111"/>
        <v>34,17</v>
      </c>
      <c r="AR45" s="19" t="str">
        <f t="shared" si="111"/>
        <v>35,17</v>
      </c>
      <c r="AS45" s="19" t="str">
        <f t="shared" si="114"/>
        <v>36,17</v>
      </c>
      <c r="AT45" s="19" t="str">
        <f t="shared" si="112"/>
        <v>37,17</v>
      </c>
      <c r="AU45" s="19" t="str">
        <f t="shared" si="112"/>
        <v>38,17</v>
      </c>
      <c r="AV45" s="19" t="str">
        <f t="shared" si="112"/>
        <v>39,17</v>
      </c>
      <c r="AW45" s="19" t="str">
        <f t="shared" si="112"/>
        <v>40,17</v>
      </c>
      <c r="AX45" s="16">
        <f t="shared" si="110"/>
        <v>17</v>
      </c>
      <c r="AY45" s="1"/>
      <c r="AZ45" s="16">
        <v>16</v>
      </c>
      <c r="BA45" s="10">
        <v>1.3315220000000001</v>
      </c>
      <c r="BB45" s="10">
        <v>1.332292</v>
      </c>
      <c r="BC45" s="10">
        <v>1.3338219</v>
      </c>
      <c r="BD45" s="10">
        <v>1.3360922</v>
      </c>
      <c r="BE45" s="10">
        <v>1.3390765</v>
      </c>
      <c r="BF45" s="10">
        <v>1.3427423999999999</v>
      </c>
      <c r="BG45" s="10">
        <v>1.3470544</v>
      </c>
      <c r="BH45" s="10">
        <v>1.3519741000000001</v>
      </c>
      <c r="BI45" s="10">
        <v>1.3574619000000001</v>
      </c>
      <c r="BJ45" s="10">
        <v>1.3634759000000001</v>
      </c>
      <c r="BK45" s="10">
        <v>1.3699725</v>
      </c>
      <c r="BL45" s="10">
        <v>1.3769069</v>
      </c>
      <c r="BM45" s="10">
        <v>1.3842334999999999</v>
      </c>
      <c r="BN45" s="10">
        <v>1.3919075000000001</v>
      </c>
      <c r="BO45" s="10">
        <v>1.399886</v>
      </c>
      <c r="BP45" s="10">
        <v>1.4081303000000001</v>
      </c>
      <c r="BQ45" s="10">
        <v>1.4166080000000001</v>
      </c>
      <c r="BR45" s="10">
        <v>1.4252956000000001</v>
      </c>
      <c r="BS45" s="10">
        <v>1.4341792</v>
      </c>
      <c r="BT45" s="10">
        <v>1.4432524</v>
      </c>
      <c r="BU45" s="10">
        <v>1.4525135</v>
      </c>
      <c r="BV45" s="10">
        <v>1.4619628</v>
      </c>
      <c r="BW45" s="10">
        <v>1.4716047999999999</v>
      </c>
      <c r="BX45" s="10">
        <v>1.4814510000000001</v>
      </c>
      <c r="BY45" s="10">
        <v>1.4915221000000001</v>
      </c>
      <c r="BZ45" s="10">
        <v>1.5018419999999999</v>
      </c>
      <c r="CA45" s="10">
        <v>1.5124279</v>
      </c>
      <c r="CB45" s="10">
        <v>1.5232810999999999</v>
      </c>
      <c r="CC45" s="10">
        <v>1.5343846999999999</v>
      </c>
      <c r="CD45" s="10">
        <v>1.5457094</v>
      </c>
      <c r="CE45" s="10">
        <v>1.5572181</v>
      </c>
      <c r="CF45" s="10">
        <v>1.568864</v>
      </c>
      <c r="CG45" s="10">
        <v>1.5805886</v>
      </c>
      <c r="CH45" s="10">
        <v>1.5923357</v>
      </c>
      <c r="CI45" s="10">
        <v>1.6040829999999999</v>
      </c>
      <c r="CJ45" s="10">
        <v>1.6158646000000001</v>
      </c>
      <c r="CK45" s="10">
        <v>1.6277535000000001</v>
      </c>
      <c r="CL45" s="10">
        <v>1.639807</v>
      </c>
      <c r="CM45" s="10">
        <v>1.6520223999999999</v>
      </c>
      <c r="CN45" s="10">
        <v>1.6643497</v>
      </c>
      <c r="CO45" s="10">
        <v>1.6767776000000001</v>
      </c>
      <c r="CP45" s="1"/>
      <c r="CQ45" s="27">
        <f t="shared" si="45"/>
        <v>1</v>
      </c>
      <c r="CR45" s="16">
        <f t="shared" si="49"/>
        <v>40</v>
      </c>
      <c r="CS45" s="24">
        <v>4.25</v>
      </c>
      <c r="CT45" s="1"/>
      <c r="CU45" s="30">
        <f t="shared" si="115"/>
        <v>2</v>
      </c>
      <c r="CV45" s="31">
        <v>1390.8</v>
      </c>
      <c r="CW45" s="38">
        <f t="shared" si="116"/>
        <v>22.18</v>
      </c>
      <c r="CX45" s="29"/>
      <c r="CY45" s="31">
        <v>1412.5</v>
      </c>
      <c r="CZ45" s="29"/>
      <c r="DA45" s="29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</row>
    <row r="46" spans="1:134" ht="6.75" customHeight="1" x14ac:dyDescent="0.25">
      <c r="A46" s="1"/>
      <c r="B46" s="18" t="s">
        <v>15</v>
      </c>
      <c r="C46" s="18" t="s">
        <v>15</v>
      </c>
      <c r="D46" s="18" t="s">
        <v>15</v>
      </c>
      <c r="E46" s="1" t="s">
        <v>0</v>
      </c>
      <c r="F46" s="1" t="s">
        <v>0</v>
      </c>
      <c r="G46" s="1"/>
      <c r="H46" s="1"/>
      <c r="I46" s="16">
        <f>COLUMN()</f>
        <v>9</v>
      </c>
      <c r="J46" s="19" t="str">
        <f t="shared" si="118"/>
        <v>1,18</v>
      </c>
      <c r="K46" s="19" t="str">
        <f t="shared" si="118"/>
        <v>2,18</v>
      </c>
      <c r="L46" s="19" t="str">
        <f t="shared" si="118"/>
        <v>3,18</v>
      </c>
      <c r="M46" s="19" t="str">
        <f t="shared" si="118"/>
        <v>4,18</v>
      </c>
      <c r="N46" s="19" t="str">
        <f t="shared" si="118"/>
        <v>5,18</v>
      </c>
      <c r="O46" s="19" t="str">
        <f t="shared" si="118"/>
        <v>6,18</v>
      </c>
      <c r="P46" s="19" t="str">
        <f t="shared" si="118"/>
        <v>7,18</v>
      </c>
      <c r="Q46" s="19" t="str">
        <f t="shared" si="118"/>
        <v>8,18</v>
      </c>
      <c r="R46" s="19" t="str">
        <f t="shared" si="118"/>
        <v>9,18</v>
      </c>
      <c r="S46" s="19" t="str">
        <f t="shared" si="118"/>
        <v>10,18</v>
      </c>
      <c r="T46" s="19" t="str">
        <f t="shared" si="118"/>
        <v>11,18</v>
      </c>
      <c r="U46" s="19" t="str">
        <f t="shared" si="118"/>
        <v>12,18</v>
      </c>
      <c r="V46" s="19" t="str">
        <f t="shared" si="118"/>
        <v>13,18</v>
      </c>
      <c r="W46" s="19" t="str">
        <f t="shared" si="118"/>
        <v>14,18</v>
      </c>
      <c r="X46" s="19" t="str">
        <f t="shared" si="118"/>
        <v>15,18</v>
      </c>
      <c r="Y46" s="19" t="str">
        <f t="shared" si="117"/>
        <v>16,18</v>
      </c>
      <c r="Z46" s="19" t="str">
        <f t="shared" si="117"/>
        <v>17,18</v>
      </c>
      <c r="AA46" s="19" t="str">
        <f t="shared" si="117"/>
        <v>18,18</v>
      </c>
      <c r="AB46" s="19" t="str">
        <f t="shared" si="117"/>
        <v>19,18</v>
      </c>
      <c r="AC46" s="19" t="str">
        <f t="shared" si="117"/>
        <v>20,18</v>
      </c>
      <c r="AD46" s="19" t="str">
        <f t="shared" si="119"/>
        <v>21,18</v>
      </c>
      <c r="AE46" s="19" t="str">
        <f t="shared" si="119"/>
        <v>22,18</v>
      </c>
      <c r="AF46" s="19" t="str">
        <f t="shared" si="119"/>
        <v>23,18</v>
      </c>
      <c r="AG46" s="19" t="str">
        <f t="shared" si="119"/>
        <v>24,18</v>
      </c>
      <c r="AH46" s="19" t="str">
        <f t="shared" si="119"/>
        <v>25,18</v>
      </c>
      <c r="AI46" s="19" t="str">
        <f t="shared" si="119"/>
        <v>26,18</v>
      </c>
      <c r="AJ46" s="19" t="str">
        <f t="shared" si="119"/>
        <v>27,18</v>
      </c>
      <c r="AK46" s="19" t="str">
        <f t="shared" si="119"/>
        <v>28,18</v>
      </c>
      <c r="AL46" s="19" t="str">
        <f t="shared" si="119"/>
        <v>29,18</v>
      </c>
      <c r="AM46" s="19" t="str">
        <f t="shared" si="119"/>
        <v>30,18</v>
      </c>
      <c r="AN46" s="19" t="str">
        <f t="shared" si="119"/>
        <v>31,18</v>
      </c>
      <c r="AO46" s="19" t="str">
        <f t="shared" si="119"/>
        <v>32,18</v>
      </c>
      <c r="AP46" s="19" t="str">
        <f t="shared" si="111"/>
        <v>33,18</v>
      </c>
      <c r="AQ46" s="19" t="str">
        <f t="shared" si="111"/>
        <v>34,18</v>
      </c>
      <c r="AR46" s="19" t="str">
        <f t="shared" si="111"/>
        <v>35,18</v>
      </c>
      <c r="AS46" s="19" t="str">
        <f t="shared" si="114"/>
        <v>36,18</v>
      </c>
      <c r="AT46" s="19" t="str">
        <f t="shared" si="112"/>
        <v>37,18</v>
      </c>
      <c r="AU46" s="19" t="str">
        <f t="shared" si="112"/>
        <v>38,18</v>
      </c>
      <c r="AV46" s="19" t="str">
        <f t="shared" si="112"/>
        <v>39,18</v>
      </c>
      <c r="AW46" s="19" t="str">
        <f t="shared" si="112"/>
        <v>40,18</v>
      </c>
      <c r="AX46" s="16">
        <f t="shared" si="110"/>
        <v>18</v>
      </c>
      <c r="AY46" s="1"/>
      <c r="AZ46" s="16">
        <v>17</v>
      </c>
      <c r="BA46" s="10">
        <v>1.339073</v>
      </c>
      <c r="BB46" s="10">
        <v>1.3397946000000001</v>
      </c>
      <c r="BC46" s="10">
        <v>1.3412299000000001</v>
      </c>
      <c r="BD46" s="10">
        <v>1.3433634999999999</v>
      </c>
      <c r="BE46" s="10">
        <v>1.3461736</v>
      </c>
      <c r="BF46" s="10">
        <v>1.3496337</v>
      </c>
      <c r="BG46" s="10">
        <v>1.3537132999999999</v>
      </c>
      <c r="BH46" s="10">
        <v>1.3583791999999999</v>
      </c>
      <c r="BI46" s="10">
        <v>1.3635963</v>
      </c>
      <c r="BJ46" s="10">
        <v>1.3693275</v>
      </c>
      <c r="BK46" s="10">
        <v>1.3755343</v>
      </c>
      <c r="BL46" s="10">
        <v>1.3821774</v>
      </c>
      <c r="BM46" s="10">
        <v>1.3892173000000001</v>
      </c>
      <c r="BN46" s="10">
        <v>1.3966154</v>
      </c>
      <c r="BO46" s="10">
        <v>1.4043353000000001</v>
      </c>
      <c r="BP46" s="10">
        <v>1.4123439</v>
      </c>
      <c r="BQ46" s="10">
        <v>1.4206133000000001</v>
      </c>
      <c r="BR46" s="10">
        <v>1.4291218999999999</v>
      </c>
      <c r="BS46" s="10">
        <v>1.4378545</v>
      </c>
      <c r="BT46" s="10">
        <v>1.4468023000000001</v>
      </c>
      <c r="BU46" s="10">
        <v>1.4559602</v>
      </c>
      <c r="BV46" s="10">
        <v>1.4653269</v>
      </c>
      <c r="BW46" s="10">
        <v>1.4749048</v>
      </c>
      <c r="BX46" s="10">
        <v>1.4847007999999999</v>
      </c>
      <c r="BY46" s="10">
        <v>1.4947257</v>
      </c>
      <c r="BZ46" s="10">
        <v>1.504991</v>
      </c>
      <c r="CA46" s="10">
        <v>1.5155034999999999</v>
      </c>
      <c r="CB46" s="10">
        <v>1.5262610000000001</v>
      </c>
      <c r="CC46" s="10">
        <v>1.5372504</v>
      </c>
      <c r="CD46" s="10">
        <v>1.5484500000000001</v>
      </c>
      <c r="CE46" s="10">
        <v>1.559831</v>
      </c>
      <c r="CF46" s="10">
        <v>1.5713600000000001</v>
      </c>
      <c r="CG46" s="10">
        <v>1.5830002000000001</v>
      </c>
      <c r="CH46" s="10">
        <v>1.5947218999999999</v>
      </c>
      <c r="CI46" s="10">
        <v>1.6065147</v>
      </c>
      <c r="CJ46" s="10">
        <v>1.6183955999999999</v>
      </c>
      <c r="CK46" s="10">
        <v>1.6303991</v>
      </c>
      <c r="CL46" s="10">
        <v>1.6425562</v>
      </c>
      <c r="CM46" s="10">
        <v>1.6548772</v>
      </c>
      <c r="CN46" s="10">
        <v>1.6673621000000001</v>
      </c>
      <c r="CO46" s="10">
        <v>1.6800332</v>
      </c>
      <c r="CP46" s="1"/>
      <c r="CQ46" s="27">
        <f t="shared" si="45"/>
        <v>1</v>
      </c>
      <c r="CR46" s="16">
        <f t="shared" si="49"/>
        <v>41</v>
      </c>
      <c r="CS46" s="24">
        <v>4.3333333333333304</v>
      </c>
      <c r="CT46" s="1"/>
      <c r="CU46" s="30">
        <f t="shared" si="115"/>
        <v>2</v>
      </c>
      <c r="CV46" s="31">
        <v>1427.4</v>
      </c>
      <c r="CW46" s="38">
        <f t="shared" si="116"/>
        <v>22.790000000000003</v>
      </c>
      <c r="CX46" s="29"/>
      <c r="CY46" s="31">
        <v>1448.75</v>
      </c>
      <c r="CZ46" s="29"/>
      <c r="DA46" s="29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</row>
    <row r="47" spans="1:134" ht="6.75" customHeight="1" x14ac:dyDescent="0.25">
      <c r="A47" s="1"/>
      <c r="B47" s="18" t="s">
        <v>16</v>
      </c>
      <c r="C47" s="18" t="s">
        <v>16</v>
      </c>
      <c r="D47" s="18" t="s">
        <v>16</v>
      </c>
      <c r="E47" s="1" t="s">
        <v>0</v>
      </c>
      <c r="F47" s="1" t="s">
        <v>0</v>
      </c>
      <c r="G47" s="1"/>
      <c r="H47" s="1"/>
      <c r="I47" s="16">
        <f>COLUMN()</f>
        <v>9</v>
      </c>
      <c r="J47" s="19" t="str">
        <f t="shared" si="118"/>
        <v>1,19</v>
      </c>
      <c r="K47" s="19" t="str">
        <f t="shared" si="118"/>
        <v>2,19</v>
      </c>
      <c r="L47" s="19" t="str">
        <f t="shared" si="118"/>
        <v>3,19</v>
      </c>
      <c r="M47" s="19" t="str">
        <f t="shared" si="118"/>
        <v>4,19</v>
      </c>
      <c r="N47" s="19" t="str">
        <f t="shared" si="118"/>
        <v>5,19</v>
      </c>
      <c r="O47" s="19" t="str">
        <f t="shared" si="118"/>
        <v>6,19</v>
      </c>
      <c r="P47" s="19" t="str">
        <f t="shared" si="118"/>
        <v>7,19</v>
      </c>
      <c r="Q47" s="19" t="str">
        <f t="shared" si="118"/>
        <v>8,19</v>
      </c>
      <c r="R47" s="19" t="str">
        <f t="shared" si="118"/>
        <v>9,19</v>
      </c>
      <c r="S47" s="19" t="str">
        <f t="shared" si="118"/>
        <v>10,19</v>
      </c>
      <c r="T47" s="19" t="str">
        <f t="shared" si="118"/>
        <v>11,19</v>
      </c>
      <c r="U47" s="19" t="str">
        <f t="shared" si="118"/>
        <v>12,19</v>
      </c>
      <c r="V47" s="19" t="str">
        <f t="shared" si="118"/>
        <v>13,19</v>
      </c>
      <c r="W47" s="19" t="str">
        <f t="shared" si="118"/>
        <v>14,19</v>
      </c>
      <c r="X47" s="19" t="str">
        <f t="shared" si="118"/>
        <v>15,19</v>
      </c>
      <c r="Y47" s="19" t="str">
        <f t="shared" si="117"/>
        <v>16,19</v>
      </c>
      <c r="Z47" s="19" t="str">
        <f t="shared" si="117"/>
        <v>17,19</v>
      </c>
      <c r="AA47" s="19" t="str">
        <f t="shared" si="117"/>
        <v>18,19</v>
      </c>
      <c r="AB47" s="19" t="str">
        <f t="shared" si="117"/>
        <v>19,19</v>
      </c>
      <c r="AC47" s="19" t="str">
        <f t="shared" si="117"/>
        <v>20,19</v>
      </c>
      <c r="AD47" s="19" t="str">
        <f t="shared" si="119"/>
        <v>21,19</v>
      </c>
      <c r="AE47" s="19" t="str">
        <f t="shared" si="119"/>
        <v>22,19</v>
      </c>
      <c r="AF47" s="19" t="str">
        <f t="shared" si="119"/>
        <v>23,19</v>
      </c>
      <c r="AG47" s="19" t="str">
        <f t="shared" si="119"/>
        <v>24,19</v>
      </c>
      <c r="AH47" s="19" t="str">
        <f t="shared" si="119"/>
        <v>25,19</v>
      </c>
      <c r="AI47" s="19" t="str">
        <f t="shared" si="119"/>
        <v>26,19</v>
      </c>
      <c r="AJ47" s="19" t="str">
        <f t="shared" si="119"/>
        <v>27,19</v>
      </c>
      <c r="AK47" s="19" t="str">
        <f t="shared" si="119"/>
        <v>28,19</v>
      </c>
      <c r="AL47" s="19" t="str">
        <f t="shared" si="119"/>
        <v>29,19</v>
      </c>
      <c r="AM47" s="19" t="str">
        <f t="shared" si="119"/>
        <v>30,19</v>
      </c>
      <c r="AN47" s="19" t="str">
        <f t="shared" si="119"/>
        <v>31,19</v>
      </c>
      <c r="AO47" s="19" t="str">
        <f t="shared" si="119"/>
        <v>32,19</v>
      </c>
      <c r="AP47" s="19" t="str">
        <f t="shared" si="111"/>
        <v>33,19</v>
      </c>
      <c r="AQ47" s="19" t="str">
        <f t="shared" si="111"/>
        <v>34,19</v>
      </c>
      <c r="AR47" s="19" t="str">
        <f t="shared" si="111"/>
        <v>35,19</v>
      </c>
      <c r="AS47" s="19" t="str">
        <f t="shared" si="114"/>
        <v>36,19</v>
      </c>
      <c r="AT47" s="19" t="str">
        <f t="shared" si="112"/>
        <v>37,19</v>
      </c>
      <c r="AU47" s="19" t="str">
        <f t="shared" si="112"/>
        <v>38,19</v>
      </c>
      <c r="AV47" s="19" t="str">
        <f t="shared" si="112"/>
        <v>39,19</v>
      </c>
      <c r="AW47" s="19" t="str">
        <f t="shared" si="112"/>
        <v>40,19</v>
      </c>
      <c r="AX47" s="16">
        <f t="shared" si="110"/>
        <v>19</v>
      </c>
      <c r="AY47" s="1"/>
      <c r="AZ47" s="16">
        <v>18</v>
      </c>
      <c r="BA47" s="10">
        <v>1.3459023000000001</v>
      </c>
      <c r="BB47" s="10">
        <v>1.3465836</v>
      </c>
      <c r="BC47" s="10">
        <v>1.3479397</v>
      </c>
      <c r="BD47" s="10">
        <v>1.3499582000000001</v>
      </c>
      <c r="BE47" s="10">
        <v>1.3526208</v>
      </c>
      <c r="BF47" s="10">
        <v>1.3559053999999999</v>
      </c>
      <c r="BG47" s="10">
        <v>1.3597858</v>
      </c>
      <c r="BH47" s="10">
        <v>1.3642333</v>
      </c>
      <c r="BI47" s="10">
        <v>1.3692167</v>
      </c>
      <c r="BJ47" s="10">
        <v>1.3747035000000001</v>
      </c>
      <c r="BK47" s="10">
        <v>1.3806598000000001</v>
      </c>
      <c r="BL47" s="10">
        <v>1.3870511000000001</v>
      </c>
      <c r="BM47" s="10">
        <v>1.3938429000000001</v>
      </c>
      <c r="BN47" s="10">
        <v>1.4010016999999999</v>
      </c>
      <c r="BO47" s="10">
        <v>1.4084958999999999</v>
      </c>
      <c r="BP47" s="10">
        <v>1.4162967</v>
      </c>
      <c r="BQ47" s="10">
        <v>1.4243793</v>
      </c>
      <c r="BR47" s="10">
        <v>1.4327239000000001</v>
      </c>
      <c r="BS47" s="10">
        <v>1.4413148</v>
      </c>
      <c r="BT47" s="10">
        <v>1.4501417999999999</v>
      </c>
      <c r="BU47" s="10">
        <v>1.4591978999999999</v>
      </c>
      <c r="BV47" s="10">
        <v>1.4684796</v>
      </c>
      <c r="BW47" s="10">
        <v>1.4779868</v>
      </c>
      <c r="BX47" s="10">
        <v>1.4877217</v>
      </c>
      <c r="BY47" s="10">
        <v>1.497689</v>
      </c>
      <c r="BZ47" s="10">
        <v>1.5078927</v>
      </c>
      <c r="CA47" s="10">
        <v>1.5183342</v>
      </c>
      <c r="CB47" s="10">
        <v>1.5290090000000001</v>
      </c>
      <c r="CC47" s="10">
        <v>1.539906</v>
      </c>
      <c r="CD47" s="10">
        <v>1.5510088</v>
      </c>
      <c r="CE47" s="10">
        <v>1.5622963000000001</v>
      </c>
      <c r="CF47" s="10">
        <v>1.5737445000000001</v>
      </c>
      <c r="CG47" s="10">
        <v>1.5853305</v>
      </c>
      <c r="CH47" s="10">
        <v>1.5970371000000001</v>
      </c>
      <c r="CI47" s="10">
        <v>1.6088585</v>
      </c>
      <c r="CJ47" s="10">
        <v>1.6208035999999999</v>
      </c>
      <c r="CK47" s="10">
        <v>1.6328913</v>
      </c>
      <c r="CL47" s="10">
        <v>1.6451411</v>
      </c>
      <c r="CM47" s="10">
        <v>1.6575683000000001</v>
      </c>
      <c r="CN47" s="10">
        <v>1.670188</v>
      </c>
      <c r="CO47" s="10">
        <v>1.6830278999999999</v>
      </c>
      <c r="CP47" s="1"/>
      <c r="CQ47" s="27">
        <f t="shared" si="45"/>
        <v>1</v>
      </c>
      <c r="CR47" s="16">
        <f t="shared" si="49"/>
        <v>42</v>
      </c>
      <c r="CS47" s="24">
        <v>4.4166666666666599</v>
      </c>
      <c r="CT47" s="1"/>
      <c r="CU47" s="30">
        <f t="shared" si="115"/>
        <v>2</v>
      </c>
      <c r="CV47" s="31">
        <v>1464</v>
      </c>
      <c r="CW47" s="38">
        <f t="shared" si="116"/>
        <v>23.4</v>
      </c>
      <c r="CX47" s="29"/>
      <c r="CY47" s="31">
        <v>1485</v>
      </c>
      <c r="CZ47" s="29"/>
      <c r="DA47" s="29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</row>
    <row r="48" spans="1:134" ht="6.75" customHeight="1" x14ac:dyDescent="0.25">
      <c r="A48" s="1"/>
      <c r="B48" s="18" t="s">
        <v>17</v>
      </c>
      <c r="C48" s="18" t="s">
        <v>17</v>
      </c>
      <c r="D48" s="18" t="s">
        <v>17</v>
      </c>
      <c r="E48" s="1" t="s">
        <v>0</v>
      </c>
      <c r="F48" s="1" t="s">
        <v>0</v>
      </c>
      <c r="G48" s="1"/>
      <c r="H48" s="1"/>
      <c r="I48" s="16">
        <f>COLUMN()</f>
        <v>9</v>
      </c>
      <c r="J48" s="19" t="str">
        <f t="shared" si="118"/>
        <v>1,20</v>
      </c>
      <c r="K48" s="19" t="str">
        <f t="shared" si="118"/>
        <v>2,20</v>
      </c>
      <c r="L48" s="19" t="str">
        <f t="shared" si="118"/>
        <v>3,20</v>
      </c>
      <c r="M48" s="19" t="str">
        <f t="shared" si="118"/>
        <v>4,20</v>
      </c>
      <c r="N48" s="19" t="str">
        <f t="shared" si="118"/>
        <v>5,20</v>
      </c>
      <c r="O48" s="19" t="str">
        <f t="shared" si="118"/>
        <v>6,20</v>
      </c>
      <c r="P48" s="19" t="str">
        <f t="shared" si="118"/>
        <v>7,20</v>
      </c>
      <c r="Q48" s="19" t="str">
        <f t="shared" si="118"/>
        <v>8,20</v>
      </c>
      <c r="R48" s="19" t="str">
        <f t="shared" si="118"/>
        <v>9,20</v>
      </c>
      <c r="S48" s="19" t="str">
        <f t="shared" si="118"/>
        <v>10,20</v>
      </c>
      <c r="T48" s="19" t="str">
        <f t="shared" si="118"/>
        <v>11,20</v>
      </c>
      <c r="U48" s="19" t="str">
        <f t="shared" si="118"/>
        <v>12,20</v>
      </c>
      <c r="V48" s="19" t="str">
        <f t="shared" si="118"/>
        <v>13,20</v>
      </c>
      <c r="W48" s="19" t="str">
        <f t="shared" si="118"/>
        <v>14,20</v>
      </c>
      <c r="X48" s="19" t="str">
        <f t="shared" si="118"/>
        <v>15,20</v>
      </c>
      <c r="Y48" s="19" t="str">
        <f t="shared" si="117"/>
        <v>16,20</v>
      </c>
      <c r="Z48" s="19" t="str">
        <f t="shared" si="117"/>
        <v>17,20</v>
      </c>
      <c r="AA48" s="19" t="str">
        <f t="shared" si="117"/>
        <v>18,20</v>
      </c>
      <c r="AB48" s="19" t="str">
        <f t="shared" si="117"/>
        <v>19,20</v>
      </c>
      <c r="AC48" s="19" t="str">
        <f t="shared" si="117"/>
        <v>20,20</v>
      </c>
      <c r="AD48" s="19" t="str">
        <f t="shared" si="119"/>
        <v>21,20</v>
      </c>
      <c r="AE48" s="19" t="str">
        <f t="shared" si="119"/>
        <v>22,20</v>
      </c>
      <c r="AF48" s="19" t="str">
        <f t="shared" si="119"/>
        <v>23,20</v>
      </c>
      <c r="AG48" s="19" t="str">
        <f t="shared" si="119"/>
        <v>24,20</v>
      </c>
      <c r="AH48" s="19" t="str">
        <f t="shared" si="119"/>
        <v>25,20</v>
      </c>
      <c r="AI48" s="19" t="str">
        <f t="shared" si="119"/>
        <v>26,20</v>
      </c>
      <c r="AJ48" s="19" t="str">
        <f t="shared" si="119"/>
        <v>27,20</v>
      </c>
      <c r="AK48" s="19" t="str">
        <f t="shared" si="119"/>
        <v>28,20</v>
      </c>
      <c r="AL48" s="19" t="str">
        <f t="shared" si="119"/>
        <v>29,20</v>
      </c>
      <c r="AM48" s="19" t="str">
        <f t="shared" si="119"/>
        <v>30,20</v>
      </c>
      <c r="AN48" s="19" t="str">
        <f t="shared" si="119"/>
        <v>31,20</v>
      </c>
      <c r="AO48" s="19" t="str">
        <f t="shared" si="119"/>
        <v>32,20</v>
      </c>
      <c r="AP48" s="19" t="str">
        <f t="shared" si="111"/>
        <v>33,20</v>
      </c>
      <c r="AQ48" s="19" t="str">
        <f t="shared" si="111"/>
        <v>34,20</v>
      </c>
      <c r="AR48" s="19" t="str">
        <f t="shared" si="111"/>
        <v>35,20</v>
      </c>
      <c r="AS48" s="19" t="str">
        <f t="shared" si="114"/>
        <v>36,20</v>
      </c>
      <c r="AT48" s="19" t="str">
        <f t="shared" si="112"/>
        <v>37,20</v>
      </c>
      <c r="AU48" s="19" t="str">
        <f t="shared" si="112"/>
        <v>38,20</v>
      </c>
      <c r="AV48" s="19" t="str">
        <f t="shared" si="112"/>
        <v>39,20</v>
      </c>
      <c r="AW48" s="19" t="str">
        <f t="shared" si="112"/>
        <v>40,20</v>
      </c>
      <c r="AX48" s="16">
        <f t="shared" si="110"/>
        <v>20</v>
      </c>
      <c r="AY48" s="1"/>
      <c r="AZ48" s="16">
        <v>19</v>
      </c>
      <c r="BA48" s="10">
        <v>1.3520502999999999</v>
      </c>
      <c r="BB48" s="10">
        <v>1.3526977</v>
      </c>
      <c r="BC48" s="10">
        <v>1.3539873</v>
      </c>
      <c r="BD48" s="10">
        <v>1.3559086</v>
      </c>
      <c r="BE48" s="10">
        <v>1.3584461999999999</v>
      </c>
      <c r="BF48" s="10">
        <v>1.3615813000000001</v>
      </c>
      <c r="BG48" s="10">
        <v>1.3652914</v>
      </c>
      <c r="BH48" s="10">
        <v>1.3695512000000001</v>
      </c>
      <c r="BI48" s="10">
        <v>1.3743337</v>
      </c>
      <c r="BJ48" s="10">
        <v>1.3796101000000001</v>
      </c>
      <c r="BK48" s="10">
        <v>1.3853503</v>
      </c>
      <c r="BL48" s="10">
        <v>1.3915242999999999</v>
      </c>
      <c r="BM48" s="10">
        <v>1.3981014</v>
      </c>
      <c r="BN48" s="10">
        <v>1.4050526999999999</v>
      </c>
      <c r="BO48" s="10">
        <v>1.4123498000000001</v>
      </c>
      <c r="BP48" s="10">
        <v>1.4199676999999999</v>
      </c>
      <c r="BQ48" s="10">
        <v>1.4278837</v>
      </c>
      <c r="BR48" s="10">
        <v>1.4360793000000001</v>
      </c>
      <c r="BS48" s="10">
        <v>1.4445393</v>
      </c>
      <c r="BT48" s="10">
        <v>1.4532522000000001</v>
      </c>
      <c r="BU48" s="10">
        <v>1.4622099</v>
      </c>
      <c r="BV48" s="10">
        <v>1.4714069999999999</v>
      </c>
      <c r="BW48" s="10">
        <v>1.4808409</v>
      </c>
      <c r="BX48" s="10">
        <v>1.4905103</v>
      </c>
      <c r="BY48" s="10">
        <v>1.5004157</v>
      </c>
      <c r="BZ48" s="10">
        <v>1.5105568</v>
      </c>
      <c r="CA48" s="10">
        <v>1.5209315999999999</v>
      </c>
      <c r="CB48" s="10">
        <v>1.5315344</v>
      </c>
      <c r="CC48" s="10">
        <v>1.5423560000000001</v>
      </c>
      <c r="CD48" s="10">
        <v>1.5533832000000001</v>
      </c>
      <c r="CE48" s="10">
        <v>1.5646005999999999</v>
      </c>
      <c r="CF48" s="10">
        <v>1.5759913000000001</v>
      </c>
      <c r="CG48" s="10">
        <v>1.5875404</v>
      </c>
      <c r="CH48" s="10">
        <v>1.5992371999999999</v>
      </c>
      <c r="CI48" s="10">
        <v>1.6110784</v>
      </c>
      <c r="CJ48" s="10">
        <v>1.6230693</v>
      </c>
      <c r="CK48" s="10">
        <v>1.6352214</v>
      </c>
      <c r="CL48" s="10">
        <v>1.6475489000000001</v>
      </c>
      <c r="CM48" s="10">
        <v>1.6600672000000001</v>
      </c>
      <c r="CN48" s="10">
        <v>1.6727936000000001</v>
      </c>
      <c r="CO48" s="10">
        <v>1.6857530000000001</v>
      </c>
      <c r="CP48" s="1"/>
      <c r="CQ48" s="27">
        <f t="shared" si="45"/>
        <v>1</v>
      </c>
      <c r="CR48" s="16">
        <f t="shared" si="49"/>
        <v>43</v>
      </c>
      <c r="CS48" s="24">
        <v>4.5</v>
      </c>
      <c r="CT48" s="1"/>
      <c r="CU48" s="30">
        <f t="shared" si="115"/>
        <v>2</v>
      </c>
      <c r="CV48" s="31">
        <v>1500.6</v>
      </c>
      <c r="CW48" s="38">
        <f t="shared" si="116"/>
        <v>24.009999999999998</v>
      </c>
      <c r="CX48" s="29"/>
      <c r="CY48" s="31">
        <v>1521.25</v>
      </c>
      <c r="CZ48" s="29"/>
      <c r="DA48" s="29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</row>
    <row r="49" spans="1:134" ht="7.5" customHeight="1" x14ac:dyDescent="0.25">
      <c r="A49" s="1"/>
      <c r="B49" s="18" t="s">
        <v>18</v>
      </c>
      <c r="C49" s="18" t="s">
        <v>18</v>
      </c>
      <c r="D49" s="18" t="s">
        <v>18</v>
      </c>
      <c r="E49" s="1" t="s">
        <v>0</v>
      </c>
      <c r="F49" s="1" t="s">
        <v>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27">
        <f t="shared" si="45"/>
        <v>1</v>
      </c>
      <c r="CR49" s="16">
        <f t="shared" si="49"/>
        <v>44</v>
      </c>
      <c r="CS49" s="24">
        <v>4.5833333333333304</v>
      </c>
      <c r="CT49" s="1"/>
      <c r="CU49" s="30">
        <f t="shared" si="115"/>
        <v>2</v>
      </c>
      <c r="CV49" s="31">
        <v>1537.2</v>
      </c>
      <c r="CW49" s="38">
        <f t="shared" si="116"/>
        <v>24.62</v>
      </c>
      <c r="CX49" s="29"/>
      <c r="CY49" s="31">
        <v>1557.5</v>
      </c>
      <c r="CZ49" s="29"/>
      <c r="DA49" s="29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</row>
    <row r="50" spans="1:134" ht="1.5" customHeight="1" x14ac:dyDescent="0.25">
      <c r="A50" s="1"/>
      <c r="B50" s="18" t="s">
        <v>19</v>
      </c>
      <c r="C50" s="18" t="s">
        <v>19</v>
      </c>
      <c r="D50" s="18" t="s">
        <v>19</v>
      </c>
      <c r="E50" s="1" t="s">
        <v>0</v>
      </c>
      <c r="F50" s="1" t="s"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27">
        <f t="shared" si="45"/>
        <v>1</v>
      </c>
      <c r="CR50" s="16">
        <f t="shared" si="49"/>
        <v>45</v>
      </c>
      <c r="CS50" s="24">
        <v>4.6666666666666599</v>
      </c>
      <c r="CT50" s="1"/>
      <c r="CU50" s="30">
        <f t="shared" si="115"/>
        <v>2</v>
      </c>
      <c r="CV50" s="31">
        <v>1573.8</v>
      </c>
      <c r="CW50" s="38">
        <f t="shared" si="116"/>
        <v>25.23</v>
      </c>
      <c r="CX50" s="29"/>
      <c r="CY50" s="31">
        <v>1593.75</v>
      </c>
      <c r="CZ50" s="29"/>
      <c r="DA50" s="29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</row>
    <row r="51" spans="1:134" ht="1.5" customHeight="1" x14ac:dyDescent="0.25">
      <c r="A51" s="1"/>
      <c r="B51" s="18" t="s">
        <v>20</v>
      </c>
      <c r="C51" s="18" t="s">
        <v>20</v>
      </c>
      <c r="D51" s="18" t="s">
        <v>20</v>
      </c>
      <c r="E51" s="1" t="s">
        <v>0</v>
      </c>
      <c r="F51" s="1" t="s"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27">
        <f t="shared" si="45"/>
        <v>1</v>
      </c>
      <c r="CR51" s="16">
        <f t="shared" si="49"/>
        <v>46</v>
      </c>
      <c r="CS51" s="24">
        <v>4.75</v>
      </c>
      <c r="CT51" s="1"/>
      <c r="CU51" s="30">
        <f t="shared" si="115"/>
        <v>2</v>
      </c>
      <c r="CV51" s="31">
        <v>1610.4</v>
      </c>
      <c r="CW51" s="38">
        <f t="shared" si="116"/>
        <v>25.84</v>
      </c>
      <c r="CX51" s="29"/>
      <c r="CY51" s="31">
        <v>1630</v>
      </c>
      <c r="CZ51" s="29"/>
      <c r="DA51" s="29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</row>
    <row r="52" spans="1:134" ht="1.5" customHeight="1" x14ac:dyDescent="0.25">
      <c r="A52" s="1"/>
      <c r="B52" s="18" t="s">
        <v>21</v>
      </c>
      <c r="C52" s="18" t="s">
        <v>21</v>
      </c>
      <c r="D52" s="18" t="s">
        <v>21</v>
      </c>
      <c r="E52" s="1" t="s">
        <v>0</v>
      </c>
      <c r="F52" s="1" t="s"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27">
        <f t="shared" si="45"/>
        <v>1</v>
      </c>
      <c r="CR52" s="16">
        <f t="shared" si="49"/>
        <v>47</v>
      </c>
      <c r="CS52" s="24">
        <v>4.8333333333333304</v>
      </c>
      <c r="CT52" s="1"/>
      <c r="CU52" s="30">
        <f t="shared" si="115"/>
        <v>2</v>
      </c>
      <c r="CV52" s="31">
        <v>1647</v>
      </c>
      <c r="CW52" s="38">
        <f t="shared" si="116"/>
        <v>26.45</v>
      </c>
      <c r="CX52" s="29"/>
      <c r="CY52" s="31">
        <v>1666.25</v>
      </c>
      <c r="CZ52" s="29"/>
      <c r="DA52" s="29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ht="1.5" customHeight="1" x14ac:dyDescent="0.25">
      <c r="A53" s="1"/>
      <c r="B53" s="18" t="s">
        <v>22</v>
      </c>
      <c r="C53" s="18" t="s">
        <v>22</v>
      </c>
      <c r="D53" s="18" t="s">
        <v>22</v>
      </c>
      <c r="E53" s="1" t="s">
        <v>0</v>
      </c>
      <c r="F53" s="1" t="s"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27">
        <f t="shared" si="45"/>
        <v>1</v>
      </c>
      <c r="CR53" s="16">
        <f t="shared" si="49"/>
        <v>48</v>
      </c>
      <c r="CS53" s="24">
        <v>4.9166666666666599</v>
      </c>
      <c r="CT53" s="1"/>
      <c r="CU53" s="30">
        <f t="shared" si="115"/>
        <v>2</v>
      </c>
      <c r="CV53" s="31">
        <v>1683.6</v>
      </c>
      <c r="CW53" s="38">
        <f t="shared" si="116"/>
        <v>27.06</v>
      </c>
      <c r="CX53" s="29"/>
      <c r="CY53" s="31">
        <v>1702.5</v>
      </c>
      <c r="CZ53" s="29"/>
      <c r="DA53" s="29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</row>
    <row r="54" spans="1:134" ht="1.5" customHeight="1" x14ac:dyDescent="0.25">
      <c r="A54" s="1"/>
      <c r="B54" s="18" t="s">
        <v>23</v>
      </c>
      <c r="C54" s="18" t="s">
        <v>23</v>
      </c>
      <c r="D54" s="18" t="s">
        <v>23</v>
      </c>
      <c r="E54" s="1" t="s">
        <v>0</v>
      </c>
      <c r="F54" s="1" t="s"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27">
        <f t="shared" si="45"/>
        <v>1</v>
      </c>
      <c r="CR54" s="16">
        <f t="shared" si="49"/>
        <v>49</v>
      </c>
      <c r="CS54" s="24">
        <v>4.9999999999999902</v>
      </c>
      <c r="CT54" s="1"/>
      <c r="CU54" s="30">
        <f t="shared" si="115"/>
        <v>2</v>
      </c>
      <c r="CV54" s="31">
        <v>1720.2</v>
      </c>
      <c r="CW54" s="38">
        <f t="shared" si="116"/>
        <v>27.67</v>
      </c>
      <c r="CX54" s="29"/>
      <c r="CY54" s="31">
        <v>1738.75</v>
      </c>
      <c r="CZ54" s="29"/>
      <c r="DA54" s="29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</row>
    <row r="55" spans="1:134" ht="1.5" customHeight="1" x14ac:dyDescent="0.25">
      <c r="A55" s="1"/>
      <c r="B55" s="18" t="s">
        <v>24</v>
      </c>
      <c r="C55" s="18" t="s">
        <v>24</v>
      </c>
      <c r="D55" s="18" t="s">
        <v>24</v>
      </c>
      <c r="E55" s="1" t="s">
        <v>0</v>
      </c>
      <c r="F55" s="1" t="s"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27">
        <f t="shared" si="45"/>
        <v>1</v>
      </c>
      <c r="CR55" s="16">
        <f t="shared" si="49"/>
        <v>50</v>
      </c>
      <c r="CS55" s="24">
        <v>5.0833333333333304</v>
      </c>
      <c r="CT55" s="1"/>
      <c r="CU55" s="30">
        <f t="shared" si="115"/>
        <v>2</v>
      </c>
      <c r="CV55" s="31">
        <v>1756.8</v>
      </c>
      <c r="CW55" s="38">
        <f t="shared" si="116"/>
        <v>28.279999999999998</v>
      </c>
      <c r="CX55" s="29"/>
      <c r="CY55" s="31">
        <v>1775</v>
      </c>
      <c r="CZ55" s="29"/>
      <c r="DA55" s="29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ht="0.6" customHeight="1" x14ac:dyDescent="0.25">
      <c r="A56" s="1"/>
      <c r="B56" s="18" t="s">
        <v>25</v>
      </c>
      <c r="C56" s="18" t="s">
        <v>25</v>
      </c>
      <c r="D56" s="18" t="s">
        <v>25</v>
      </c>
      <c r="E56" s="1" t="s">
        <v>0</v>
      </c>
      <c r="F56" s="1" t="s"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27">
        <f t="shared" si="45"/>
        <v>1</v>
      </c>
      <c r="CR56" s="16">
        <f t="shared" si="49"/>
        <v>51</v>
      </c>
      <c r="CS56" s="24">
        <v>5.1666666666666599</v>
      </c>
      <c r="CT56" s="1"/>
      <c r="CU56" s="30">
        <f t="shared" si="115"/>
        <v>2</v>
      </c>
      <c r="CV56" s="31">
        <v>1793.4</v>
      </c>
      <c r="CW56" s="38">
        <f t="shared" si="116"/>
        <v>28.89</v>
      </c>
      <c r="CX56" s="29"/>
      <c r="CY56" s="31">
        <v>1811.25</v>
      </c>
      <c r="CZ56" s="29"/>
      <c r="DA56" s="29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</row>
    <row r="57" spans="1:134" ht="0.6" customHeight="1" x14ac:dyDescent="0.25">
      <c r="A57" s="1"/>
      <c r="B57" s="18" t="s">
        <v>26</v>
      </c>
      <c r="C57" s="18" t="s">
        <v>26</v>
      </c>
      <c r="D57" s="18" t="s">
        <v>26</v>
      </c>
      <c r="E57" s="1" t="s">
        <v>0</v>
      </c>
      <c r="F57" s="1" t="s"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27">
        <f t="shared" si="45"/>
        <v>1</v>
      </c>
      <c r="CR57" s="16">
        <f t="shared" si="49"/>
        <v>52</v>
      </c>
      <c r="CS57" s="24">
        <v>5.2499999999999902</v>
      </c>
      <c r="CT57" s="1"/>
      <c r="CU57" s="30">
        <f t="shared" si="115"/>
        <v>2</v>
      </c>
      <c r="CV57" s="31">
        <v>1830</v>
      </c>
      <c r="CW57" s="38">
        <f t="shared" si="116"/>
        <v>29.5</v>
      </c>
      <c r="CX57" s="29"/>
      <c r="CY57" s="31">
        <v>1847.5</v>
      </c>
      <c r="CZ57" s="29"/>
      <c r="DA57" s="29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</row>
    <row r="58" spans="1:134" ht="0.6" customHeight="1" x14ac:dyDescent="0.25">
      <c r="A58" s="1"/>
      <c r="B58" s="18" t="s">
        <v>27</v>
      </c>
      <c r="C58" s="18" t="s">
        <v>27</v>
      </c>
      <c r="D58" s="18" t="s">
        <v>27</v>
      </c>
      <c r="E58" s="1" t="s">
        <v>0</v>
      </c>
      <c r="F58" s="1" t="s"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27">
        <f t="shared" si="45"/>
        <v>1</v>
      </c>
      <c r="CR58" s="16">
        <f t="shared" si="49"/>
        <v>53</v>
      </c>
      <c r="CS58" s="24">
        <v>5.3333333333333304</v>
      </c>
      <c r="CT58" s="1"/>
      <c r="CU58" s="30">
        <f t="shared" si="115"/>
        <v>2</v>
      </c>
      <c r="CV58" s="31">
        <v>1866.6</v>
      </c>
      <c r="CW58" s="38">
        <f t="shared" si="116"/>
        <v>30.11</v>
      </c>
      <c r="CX58" s="29"/>
      <c r="CY58" s="31">
        <v>1883.75</v>
      </c>
      <c r="CZ58" s="29"/>
      <c r="DA58" s="29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</row>
    <row r="59" spans="1:134" ht="0.6" customHeight="1" x14ac:dyDescent="0.25">
      <c r="A59" s="1"/>
      <c r="B59" s="18" t="s">
        <v>28</v>
      </c>
      <c r="C59" s="18" t="s">
        <v>28</v>
      </c>
      <c r="D59" s="18" t="s">
        <v>28</v>
      </c>
      <c r="E59" s="1" t="s">
        <v>0</v>
      </c>
      <c r="F59" s="1" t="s"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27">
        <f t="shared" si="45"/>
        <v>1</v>
      </c>
      <c r="CR59" s="16">
        <f t="shared" si="49"/>
        <v>54</v>
      </c>
      <c r="CS59" s="24">
        <v>5.4166666666666599</v>
      </c>
      <c r="CT59" s="1"/>
      <c r="CU59" s="30">
        <f t="shared" si="115"/>
        <v>2</v>
      </c>
      <c r="CV59" s="31">
        <v>1903.2</v>
      </c>
      <c r="CW59" s="38">
        <f t="shared" si="116"/>
        <v>30.720000000000002</v>
      </c>
      <c r="CX59" s="29"/>
      <c r="CY59" s="31">
        <v>1920</v>
      </c>
      <c r="CZ59" s="29"/>
      <c r="DA59" s="29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</row>
    <row r="60" spans="1:134" ht="0.6" customHeight="1" x14ac:dyDescent="0.25">
      <c r="A60" s="1"/>
      <c r="B60" s="18" t="s">
        <v>29</v>
      </c>
      <c r="C60" s="18" t="s">
        <v>29</v>
      </c>
      <c r="D60" s="18" t="s">
        <v>29</v>
      </c>
      <c r="E60" s="1" t="s">
        <v>0</v>
      </c>
      <c r="F60" s="1" t="s"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27">
        <f t="shared" si="45"/>
        <v>1</v>
      </c>
      <c r="CR60" s="16">
        <f t="shared" si="49"/>
        <v>55</v>
      </c>
      <c r="CS60" s="24">
        <v>5.4999999999999902</v>
      </c>
      <c r="CT60" s="1"/>
      <c r="CU60" s="30">
        <f t="shared" si="115"/>
        <v>2</v>
      </c>
      <c r="CV60" s="31">
        <v>1939.8</v>
      </c>
      <c r="CW60" s="38">
        <f t="shared" si="116"/>
        <v>31.33</v>
      </c>
      <c r="CX60" s="29"/>
      <c r="CY60" s="31">
        <v>1956.25</v>
      </c>
      <c r="CZ60" s="29"/>
      <c r="DA60" s="29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</row>
    <row r="61" spans="1:134" ht="0.6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27">
        <f t="shared" si="45"/>
        <v>1</v>
      </c>
      <c r="CR61" s="16">
        <f t="shared" si="49"/>
        <v>56</v>
      </c>
      <c r="CS61" s="24">
        <v>5.5833333333333304</v>
      </c>
      <c r="CT61" s="1"/>
      <c r="CU61" s="30">
        <f t="shared" si="115"/>
        <v>2</v>
      </c>
      <c r="CV61" s="31">
        <v>1976.4</v>
      </c>
      <c r="CW61" s="38">
        <f t="shared" si="116"/>
        <v>31.940000000000005</v>
      </c>
      <c r="CX61" s="29"/>
      <c r="CY61" s="31">
        <v>1992.5</v>
      </c>
      <c r="CZ61" s="29"/>
      <c r="DA61" s="29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</row>
    <row r="62" spans="1:134" ht="0.6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27">
        <f t="shared" si="45"/>
        <v>1</v>
      </c>
      <c r="CR62" s="16">
        <f t="shared" si="49"/>
        <v>57</v>
      </c>
      <c r="CS62" s="24">
        <v>5.6666666666666599</v>
      </c>
      <c r="CT62" s="1"/>
      <c r="CU62" s="30">
        <f t="shared" si="115"/>
        <v>2</v>
      </c>
      <c r="CV62" s="31">
        <v>2013</v>
      </c>
      <c r="CW62" s="38">
        <f t="shared" si="116"/>
        <v>32.549999999999997</v>
      </c>
      <c r="CX62" s="29"/>
      <c r="CY62" s="31">
        <v>2028.75</v>
      </c>
      <c r="CZ62" s="29"/>
      <c r="DA62" s="29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</row>
    <row r="63" spans="1:134" ht="0.6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27">
        <f t="shared" si="45"/>
        <v>1</v>
      </c>
      <c r="CR63" s="16">
        <f t="shared" si="49"/>
        <v>58</v>
      </c>
      <c r="CS63" s="24">
        <v>5.7499999999999902</v>
      </c>
      <c r="CT63" s="1"/>
      <c r="CU63" s="30">
        <f t="shared" si="115"/>
        <v>2</v>
      </c>
      <c r="CV63" s="31">
        <v>2049.6</v>
      </c>
      <c r="CW63" s="38">
        <f t="shared" si="116"/>
        <v>33.159999999999997</v>
      </c>
      <c r="CX63" s="29"/>
      <c r="CY63" s="31">
        <v>2065</v>
      </c>
      <c r="CZ63" s="29"/>
      <c r="DA63" s="29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</row>
    <row r="64" spans="1:134" ht="0.6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27">
        <f t="shared" si="45"/>
        <v>1</v>
      </c>
      <c r="CR64" s="16">
        <f t="shared" si="49"/>
        <v>59</v>
      </c>
      <c r="CS64" s="24">
        <v>5.8333333333333197</v>
      </c>
      <c r="CT64" s="1"/>
      <c r="CU64" s="30">
        <f t="shared" si="115"/>
        <v>2</v>
      </c>
      <c r="CV64" s="31">
        <v>2086.1999999999998</v>
      </c>
      <c r="CW64" s="38">
        <f t="shared" si="116"/>
        <v>33.769999999999996</v>
      </c>
      <c r="CX64" s="29"/>
      <c r="CY64" s="31">
        <v>2101.25</v>
      </c>
      <c r="CZ64" s="29"/>
      <c r="DA64" s="29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</row>
    <row r="65" spans="1:134" ht="0.6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27">
        <f t="shared" si="45"/>
        <v>1</v>
      </c>
      <c r="CR65" s="16">
        <f t="shared" si="49"/>
        <v>60</v>
      </c>
      <c r="CS65" s="24">
        <v>5.9166666666666599</v>
      </c>
      <c r="CT65" s="1"/>
      <c r="CU65" s="30">
        <f t="shared" si="115"/>
        <v>2</v>
      </c>
      <c r="CV65" s="31">
        <v>2122.8000000000002</v>
      </c>
      <c r="CW65" s="38">
        <f t="shared" si="116"/>
        <v>34.380000000000003</v>
      </c>
      <c r="CX65" s="29"/>
      <c r="CY65" s="31">
        <v>2137.5</v>
      </c>
      <c r="CZ65" s="29"/>
      <c r="DA65" s="29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</row>
    <row r="66" spans="1:134" ht="0.6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27">
        <f t="shared" si="45"/>
        <v>1</v>
      </c>
      <c r="CR66" s="16">
        <f t="shared" si="49"/>
        <v>61</v>
      </c>
      <c r="CS66" s="24">
        <v>5.9999999999999902</v>
      </c>
      <c r="CT66" s="1"/>
      <c r="CU66" s="30">
        <f t="shared" si="115"/>
        <v>2</v>
      </c>
      <c r="CV66" s="31">
        <v>2159.4</v>
      </c>
      <c r="CW66" s="38">
        <f t="shared" si="116"/>
        <v>34.99</v>
      </c>
      <c r="CX66" s="29"/>
      <c r="CY66" s="31">
        <v>2173.75</v>
      </c>
      <c r="CZ66" s="29"/>
      <c r="DA66" s="29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</row>
    <row r="67" spans="1:134" ht="0.6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27">
        <f t="shared" si="45"/>
        <v>1</v>
      </c>
      <c r="CR67" s="16">
        <f t="shared" si="49"/>
        <v>62</v>
      </c>
      <c r="CS67" s="24">
        <v>6.0833333333333197</v>
      </c>
      <c r="CT67" s="1"/>
      <c r="CU67" s="30">
        <f t="shared" si="115"/>
        <v>2</v>
      </c>
      <c r="CV67" s="31">
        <v>2196</v>
      </c>
      <c r="CW67" s="38">
        <f t="shared" si="116"/>
        <v>35.6</v>
      </c>
      <c r="CX67" s="29"/>
      <c r="CY67" s="31">
        <v>2210</v>
      </c>
      <c r="CZ67" s="29"/>
      <c r="DA67" s="29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</row>
    <row r="68" spans="1:134" ht="0.6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27">
        <f t="shared" si="45"/>
        <v>1</v>
      </c>
      <c r="CR68" s="16">
        <f t="shared" si="49"/>
        <v>63</v>
      </c>
      <c r="CS68" s="24">
        <v>6.1666666666666599</v>
      </c>
      <c r="CT68" s="1"/>
      <c r="CU68" s="30">
        <f t="shared" si="115"/>
        <v>2</v>
      </c>
      <c r="CV68" s="31">
        <v>2232.6</v>
      </c>
      <c r="CW68" s="38">
        <f t="shared" si="116"/>
        <v>36.21</v>
      </c>
      <c r="CX68" s="29"/>
      <c r="CY68" s="31">
        <v>2246.25</v>
      </c>
      <c r="CZ68" s="29"/>
      <c r="DA68" s="29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</row>
    <row r="69" spans="1:134" ht="0.6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27">
        <f t="shared" si="45"/>
        <v>1</v>
      </c>
      <c r="CR69" s="16">
        <f t="shared" si="49"/>
        <v>64</v>
      </c>
      <c r="CS69" s="24">
        <v>6.2499999999999902</v>
      </c>
      <c r="CT69" s="1"/>
      <c r="CU69" s="30">
        <f t="shared" si="115"/>
        <v>2</v>
      </c>
      <c r="CV69" s="31">
        <v>2269.1999999999998</v>
      </c>
      <c r="CW69" s="38">
        <f t="shared" si="116"/>
        <v>36.82</v>
      </c>
      <c r="CX69" s="29"/>
      <c r="CY69" s="31">
        <v>2282.5</v>
      </c>
      <c r="CZ69" s="29"/>
      <c r="DA69" s="29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</row>
    <row r="70" spans="1:134" ht="0.6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27">
        <f t="shared" si="45"/>
        <v>1</v>
      </c>
      <c r="CR70" s="16">
        <f t="shared" si="49"/>
        <v>65</v>
      </c>
      <c r="CS70" s="24">
        <v>6.3333333333333197</v>
      </c>
      <c r="CT70" s="1"/>
      <c r="CU70" s="30">
        <f t="shared" ref="CU70:CU101" si="120">IF(CV70&lt;=CU$4,1,2)</f>
        <v>2</v>
      </c>
      <c r="CV70" s="31">
        <v>2305.8000000000002</v>
      </c>
      <c r="CW70" s="38">
        <f t="shared" ref="CW70:CW101" si="121">IF(CV70=0,0,(CV70/CW$5)-1)</f>
        <v>37.43</v>
      </c>
      <c r="CX70" s="29"/>
      <c r="CY70" s="31">
        <v>2318.75</v>
      </c>
      <c r="CZ70" s="29"/>
      <c r="DA70" s="29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</row>
    <row r="71" spans="1:134" ht="0.6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27">
        <f t="shared" ref="CQ71:CQ134" si="122">_xlfn.IFS(CR71&lt;=$CS$3,1,CR71&lt;=$CS$4,2,CR71&lt;=$CS$5,3)</f>
        <v>1</v>
      </c>
      <c r="CR71" s="16">
        <f t="shared" si="49"/>
        <v>66</v>
      </c>
      <c r="CS71" s="24">
        <v>6.4166666666666599</v>
      </c>
      <c r="CT71" s="1"/>
      <c r="CU71" s="30">
        <f t="shared" si="120"/>
        <v>2</v>
      </c>
      <c r="CV71" s="31">
        <v>2342.4</v>
      </c>
      <c r="CW71" s="38">
        <f t="shared" si="121"/>
        <v>38.04</v>
      </c>
      <c r="CX71" s="29"/>
      <c r="CY71" s="31">
        <v>2355</v>
      </c>
      <c r="CZ71" s="29"/>
      <c r="DA71" s="29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</row>
    <row r="72" spans="1:134" ht="0.6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27">
        <f t="shared" si="122"/>
        <v>1</v>
      </c>
      <c r="CR72" s="16">
        <f t="shared" ref="CR72:CR135" si="123">CR71+1</f>
        <v>67</v>
      </c>
      <c r="CS72" s="24">
        <v>6.4999999999999902</v>
      </c>
      <c r="CT72" s="1"/>
      <c r="CU72" s="30">
        <f t="shared" si="120"/>
        <v>2</v>
      </c>
      <c r="CV72" s="31">
        <v>2379</v>
      </c>
      <c r="CW72" s="38">
        <f t="shared" si="121"/>
        <v>38.65</v>
      </c>
      <c r="CX72" s="29"/>
      <c r="CY72" s="31">
        <v>2391.25</v>
      </c>
      <c r="CZ72" s="29"/>
      <c r="DA72" s="29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</row>
    <row r="73" spans="1:134" ht="0.6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27">
        <f t="shared" si="122"/>
        <v>1</v>
      </c>
      <c r="CR73" s="16">
        <f t="shared" si="123"/>
        <v>68</v>
      </c>
      <c r="CS73" s="24">
        <v>6.5833333333333197</v>
      </c>
      <c r="CT73" s="1"/>
      <c r="CU73" s="30">
        <f t="shared" si="120"/>
        <v>2</v>
      </c>
      <c r="CV73" s="31">
        <v>2415.6</v>
      </c>
      <c r="CW73" s="38">
        <f t="shared" si="121"/>
        <v>39.26</v>
      </c>
      <c r="CX73" s="29"/>
      <c r="CY73" s="31">
        <v>2427.5</v>
      </c>
      <c r="CZ73" s="29"/>
      <c r="DA73" s="29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</row>
    <row r="74" spans="1:134" ht="0.6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27">
        <f t="shared" si="122"/>
        <v>1</v>
      </c>
      <c r="CR74" s="16">
        <f t="shared" si="123"/>
        <v>69</v>
      </c>
      <c r="CS74" s="24">
        <v>6.6666666666666599</v>
      </c>
      <c r="CT74" s="1"/>
      <c r="CU74" s="30">
        <f t="shared" si="120"/>
        <v>2</v>
      </c>
      <c r="CV74" s="31">
        <v>2452.1999999999998</v>
      </c>
      <c r="CW74" s="38">
        <f t="shared" si="121"/>
        <v>39.869999999999997</v>
      </c>
      <c r="CX74" s="29"/>
      <c r="CY74" s="31">
        <v>2463.75</v>
      </c>
      <c r="CZ74" s="29"/>
      <c r="DA74" s="29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</row>
    <row r="75" spans="1:134" ht="0.6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27">
        <f t="shared" si="122"/>
        <v>1</v>
      </c>
      <c r="CR75" s="16">
        <f t="shared" si="123"/>
        <v>70</v>
      </c>
      <c r="CS75" s="24">
        <v>6.7499999999999902</v>
      </c>
      <c r="CT75" s="1"/>
      <c r="CU75" s="30">
        <f t="shared" si="120"/>
        <v>2</v>
      </c>
      <c r="CV75" s="31">
        <v>2488.8000000000002</v>
      </c>
      <c r="CW75" s="38">
        <f t="shared" si="121"/>
        <v>40.480000000000004</v>
      </c>
      <c r="CX75" s="29"/>
      <c r="CY75" s="31">
        <v>2500</v>
      </c>
      <c r="CZ75" s="29"/>
      <c r="DA75" s="29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</row>
    <row r="76" spans="1:134" ht="0.6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27">
        <f t="shared" si="122"/>
        <v>1</v>
      </c>
      <c r="CR76" s="16">
        <f t="shared" si="123"/>
        <v>71</v>
      </c>
      <c r="CS76" s="24">
        <v>6.8333333333333197</v>
      </c>
      <c r="CT76" s="1"/>
      <c r="CU76" s="30">
        <f t="shared" si="120"/>
        <v>2</v>
      </c>
      <c r="CV76" s="31">
        <v>2525.4</v>
      </c>
      <c r="CW76" s="38">
        <f t="shared" si="121"/>
        <v>41.09</v>
      </c>
      <c r="CX76" s="29"/>
      <c r="CY76" s="31">
        <v>2536.25</v>
      </c>
      <c r="CZ76" s="29"/>
      <c r="DA76" s="29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</row>
    <row r="77" spans="1:134" ht="0.6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27">
        <f t="shared" si="122"/>
        <v>1</v>
      </c>
      <c r="CR77" s="16">
        <f t="shared" si="123"/>
        <v>72</v>
      </c>
      <c r="CS77" s="24">
        <v>6.9166666666666501</v>
      </c>
      <c r="CT77" s="1"/>
      <c r="CU77" s="30">
        <f t="shared" si="120"/>
        <v>2</v>
      </c>
      <c r="CV77" s="31">
        <v>2562</v>
      </c>
      <c r="CW77" s="38">
        <f t="shared" si="121"/>
        <v>41.7</v>
      </c>
      <c r="CX77" s="29"/>
      <c r="CY77" s="31">
        <v>2572.5</v>
      </c>
      <c r="CZ77" s="29"/>
      <c r="DA77" s="29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</row>
    <row r="78" spans="1:134" ht="0.6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27">
        <f t="shared" si="122"/>
        <v>1</v>
      </c>
      <c r="CR78" s="16">
        <f t="shared" si="123"/>
        <v>73</v>
      </c>
      <c r="CS78" s="24">
        <v>6.9999999999999902</v>
      </c>
      <c r="CT78" s="1"/>
      <c r="CU78" s="30">
        <f t="shared" si="120"/>
        <v>2</v>
      </c>
      <c r="CV78" s="31">
        <v>2598.6</v>
      </c>
      <c r="CW78" s="38">
        <f t="shared" si="121"/>
        <v>42.309999999999995</v>
      </c>
      <c r="CX78" s="29"/>
      <c r="CY78" s="31">
        <v>2608.75</v>
      </c>
      <c r="CZ78" s="29"/>
      <c r="DA78" s="29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</row>
    <row r="79" spans="1:134" ht="0.6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27">
        <f t="shared" si="122"/>
        <v>1</v>
      </c>
      <c r="CR79" s="16">
        <f t="shared" si="123"/>
        <v>74</v>
      </c>
      <c r="CS79" s="24">
        <v>7.0833333333333197</v>
      </c>
      <c r="CT79" s="1"/>
      <c r="CU79" s="30">
        <f t="shared" si="120"/>
        <v>2</v>
      </c>
      <c r="CV79" s="31">
        <v>2635.2</v>
      </c>
      <c r="CW79" s="38">
        <f t="shared" si="121"/>
        <v>42.919999999999995</v>
      </c>
      <c r="CX79" s="29"/>
      <c r="CY79" s="31">
        <v>2645</v>
      </c>
      <c r="CZ79" s="29"/>
      <c r="DA79" s="29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</row>
    <row r="80" spans="1:134" ht="0.6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27">
        <f t="shared" si="122"/>
        <v>1</v>
      </c>
      <c r="CR80" s="16">
        <f t="shared" si="123"/>
        <v>75</v>
      </c>
      <c r="CS80" s="24">
        <v>7.1666666666666501</v>
      </c>
      <c r="CT80" s="1"/>
      <c r="CU80" s="30">
        <f t="shared" si="120"/>
        <v>2</v>
      </c>
      <c r="CV80" s="31">
        <v>2671.8</v>
      </c>
      <c r="CW80" s="38">
        <f t="shared" si="121"/>
        <v>43.53</v>
      </c>
      <c r="CX80" s="29"/>
      <c r="CY80" s="31">
        <v>2681.25</v>
      </c>
      <c r="CZ80" s="29"/>
      <c r="DA80" s="29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</row>
    <row r="81" spans="1:134" ht="0.6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27">
        <f t="shared" si="122"/>
        <v>1</v>
      </c>
      <c r="CR81" s="16">
        <f t="shared" si="123"/>
        <v>76</v>
      </c>
      <c r="CS81" s="24">
        <v>7.2499999999999902</v>
      </c>
      <c r="CT81" s="1"/>
      <c r="CU81" s="30">
        <f t="shared" si="120"/>
        <v>2</v>
      </c>
      <c r="CV81" s="31">
        <v>2708.4</v>
      </c>
      <c r="CW81" s="38">
        <f t="shared" si="121"/>
        <v>44.14</v>
      </c>
      <c r="CX81" s="29"/>
      <c r="CY81" s="31">
        <v>2717.5</v>
      </c>
      <c r="CZ81" s="29"/>
      <c r="DA81" s="29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</row>
    <row r="82" spans="1:134" ht="0.6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27">
        <f t="shared" si="122"/>
        <v>1</v>
      </c>
      <c r="CR82" s="16">
        <f t="shared" si="123"/>
        <v>77</v>
      </c>
      <c r="CS82" s="24">
        <v>7.3333333333333197</v>
      </c>
      <c r="CT82" s="1"/>
      <c r="CU82" s="30">
        <f t="shared" si="120"/>
        <v>2</v>
      </c>
      <c r="CV82" s="31">
        <v>2745</v>
      </c>
      <c r="CW82" s="38">
        <f t="shared" si="121"/>
        <v>44.75</v>
      </c>
      <c r="CX82" s="29"/>
      <c r="CY82" s="31">
        <v>2753.75</v>
      </c>
      <c r="CZ82" s="29"/>
      <c r="DA82" s="29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</row>
    <row r="83" spans="1:134" ht="0.6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27">
        <f t="shared" si="122"/>
        <v>1</v>
      </c>
      <c r="CR83" s="16">
        <f t="shared" si="123"/>
        <v>78</v>
      </c>
      <c r="CS83" s="24">
        <v>7.4166666666666501</v>
      </c>
      <c r="CT83" s="1"/>
      <c r="CU83" s="30">
        <f t="shared" si="120"/>
        <v>2</v>
      </c>
      <c r="CV83" s="31">
        <v>2781.6</v>
      </c>
      <c r="CW83" s="38">
        <f t="shared" si="121"/>
        <v>45.36</v>
      </c>
      <c r="CX83" s="29"/>
      <c r="CY83" s="31">
        <v>2790</v>
      </c>
      <c r="CZ83" s="29"/>
      <c r="DA83" s="29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</row>
    <row r="84" spans="1:134" ht="0.6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27">
        <f t="shared" si="122"/>
        <v>1</v>
      </c>
      <c r="CR84" s="16">
        <f t="shared" si="123"/>
        <v>79</v>
      </c>
      <c r="CS84" s="24">
        <v>7.4999999999999902</v>
      </c>
      <c r="CT84" s="1"/>
      <c r="CU84" s="30">
        <f t="shared" si="120"/>
        <v>2</v>
      </c>
      <c r="CV84" s="31">
        <v>2818.2</v>
      </c>
      <c r="CW84" s="38">
        <f t="shared" si="121"/>
        <v>45.97</v>
      </c>
      <c r="CX84" s="29"/>
      <c r="CY84" s="31">
        <v>2826.25</v>
      </c>
      <c r="CZ84" s="29"/>
      <c r="DA84" s="29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</row>
    <row r="85" spans="1:134" ht="0.6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27">
        <f t="shared" si="122"/>
        <v>1</v>
      </c>
      <c r="CR85" s="16">
        <f t="shared" si="123"/>
        <v>80</v>
      </c>
      <c r="CS85" s="24">
        <v>7.5833333333333197</v>
      </c>
      <c r="CT85" s="1"/>
      <c r="CU85" s="30">
        <f t="shared" si="120"/>
        <v>2</v>
      </c>
      <c r="CV85" s="31">
        <v>2854.8</v>
      </c>
      <c r="CW85" s="38">
        <f t="shared" si="121"/>
        <v>46.580000000000005</v>
      </c>
      <c r="CX85" s="29"/>
      <c r="CY85" s="31">
        <v>2862.5</v>
      </c>
      <c r="CZ85" s="29"/>
      <c r="DA85" s="29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</row>
    <row r="86" spans="1:134" ht="0.6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27">
        <f t="shared" si="122"/>
        <v>1</v>
      </c>
      <c r="CR86" s="16">
        <f t="shared" si="123"/>
        <v>81</v>
      </c>
      <c r="CS86" s="24">
        <v>7.6666666666666501</v>
      </c>
      <c r="CT86" s="1"/>
      <c r="CU86" s="30">
        <f t="shared" si="120"/>
        <v>2</v>
      </c>
      <c r="CV86" s="31">
        <v>2891.4</v>
      </c>
      <c r="CW86" s="38">
        <f t="shared" si="121"/>
        <v>47.190000000000005</v>
      </c>
      <c r="CX86" s="29"/>
      <c r="CY86" s="31">
        <v>2898.75</v>
      </c>
      <c r="CZ86" s="29"/>
      <c r="DA86" s="29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</row>
    <row r="87" spans="1:134" ht="0.6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27">
        <f t="shared" si="122"/>
        <v>1</v>
      </c>
      <c r="CR87" s="16">
        <f t="shared" si="123"/>
        <v>82</v>
      </c>
      <c r="CS87" s="24">
        <v>7.7499999999999796</v>
      </c>
      <c r="CT87" s="1"/>
      <c r="CU87" s="30">
        <f t="shared" si="120"/>
        <v>2</v>
      </c>
      <c r="CV87" s="31">
        <v>2928</v>
      </c>
      <c r="CW87" s="38">
        <f t="shared" si="121"/>
        <v>47.8</v>
      </c>
      <c r="CX87" s="29"/>
      <c r="CY87" s="31">
        <v>2935</v>
      </c>
      <c r="CZ87" s="29"/>
      <c r="DA87" s="29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</row>
    <row r="88" spans="1:134" ht="0.6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27">
        <f t="shared" si="122"/>
        <v>1</v>
      </c>
      <c r="CR88" s="16">
        <f t="shared" si="123"/>
        <v>83</v>
      </c>
      <c r="CS88" s="24">
        <v>7.8333333333333197</v>
      </c>
      <c r="CT88" s="1"/>
      <c r="CU88" s="30">
        <f t="shared" si="120"/>
        <v>2</v>
      </c>
      <c r="CV88" s="31">
        <v>2964.6</v>
      </c>
      <c r="CW88" s="38">
        <f t="shared" si="121"/>
        <v>48.41</v>
      </c>
      <c r="CX88" s="29"/>
      <c r="CY88" s="31">
        <v>2971.25</v>
      </c>
      <c r="CZ88" s="29"/>
      <c r="DA88" s="29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</row>
    <row r="89" spans="1:134" ht="0.6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27">
        <f t="shared" si="122"/>
        <v>1</v>
      </c>
      <c r="CR89" s="16">
        <f t="shared" si="123"/>
        <v>84</v>
      </c>
      <c r="CS89" s="24">
        <v>7.9166666666666501</v>
      </c>
      <c r="CT89" s="1"/>
      <c r="CU89" s="30">
        <f t="shared" si="120"/>
        <v>2</v>
      </c>
      <c r="CV89" s="31">
        <v>3001.2</v>
      </c>
      <c r="CW89" s="38">
        <f t="shared" si="121"/>
        <v>49.019999999999996</v>
      </c>
      <c r="CX89" s="29"/>
      <c r="CY89" s="31">
        <v>3007.5</v>
      </c>
      <c r="CZ89" s="29"/>
      <c r="DA89" s="29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</row>
    <row r="90" spans="1:134" ht="0.6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27">
        <f t="shared" si="122"/>
        <v>1</v>
      </c>
      <c r="CR90" s="16">
        <f t="shared" si="123"/>
        <v>85</v>
      </c>
      <c r="CS90" s="24">
        <v>7.9999999999999796</v>
      </c>
      <c r="CT90" s="1"/>
      <c r="CU90" s="30">
        <f t="shared" si="120"/>
        <v>2</v>
      </c>
      <c r="CV90" s="31">
        <v>3037.8</v>
      </c>
      <c r="CW90" s="38">
        <f t="shared" si="121"/>
        <v>49.63</v>
      </c>
      <c r="CX90" s="29"/>
      <c r="CY90" s="31">
        <v>3043.75</v>
      </c>
      <c r="CZ90" s="29"/>
      <c r="DA90" s="29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</row>
    <row r="91" spans="1:134" ht="0.6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27">
        <f t="shared" si="122"/>
        <v>1</v>
      </c>
      <c r="CR91" s="16">
        <f t="shared" si="123"/>
        <v>86</v>
      </c>
      <c r="CS91" s="24">
        <v>8.0833333333333197</v>
      </c>
      <c r="CT91" s="1"/>
      <c r="CU91" s="30">
        <f t="shared" si="120"/>
        <v>2</v>
      </c>
      <c r="CV91" s="31">
        <v>3074.4</v>
      </c>
      <c r="CW91" s="38">
        <f t="shared" si="121"/>
        <v>50.24</v>
      </c>
      <c r="CX91" s="29"/>
      <c r="CY91" s="31">
        <v>3080</v>
      </c>
      <c r="CZ91" s="29"/>
      <c r="DA91" s="29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</row>
    <row r="92" spans="1:134" ht="0.6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27">
        <f t="shared" si="122"/>
        <v>1</v>
      </c>
      <c r="CR92" s="16">
        <f t="shared" si="123"/>
        <v>87</v>
      </c>
      <c r="CS92" s="24">
        <v>8.1666666666666501</v>
      </c>
      <c r="CT92" s="1"/>
      <c r="CU92" s="30">
        <f t="shared" si="120"/>
        <v>2</v>
      </c>
      <c r="CV92" s="31">
        <v>3111</v>
      </c>
      <c r="CW92" s="38">
        <f t="shared" si="121"/>
        <v>50.85</v>
      </c>
      <c r="CX92" s="29"/>
      <c r="CY92" s="31">
        <v>3116.25</v>
      </c>
      <c r="CZ92" s="29"/>
      <c r="DA92" s="29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</row>
    <row r="93" spans="1:134" ht="0.6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27">
        <f t="shared" si="122"/>
        <v>1</v>
      </c>
      <c r="CR93" s="16">
        <f t="shared" si="123"/>
        <v>88</v>
      </c>
      <c r="CS93" s="24">
        <v>8.2499999999999893</v>
      </c>
      <c r="CT93" s="1"/>
      <c r="CU93" s="30">
        <f t="shared" si="120"/>
        <v>2</v>
      </c>
      <c r="CV93" s="31">
        <v>3147.6</v>
      </c>
      <c r="CW93" s="38">
        <f t="shared" si="121"/>
        <v>51.46</v>
      </c>
      <c r="CX93" s="29"/>
      <c r="CY93" s="31">
        <v>3152.5</v>
      </c>
      <c r="CZ93" s="29"/>
      <c r="DA93" s="29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</row>
    <row r="94" spans="1:134" ht="0.6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27">
        <f t="shared" si="122"/>
        <v>1</v>
      </c>
      <c r="CR94" s="16">
        <f t="shared" si="123"/>
        <v>89</v>
      </c>
      <c r="CS94" s="24">
        <v>8.3333333333333197</v>
      </c>
      <c r="CT94" s="1"/>
      <c r="CU94" s="30">
        <f t="shared" si="120"/>
        <v>2</v>
      </c>
      <c r="CV94" s="31">
        <v>3184.2</v>
      </c>
      <c r="CW94" s="38">
        <f t="shared" si="121"/>
        <v>52.07</v>
      </c>
      <c r="CX94" s="29"/>
      <c r="CY94" s="31">
        <v>3188.75</v>
      </c>
      <c r="CZ94" s="29"/>
      <c r="DA94" s="29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</row>
    <row r="95" spans="1:134" ht="0.6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27">
        <f t="shared" si="122"/>
        <v>1</v>
      </c>
      <c r="CR95" s="16">
        <f t="shared" si="123"/>
        <v>90</v>
      </c>
      <c r="CS95" s="24">
        <v>8.4166666666666501</v>
      </c>
      <c r="CT95" s="1"/>
      <c r="CU95" s="30">
        <f t="shared" si="120"/>
        <v>2</v>
      </c>
      <c r="CV95" s="31">
        <v>3220.8</v>
      </c>
      <c r="CW95" s="38">
        <f t="shared" si="121"/>
        <v>52.68</v>
      </c>
      <c r="CX95" s="29"/>
      <c r="CY95" s="31">
        <v>3225</v>
      </c>
      <c r="CZ95" s="29"/>
      <c r="DA95" s="29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</row>
    <row r="96" spans="1:134" ht="0.6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27">
        <f t="shared" si="122"/>
        <v>1</v>
      </c>
      <c r="CR96" s="16">
        <f t="shared" si="123"/>
        <v>91</v>
      </c>
      <c r="CS96" s="24">
        <v>8.4999999999999893</v>
      </c>
      <c r="CT96" s="1"/>
      <c r="CU96" s="30">
        <f t="shared" si="120"/>
        <v>2</v>
      </c>
      <c r="CV96" s="31">
        <v>3257.4</v>
      </c>
      <c r="CW96" s="38">
        <f t="shared" si="121"/>
        <v>53.29</v>
      </c>
      <c r="CX96" s="29"/>
      <c r="CY96" s="31">
        <v>3261.25</v>
      </c>
      <c r="CZ96" s="29"/>
      <c r="DA96" s="29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</row>
    <row r="97" spans="1:214" ht="0.6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27">
        <f t="shared" si="122"/>
        <v>1</v>
      </c>
      <c r="CR97" s="16">
        <f t="shared" si="123"/>
        <v>92</v>
      </c>
      <c r="CS97" s="24">
        <v>8.5833333333333197</v>
      </c>
      <c r="CT97" s="1"/>
      <c r="CU97" s="30">
        <f t="shared" si="120"/>
        <v>2</v>
      </c>
      <c r="CV97" s="31">
        <v>3294</v>
      </c>
      <c r="CW97" s="38">
        <f t="shared" si="121"/>
        <v>53.9</v>
      </c>
      <c r="CX97" s="29"/>
      <c r="CY97" s="31">
        <v>3297.5</v>
      </c>
      <c r="CZ97" s="29"/>
      <c r="DA97" s="29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</row>
    <row r="98" spans="1:214" ht="0.6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27">
        <f t="shared" si="122"/>
        <v>1</v>
      </c>
      <c r="CR98" s="16">
        <f t="shared" si="123"/>
        <v>93</v>
      </c>
      <c r="CS98" s="24">
        <v>8.6666666666666501</v>
      </c>
      <c r="CT98" s="1"/>
      <c r="CU98" s="30">
        <f t="shared" si="120"/>
        <v>2</v>
      </c>
      <c r="CV98" s="31">
        <v>3330.6</v>
      </c>
      <c r="CW98" s="38">
        <f t="shared" si="121"/>
        <v>54.51</v>
      </c>
      <c r="CX98" s="29"/>
      <c r="CY98" s="31">
        <v>3333.75</v>
      </c>
      <c r="CZ98" s="29"/>
      <c r="DA98" s="29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</row>
    <row r="99" spans="1:214" ht="0.6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27">
        <f t="shared" si="122"/>
        <v>1</v>
      </c>
      <c r="CR99" s="16">
        <f t="shared" si="123"/>
        <v>94</v>
      </c>
      <c r="CS99" s="24">
        <v>8.7499999999999893</v>
      </c>
      <c r="CT99" s="1"/>
      <c r="CU99" s="30">
        <f t="shared" si="120"/>
        <v>2</v>
      </c>
      <c r="CV99" s="31">
        <v>3367.2</v>
      </c>
      <c r="CW99" s="38">
        <f t="shared" si="121"/>
        <v>55.12</v>
      </c>
      <c r="CX99" s="29"/>
      <c r="CY99" s="31">
        <v>3370</v>
      </c>
      <c r="CZ99" s="29"/>
      <c r="DA99" s="29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</row>
    <row r="100" spans="1:214" ht="0.6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27">
        <f t="shared" si="122"/>
        <v>1</v>
      </c>
      <c r="CR100" s="16">
        <f t="shared" si="123"/>
        <v>95</v>
      </c>
      <c r="CS100" s="24">
        <v>8.8333333333333197</v>
      </c>
      <c r="CT100" s="1"/>
      <c r="CU100" s="30">
        <f t="shared" si="120"/>
        <v>2</v>
      </c>
      <c r="CV100" s="31">
        <v>3403.8</v>
      </c>
      <c r="CW100" s="38">
        <f t="shared" si="121"/>
        <v>55.730000000000004</v>
      </c>
      <c r="CX100" s="29"/>
      <c r="CY100" s="31">
        <v>3406.25</v>
      </c>
      <c r="CZ100" s="29"/>
      <c r="DA100" s="29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</row>
    <row r="101" spans="1:214" ht="1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27">
        <f t="shared" si="122"/>
        <v>1</v>
      </c>
      <c r="CR101" s="16">
        <f t="shared" si="123"/>
        <v>96</v>
      </c>
      <c r="CS101" s="24">
        <v>8.9166666666666607</v>
      </c>
      <c r="CT101" s="1"/>
      <c r="CU101" s="30">
        <f t="shared" si="120"/>
        <v>2</v>
      </c>
      <c r="CV101" s="31">
        <v>3440.4</v>
      </c>
      <c r="CW101" s="38">
        <f t="shared" si="121"/>
        <v>56.34</v>
      </c>
      <c r="CX101" s="29"/>
      <c r="CY101" s="31">
        <v>3442.5</v>
      </c>
      <c r="CZ101" s="29"/>
      <c r="DA101" s="29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</row>
    <row r="102" spans="1:214" ht="1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27">
        <f t="shared" si="122"/>
        <v>1</v>
      </c>
      <c r="CR102" s="16">
        <f t="shared" si="123"/>
        <v>97</v>
      </c>
      <c r="CS102" s="24">
        <v>8.9999999999999893</v>
      </c>
      <c r="CT102" s="1"/>
      <c r="CU102" s="30">
        <f t="shared" ref="CU102:CU107" si="124">IF(CV102&lt;=CU$4,1,2)</f>
        <v>2</v>
      </c>
      <c r="CV102" s="31">
        <v>3477</v>
      </c>
      <c r="CW102" s="38">
        <f t="shared" ref="CW102:CW107" si="125">IF(CV102=0,0,(CV102/CW$5)-1)</f>
        <v>56.95</v>
      </c>
      <c r="CX102" s="29"/>
      <c r="CY102" s="31">
        <v>3478.75</v>
      </c>
      <c r="CZ102" s="29"/>
      <c r="DA102" s="29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</row>
    <row r="103" spans="1:214" ht="1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27">
        <f t="shared" si="122"/>
        <v>1</v>
      </c>
      <c r="CR103" s="16">
        <f t="shared" si="123"/>
        <v>98</v>
      </c>
      <c r="CS103" s="24">
        <v>9.0833333333333197</v>
      </c>
      <c r="CT103" s="1"/>
      <c r="CU103" s="30">
        <f t="shared" si="124"/>
        <v>2</v>
      </c>
      <c r="CV103" s="31">
        <v>3513.6</v>
      </c>
      <c r="CW103" s="38">
        <f t="shared" si="125"/>
        <v>57.559999999999995</v>
      </c>
      <c r="CX103" s="29"/>
      <c r="CY103" s="31">
        <v>3515</v>
      </c>
      <c r="CZ103" s="29"/>
      <c r="DA103" s="29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</row>
    <row r="104" spans="1:214" ht="1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27">
        <f t="shared" si="122"/>
        <v>1</v>
      </c>
      <c r="CR104" s="16">
        <f t="shared" si="123"/>
        <v>99</v>
      </c>
      <c r="CS104" s="24">
        <v>9.1666666666666607</v>
      </c>
      <c r="CT104" s="1"/>
      <c r="CU104" s="30">
        <f t="shared" si="124"/>
        <v>2</v>
      </c>
      <c r="CV104" s="31">
        <v>3550.2</v>
      </c>
      <c r="CW104" s="38">
        <f t="shared" si="125"/>
        <v>58.169999999999995</v>
      </c>
      <c r="CX104" s="29"/>
      <c r="CY104" s="31">
        <v>3551.25</v>
      </c>
      <c r="CZ104" s="29"/>
      <c r="DA104" s="29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</row>
    <row r="105" spans="1:214" ht="1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27">
        <f t="shared" si="122"/>
        <v>1</v>
      </c>
      <c r="CR105" s="16">
        <f t="shared" si="123"/>
        <v>100</v>
      </c>
      <c r="CS105" s="24">
        <v>9.2499999999999893</v>
      </c>
      <c r="CT105" s="1"/>
      <c r="CU105" s="30">
        <f t="shared" si="124"/>
        <v>2</v>
      </c>
      <c r="CV105" s="31">
        <v>3586.8</v>
      </c>
      <c r="CW105" s="38">
        <f t="shared" si="125"/>
        <v>58.78</v>
      </c>
      <c r="CX105" s="29"/>
      <c r="CY105" s="31">
        <v>3587.5</v>
      </c>
      <c r="CZ105" s="29"/>
      <c r="DA105" s="29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</row>
    <row r="106" spans="1:214" ht="6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27">
        <f t="shared" si="122"/>
        <v>1</v>
      </c>
      <c r="CR106" s="16">
        <f t="shared" si="123"/>
        <v>101</v>
      </c>
      <c r="CS106" s="24">
        <v>9.3333333333333304</v>
      </c>
      <c r="CT106" s="1"/>
      <c r="CU106" s="30">
        <f t="shared" si="124"/>
        <v>2</v>
      </c>
      <c r="CV106" s="31">
        <v>3623.4</v>
      </c>
      <c r="CW106" s="38">
        <f t="shared" si="125"/>
        <v>59.39</v>
      </c>
      <c r="CX106" s="29"/>
      <c r="CY106" s="31">
        <v>3623.75</v>
      </c>
      <c r="CZ106" s="29"/>
      <c r="DA106" s="29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</row>
    <row r="107" spans="1:214" ht="6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27">
        <f t="shared" si="122"/>
        <v>1</v>
      </c>
      <c r="CR107" s="16">
        <f t="shared" si="123"/>
        <v>102</v>
      </c>
      <c r="CS107" s="24">
        <v>9.4166666666666607</v>
      </c>
      <c r="CT107" s="1"/>
      <c r="CU107" s="30">
        <f t="shared" si="124"/>
        <v>2</v>
      </c>
      <c r="CV107" s="31">
        <v>3660</v>
      </c>
      <c r="CW107" s="38">
        <f t="shared" si="125"/>
        <v>60</v>
      </c>
      <c r="CX107" s="29"/>
      <c r="CY107" s="31">
        <v>3660</v>
      </c>
      <c r="CZ107" s="29"/>
      <c r="DA107" s="29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</row>
    <row r="108" spans="1:214" ht="6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27">
        <f t="shared" si="122"/>
        <v>1</v>
      </c>
      <c r="CR108" s="16">
        <f t="shared" si="123"/>
        <v>103</v>
      </c>
      <c r="CS108" s="24">
        <v>9.4999999999999893</v>
      </c>
      <c r="CT108" s="1"/>
      <c r="CU108" s="29"/>
      <c r="CV108" s="29"/>
      <c r="CW108" s="29"/>
      <c r="CX108" s="29"/>
      <c r="CY108" s="29"/>
      <c r="CZ108" s="29"/>
      <c r="DA108" s="29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</row>
    <row r="109" spans="1:214" ht="6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27">
        <f t="shared" si="122"/>
        <v>1</v>
      </c>
      <c r="CR109" s="16">
        <f t="shared" si="123"/>
        <v>104</v>
      </c>
      <c r="CS109" s="24">
        <v>9.5833333333333304</v>
      </c>
      <c r="CT109" s="1"/>
      <c r="CU109" s="29"/>
      <c r="CV109" s="29"/>
      <c r="CW109" s="29"/>
      <c r="CX109" s="29"/>
      <c r="CY109" s="29"/>
      <c r="CZ109" s="29"/>
      <c r="DA109" s="29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</row>
    <row r="110" spans="1:214" ht="6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27">
        <f t="shared" si="122"/>
        <v>1</v>
      </c>
      <c r="CR110" s="16">
        <f t="shared" si="123"/>
        <v>105</v>
      </c>
      <c r="CS110" s="24">
        <v>9.6666666666666607</v>
      </c>
      <c r="CT110" s="1"/>
      <c r="CU110" s="29"/>
      <c r="CV110" s="29"/>
      <c r="CW110" s="29"/>
      <c r="CX110" s="29"/>
      <c r="CY110" s="29"/>
      <c r="CZ110" s="29"/>
      <c r="DA110" s="29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</row>
    <row r="111" spans="1:214" ht="1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27">
        <f t="shared" si="122"/>
        <v>1</v>
      </c>
      <c r="CR111" s="16">
        <f t="shared" si="123"/>
        <v>106</v>
      </c>
      <c r="CS111" s="24">
        <v>9.75</v>
      </c>
      <c r="CT111" s="1"/>
      <c r="CU111" s="29"/>
      <c r="CV111" s="29"/>
      <c r="CW111" s="29"/>
      <c r="CX111" s="29"/>
      <c r="CY111" s="29"/>
      <c r="CZ111" s="29"/>
      <c r="DA111" s="29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</row>
    <row r="112" spans="1:214" ht="1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27">
        <f t="shared" si="122"/>
        <v>1</v>
      </c>
      <c r="CR112" s="16">
        <f t="shared" si="123"/>
        <v>107</v>
      </c>
      <c r="CS112" s="24">
        <v>9.8333333333333304</v>
      </c>
      <c r="CT112" s="1"/>
      <c r="CU112" s="29"/>
      <c r="CV112" s="29"/>
      <c r="CW112" s="29"/>
      <c r="CX112" s="29"/>
      <c r="CY112" s="29"/>
      <c r="CZ112" s="29"/>
      <c r="DA112" s="29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</row>
    <row r="113" spans="1:214" ht="1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27">
        <f t="shared" si="122"/>
        <v>1</v>
      </c>
      <c r="CR113" s="16">
        <f t="shared" si="123"/>
        <v>108</v>
      </c>
      <c r="CS113" s="24">
        <v>9.9166666666666607</v>
      </c>
      <c r="CT113" s="1"/>
      <c r="CU113" s="29"/>
      <c r="CV113" s="29"/>
      <c r="CW113" s="29"/>
      <c r="CX113" s="29"/>
      <c r="CY113" s="29"/>
      <c r="CZ113" s="29"/>
      <c r="DA113" s="29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</row>
    <row r="114" spans="1:214" ht="1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27">
        <f t="shared" si="122"/>
        <v>1</v>
      </c>
      <c r="CR114" s="16">
        <f t="shared" si="123"/>
        <v>109</v>
      </c>
      <c r="CS114" s="24">
        <v>10</v>
      </c>
      <c r="CT114" s="1"/>
      <c r="CU114" s="29"/>
      <c r="CV114" s="29"/>
      <c r="CW114" s="29"/>
      <c r="CX114" s="29"/>
      <c r="CY114" s="29"/>
      <c r="CZ114" s="29"/>
      <c r="DA114" s="29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</row>
    <row r="115" spans="1:214" ht="1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27">
        <f t="shared" si="122"/>
        <v>1</v>
      </c>
      <c r="CR115" s="16">
        <f t="shared" si="123"/>
        <v>110</v>
      </c>
      <c r="CS115" s="24">
        <v>10.0833333333333</v>
      </c>
      <c r="CT115" s="1"/>
      <c r="CU115" s="29"/>
      <c r="CV115" s="29"/>
      <c r="CW115" s="29"/>
      <c r="CX115" s="29"/>
      <c r="CY115" s="29"/>
      <c r="CZ115" s="29"/>
      <c r="DA115" s="29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</row>
    <row r="116" spans="1:214" ht="1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27">
        <f t="shared" si="122"/>
        <v>1</v>
      </c>
      <c r="CR116" s="16">
        <f t="shared" si="123"/>
        <v>111</v>
      </c>
      <c r="CS116" s="24">
        <v>10.1666666666666</v>
      </c>
      <c r="CT116" s="1"/>
      <c r="CU116" s="29"/>
      <c r="CV116" s="29"/>
      <c r="CW116" s="29"/>
      <c r="CX116" s="29"/>
      <c r="CY116" s="29"/>
      <c r="CZ116" s="29"/>
      <c r="DA116" s="29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</row>
    <row r="117" spans="1:214" ht="1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27">
        <f t="shared" si="122"/>
        <v>1</v>
      </c>
      <c r="CR117" s="16">
        <f t="shared" si="123"/>
        <v>112</v>
      </c>
      <c r="CS117" s="24">
        <v>10.25</v>
      </c>
      <c r="CT117" s="1"/>
      <c r="CU117" s="29"/>
      <c r="CV117" s="29"/>
      <c r="CW117" s="29"/>
      <c r="CX117" s="29"/>
      <c r="CY117" s="29"/>
      <c r="CZ117" s="29"/>
      <c r="DA117" s="29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</row>
    <row r="118" spans="1:214" ht="1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27">
        <f t="shared" si="122"/>
        <v>1</v>
      </c>
      <c r="CR118" s="16">
        <f t="shared" si="123"/>
        <v>113</v>
      </c>
      <c r="CS118" s="24">
        <v>10.3333333333333</v>
      </c>
      <c r="CT118" s="1"/>
      <c r="CU118" s="29"/>
      <c r="CV118" s="29"/>
      <c r="CW118" s="29"/>
      <c r="CX118" s="29"/>
      <c r="CY118" s="29"/>
      <c r="CZ118" s="29"/>
      <c r="DA118" s="29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</row>
    <row r="119" spans="1:214" ht="1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27">
        <f t="shared" si="122"/>
        <v>1</v>
      </c>
      <c r="CR119" s="16">
        <f t="shared" si="123"/>
        <v>114</v>
      </c>
      <c r="CS119" s="24">
        <v>10.4166666666666</v>
      </c>
      <c r="CT119" s="1"/>
      <c r="CU119" s="29"/>
      <c r="CV119" s="29"/>
      <c r="CW119" s="29"/>
      <c r="CX119" s="29"/>
      <c r="CY119" s="29"/>
      <c r="CZ119" s="29"/>
      <c r="DA119" s="29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</row>
    <row r="120" spans="1:214" ht="1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27">
        <f t="shared" si="122"/>
        <v>1</v>
      </c>
      <c r="CR120" s="16">
        <f t="shared" si="123"/>
        <v>115</v>
      </c>
      <c r="CS120" s="24">
        <v>10.5</v>
      </c>
      <c r="CT120" s="1"/>
      <c r="CU120" s="29"/>
      <c r="CV120" s="29"/>
      <c r="CW120" s="29"/>
      <c r="CX120" s="29"/>
      <c r="CY120" s="29"/>
      <c r="CZ120" s="29"/>
      <c r="DA120" s="29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</row>
    <row r="121" spans="1:214" ht="1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27">
        <f t="shared" si="122"/>
        <v>1</v>
      </c>
      <c r="CR121" s="16">
        <f t="shared" si="123"/>
        <v>116</v>
      </c>
      <c r="CS121" s="24">
        <v>10.5833333333333</v>
      </c>
      <c r="CT121" s="1"/>
      <c r="CU121" s="29"/>
      <c r="CV121" s="29"/>
      <c r="CW121" s="29"/>
      <c r="CX121" s="29"/>
      <c r="CY121" s="29"/>
      <c r="CZ121" s="29"/>
      <c r="DA121" s="29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</row>
    <row r="122" spans="1:214" ht="1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27">
        <f t="shared" si="122"/>
        <v>1</v>
      </c>
      <c r="CR122" s="16">
        <f t="shared" si="123"/>
        <v>117</v>
      </c>
      <c r="CS122" s="24">
        <v>10.6666666666666</v>
      </c>
      <c r="CT122" s="1"/>
      <c r="CU122" s="29"/>
      <c r="CV122" s="29"/>
      <c r="CW122" s="29"/>
      <c r="CX122" s="29"/>
      <c r="CY122" s="29"/>
      <c r="CZ122" s="29"/>
      <c r="DA122" s="29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</row>
    <row r="123" spans="1:214" ht="1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27">
        <f t="shared" si="122"/>
        <v>1</v>
      </c>
      <c r="CR123" s="16">
        <f t="shared" si="123"/>
        <v>118</v>
      </c>
      <c r="CS123" s="24">
        <v>10.75</v>
      </c>
      <c r="CT123" s="1"/>
      <c r="CU123" s="29"/>
      <c r="CV123" s="29"/>
      <c r="CW123" s="29"/>
      <c r="CX123" s="29"/>
      <c r="CY123" s="29"/>
      <c r="CZ123" s="29"/>
      <c r="DA123" s="29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</row>
    <row r="124" spans="1:214" ht="1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27">
        <f t="shared" si="122"/>
        <v>1</v>
      </c>
      <c r="CR124" s="16">
        <f t="shared" si="123"/>
        <v>119</v>
      </c>
      <c r="CS124" s="24">
        <v>10.8333333333333</v>
      </c>
      <c r="CT124" s="1"/>
      <c r="CU124" s="29"/>
      <c r="CV124" s="29"/>
      <c r="CW124" s="29"/>
      <c r="CX124" s="29"/>
      <c r="CY124" s="29"/>
      <c r="CZ124" s="29"/>
      <c r="DA124" s="29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</row>
    <row r="125" spans="1:214" ht="1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27">
        <f t="shared" si="122"/>
        <v>1</v>
      </c>
      <c r="CR125" s="16">
        <f t="shared" si="123"/>
        <v>120</v>
      </c>
      <c r="CS125" s="24">
        <v>10.9166666666666</v>
      </c>
      <c r="CT125" s="1"/>
      <c r="CU125" s="29"/>
      <c r="CV125" s="29"/>
      <c r="CW125" s="29"/>
      <c r="CX125" s="29"/>
      <c r="CY125" s="29"/>
      <c r="CZ125" s="29"/>
      <c r="DA125" s="29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</row>
    <row r="126" spans="1:214" ht="1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27">
        <f t="shared" si="122"/>
        <v>1</v>
      </c>
      <c r="CR126" s="16">
        <f t="shared" si="123"/>
        <v>121</v>
      </c>
      <c r="CS126" s="24">
        <v>11</v>
      </c>
      <c r="CT126" s="1"/>
      <c r="CU126" s="29"/>
      <c r="CV126" s="29"/>
      <c r="CW126" s="29"/>
      <c r="CX126" s="29"/>
      <c r="CY126" s="29"/>
      <c r="CZ126" s="29"/>
      <c r="DA126" s="29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</row>
    <row r="127" spans="1:214" ht="1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27">
        <f t="shared" si="122"/>
        <v>2</v>
      </c>
      <c r="CR127" s="16">
        <f t="shared" si="123"/>
        <v>122</v>
      </c>
      <c r="CS127" s="24">
        <v>11.0833333333333</v>
      </c>
      <c r="CT127" s="1"/>
      <c r="CU127" s="29"/>
      <c r="CV127" s="29"/>
      <c r="CW127" s="29"/>
      <c r="CX127" s="29"/>
      <c r="CY127" s="29"/>
      <c r="CZ127" s="29"/>
      <c r="DA127" s="29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</row>
    <row r="128" spans="1:214" ht="1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27">
        <f t="shared" si="122"/>
        <v>2</v>
      </c>
      <c r="CR128" s="16">
        <f t="shared" si="123"/>
        <v>123</v>
      </c>
      <c r="CS128" s="24">
        <v>11.1666666666666</v>
      </c>
      <c r="CT128" s="1"/>
      <c r="CU128" s="29"/>
      <c r="CV128" s="29"/>
      <c r="CW128" s="29"/>
      <c r="CX128" s="29"/>
      <c r="CY128" s="29"/>
      <c r="CZ128" s="29"/>
      <c r="DA128" s="29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</row>
    <row r="129" spans="1:214" ht="1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27">
        <f t="shared" si="122"/>
        <v>2</v>
      </c>
      <c r="CR129" s="16">
        <f t="shared" si="123"/>
        <v>124</v>
      </c>
      <c r="CS129" s="24">
        <v>11.25</v>
      </c>
      <c r="CT129" s="1"/>
      <c r="CU129" s="29"/>
      <c r="CV129" s="29"/>
      <c r="CW129" s="29"/>
      <c r="CX129" s="29"/>
      <c r="CY129" s="29"/>
      <c r="CZ129" s="29"/>
      <c r="DA129" s="29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</row>
    <row r="130" spans="1:214" ht="1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27">
        <f t="shared" si="122"/>
        <v>2</v>
      </c>
      <c r="CR130" s="16">
        <f t="shared" si="123"/>
        <v>125</v>
      </c>
      <c r="CS130" s="24">
        <v>11.3333333333333</v>
      </c>
      <c r="CT130" s="1"/>
      <c r="CU130" s="29"/>
      <c r="CV130" s="29"/>
      <c r="CW130" s="29"/>
      <c r="CX130" s="29"/>
      <c r="CY130" s="29"/>
      <c r="CZ130" s="29"/>
      <c r="DA130" s="29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</row>
    <row r="131" spans="1:214" ht="1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27">
        <f t="shared" si="122"/>
        <v>2</v>
      </c>
      <c r="CR131" s="16">
        <f t="shared" si="123"/>
        <v>126</v>
      </c>
      <c r="CS131" s="24">
        <v>11.4166666666666</v>
      </c>
      <c r="CT131" s="1"/>
      <c r="CU131" s="29"/>
      <c r="CV131" s="29"/>
      <c r="CW131" s="29"/>
      <c r="CX131" s="29"/>
      <c r="CY131" s="29"/>
      <c r="CZ131" s="29"/>
      <c r="DA131" s="29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</row>
    <row r="132" spans="1:214" ht="1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27">
        <f t="shared" si="122"/>
        <v>2</v>
      </c>
      <c r="CR132" s="16">
        <f t="shared" si="123"/>
        <v>127</v>
      </c>
      <c r="CS132" s="24">
        <v>11.5</v>
      </c>
      <c r="CT132" s="1"/>
      <c r="CU132" s="29"/>
      <c r="CV132" s="29"/>
      <c r="CW132" s="29"/>
      <c r="CX132" s="29"/>
      <c r="CY132" s="29"/>
      <c r="CZ132" s="29"/>
      <c r="DA132" s="29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</row>
    <row r="133" spans="1:214" ht="1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27">
        <f t="shared" si="122"/>
        <v>2</v>
      </c>
      <c r="CR133" s="16">
        <f t="shared" si="123"/>
        <v>128</v>
      </c>
      <c r="CS133" s="24">
        <v>11.5833333333333</v>
      </c>
      <c r="CT133" s="1"/>
      <c r="CU133" s="29"/>
      <c r="CV133" s="29"/>
      <c r="CW133" s="29"/>
      <c r="CX133" s="29"/>
      <c r="CY133" s="29"/>
      <c r="CZ133" s="29"/>
      <c r="DA133" s="29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</row>
    <row r="134" spans="1:214" ht="1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27">
        <f t="shared" si="122"/>
        <v>2</v>
      </c>
      <c r="CR134" s="16">
        <f t="shared" si="123"/>
        <v>129</v>
      </c>
      <c r="CS134" s="24">
        <v>11.6666666666666</v>
      </c>
      <c r="CT134" s="1"/>
      <c r="CU134" s="29"/>
      <c r="CV134" s="29"/>
      <c r="CW134" s="29"/>
      <c r="CX134" s="29"/>
      <c r="CY134" s="29"/>
      <c r="CZ134" s="29"/>
      <c r="DA134" s="29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</row>
    <row r="135" spans="1:214" ht="1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27">
        <f t="shared" ref="CQ135:CQ198" si="126">_xlfn.IFS(CR135&lt;=$CS$3,1,CR135&lt;=$CS$4,2,CR135&lt;=$CS$5,3)</f>
        <v>2</v>
      </c>
      <c r="CR135" s="16">
        <f t="shared" si="123"/>
        <v>130</v>
      </c>
      <c r="CS135" s="24">
        <v>11.75</v>
      </c>
      <c r="CT135" s="1"/>
      <c r="CU135" s="29"/>
      <c r="CV135" s="29"/>
      <c r="CW135" s="29"/>
      <c r="CX135" s="29"/>
      <c r="CY135" s="29"/>
      <c r="CZ135" s="29"/>
      <c r="DA135" s="29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</row>
    <row r="136" spans="1:214" ht="1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27">
        <f t="shared" si="126"/>
        <v>2</v>
      </c>
      <c r="CR136" s="16">
        <f t="shared" ref="CR136:CR199" si="127">CR135+1</f>
        <v>131</v>
      </c>
      <c r="CS136" s="24">
        <v>11.8333333333333</v>
      </c>
      <c r="CT136" s="1"/>
      <c r="CU136" s="29"/>
      <c r="CV136" s="29"/>
      <c r="CW136" s="29"/>
      <c r="CX136" s="29"/>
      <c r="CY136" s="29"/>
      <c r="CZ136" s="29"/>
      <c r="DA136" s="29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</row>
    <row r="137" spans="1:214" ht="1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27">
        <f t="shared" si="126"/>
        <v>2</v>
      </c>
      <c r="CR137" s="16">
        <f t="shared" si="127"/>
        <v>132</v>
      </c>
      <c r="CS137" s="24">
        <v>11.9166666666666</v>
      </c>
      <c r="CT137" s="1"/>
      <c r="CU137" s="29"/>
      <c r="CV137" s="29"/>
      <c r="CW137" s="29"/>
      <c r="CX137" s="29"/>
      <c r="CY137" s="29"/>
      <c r="CZ137" s="29"/>
      <c r="DA137" s="29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</row>
    <row r="138" spans="1:214" ht="1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27">
        <f t="shared" si="126"/>
        <v>2</v>
      </c>
      <c r="CR138" s="16">
        <f t="shared" si="127"/>
        <v>133</v>
      </c>
      <c r="CS138" s="24">
        <v>12</v>
      </c>
      <c r="CT138" s="1"/>
      <c r="CU138" s="29"/>
      <c r="CV138" s="29"/>
      <c r="CW138" s="29"/>
      <c r="CX138" s="29"/>
      <c r="CY138" s="29"/>
      <c r="CZ138" s="29"/>
      <c r="DA138" s="29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</row>
    <row r="139" spans="1:214" ht="1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27">
        <f t="shared" si="126"/>
        <v>2</v>
      </c>
      <c r="CR139" s="16">
        <f t="shared" si="127"/>
        <v>134</v>
      </c>
      <c r="CS139" s="24">
        <v>12.0833333333333</v>
      </c>
      <c r="CT139" s="1"/>
      <c r="CU139" s="29"/>
      <c r="CV139" s="29"/>
      <c r="CW139" s="29"/>
      <c r="CX139" s="29"/>
      <c r="CY139" s="29"/>
      <c r="CZ139" s="29"/>
      <c r="DA139" s="29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</row>
    <row r="140" spans="1:214" ht="1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27">
        <f t="shared" si="126"/>
        <v>2</v>
      </c>
      <c r="CR140" s="16">
        <f t="shared" si="127"/>
        <v>135</v>
      </c>
      <c r="CS140" s="24">
        <v>12.1666666666666</v>
      </c>
      <c r="CT140" s="1"/>
      <c r="CU140" s="29"/>
      <c r="CV140" s="29"/>
      <c r="CW140" s="29"/>
      <c r="CX140" s="29"/>
      <c r="CY140" s="29"/>
      <c r="CZ140" s="29"/>
      <c r="DA140" s="29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</row>
    <row r="141" spans="1:214" ht="1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27">
        <f t="shared" si="126"/>
        <v>2</v>
      </c>
      <c r="CR141" s="16">
        <f t="shared" si="127"/>
        <v>136</v>
      </c>
      <c r="CS141" s="24">
        <v>12.25</v>
      </c>
      <c r="CT141" s="1"/>
      <c r="CU141" s="29"/>
      <c r="CV141" s="29"/>
      <c r="CW141" s="29"/>
      <c r="CX141" s="29"/>
      <c r="CY141" s="29"/>
      <c r="CZ141" s="29"/>
      <c r="DA141" s="29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</row>
    <row r="142" spans="1:214" ht="1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27">
        <f t="shared" si="126"/>
        <v>2</v>
      </c>
      <c r="CR142" s="16">
        <f t="shared" si="127"/>
        <v>137</v>
      </c>
      <c r="CS142" s="24">
        <v>12.3333333333333</v>
      </c>
      <c r="CT142" s="1"/>
      <c r="CU142" s="29"/>
      <c r="CV142" s="29"/>
      <c r="CW142" s="29"/>
      <c r="CX142" s="29"/>
      <c r="CY142" s="29"/>
      <c r="CZ142" s="29"/>
      <c r="DA142" s="29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</row>
    <row r="143" spans="1:214" ht="1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27">
        <f t="shared" si="126"/>
        <v>2</v>
      </c>
      <c r="CR143" s="16">
        <f t="shared" si="127"/>
        <v>138</v>
      </c>
      <c r="CS143" s="24">
        <v>12.4166666666666</v>
      </c>
      <c r="CT143" s="1"/>
      <c r="CU143" s="29"/>
      <c r="CV143" s="29"/>
      <c r="CW143" s="29"/>
      <c r="CX143" s="29"/>
      <c r="CY143" s="29"/>
      <c r="CZ143" s="29"/>
      <c r="DA143" s="29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</row>
    <row r="144" spans="1:214" ht="1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27">
        <f t="shared" si="126"/>
        <v>2</v>
      </c>
      <c r="CR144" s="16">
        <f t="shared" si="127"/>
        <v>139</v>
      </c>
      <c r="CS144" s="24">
        <v>12.5</v>
      </c>
      <c r="CT144" s="1"/>
      <c r="CU144" s="29"/>
      <c r="CV144" s="29"/>
      <c r="CW144" s="29"/>
      <c r="CX144" s="29"/>
      <c r="CY144" s="29"/>
      <c r="CZ144" s="29"/>
      <c r="DA144" s="29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</row>
    <row r="145" spans="1:214" ht="1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27">
        <f t="shared" si="126"/>
        <v>2</v>
      </c>
      <c r="CR145" s="16">
        <f t="shared" si="127"/>
        <v>140</v>
      </c>
      <c r="CS145" s="24">
        <v>12.5833333333333</v>
      </c>
      <c r="CT145" s="1"/>
      <c r="CU145" s="29"/>
      <c r="CV145" s="29"/>
      <c r="CW145" s="29"/>
      <c r="CX145" s="29"/>
      <c r="CY145" s="29"/>
      <c r="CZ145" s="29"/>
      <c r="DA145" s="29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</row>
    <row r="146" spans="1:214" ht="1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27">
        <f t="shared" si="126"/>
        <v>2</v>
      </c>
      <c r="CR146" s="16">
        <f t="shared" si="127"/>
        <v>141</v>
      </c>
      <c r="CS146" s="24">
        <v>12.6666666666666</v>
      </c>
      <c r="CT146" s="1"/>
      <c r="CU146" s="29"/>
      <c r="CV146" s="29"/>
      <c r="CW146" s="29"/>
      <c r="CX146" s="29"/>
      <c r="CY146" s="29"/>
      <c r="CZ146" s="29"/>
      <c r="DA146" s="29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</row>
    <row r="147" spans="1:214" ht="1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27">
        <f t="shared" si="126"/>
        <v>2</v>
      </c>
      <c r="CR147" s="16">
        <f t="shared" si="127"/>
        <v>142</v>
      </c>
      <c r="CS147" s="24">
        <v>12.75</v>
      </c>
      <c r="CT147" s="1"/>
      <c r="CU147" s="29"/>
      <c r="CV147" s="29"/>
      <c r="CW147" s="29"/>
      <c r="CX147" s="29"/>
      <c r="CY147" s="29"/>
      <c r="CZ147" s="29"/>
      <c r="DA147" s="29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</row>
    <row r="148" spans="1:214" ht="1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27">
        <f t="shared" si="126"/>
        <v>2</v>
      </c>
      <c r="CR148" s="16">
        <f t="shared" si="127"/>
        <v>143</v>
      </c>
      <c r="CS148" s="24">
        <v>12.8333333333333</v>
      </c>
      <c r="CT148" s="1"/>
      <c r="CU148" s="29"/>
      <c r="CV148" s="29"/>
      <c r="CW148" s="29"/>
      <c r="CX148" s="29"/>
      <c r="CY148" s="29"/>
      <c r="CZ148" s="29"/>
      <c r="DA148" s="29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</row>
    <row r="149" spans="1:214" ht="1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27">
        <f t="shared" si="126"/>
        <v>2</v>
      </c>
      <c r="CR149" s="16">
        <f t="shared" si="127"/>
        <v>144</v>
      </c>
      <c r="CS149" s="24">
        <v>12.9166666666666</v>
      </c>
      <c r="CT149" s="1"/>
      <c r="CU149" s="29"/>
      <c r="CV149" s="29"/>
      <c r="CW149" s="29"/>
      <c r="CX149" s="29"/>
      <c r="CY149" s="29"/>
      <c r="CZ149" s="29"/>
      <c r="DA149" s="29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2"/>
      <c r="DN149" s="2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</row>
    <row r="150" spans="1:214" ht="1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27">
        <f t="shared" si="126"/>
        <v>2</v>
      </c>
      <c r="CR150" s="16">
        <f t="shared" si="127"/>
        <v>145</v>
      </c>
      <c r="CS150" s="24">
        <v>13</v>
      </c>
      <c r="CT150" s="1"/>
      <c r="CU150" s="29"/>
      <c r="CV150" s="29"/>
      <c r="CW150" s="29"/>
      <c r="CX150" s="29"/>
      <c r="CY150" s="29"/>
      <c r="CZ150" s="29"/>
      <c r="DA150" s="29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2"/>
      <c r="DN150" s="2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</row>
    <row r="151" spans="1:214" ht="1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27">
        <f t="shared" si="126"/>
        <v>2</v>
      </c>
      <c r="CR151" s="16">
        <f t="shared" si="127"/>
        <v>146</v>
      </c>
      <c r="CS151" s="24">
        <v>13.0833333333333</v>
      </c>
      <c r="CT151" s="1"/>
      <c r="CU151" s="29"/>
      <c r="CV151" s="29"/>
      <c r="CW151" s="29"/>
      <c r="CX151" s="29"/>
      <c r="CY151" s="29"/>
      <c r="CZ151" s="29"/>
      <c r="DA151" s="29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2"/>
      <c r="DN151" s="2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</row>
    <row r="152" spans="1:214" ht="1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27">
        <f t="shared" si="126"/>
        <v>2</v>
      </c>
      <c r="CR152" s="16">
        <f t="shared" si="127"/>
        <v>147</v>
      </c>
      <c r="CS152" s="24">
        <v>13.1666666666666</v>
      </c>
      <c r="CT152" s="1"/>
      <c r="CU152" s="29"/>
      <c r="CV152" s="29"/>
      <c r="CW152" s="29"/>
      <c r="CX152" s="29"/>
      <c r="CY152" s="29"/>
      <c r="CZ152" s="29"/>
      <c r="DA152" s="29"/>
      <c r="DB152" s="1"/>
      <c r="DC152" s="1"/>
      <c r="DD152" s="1"/>
      <c r="DE152" s="1"/>
      <c r="DF152" s="1"/>
      <c r="DG152" s="1"/>
      <c r="DH152" s="1"/>
      <c r="DI152" s="1"/>
      <c r="DJ152" s="1"/>
      <c r="DK152" s="2"/>
      <c r="DL152" s="31">
        <f>IF(DL151+'44_Beta'!FQ$3*'44_Beta'!FR$3&gt;'44_Beta'!$FP$5,"",DL151+'44_Beta'!FQ$3*'44_Beta'!FR$3)</f>
        <v>365</v>
      </c>
      <c r="DM152" s="2"/>
      <c r="DN152" s="2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</row>
    <row r="153" spans="1:214" ht="1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27">
        <f t="shared" si="126"/>
        <v>2</v>
      </c>
      <c r="CR153" s="16">
        <f t="shared" si="127"/>
        <v>148</v>
      </c>
      <c r="CS153" s="24">
        <v>13.25</v>
      </c>
      <c r="CT153" s="1"/>
      <c r="CU153" s="29"/>
      <c r="CV153" s="29"/>
      <c r="CW153" s="29"/>
      <c r="CX153" s="29"/>
      <c r="CY153" s="29"/>
      <c r="CZ153" s="29"/>
      <c r="DA153" s="29"/>
      <c r="DB153" s="1"/>
      <c r="DC153" s="1"/>
      <c r="DD153" s="1"/>
      <c r="DE153" s="1"/>
      <c r="DF153" s="1"/>
      <c r="DG153" s="1"/>
      <c r="DH153" s="1"/>
      <c r="DI153" s="1"/>
      <c r="DJ153" s="1"/>
      <c r="DK153" s="2"/>
      <c r="DL153" s="2"/>
      <c r="DM153" s="2"/>
      <c r="DN153" s="2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</row>
    <row r="154" spans="1:214" ht="1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27">
        <f t="shared" si="126"/>
        <v>2</v>
      </c>
      <c r="CR154" s="16">
        <f t="shared" si="127"/>
        <v>149</v>
      </c>
      <c r="CS154" s="24">
        <v>13.3333333333333</v>
      </c>
      <c r="CT154" s="1"/>
      <c r="CU154" s="29"/>
      <c r="CV154" s="29"/>
      <c r="CW154" s="29"/>
      <c r="CX154" s="29"/>
      <c r="CY154" s="29"/>
      <c r="CZ154" s="29"/>
      <c r="DA154" s="29"/>
      <c r="DB154" s="1"/>
      <c r="DC154" s="1"/>
      <c r="DD154" s="1"/>
      <c r="DE154" s="1"/>
      <c r="DF154" s="1"/>
      <c r="DG154" s="1"/>
      <c r="DH154" s="1"/>
      <c r="DI154" s="1"/>
      <c r="DJ154" s="1"/>
      <c r="DK154" s="2"/>
      <c r="DL154" s="2"/>
      <c r="DM154" s="2"/>
      <c r="DN154" s="2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</row>
    <row r="155" spans="1:214" ht="1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27">
        <f t="shared" si="126"/>
        <v>2</v>
      </c>
      <c r="CR155" s="16">
        <f t="shared" si="127"/>
        <v>150</v>
      </c>
      <c r="CS155" s="24">
        <v>13.4166666666666</v>
      </c>
      <c r="CT155" s="1"/>
      <c r="CU155" s="29"/>
      <c r="CV155" s="29"/>
      <c r="CW155" s="29"/>
      <c r="CX155" s="29"/>
      <c r="CY155" s="29"/>
      <c r="CZ155" s="29"/>
      <c r="DA155" s="29"/>
      <c r="DB155" s="1"/>
      <c r="DC155" s="1"/>
      <c r="DD155" s="1"/>
      <c r="DE155" s="1"/>
      <c r="DF155" s="1"/>
      <c r="DG155" s="1"/>
      <c r="DH155" s="1"/>
      <c r="DI155" s="1"/>
      <c r="DJ155" s="1"/>
      <c r="DK155" s="2"/>
      <c r="DL155" s="2"/>
      <c r="DM155" s="2"/>
      <c r="DN155" s="2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</row>
    <row r="156" spans="1:214" ht="1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27">
        <f t="shared" si="126"/>
        <v>2</v>
      </c>
      <c r="CR156" s="16">
        <f t="shared" si="127"/>
        <v>151</v>
      </c>
      <c r="CS156" s="24">
        <v>13.5</v>
      </c>
      <c r="CT156" s="1"/>
      <c r="CU156" s="29"/>
      <c r="CV156" s="29"/>
      <c r="CW156" s="29"/>
      <c r="CX156" s="29"/>
      <c r="CY156" s="29"/>
      <c r="CZ156" s="29"/>
      <c r="DA156" s="29"/>
      <c r="DB156" s="1"/>
      <c r="DC156" s="1"/>
      <c r="DD156" s="1"/>
      <c r="DE156" s="1"/>
      <c r="DF156" s="1"/>
      <c r="DG156" s="1"/>
      <c r="DH156" s="1"/>
      <c r="DI156" s="1"/>
      <c r="DJ156" s="1"/>
      <c r="DK156" s="2"/>
      <c r="DL156" s="2"/>
      <c r="DM156" s="2"/>
      <c r="DN156" s="2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</row>
    <row r="157" spans="1:214" ht="1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27">
        <f t="shared" si="126"/>
        <v>2</v>
      </c>
      <c r="CR157" s="16">
        <f t="shared" si="127"/>
        <v>152</v>
      </c>
      <c r="CS157" s="24">
        <v>13.5833333333333</v>
      </c>
      <c r="CT157" s="1"/>
      <c r="CU157" s="29"/>
      <c r="CV157" s="29"/>
      <c r="CW157" s="29"/>
      <c r="CX157" s="29"/>
      <c r="CY157" s="29"/>
      <c r="CZ157" s="29"/>
      <c r="DA157" s="29"/>
      <c r="DB157" s="1"/>
      <c r="DC157" s="1"/>
      <c r="DD157" s="1"/>
      <c r="DE157" s="1"/>
      <c r="DF157" s="1"/>
      <c r="DG157" s="1"/>
      <c r="DH157" s="1"/>
      <c r="DI157" s="1"/>
      <c r="DJ157" s="1"/>
      <c r="DK157" s="2"/>
      <c r="DL157" s="2"/>
      <c r="DM157" s="2"/>
      <c r="DN157" s="2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</row>
    <row r="158" spans="1:214" ht="1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27">
        <f t="shared" si="126"/>
        <v>2</v>
      </c>
      <c r="CR158" s="16">
        <f t="shared" si="127"/>
        <v>153</v>
      </c>
      <c r="CS158" s="24">
        <v>13.6666666666666</v>
      </c>
      <c r="CT158" s="1"/>
      <c r="CU158" s="29"/>
      <c r="CV158" s="29"/>
      <c r="CW158" s="29"/>
      <c r="CX158" s="29"/>
      <c r="CY158" s="29"/>
      <c r="CZ158" s="29"/>
      <c r="DA158" s="29"/>
      <c r="DB158" s="1"/>
      <c r="DC158" s="1"/>
      <c r="DD158" s="1"/>
      <c r="DE158" s="1"/>
      <c r="DF158" s="1"/>
      <c r="DG158" s="1"/>
      <c r="DH158" s="1"/>
      <c r="DI158" s="1"/>
      <c r="DJ158" s="1"/>
      <c r="DK158" s="2"/>
      <c r="DL158" s="2"/>
      <c r="DM158" s="2"/>
      <c r="DN158" s="2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</row>
    <row r="159" spans="1:214" ht="1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27">
        <f t="shared" si="126"/>
        <v>2</v>
      </c>
      <c r="CR159" s="16">
        <f t="shared" si="127"/>
        <v>154</v>
      </c>
      <c r="CS159" s="24">
        <v>13.75</v>
      </c>
      <c r="CT159" s="1"/>
      <c r="CU159" s="29"/>
      <c r="CV159" s="29"/>
      <c r="CW159" s="29"/>
      <c r="CX159" s="29"/>
      <c r="CY159" s="29"/>
      <c r="CZ159" s="29"/>
      <c r="DA159" s="29"/>
      <c r="DB159" s="1"/>
      <c r="DC159" s="1"/>
      <c r="DD159" s="1"/>
      <c r="DE159" s="1"/>
      <c r="DF159" s="1"/>
      <c r="DG159" s="1"/>
      <c r="DH159" s="1"/>
      <c r="DI159" s="1"/>
      <c r="DJ159" s="1"/>
      <c r="DK159" s="2"/>
      <c r="DL159" s="2"/>
      <c r="DM159" s="2"/>
      <c r="DN159" s="2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</row>
    <row r="160" spans="1:214" ht="1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27">
        <f t="shared" si="126"/>
        <v>2</v>
      </c>
      <c r="CR160" s="16">
        <f t="shared" si="127"/>
        <v>155</v>
      </c>
      <c r="CS160" s="24">
        <v>13.8333333333333</v>
      </c>
      <c r="CT160" s="1"/>
      <c r="DA160" s="29"/>
      <c r="DB160" s="1"/>
      <c r="DC160" s="1"/>
      <c r="DD160" s="1"/>
      <c r="DE160" s="1"/>
      <c r="DF160" s="1"/>
      <c r="DG160" s="1"/>
      <c r="DH160" s="1"/>
      <c r="DI160" s="1"/>
      <c r="DJ160" s="1"/>
      <c r="DK160" s="2"/>
      <c r="DL160" s="2"/>
      <c r="DM160" s="2"/>
      <c r="DN160" s="2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</row>
    <row r="161" spans="1:214" ht="1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27">
        <f t="shared" si="126"/>
        <v>2</v>
      </c>
      <c r="CR161" s="16">
        <f t="shared" si="127"/>
        <v>156</v>
      </c>
      <c r="CS161" s="24">
        <v>13.9166666666666</v>
      </c>
      <c r="CT161" s="1"/>
      <c r="DC161" s="1"/>
      <c r="DD161" s="1"/>
      <c r="DE161" s="1"/>
      <c r="DF161" s="1"/>
      <c r="DG161" s="1"/>
      <c r="DH161" s="1"/>
      <c r="DI161" s="1"/>
      <c r="DJ161" s="1"/>
      <c r="DK161" s="2"/>
      <c r="DL161" s="2"/>
      <c r="DM161" s="2"/>
      <c r="DN161" s="2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</row>
    <row r="162" spans="1:214" ht="1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27">
        <f t="shared" si="126"/>
        <v>2</v>
      </c>
      <c r="CR162" s="16">
        <f t="shared" si="127"/>
        <v>157</v>
      </c>
      <c r="CS162" s="24">
        <v>14</v>
      </c>
      <c r="DC162" s="1"/>
      <c r="DD162" s="1"/>
      <c r="DE162" s="1"/>
      <c r="DF162" s="1"/>
      <c r="DG162" s="1"/>
      <c r="DH162" s="1"/>
      <c r="DI162" s="1"/>
      <c r="DJ162" s="1"/>
      <c r="DK162" s="2"/>
      <c r="DL162" s="2"/>
      <c r="DM162" s="2"/>
      <c r="DN162" s="2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</row>
    <row r="163" spans="1:214" ht="1.5" customHeight="1" x14ac:dyDescent="0.25">
      <c r="CQ163" s="27">
        <f t="shared" si="126"/>
        <v>2</v>
      </c>
      <c r="CR163" s="16">
        <f t="shared" si="127"/>
        <v>158</v>
      </c>
      <c r="CS163" s="24">
        <v>14.0833333333333</v>
      </c>
      <c r="DE163" s="1"/>
      <c r="DF163" s="1"/>
    </row>
    <row r="164" spans="1:214" ht="1.5" customHeight="1" x14ac:dyDescent="0.25">
      <c r="CQ164" s="27">
        <f t="shared" si="126"/>
        <v>2</v>
      </c>
      <c r="CR164" s="16">
        <f t="shared" si="127"/>
        <v>159</v>
      </c>
      <c r="CS164" s="24">
        <v>14.1666666666666</v>
      </c>
    </row>
    <row r="165" spans="1:214" ht="1.5" customHeight="1" x14ac:dyDescent="0.25">
      <c r="CQ165" s="27">
        <f t="shared" si="126"/>
        <v>2</v>
      </c>
      <c r="CR165" s="16">
        <f t="shared" si="127"/>
        <v>160</v>
      </c>
      <c r="CS165" s="24">
        <v>14.25</v>
      </c>
    </row>
    <row r="166" spans="1:214" ht="1.5" customHeight="1" x14ac:dyDescent="0.25">
      <c r="CQ166" s="27">
        <f t="shared" si="126"/>
        <v>2</v>
      </c>
      <c r="CR166" s="16">
        <f t="shared" si="127"/>
        <v>161</v>
      </c>
      <c r="CS166" s="24">
        <v>14.3333333333333</v>
      </c>
    </row>
    <row r="167" spans="1:214" ht="1.5" customHeight="1" x14ac:dyDescent="0.25">
      <c r="CQ167" s="27">
        <f t="shared" si="126"/>
        <v>2</v>
      </c>
      <c r="CR167" s="16">
        <f t="shared" si="127"/>
        <v>162</v>
      </c>
      <c r="CS167" s="24">
        <v>14.4166666666666</v>
      </c>
    </row>
    <row r="168" spans="1:214" ht="1.5" customHeight="1" x14ac:dyDescent="0.25">
      <c r="CQ168" s="27">
        <f t="shared" si="126"/>
        <v>2</v>
      </c>
      <c r="CR168" s="16">
        <f t="shared" si="127"/>
        <v>163</v>
      </c>
      <c r="CS168" s="24">
        <v>14.5</v>
      </c>
    </row>
    <row r="169" spans="1:214" ht="1.5" customHeight="1" x14ac:dyDescent="0.25">
      <c r="CQ169" s="27">
        <f t="shared" si="126"/>
        <v>2</v>
      </c>
      <c r="CR169" s="16">
        <f t="shared" si="127"/>
        <v>164</v>
      </c>
      <c r="CS169" s="24">
        <v>14.5833333333333</v>
      </c>
    </row>
    <row r="170" spans="1:214" ht="1.5" customHeight="1" x14ac:dyDescent="0.25">
      <c r="CQ170" s="27">
        <f t="shared" si="126"/>
        <v>2</v>
      </c>
      <c r="CR170" s="16">
        <f t="shared" si="127"/>
        <v>165</v>
      </c>
      <c r="CS170" s="24">
        <v>14.6666666666666</v>
      </c>
    </row>
    <row r="171" spans="1:214" ht="1.5" customHeight="1" x14ac:dyDescent="0.25">
      <c r="CQ171" s="27">
        <f t="shared" si="126"/>
        <v>2</v>
      </c>
      <c r="CR171" s="16">
        <f t="shared" si="127"/>
        <v>166</v>
      </c>
      <c r="CS171" s="24">
        <v>14.75</v>
      </c>
    </row>
    <row r="172" spans="1:214" ht="1.5" customHeight="1" x14ac:dyDescent="0.25">
      <c r="CQ172" s="27">
        <f t="shared" si="126"/>
        <v>2</v>
      </c>
      <c r="CR172" s="16">
        <f t="shared" si="127"/>
        <v>167</v>
      </c>
      <c r="CS172" s="24">
        <v>14.8333333333333</v>
      </c>
    </row>
    <row r="173" spans="1:214" ht="1.5" customHeight="1" x14ac:dyDescent="0.25">
      <c r="CQ173" s="27">
        <f t="shared" si="126"/>
        <v>2</v>
      </c>
      <c r="CR173" s="16">
        <f t="shared" si="127"/>
        <v>168</v>
      </c>
      <c r="CS173" s="24">
        <v>14.9166666666666</v>
      </c>
    </row>
    <row r="174" spans="1:214" ht="1.5" customHeight="1" x14ac:dyDescent="0.25">
      <c r="CQ174" s="27">
        <f t="shared" si="126"/>
        <v>2</v>
      </c>
      <c r="CR174" s="16">
        <f t="shared" si="127"/>
        <v>169</v>
      </c>
      <c r="CS174" s="24">
        <v>15</v>
      </c>
    </row>
    <row r="175" spans="1:214" ht="1.5" customHeight="1" x14ac:dyDescent="0.25">
      <c r="CQ175" s="27">
        <f t="shared" si="126"/>
        <v>2</v>
      </c>
      <c r="CR175" s="16">
        <f t="shared" si="127"/>
        <v>170</v>
      </c>
      <c r="CS175" s="24">
        <v>15.0833333333333</v>
      </c>
    </row>
    <row r="176" spans="1:214" ht="1.5" customHeight="1" x14ac:dyDescent="0.25">
      <c r="CQ176" s="27">
        <f t="shared" si="126"/>
        <v>2</v>
      </c>
      <c r="CR176" s="16">
        <f t="shared" si="127"/>
        <v>171</v>
      </c>
      <c r="CS176" s="24">
        <v>15.1666666666666</v>
      </c>
    </row>
    <row r="177" spans="95:97" ht="1.5" customHeight="1" x14ac:dyDescent="0.25">
      <c r="CQ177" s="27">
        <f t="shared" si="126"/>
        <v>2</v>
      </c>
      <c r="CR177" s="16">
        <f t="shared" si="127"/>
        <v>172</v>
      </c>
      <c r="CS177" s="24">
        <v>15.25</v>
      </c>
    </row>
    <row r="178" spans="95:97" ht="1.5" customHeight="1" x14ac:dyDescent="0.25">
      <c r="CQ178" s="27">
        <f t="shared" si="126"/>
        <v>2</v>
      </c>
      <c r="CR178" s="16">
        <f t="shared" si="127"/>
        <v>173</v>
      </c>
      <c r="CS178" s="24">
        <v>15.3333333333333</v>
      </c>
    </row>
    <row r="179" spans="95:97" ht="1.5" customHeight="1" x14ac:dyDescent="0.25">
      <c r="CQ179" s="27">
        <f t="shared" si="126"/>
        <v>2</v>
      </c>
      <c r="CR179" s="16">
        <f t="shared" si="127"/>
        <v>174</v>
      </c>
      <c r="CS179" s="24">
        <v>15.4166666666666</v>
      </c>
    </row>
    <row r="180" spans="95:97" ht="1.5" customHeight="1" x14ac:dyDescent="0.25">
      <c r="CQ180" s="27">
        <f t="shared" si="126"/>
        <v>2</v>
      </c>
      <c r="CR180" s="16">
        <f t="shared" si="127"/>
        <v>175</v>
      </c>
      <c r="CS180" s="24">
        <v>15.5</v>
      </c>
    </row>
    <row r="181" spans="95:97" ht="1.5" customHeight="1" x14ac:dyDescent="0.25">
      <c r="CQ181" s="27">
        <f t="shared" si="126"/>
        <v>2</v>
      </c>
      <c r="CR181" s="16">
        <f t="shared" si="127"/>
        <v>176</v>
      </c>
      <c r="CS181" s="24">
        <v>15.5833333333333</v>
      </c>
    </row>
    <row r="182" spans="95:97" ht="1.5" customHeight="1" x14ac:dyDescent="0.25">
      <c r="CQ182" s="27">
        <f t="shared" si="126"/>
        <v>2</v>
      </c>
      <c r="CR182" s="16">
        <f t="shared" si="127"/>
        <v>177</v>
      </c>
      <c r="CS182" s="24">
        <v>15.6666666666667</v>
      </c>
    </row>
    <row r="183" spans="95:97" ht="1.5" customHeight="1" x14ac:dyDescent="0.25">
      <c r="CQ183" s="27">
        <f t="shared" si="126"/>
        <v>2</v>
      </c>
      <c r="CR183" s="16">
        <f t="shared" si="127"/>
        <v>178</v>
      </c>
      <c r="CS183" s="24">
        <v>15.75</v>
      </c>
    </row>
    <row r="184" spans="95:97" ht="1.5" customHeight="1" x14ac:dyDescent="0.25">
      <c r="CQ184" s="27">
        <f t="shared" si="126"/>
        <v>2</v>
      </c>
      <c r="CR184" s="16">
        <f t="shared" si="127"/>
        <v>179</v>
      </c>
      <c r="CS184" s="24">
        <v>15.8333333333333</v>
      </c>
    </row>
    <row r="185" spans="95:97" ht="1.5" customHeight="1" x14ac:dyDescent="0.25">
      <c r="CQ185" s="27">
        <f t="shared" si="126"/>
        <v>2</v>
      </c>
      <c r="CR185" s="16">
        <f t="shared" si="127"/>
        <v>180</v>
      </c>
      <c r="CS185" s="24">
        <v>15.9166666666667</v>
      </c>
    </row>
    <row r="186" spans="95:97" ht="1.5" customHeight="1" x14ac:dyDescent="0.25">
      <c r="CQ186" s="27">
        <f t="shared" si="126"/>
        <v>2</v>
      </c>
      <c r="CR186" s="16">
        <f t="shared" si="127"/>
        <v>181</v>
      </c>
      <c r="CS186" s="24">
        <v>16</v>
      </c>
    </row>
    <row r="187" spans="95:97" ht="1.5" customHeight="1" x14ac:dyDescent="0.25">
      <c r="CQ187" s="27">
        <f t="shared" si="126"/>
        <v>2</v>
      </c>
      <c r="CR187" s="16">
        <f t="shared" si="127"/>
        <v>182</v>
      </c>
      <c r="CS187" s="24">
        <v>16.0833333333333</v>
      </c>
    </row>
    <row r="188" spans="95:97" ht="1.5" customHeight="1" x14ac:dyDescent="0.25">
      <c r="CQ188" s="27">
        <f t="shared" si="126"/>
        <v>2</v>
      </c>
      <c r="CR188" s="16">
        <f t="shared" si="127"/>
        <v>183</v>
      </c>
      <c r="CS188" s="24">
        <v>16.1666666666667</v>
      </c>
    </row>
    <row r="189" spans="95:97" ht="1.5" customHeight="1" x14ac:dyDescent="0.25">
      <c r="CQ189" s="27">
        <f t="shared" si="126"/>
        <v>2</v>
      </c>
      <c r="CR189" s="16">
        <f t="shared" si="127"/>
        <v>184</v>
      </c>
      <c r="CS189" s="24">
        <v>16.25</v>
      </c>
    </row>
    <row r="190" spans="95:97" ht="1.5" customHeight="1" x14ac:dyDescent="0.25">
      <c r="CQ190" s="27">
        <f t="shared" si="126"/>
        <v>2</v>
      </c>
      <c r="CR190" s="16">
        <f t="shared" si="127"/>
        <v>185</v>
      </c>
      <c r="CS190" s="24">
        <v>16.3333333333333</v>
      </c>
    </row>
    <row r="191" spans="95:97" ht="1.5" customHeight="1" x14ac:dyDescent="0.25">
      <c r="CQ191" s="27">
        <f t="shared" si="126"/>
        <v>2</v>
      </c>
      <c r="CR191" s="16">
        <f t="shared" si="127"/>
        <v>186</v>
      </c>
      <c r="CS191" s="24">
        <v>16.4166666666666</v>
      </c>
    </row>
    <row r="192" spans="95:97" ht="1.5" customHeight="1" x14ac:dyDescent="0.25">
      <c r="CQ192" s="27">
        <f t="shared" si="126"/>
        <v>2</v>
      </c>
      <c r="CR192" s="16">
        <f t="shared" si="127"/>
        <v>187</v>
      </c>
      <c r="CS192" s="24">
        <v>16.5</v>
      </c>
    </row>
    <row r="193" spans="95:97" ht="1.5" customHeight="1" x14ac:dyDescent="0.25">
      <c r="CQ193" s="27">
        <f t="shared" si="126"/>
        <v>2</v>
      </c>
      <c r="CR193" s="16">
        <f t="shared" si="127"/>
        <v>188</v>
      </c>
      <c r="CS193" s="24">
        <v>16.5833333333333</v>
      </c>
    </row>
    <row r="194" spans="95:97" ht="1.5" customHeight="1" x14ac:dyDescent="0.25">
      <c r="CQ194" s="27">
        <f t="shared" si="126"/>
        <v>2</v>
      </c>
      <c r="CR194" s="16">
        <f t="shared" si="127"/>
        <v>189</v>
      </c>
      <c r="CS194" s="24">
        <v>16.6666666666666</v>
      </c>
    </row>
    <row r="195" spans="95:97" ht="1.5" customHeight="1" x14ac:dyDescent="0.25">
      <c r="CQ195" s="27">
        <f t="shared" si="126"/>
        <v>2</v>
      </c>
      <c r="CR195" s="16">
        <f t="shared" si="127"/>
        <v>190</v>
      </c>
      <c r="CS195" s="24">
        <v>16.75</v>
      </c>
    </row>
    <row r="196" spans="95:97" ht="1.5" customHeight="1" x14ac:dyDescent="0.25">
      <c r="CQ196" s="27">
        <f t="shared" si="126"/>
        <v>2</v>
      </c>
      <c r="CR196" s="16">
        <f t="shared" si="127"/>
        <v>191</v>
      </c>
      <c r="CS196" s="24">
        <v>16.8333333333333</v>
      </c>
    </row>
    <row r="197" spans="95:97" ht="1.5" customHeight="1" x14ac:dyDescent="0.25">
      <c r="CQ197" s="27">
        <f t="shared" si="126"/>
        <v>2</v>
      </c>
      <c r="CR197" s="16">
        <f t="shared" si="127"/>
        <v>192</v>
      </c>
      <c r="CS197" s="24">
        <v>16.9166666666666</v>
      </c>
    </row>
    <row r="198" spans="95:97" ht="1.5" customHeight="1" x14ac:dyDescent="0.25">
      <c r="CQ198" s="27">
        <f t="shared" si="126"/>
        <v>2</v>
      </c>
      <c r="CR198" s="16">
        <f t="shared" si="127"/>
        <v>193</v>
      </c>
      <c r="CS198" s="24">
        <v>17</v>
      </c>
    </row>
    <row r="199" spans="95:97" ht="1.5" customHeight="1" x14ac:dyDescent="0.25">
      <c r="CQ199" s="27">
        <f t="shared" ref="CQ199:CQ262" si="128">_xlfn.IFS(CR199&lt;=$CS$3,1,CR199&lt;=$CS$4,2,CR199&lt;=$CS$5,3)</f>
        <v>2</v>
      </c>
      <c r="CR199" s="16">
        <f t="shared" si="127"/>
        <v>194</v>
      </c>
      <c r="CS199" s="24">
        <v>17.0833333333333</v>
      </c>
    </row>
    <row r="200" spans="95:97" ht="1.5" customHeight="1" x14ac:dyDescent="0.25">
      <c r="CQ200" s="27">
        <f t="shared" si="128"/>
        <v>2</v>
      </c>
      <c r="CR200" s="16">
        <f t="shared" ref="CR200:CR263" si="129">CR199+1</f>
        <v>195</v>
      </c>
      <c r="CS200" s="24">
        <v>17.1666666666666</v>
      </c>
    </row>
    <row r="201" spans="95:97" ht="1.5" customHeight="1" x14ac:dyDescent="0.25">
      <c r="CQ201" s="27">
        <f t="shared" si="128"/>
        <v>2</v>
      </c>
      <c r="CR201" s="16">
        <f t="shared" si="129"/>
        <v>196</v>
      </c>
      <c r="CS201" s="24">
        <v>17.25</v>
      </c>
    </row>
    <row r="202" spans="95:97" ht="1.5" customHeight="1" x14ac:dyDescent="0.25">
      <c r="CQ202" s="27">
        <f t="shared" si="128"/>
        <v>2</v>
      </c>
      <c r="CR202" s="16">
        <f t="shared" si="129"/>
        <v>197</v>
      </c>
      <c r="CS202" s="24">
        <v>17.3333333333333</v>
      </c>
    </row>
    <row r="203" spans="95:97" ht="1.5" customHeight="1" x14ac:dyDescent="0.25">
      <c r="CQ203" s="27">
        <f t="shared" si="128"/>
        <v>2</v>
      </c>
      <c r="CR203" s="16">
        <f t="shared" si="129"/>
        <v>198</v>
      </c>
      <c r="CS203" s="24">
        <v>17.4166666666666</v>
      </c>
    </row>
    <row r="204" spans="95:97" ht="1.5" customHeight="1" x14ac:dyDescent="0.25">
      <c r="CQ204" s="27">
        <f t="shared" si="128"/>
        <v>2</v>
      </c>
      <c r="CR204" s="16">
        <f t="shared" si="129"/>
        <v>199</v>
      </c>
      <c r="CS204" s="24">
        <v>17.5</v>
      </c>
    </row>
    <row r="205" spans="95:97" ht="1.5" customHeight="1" x14ac:dyDescent="0.25">
      <c r="CQ205" s="27">
        <f t="shared" si="128"/>
        <v>2</v>
      </c>
      <c r="CR205" s="16">
        <f t="shared" si="129"/>
        <v>200</v>
      </c>
      <c r="CS205" s="24">
        <v>17.5833333333333</v>
      </c>
    </row>
    <row r="206" spans="95:97" ht="1.5" customHeight="1" x14ac:dyDescent="0.25">
      <c r="CQ206" s="27">
        <f t="shared" si="128"/>
        <v>2</v>
      </c>
      <c r="CR206" s="16">
        <f t="shared" si="129"/>
        <v>201</v>
      </c>
      <c r="CS206" s="24">
        <v>17.6666666666666</v>
      </c>
    </row>
    <row r="207" spans="95:97" ht="1.5" customHeight="1" x14ac:dyDescent="0.25">
      <c r="CQ207" s="27">
        <f t="shared" si="128"/>
        <v>2</v>
      </c>
      <c r="CR207" s="16">
        <f t="shared" si="129"/>
        <v>202</v>
      </c>
      <c r="CS207" s="24">
        <v>17.75</v>
      </c>
    </row>
    <row r="208" spans="95:97" ht="1.5" customHeight="1" x14ac:dyDescent="0.25">
      <c r="CQ208" s="27">
        <f t="shared" si="128"/>
        <v>2</v>
      </c>
      <c r="CR208" s="16">
        <f t="shared" si="129"/>
        <v>203</v>
      </c>
      <c r="CS208" s="24">
        <v>17.8333333333333</v>
      </c>
    </row>
    <row r="209" spans="95:97" ht="1.5" customHeight="1" x14ac:dyDescent="0.25">
      <c r="CQ209" s="27">
        <f t="shared" si="128"/>
        <v>2</v>
      </c>
      <c r="CR209" s="16">
        <f t="shared" si="129"/>
        <v>204</v>
      </c>
      <c r="CS209" s="24">
        <v>17.9166666666666</v>
      </c>
    </row>
    <row r="210" spans="95:97" ht="1.5" customHeight="1" x14ac:dyDescent="0.25">
      <c r="CQ210" s="27">
        <f t="shared" si="128"/>
        <v>2</v>
      </c>
      <c r="CR210" s="16">
        <f t="shared" si="129"/>
        <v>205</v>
      </c>
      <c r="CS210" s="24">
        <v>18</v>
      </c>
    </row>
    <row r="211" spans="95:97" ht="1.5" customHeight="1" x14ac:dyDescent="0.25">
      <c r="CQ211" s="27">
        <f t="shared" si="128"/>
        <v>2</v>
      </c>
      <c r="CR211" s="16">
        <f t="shared" si="129"/>
        <v>206</v>
      </c>
      <c r="CS211" s="24">
        <v>18.0833333333333</v>
      </c>
    </row>
    <row r="212" spans="95:97" ht="1.5" customHeight="1" x14ac:dyDescent="0.25">
      <c r="CQ212" s="27">
        <f t="shared" si="128"/>
        <v>2</v>
      </c>
      <c r="CR212" s="16">
        <f t="shared" si="129"/>
        <v>207</v>
      </c>
      <c r="CS212" s="24">
        <v>18.1666666666666</v>
      </c>
    </row>
    <row r="213" spans="95:97" ht="1.5" customHeight="1" x14ac:dyDescent="0.25">
      <c r="CQ213" s="27">
        <f t="shared" si="128"/>
        <v>2</v>
      </c>
      <c r="CR213" s="16">
        <f t="shared" si="129"/>
        <v>208</v>
      </c>
      <c r="CS213" s="24">
        <v>18.25</v>
      </c>
    </row>
    <row r="214" spans="95:97" ht="1.5" customHeight="1" x14ac:dyDescent="0.25">
      <c r="CQ214" s="27">
        <f t="shared" si="128"/>
        <v>2</v>
      </c>
      <c r="CR214" s="16">
        <f t="shared" si="129"/>
        <v>209</v>
      </c>
      <c r="CS214" s="24">
        <v>18.3333333333333</v>
      </c>
    </row>
    <row r="215" spans="95:97" ht="1.5" customHeight="1" x14ac:dyDescent="0.25">
      <c r="CQ215" s="27">
        <f t="shared" si="128"/>
        <v>2</v>
      </c>
      <c r="CR215" s="16">
        <f t="shared" si="129"/>
        <v>210</v>
      </c>
      <c r="CS215" s="24">
        <v>18.4166666666666</v>
      </c>
    </row>
    <row r="216" spans="95:97" ht="1.5" customHeight="1" x14ac:dyDescent="0.25">
      <c r="CQ216" s="27">
        <f t="shared" si="128"/>
        <v>2</v>
      </c>
      <c r="CR216" s="16">
        <f t="shared" si="129"/>
        <v>211</v>
      </c>
      <c r="CS216" s="24">
        <v>18.5</v>
      </c>
    </row>
    <row r="217" spans="95:97" ht="1.5" customHeight="1" x14ac:dyDescent="0.25">
      <c r="CQ217" s="27">
        <f t="shared" si="128"/>
        <v>2</v>
      </c>
      <c r="CR217" s="16">
        <f t="shared" si="129"/>
        <v>212</v>
      </c>
      <c r="CS217" s="24">
        <v>18.5833333333333</v>
      </c>
    </row>
    <row r="218" spans="95:97" ht="1.5" customHeight="1" x14ac:dyDescent="0.25">
      <c r="CQ218" s="27">
        <f t="shared" si="128"/>
        <v>2</v>
      </c>
      <c r="CR218" s="16">
        <f t="shared" si="129"/>
        <v>213</v>
      </c>
      <c r="CS218" s="24">
        <v>18.6666666666666</v>
      </c>
    </row>
    <row r="219" spans="95:97" ht="1.5" customHeight="1" x14ac:dyDescent="0.25">
      <c r="CQ219" s="27">
        <f t="shared" si="128"/>
        <v>2</v>
      </c>
      <c r="CR219" s="16">
        <f t="shared" si="129"/>
        <v>214</v>
      </c>
      <c r="CS219" s="24">
        <v>18.749999999999901</v>
      </c>
    </row>
    <row r="220" spans="95:97" ht="1.5" customHeight="1" x14ac:dyDescent="0.25">
      <c r="CQ220" s="27">
        <f t="shared" si="128"/>
        <v>2</v>
      </c>
      <c r="CR220" s="16">
        <f t="shared" si="129"/>
        <v>215</v>
      </c>
      <c r="CS220" s="24">
        <v>18.8333333333333</v>
      </c>
    </row>
    <row r="221" spans="95:97" ht="1.5" customHeight="1" x14ac:dyDescent="0.25">
      <c r="CQ221" s="27">
        <f t="shared" si="128"/>
        <v>2</v>
      </c>
      <c r="CR221" s="16">
        <f t="shared" si="129"/>
        <v>216</v>
      </c>
      <c r="CS221" s="24">
        <v>18.9166666666666</v>
      </c>
    </row>
    <row r="222" spans="95:97" ht="1.5" customHeight="1" x14ac:dyDescent="0.25">
      <c r="CQ222" s="27">
        <f t="shared" si="128"/>
        <v>2</v>
      </c>
      <c r="CR222" s="16">
        <f t="shared" si="129"/>
        <v>217</v>
      </c>
      <c r="CS222" s="24">
        <v>18.999999999999901</v>
      </c>
    </row>
    <row r="223" spans="95:97" ht="1.5" customHeight="1" x14ac:dyDescent="0.25">
      <c r="CQ223" s="27">
        <f t="shared" si="128"/>
        <v>2</v>
      </c>
      <c r="CR223" s="16">
        <f t="shared" si="129"/>
        <v>218</v>
      </c>
      <c r="CS223" s="24">
        <v>19.0833333333333</v>
      </c>
    </row>
    <row r="224" spans="95:97" ht="1.5" customHeight="1" x14ac:dyDescent="0.25">
      <c r="CQ224" s="27">
        <f t="shared" si="128"/>
        <v>2</v>
      </c>
      <c r="CR224" s="16">
        <f t="shared" si="129"/>
        <v>219</v>
      </c>
      <c r="CS224" s="24">
        <v>19.1666666666666</v>
      </c>
    </row>
    <row r="225" spans="95:97" ht="1.5" customHeight="1" x14ac:dyDescent="0.25">
      <c r="CQ225" s="27">
        <f t="shared" si="128"/>
        <v>2</v>
      </c>
      <c r="CR225" s="16">
        <f t="shared" si="129"/>
        <v>220</v>
      </c>
      <c r="CS225" s="24">
        <v>19.249999999999901</v>
      </c>
    </row>
    <row r="226" spans="95:97" ht="1.5" customHeight="1" x14ac:dyDescent="0.25">
      <c r="CQ226" s="27">
        <f t="shared" si="128"/>
        <v>2</v>
      </c>
      <c r="CR226" s="16">
        <f t="shared" si="129"/>
        <v>221</v>
      </c>
      <c r="CS226" s="24">
        <v>19.3333333333333</v>
      </c>
    </row>
    <row r="227" spans="95:97" ht="1.5" customHeight="1" x14ac:dyDescent="0.25">
      <c r="CQ227" s="27">
        <f t="shared" si="128"/>
        <v>2</v>
      </c>
      <c r="CR227" s="16">
        <f t="shared" si="129"/>
        <v>222</v>
      </c>
      <c r="CS227" s="24">
        <v>19.4166666666666</v>
      </c>
    </row>
    <row r="228" spans="95:97" ht="1.5" customHeight="1" x14ac:dyDescent="0.25">
      <c r="CQ228" s="27">
        <f t="shared" si="128"/>
        <v>2</v>
      </c>
      <c r="CR228" s="16">
        <f t="shared" si="129"/>
        <v>223</v>
      </c>
      <c r="CS228" s="24">
        <v>19.499999999999901</v>
      </c>
    </row>
    <row r="229" spans="95:97" ht="1.5" customHeight="1" x14ac:dyDescent="0.25">
      <c r="CQ229" s="27">
        <f t="shared" si="128"/>
        <v>2</v>
      </c>
      <c r="CR229" s="16">
        <f t="shared" si="129"/>
        <v>224</v>
      </c>
      <c r="CS229" s="24">
        <v>19.5833333333333</v>
      </c>
    </row>
    <row r="230" spans="95:97" ht="1.5" customHeight="1" x14ac:dyDescent="0.25">
      <c r="CQ230" s="27">
        <f t="shared" si="128"/>
        <v>2</v>
      </c>
      <c r="CR230" s="16">
        <f t="shared" si="129"/>
        <v>225</v>
      </c>
      <c r="CS230" s="24">
        <v>19.6666666666666</v>
      </c>
    </row>
    <row r="231" spans="95:97" ht="1.5" customHeight="1" x14ac:dyDescent="0.25">
      <c r="CQ231" s="27">
        <f t="shared" si="128"/>
        <v>2</v>
      </c>
      <c r="CR231" s="16">
        <f t="shared" si="129"/>
        <v>226</v>
      </c>
      <c r="CS231" s="24">
        <v>19.749999999999901</v>
      </c>
    </row>
    <row r="232" spans="95:97" ht="1.5" customHeight="1" x14ac:dyDescent="0.25">
      <c r="CQ232" s="27">
        <f t="shared" si="128"/>
        <v>2</v>
      </c>
      <c r="CR232" s="16">
        <f t="shared" si="129"/>
        <v>227</v>
      </c>
      <c r="CS232" s="24">
        <v>19.8333333333333</v>
      </c>
    </row>
    <row r="233" spans="95:97" ht="1.5" customHeight="1" x14ac:dyDescent="0.25">
      <c r="CQ233" s="27">
        <f t="shared" si="128"/>
        <v>2</v>
      </c>
      <c r="CR233" s="16">
        <f t="shared" si="129"/>
        <v>228</v>
      </c>
      <c r="CS233" s="24">
        <v>19.9166666666666</v>
      </c>
    </row>
    <row r="234" spans="95:97" ht="1.5" customHeight="1" x14ac:dyDescent="0.25">
      <c r="CQ234" s="27">
        <f t="shared" si="128"/>
        <v>2</v>
      </c>
      <c r="CR234" s="16">
        <f t="shared" si="129"/>
        <v>229</v>
      </c>
      <c r="CS234" s="24">
        <v>19.999999999999901</v>
      </c>
    </row>
    <row r="235" spans="95:97" ht="1.5" customHeight="1" x14ac:dyDescent="0.25">
      <c r="CQ235" s="27">
        <f t="shared" si="128"/>
        <v>2</v>
      </c>
      <c r="CR235" s="16">
        <f t="shared" si="129"/>
        <v>230</v>
      </c>
      <c r="CS235" s="24">
        <v>20.0833333333333</v>
      </c>
    </row>
    <row r="236" spans="95:97" ht="1.5" customHeight="1" x14ac:dyDescent="0.25">
      <c r="CQ236" s="27">
        <f t="shared" si="128"/>
        <v>2</v>
      </c>
      <c r="CR236" s="16">
        <f t="shared" si="129"/>
        <v>231</v>
      </c>
      <c r="CS236" s="24">
        <v>20.1666666666666</v>
      </c>
    </row>
    <row r="237" spans="95:97" ht="1.5" customHeight="1" x14ac:dyDescent="0.25">
      <c r="CQ237" s="27">
        <f t="shared" si="128"/>
        <v>2</v>
      </c>
      <c r="CR237" s="16">
        <f t="shared" si="129"/>
        <v>232</v>
      </c>
      <c r="CS237" s="24">
        <v>20.249999999999901</v>
      </c>
    </row>
    <row r="238" spans="95:97" ht="1.5" customHeight="1" x14ac:dyDescent="0.25">
      <c r="CQ238" s="27">
        <f t="shared" si="128"/>
        <v>2</v>
      </c>
      <c r="CR238" s="16">
        <f t="shared" si="129"/>
        <v>233</v>
      </c>
      <c r="CS238" s="24">
        <v>20.3333333333333</v>
      </c>
    </row>
    <row r="239" spans="95:97" ht="1.5" customHeight="1" x14ac:dyDescent="0.25">
      <c r="CQ239" s="27">
        <f t="shared" si="128"/>
        <v>2</v>
      </c>
      <c r="CR239" s="16">
        <f t="shared" si="129"/>
        <v>234</v>
      </c>
      <c r="CS239" s="24">
        <v>20.4166666666666</v>
      </c>
    </row>
    <row r="240" spans="95:97" ht="1.5" customHeight="1" x14ac:dyDescent="0.25">
      <c r="CQ240" s="27">
        <f t="shared" si="128"/>
        <v>2</v>
      </c>
      <c r="CR240" s="16">
        <f t="shared" si="129"/>
        <v>235</v>
      </c>
      <c r="CS240" s="24">
        <v>20.499999999999901</v>
      </c>
    </row>
    <row r="241" spans="95:97" ht="1.5" customHeight="1" x14ac:dyDescent="0.25">
      <c r="CQ241" s="27">
        <f t="shared" si="128"/>
        <v>2</v>
      </c>
      <c r="CR241" s="16">
        <f t="shared" si="129"/>
        <v>236</v>
      </c>
      <c r="CS241" s="24">
        <v>20.5833333333333</v>
      </c>
    </row>
    <row r="242" spans="95:97" ht="1.5" customHeight="1" x14ac:dyDescent="0.25">
      <c r="CQ242" s="27">
        <f t="shared" si="128"/>
        <v>2</v>
      </c>
      <c r="CR242" s="16">
        <f t="shared" si="129"/>
        <v>237</v>
      </c>
      <c r="CS242" s="24">
        <v>20.6666666666666</v>
      </c>
    </row>
    <row r="243" spans="95:97" ht="1.5" customHeight="1" x14ac:dyDescent="0.25">
      <c r="CQ243" s="27">
        <f t="shared" si="128"/>
        <v>2</v>
      </c>
      <c r="CR243" s="16">
        <f t="shared" si="129"/>
        <v>238</v>
      </c>
      <c r="CS243" s="24">
        <v>20.749999999999901</v>
      </c>
    </row>
    <row r="244" spans="95:97" ht="1.5" customHeight="1" x14ac:dyDescent="0.25">
      <c r="CQ244" s="27">
        <f t="shared" si="128"/>
        <v>2</v>
      </c>
      <c r="CR244" s="16">
        <f t="shared" si="129"/>
        <v>239</v>
      </c>
      <c r="CS244" s="24">
        <v>20.8333333333333</v>
      </c>
    </row>
    <row r="245" spans="95:97" ht="1.5" customHeight="1" x14ac:dyDescent="0.25">
      <c r="CQ245" s="27">
        <f t="shared" si="128"/>
        <v>2</v>
      </c>
      <c r="CR245" s="16">
        <f t="shared" si="129"/>
        <v>240</v>
      </c>
      <c r="CS245" s="24">
        <v>20.9166666666666</v>
      </c>
    </row>
    <row r="246" spans="95:97" ht="1.5" customHeight="1" x14ac:dyDescent="0.25">
      <c r="CQ246" s="27">
        <f t="shared" si="128"/>
        <v>2</v>
      </c>
      <c r="CR246" s="16">
        <f t="shared" si="129"/>
        <v>241</v>
      </c>
      <c r="CS246" s="24">
        <v>21</v>
      </c>
    </row>
    <row r="247" spans="95:97" ht="1.5" customHeight="1" x14ac:dyDescent="0.25">
      <c r="CQ247" s="27">
        <f t="shared" si="128"/>
        <v>3</v>
      </c>
      <c r="CR247" s="16">
        <f t="shared" si="129"/>
        <v>242</v>
      </c>
      <c r="CS247" s="24">
        <v>21.0833333333333</v>
      </c>
    </row>
    <row r="248" spans="95:97" ht="1.5" customHeight="1" x14ac:dyDescent="0.25">
      <c r="CQ248" s="27">
        <f t="shared" si="128"/>
        <v>3</v>
      </c>
      <c r="CR248" s="16">
        <f t="shared" si="129"/>
        <v>243</v>
      </c>
      <c r="CS248" s="24">
        <v>21.1666666666666</v>
      </c>
    </row>
    <row r="249" spans="95:97" ht="1.5" customHeight="1" x14ac:dyDescent="0.25">
      <c r="CQ249" s="27">
        <f t="shared" si="128"/>
        <v>3</v>
      </c>
      <c r="CR249" s="16">
        <f t="shared" si="129"/>
        <v>244</v>
      </c>
      <c r="CS249" s="24">
        <v>21.249999999999901</v>
      </c>
    </row>
    <row r="250" spans="95:97" ht="1.5" customHeight="1" x14ac:dyDescent="0.25">
      <c r="CQ250" s="27">
        <f t="shared" si="128"/>
        <v>3</v>
      </c>
      <c r="CR250" s="16">
        <f t="shared" si="129"/>
        <v>245</v>
      </c>
      <c r="CS250" s="24">
        <v>21.3333333333333</v>
      </c>
    </row>
    <row r="251" spans="95:97" ht="1.5" customHeight="1" x14ac:dyDescent="0.25">
      <c r="CQ251" s="27">
        <f t="shared" si="128"/>
        <v>3</v>
      </c>
      <c r="CR251" s="16">
        <f t="shared" si="129"/>
        <v>246</v>
      </c>
      <c r="CS251" s="24">
        <v>21.4166666666666</v>
      </c>
    </row>
    <row r="252" spans="95:97" ht="1.5" customHeight="1" x14ac:dyDescent="0.25">
      <c r="CQ252" s="27">
        <f t="shared" si="128"/>
        <v>3</v>
      </c>
      <c r="CR252" s="16">
        <f t="shared" si="129"/>
        <v>247</v>
      </c>
      <c r="CS252" s="24">
        <v>21.499999999999901</v>
      </c>
    </row>
    <row r="253" spans="95:97" ht="1.5" customHeight="1" x14ac:dyDescent="0.25">
      <c r="CQ253" s="27">
        <f t="shared" si="128"/>
        <v>3</v>
      </c>
      <c r="CR253" s="16">
        <f t="shared" si="129"/>
        <v>248</v>
      </c>
      <c r="CS253" s="24">
        <v>21.5833333333333</v>
      </c>
    </row>
    <row r="254" spans="95:97" ht="1.5" customHeight="1" x14ac:dyDescent="0.25">
      <c r="CQ254" s="27">
        <f t="shared" si="128"/>
        <v>3</v>
      </c>
      <c r="CR254" s="16">
        <f t="shared" si="129"/>
        <v>249</v>
      </c>
      <c r="CS254" s="24">
        <v>21.6666666666666</v>
      </c>
    </row>
    <row r="255" spans="95:97" ht="1.5" customHeight="1" x14ac:dyDescent="0.25">
      <c r="CQ255" s="27">
        <f t="shared" si="128"/>
        <v>3</v>
      </c>
      <c r="CR255" s="16">
        <f t="shared" si="129"/>
        <v>250</v>
      </c>
      <c r="CS255" s="24">
        <v>21.749999999999901</v>
      </c>
    </row>
    <row r="256" spans="95:97" ht="1.5" customHeight="1" x14ac:dyDescent="0.25">
      <c r="CQ256" s="27">
        <f t="shared" si="128"/>
        <v>3</v>
      </c>
      <c r="CR256" s="16">
        <f t="shared" si="129"/>
        <v>251</v>
      </c>
      <c r="CS256" s="24">
        <v>21.8333333333333</v>
      </c>
    </row>
    <row r="257" spans="95:97" ht="1.5" customHeight="1" x14ac:dyDescent="0.25">
      <c r="CQ257" s="27">
        <f t="shared" si="128"/>
        <v>3</v>
      </c>
      <c r="CR257" s="16">
        <f t="shared" si="129"/>
        <v>252</v>
      </c>
      <c r="CS257" s="24">
        <v>21.9166666666666</v>
      </c>
    </row>
    <row r="258" spans="95:97" ht="1.5" customHeight="1" x14ac:dyDescent="0.25">
      <c r="CQ258" s="27">
        <f t="shared" si="128"/>
        <v>3</v>
      </c>
      <c r="CR258" s="16">
        <f t="shared" si="129"/>
        <v>253</v>
      </c>
      <c r="CS258" s="24">
        <v>21.999999999999901</v>
      </c>
    </row>
    <row r="259" spans="95:97" ht="1.5" customHeight="1" x14ac:dyDescent="0.25">
      <c r="CQ259" s="27">
        <f t="shared" si="128"/>
        <v>3</v>
      </c>
      <c r="CR259" s="16">
        <f t="shared" si="129"/>
        <v>254</v>
      </c>
      <c r="CS259" s="24">
        <v>22.0833333333333</v>
      </c>
    </row>
    <row r="260" spans="95:97" ht="1.5" customHeight="1" x14ac:dyDescent="0.25">
      <c r="CQ260" s="27">
        <f t="shared" si="128"/>
        <v>3</v>
      </c>
      <c r="CR260" s="16">
        <f t="shared" si="129"/>
        <v>255</v>
      </c>
      <c r="CS260" s="24">
        <v>22.1666666666666</v>
      </c>
    </row>
    <row r="261" spans="95:97" ht="1.5" customHeight="1" x14ac:dyDescent="0.25">
      <c r="CQ261" s="27">
        <f t="shared" si="128"/>
        <v>3</v>
      </c>
      <c r="CR261" s="16">
        <f t="shared" si="129"/>
        <v>256</v>
      </c>
      <c r="CS261" s="24">
        <v>22.249999999999901</v>
      </c>
    </row>
    <row r="262" spans="95:97" ht="1.5" customHeight="1" x14ac:dyDescent="0.25">
      <c r="CQ262" s="27">
        <f t="shared" si="128"/>
        <v>3</v>
      </c>
      <c r="CR262" s="16">
        <f t="shared" si="129"/>
        <v>257</v>
      </c>
      <c r="CS262" s="24">
        <v>22.3333333333333</v>
      </c>
    </row>
    <row r="263" spans="95:97" ht="1.5" customHeight="1" x14ac:dyDescent="0.25">
      <c r="CQ263" s="27">
        <f t="shared" ref="CQ263:CQ326" si="130">_xlfn.IFS(CR263&lt;=$CS$3,1,CR263&lt;=$CS$4,2,CR263&lt;=$CS$5,3)</f>
        <v>3</v>
      </c>
      <c r="CR263" s="16">
        <f t="shared" si="129"/>
        <v>258</v>
      </c>
      <c r="CS263" s="24">
        <v>22.4166666666666</v>
      </c>
    </row>
    <row r="264" spans="95:97" ht="1.5" customHeight="1" x14ac:dyDescent="0.25">
      <c r="CQ264" s="27">
        <f t="shared" si="130"/>
        <v>3</v>
      </c>
      <c r="CR264" s="16">
        <f t="shared" ref="CR264:CR327" si="131">CR263+1</f>
        <v>259</v>
      </c>
      <c r="CS264" s="24">
        <v>22.499999999999901</v>
      </c>
    </row>
    <row r="265" spans="95:97" ht="1.5" customHeight="1" x14ac:dyDescent="0.25">
      <c r="CQ265" s="27">
        <f t="shared" si="130"/>
        <v>3</v>
      </c>
      <c r="CR265" s="16">
        <f t="shared" si="131"/>
        <v>260</v>
      </c>
      <c r="CS265" s="24">
        <v>22.5833333333333</v>
      </c>
    </row>
    <row r="266" spans="95:97" ht="1.5" customHeight="1" x14ac:dyDescent="0.25">
      <c r="CQ266" s="27">
        <f t="shared" si="130"/>
        <v>3</v>
      </c>
      <c r="CR266" s="16">
        <f t="shared" si="131"/>
        <v>261</v>
      </c>
      <c r="CS266" s="24">
        <v>22.6666666666666</v>
      </c>
    </row>
    <row r="267" spans="95:97" ht="1.5" customHeight="1" x14ac:dyDescent="0.25">
      <c r="CQ267" s="27">
        <f t="shared" si="130"/>
        <v>3</v>
      </c>
      <c r="CR267" s="16">
        <f t="shared" si="131"/>
        <v>262</v>
      </c>
      <c r="CS267" s="24">
        <v>22.749999999999901</v>
      </c>
    </row>
    <row r="268" spans="95:97" ht="1.5" customHeight="1" x14ac:dyDescent="0.25">
      <c r="CQ268" s="27">
        <f t="shared" si="130"/>
        <v>3</v>
      </c>
      <c r="CR268" s="16">
        <f t="shared" si="131"/>
        <v>263</v>
      </c>
      <c r="CS268" s="24">
        <v>22.8333333333333</v>
      </c>
    </row>
    <row r="269" spans="95:97" ht="1.5" customHeight="1" x14ac:dyDescent="0.25">
      <c r="CQ269" s="27">
        <f t="shared" si="130"/>
        <v>3</v>
      </c>
      <c r="CR269" s="16">
        <f t="shared" si="131"/>
        <v>264</v>
      </c>
      <c r="CS269" s="24">
        <v>22.9166666666666</v>
      </c>
    </row>
    <row r="270" spans="95:97" ht="1.5" customHeight="1" x14ac:dyDescent="0.25">
      <c r="CQ270" s="27">
        <f t="shared" si="130"/>
        <v>3</v>
      </c>
      <c r="CR270" s="16">
        <f t="shared" si="131"/>
        <v>265</v>
      </c>
      <c r="CS270" s="24">
        <v>22.999999999999901</v>
      </c>
    </row>
    <row r="271" spans="95:97" ht="1.5" customHeight="1" x14ac:dyDescent="0.25">
      <c r="CQ271" s="27">
        <f t="shared" si="130"/>
        <v>3</v>
      </c>
      <c r="CR271" s="16">
        <f t="shared" si="131"/>
        <v>266</v>
      </c>
      <c r="CS271" s="24">
        <v>23.0833333333333</v>
      </c>
    </row>
    <row r="272" spans="95:97" ht="1.5" customHeight="1" x14ac:dyDescent="0.25">
      <c r="CQ272" s="27">
        <f t="shared" si="130"/>
        <v>3</v>
      </c>
      <c r="CR272" s="16">
        <f t="shared" si="131"/>
        <v>267</v>
      </c>
      <c r="CS272" s="24">
        <v>23.1666666666666</v>
      </c>
    </row>
    <row r="273" spans="95:97" ht="1.5" customHeight="1" x14ac:dyDescent="0.25">
      <c r="CQ273" s="27">
        <f t="shared" si="130"/>
        <v>3</v>
      </c>
      <c r="CR273" s="16">
        <f t="shared" si="131"/>
        <v>268</v>
      </c>
      <c r="CS273" s="24">
        <v>23.249999999999901</v>
      </c>
    </row>
    <row r="274" spans="95:97" ht="1.5" customHeight="1" x14ac:dyDescent="0.25">
      <c r="CQ274" s="27">
        <f t="shared" si="130"/>
        <v>3</v>
      </c>
      <c r="CR274" s="16">
        <f t="shared" si="131"/>
        <v>269</v>
      </c>
      <c r="CS274" s="24">
        <v>23.3333333333333</v>
      </c>
    </row>
    <row r="275" spans="95:97" ht="1.5" customHeight="1" x14ac:dyDescent="0.25">
      <c r="CQ275" s="27">
        <f t="shared" si="130"/>
        <v>3</v>
      </c>
      <c r="CR275" s="16">
        <f t="shared" si="131"/>
        <v>270</v>
      </c>
      <c r="CS275" s="24">
        <v>23.4166666666666</v>
      </c>
    </row>
    <row r="276" spans="95:97" ht="1.5" customHeight="1" x14ac:dyDescent="0.25">
      <c r="CQ276" s="27">
        <f t="shared" si="130"/>
        <v>3</v>
      </c>
      <c r="CR276" s="16">
        <f t="shared" si="131"/>
        <v>271</v>
      </c>
      <c r="CS276" s="24">
        <v>23.499999999999901</v>
      </c>
    </row>
    <row r="277" spans="95:97" ht="1.5" customHeight="1" x14ac:dyDescent="0.25">
      <c r="CQ277" s="27">
        <f t="shared" si="130"/>
        <v>3</v>
      </c>
      <c r="CR277" s="16">
        <f t="shared" si="131"/>
        <v>272</v>
      </c>
      <c r="CS277" s="24">
        <v>23.583333333333201</v>
      </c>
    </row>
    <row r="278" spans="95:97" ht="1.5" customHeight="1" x14ac:dyDescent="0.25">
      <c r="CQ278" s="27">
        <f t="shared" si="130"/>
        <v>3</v>
      </c>
      <c r="CR278" s="16">
        <f t="shared" si="131"/>
        <v>273</v>
      </c>
      <c r="CS278" s="24">
        <v>23.6666666666666</v>
      </c>
    </row>
    <row r="279" spans="95:97" ht="1.5" customHeight="1" x14ac:dyDescent="0.25">
      <c r="CQ279" s="27">
        <f t="shared" si="130"/>
        <v>3</v>
      </c>
      <c r="CR279" s="16">
        <f t="shared" si="131"/>
        <v>274</v>
      </c>
      <c r="CS279" s="24">
        <v>23.749999999999901</v>
      </c>
    </row>
    <row r="280" spans="95:97" ht="1.5" customHeight="1" x14ac:dyDescent="0.25">
      <c r="CQ280" s="27">
        <f t="shared" si="130"/>
        <v>3</v>
      </c>
      <c r="CR280" s="16">
        <f t="shared" si="131"/>
        <v>275</v>
      </c>
      <c r="CS280" s="24">
        <v>23.833333333333201</v>
      </c>
    </row>
    <row r="281" spans="95:97" ht="1.5" customHeight="1" x14ac:dyDescent="0.25">
      <c r="CQ281" s="27">
        <f t="shared" si="130"/>
        <v>3</v>
      </c>
      <c r="CR281" s="16">
        <f t="shared" si="131"/>
        <v>276</v>
      </c>
      <c r="CS281" s="24">
        <v>23.9166666666666</v>
      </c>
    </row>
    <row r="282" spans="95:97" ht="1.5" customHeight="1" x14ac:dyDescent="0.25">
      <c r="CQ282" s="27">
        <f t="shared" si="130"/>
        <v>3</v>
      </c>
      <c r="CR282" s="16">
        <f t="shared" si="131"/>
        <v>277</v>
      </c>
      <c r="CS282" s="24">
        <v>23.999999999999901</v>
      </c>
    </row>
    <row r="283" spans="95:97" ht="1.5" customHeight="1" x14ac:dyDescent="0.25">
      <c r="CQ283" s="27">
        <f t="shared" si="130"/>
        <v>3</v>
      </c>
      <c r="CR283" s="16">
        <f t="shared" si="131"/>
        <v>278</v>
      </c>
      <c r="CS283" s="24">
        <v>24.083333333333201</v>
      </c>
    </row>
    <row r="284" spans="95:97" ht="1.5" customHeight="1" x14ac:dyDescent="0.25">
      <c r="CQ284" s="27">
        <f t="shared" si="130"/>
        <v>3</v>
      </c>
      <c r="CR284" s="16">
        <f t="shared" si="131"/>
        <v>279</v>
      </c>
      <c r="CS284" s="24">
        <v>24.1666666666666</v>
      </c>
    </row>
    <row r="285" spans="95:97" ht="1.5" customHeight="1" x14ac:dyDescent="0.25">
      <c r="CQ285" s="27">
        <f t="shared" si="130"/>
        <v>3</v>
      </c>
      <c r="CR285" s="16">
        <f t="shared" si="131"/>
        <v>280</v>
      </c>
      <c r="CS285" s="24">
        <v>24.249999999999901</v>
      </c>
    </row>
    <row r="286" spans="95:97" ht="1.5" customHeight="1" x14ac:dyDescent="0.25">
      <c r="CQ286" s="27">
        <f t="shared" si="130"/>
        <v>3</v>
      </c>
      <c r="CR286" s="16">
        <f t="shared" si="131"/>
        <v>281</v>
      </c>
      <c r="CS286" s="24">
        <v>24.333333333333201</v>
      </c>
    </row>
    <row r="287" spans="95:97" ht="1.5" customHeight="1" x14ac:dyDescent="0.25">
      <c r="CQ287" s="27">
        <f t="shared" si="130"/>
        <v>3</v>
      </c>
      <c r="CR287" s="16">
        <f t="shared" si="131"/>
        <v>282</v>
      </c>
      <c r="CS287" s="24">
        <v>24.4166666666666</v>
      </c>
    </row>
    <row r="288" spans="95:97" ht="1.5" customHeight="1" x14ac:dyDescent="0.25">
      <c r="CQ288" s="27">
        <f t="shared" si="130"/>
        <v>3</v>
      </c>
      <c r="CR288" s="16">
        <f t="shared" si="131"/>
        <v>283</v>
      </c>
      <c r="CS288" s="24">
        <v>24.499999999999901</v>
      </c>
    </row>
    <row r="289" spans="95:97" ht="1.5" customHeight="1" x14ac:dyDescent="0.25">
      <c r="CQ289" s="27">
        <f t="shared" si="130"/>
        <v>3</v>
      </c>
      <c r="CR289" s="16">
        <f t="shared" si="131"/>
        <v>284</v>
      </c>
      <c r="CS289" s="24">
        <v>24.583333333333201</v>
      </c>
    </row>
    <row r="290" spans="95:97" ht="1.5" customHeight="1" x14ac:dyDescent="0.25">
      <c r="CQ290" s="27">
        <f t="shared" si="130"/>
        <v>3</v>
      </c>
      <c r="CR290" s="16">
        <f t="shared" si="131"/>
        <v>285</v>
      </c>
      <c r="CS290" s="24">
        <v>24.6666666666666</v>
      </c>
    </row>
    <row r="291" spans="95:97" ht="1.5" customHeight="1" x14ac:dyDescent="0.25">
      <c r="CQ291" s="27">
        <f t="shared" si="130"/>
        <v>3</v>
      </c>
      <c r="CR291" s="16">
        <f t="shared" si="131"/>
        <v>286</v>
      </c>
      <c r="CS291" s="24">
        <v>24.749999999999901</v>
      </c>
    </row>
    <row r="292" spans="95:97" ht="1.5" customHeight="1" x14ac:dyDescent="0.25">
      <c r="CQ292" s="27">
        <f t="shared" si="130"/>
        <v>3</v>
      </c>
      <c r="CR292" s="16">
        <f t="shared" si="131"/>
        <v>287</v>
      </c>
      <c r="CS292" s="24">
        <v>24.833333333333201</v>
      </c>
    </row>
    <row r="293" spans="95:97" ht="1.5" customHeight="1" x14ac:dyDescent="0.25">
      <c r="CQ293" s="27">
        <f t="shared" si="130"/>
        <v>3</v>
      </c>
      <c r="CR293" s="16">
        <f t="shared" si="131"/>
        <v>288</v>
      </c>
      <c r="CS293" s="24">
        <v>24.9166666666666</v>
      </c>
    </row>
    <row r="294" spans="95:97" ht="1.5" customHeight="1" x14ac:dyDescent="0.25">
      <c r="CQ294" s="27">
        <f t="shared" si="130"/>
        <v>3</v>
      </c>
      <c r="CR294" s="16">
        <f t="shared" si="131"/>
        <v>289</v>
      </c>
      <c r="CS294" s="24">
        <v>24.999999999999901</v>
      </c>
    </row>
    <row r="295" spans="95:97" ht="1.5" customHeight="1" x14ac:dyDescent="0.25">
      <c r="CQ295" s="27">
        <f t="shared" si="130"/>
        <v>3</v>
      </c>
      <c r="CR295" s="16">
        <f t="shared" si="131"/>
        <v>290</v>
      </c>
      <c r="CS295" s="24">
        <v>25.083333333333201</v>
      </c>
    </row>
    <row r="296" spans="95:97" ht="1.5" customHeight="1" x14ac:dyDescent="0.25">
      <c r="CQ296" s="27">
        <f t="shared" si="130"/>
        <v>3</v>
      </c>
      <c r="CR296" s="16">
        <f t="shared" si="131"/>
        <v>291</v>
      </c>
      <c r="CS296" s="24">
        <v>25.1666666666666</v>
      </c>
    </row>
    <row r="297" spans="95:97" ht="1.5" customHeight="1" x14ac:dyDescent="0.25">
      <c r="CQ297" s="27">
        <f t="shared" si="130"/>
        <v>3</v>
      </c>
      <c r="CR297" s="16">
        <f t="shared" si="131"/>
        <v>292</v>
      </c>
      <c r="CS297" s="24">
        <v>25.249999999999901</v>
      </c>
    </row>
    <row r="298" spans="95:97" ht="1.5" customHeight="1" x14ac:dyDescent="0.25">
      <c r="CQ298" s="27">
        <f t="shared" si="130"/>
        <v>3</v>
      </c>
      <c r="CR298" s="16">
        <f t="shared" si="131"/>
        <v>293</v>
      </c>
      <c r="CS298" s="24">
        <v>25.333333333333201</v>
      </c>
    </row>
    <row r="299" spans="95:97" ht="1.5" customHeight="1" x14ac:dyDescent="0.25">
      <c r="CQ299" s="27">
        <f t="shared" si="130"/>
        <v>3</v>
      </c>
      <c r="CR299" s="16">
        <f t="shared" si="131"/>
        <v>294</v>
      </c>
      <c r="CS299" s="24">
        <v>25.4166666666666</v>
      </c>
    </row>
    <row r="300" spans="95:97" ht="1.5" customHeight="1" x14ac:dyDescent="0.25">
      <c r="CQ300" s="27">
        <f t="shared" si="130"/>
        <v>3</v>
      </c>
      <c r="CR300" s="16">
        <f t="shared" si="131"/>
        <v>295</v>
      </c>
      <c r="CS300" s="24">
        <v>25.499999999999901</v>
      </c>
    </row>
    <row r="301" spans="95:97" ht="1.5" customHeight="1" x14ac:dyDescent="0.25">
      <c r="CQ301" s="27">
        <f t="shared" si="130"/>
        <v>3</v>
      </c>
      <c r="CR301" s="16">
        <f t="shared" si="131"/>
        <v>296</v>
      </c>
      <c r="CS301" s="24">
        <v>25.583333333333201</v>
      </c>
    </row>
    <row r="302" spans="95:97" ht="1.5" customHeight="1" x14ac:dyDescent="0.25">
      <c r="CQ302" s="27">
        <f t="shared" si="130"/>
        <v>3</v>
      </c>
      <c r="CR302" s="16">
        <f t="shared" si="131"/>
        <v>297</v>
      </c>
      <c r="CS302" s="24">
        <v>25.6666666666666</v>
      </c>
    </row>
    <row r="303" spans="95:97" ht="1.5" customHeight="1" x14ac:dyDescent="0.25">
      <c r="CQ303" s="27">
        <f t="shared" si="130"/>
        <v>3</v>
      </c>
      <c r="CR303" s="16">
        <f t="shared" si="131"/>
        <v>298</v>
      </c>
      <c r="CS303" s="24">
        <v>25.749999999999901</v>
      </c>
    </row>
    <row r="304" spans="95:97" ht="1.5" customHeight="1" x14ac:dyDescent="0.25">
      <c r="CQ304" s="27">
        <f t="shared" si="130"/>
        <v>3</v>
      </c>
      <c r="CR304" s="16">
        <f t="shared" si="131"/>
        <v>299</v>
      </c>
      <c r="CS304" s="24">
        <v>25.833333333333201</v>
      </c>
    </row>
    <row r="305" spans="95:97" ht="1.5" customHeight="1" x14ac:dyDescent="0.25">
      <c r="CQ305" s="27">
        <f t="shared" si="130"/>
        <v>3</v>
      </c>
      <c r="CR305" s="16">
        <f t="shared" si="131"/>
        <v>300</v>
      </c>
      <c r="CS305" s="24">
        <v>25.916666666666501</v>
      </c>
    </row>
    <row r="306" spans="95:97" ht="1.5" customHeight="1" x14ac:dyDescent="0.25">
      <c r="CQ306" s="27">
        <f t="shared" si="130"/>
        <v>3</v>
      </c>
      <c r="CR306" s="16">
        <f t="shared" si="131"/>
        <v>301</v>
      </c>
      <c r="CS306" s="24">
        <v>25.999999999999901</v>
      </c>
    </row>
    <row r="307" spans="95:97" ht="1.5" customHeight="1" x14ac:dyDescent="0.25">
      <c r="CQ307" s="27">
        <f t="shared" si="130"/>
        <v>3</v>
      </c>
      <c r="CR307" s="16">
        <f t="shared" si="131"/>
        <v>302</v>
      </c>
      <c r="CS307" s="24">
        <v>26.083333333333201</v>
      </c>
    </row>
    <row r="308" spans="95:97" ht="1.5" customHeight="1" x14ac:dyDescent="0.25">
      <c r="CQ308" s="27">
        <f t="shared" si="130"/>
        <v>3</v>
      </c>
      <c r="CR308" s="16">
        <f t="shared" si="131"/>
        <v>303</v>
      </c>
      <c r="CS308" s="24">
        <v>26.166666666666501</v>
      </c>
    </row>
    <row r="309" spans="95:97" ht="1.5" customHeight="1" x14ac:dyDescent="0.25">
      <c r="CQ309" s="27">
        <f t="shared" si="130"/>
        <v>3</v>
      </c>
      <c r="CR309" s="16">
        <f t="shared" si="131"/>
        <v>304</v>
      </c>
      <c r="CS309" s="24">
        <v>26.249999999999901</v>
      </c>
    </row>
    <row r="310" spans="95:97" ht="1.5" customHeight="1" x14ac:dyDescent="0.25">
      <c r="CQ310" s="27">
        <f t="shared" si="130"/>
        <v>3</v>
      </c>
      <c r="CR310" s="16">
        <f t="shared" si="131"/>
        <v>305</v>
      </c>
      <c r="CS310" s="24">
        <v>26.333333333333201</v>
      </c>
    </row>
    <row r="311" spans="95:97" ht="1.5" customHeight="1" x14ac:dyDescent="0.25">
      <c r="CQ311" s="27">
        <f t="shared" si="130"/>
        <v>3</v>
      </c>
      <c r="CR311" s="16">
        <f t="shared" si="131"/>
        <v>306</v>
      </c>
      <c r="CS311" s="24">
        <v>26.416666666666501</v>
      </c>
    </row>
    <row r="312" spans="95:97" ht="1.5" customHeight="1" x14ac:dyDescent="0.25">
      <c r="CQ312" s="27">
        <f t="shared" si="130"/>
        <v>3</v>
      </c>
      <c r="CR312" s="16">
        <f t="shared" si="131"/>
        <v>307</v>
      </c>
      <c r="CS312" s="24">
        <v>26.499999999999901</v>
      </c>
    </row>
    <row r="313" spans="95:97" ht="1.5" customHeight="1" x14ac:dyDescent="0.25">
      <c r="CQ313" s="27">
        <f t="shared" si="130"/>
        <v>3</v>
      </c>
      <c r="CR313" s="16">
        <f t="shared" si="131"/>
        <v>308</v>
      </c>
      <c r="CS313" s="24">
        <v>26.583333333333201</v>
      </c>
    </row>
    <row r="314" spans="95:97" ht="1.5" customHeight="1" x14ac:dyDescent="0.25">
      <c r="CQ314" s="27">
        <f t="shared" si="130"/>
        <v>3</v>
      </c>
      <c r="CR314" s="16">
        <f t="shared" si="131"/>
        <v>309</v>
      </c>
      <c r="CS314" s="24">
        <v>26.666666666666501</v>
      </c>
    </row>
    <row r="315" spans="95:97" ht="1.5" customHeight="1" x14ac:dyDescent="0.25">
      <c r="CQ315" s="27">
        <f t="shared" si="130"/>
        <v>3</v>
      </c>
      <c r="CR315" s="16">
        <f t="shared" si="131"/>
        <v>310</v>
      </c>
      <c r="CS315" s="24">
        <v>26.749999999999901</v>
      </c>
    </row>
    <row r="316" spans="95:97" ht="1.5" customHeight="1" x14ac:dyDescent="0.25">
      <c r="CQ316" s="27">
        <f t="shared" si="130"/>
        <v>3</v>
      </c>
      <c r="CR316" s="16">
        <f t="shared" si="131"/>
        <v>311</v>
      </c>
      <c r="CS316" s="24">
        <v>26.833333333333201</v>
      </c>
    </row>
    <row r="317" spans="95:97" ht="1.5" customHeight="1" x14ac:dyDescent="0.25">
      <c r="CQ317" s="27">
        <f t="shared" si="130"/>
        <v>3</v>
      </c>
      <c r="CR317" s="16">
        <f t="shared" si="131"/>
        <v>312</v>
      </c>
      <c r="CS317" s="24">
        <v>26.916666666666501</v>
      </c>
    </row>
    <row r="318" spans="95:97" ht="1.5" customHeight="1" x14ac:dyDescent="0.25">
      <c r="CQ318" s="27">
        <f t="shared" si="130"/>
        <v>3</v>
      </c>
      <c r="CR318" s="16">
        <f t="shared" si="131"/>
        <v>313</v>
      </c>
      <c r="CS318" s="24">
        <v>26.999999999999901</v>
      </c>
    </row>
    <row r="319" spans="95:97" ht="1.5" customHeight="1" x14ac:dyDescent="0.25">
      <c r="CQ319" s="27">
        <f t="shared" si="130"/>
        <v>3</v>
      </c>
      <c r="CR319" s="16">
        <f t="shared" si="131"/>
        <v>314</v>
      </c>
      <c r="CS319" s="24">
        <v>27.083333333333201</v>
      </c>
    </row>
    <row r="320" spans="95:97" ht="1.5" customHeight="1" x14ac:dyDescent="0.25">
      <c r="CQ320" s="27">
        <f t="shared" si="130"/>
        <v>3</v>
      </c>
      <c r="CR320" s="16">
        <f t="shared" si="131"/>
        <v>315</v>
      </c>
      <c r="CS320" s="24">
        <v>27.166666666666501</v>
      </c>
    </row>
    <row r="321" spans="95:97" ht="1.5" customHeight="1" x14ac:dyDescent="0.25">
      <c r="CQ321" s="27">
        <f t="shared" si="130"/>
        <v>3</v>
      </c>
      <c r="CR321" s="16">
        <f t="shared" si="131"/>
        <v>316</v>
      </c>
      <c r="CS321" s="24">
        <v>27.249999999999901</v>
      </c>
    </row>
    <row r="322" spans="95:97" ht="1.5" customHeight="1" x14ac:dyDescent="0.25">
      <c r="CQ322" s="27">
        <f t="shared" si="130"/>
        <v>3</v>
      </c>
      <c r="CR322" s="16">
        <f t="shared" si="131"/>
        <v>317</v>
      </c>
      <c r="CS322" s="24">
        <v>27.333333333333201</v>
      </c>
    </row>
    <row r="323" spans="95:97" ht="1.5" customHeight="1" x14ac:dyDescent="0.25">
      <c r="CQ323" s="27">
        <f t="shared" si="130"/>
        <v>3</v>
      </c>
      <c r="CR323" s="16">
        <f t="shared" si="131"/>
        <v>318</v>
      </c>
      <c r="CS323" s="24">
        <v>27.416666666666501</v>
      </c>
    </row>
    <row r="324" spans="95:97" ht="1.5" customHeight="1" x14ac:dyDescent="0.25">
      <c r="CQ324" s="27">
        <f t="shared" si="130"/>
        <v>3</v>
      </c>
      <c r="CR324" s="16">
        <f t="shared" si="131"/>
        <v>319</v>
      </c>
      <c r="CS324" s="24">
        <v>27.499999999999901</v>
      </c>
    </row>
    <row r="325" spans="95:97" ht="1.5" customHeight="1" x14ac:dyDescent="0.25">
      <c r="CQ325" s="27">
        <f t="shared" si="130"/>
        <v>3</v>
      </c>
      <c r="CR325" s="16">
        <f t="shared" si="131"/>
        <v>320</v>
      </c>
      <c r="CS325" s="24">
        <v>27.583333333333201</v>
      </c>
    </row>
    <row r="326" spans="95:97" ht="1.5" customHeight="1" x14ac:dyDescent="0.25">
      <c r="CQ326" s="27">
        <f t="shared" si="130"/>
        <v>3</v>
      </c>
      <c r="CR326" s="16">
        <f t="shared" si="131"/>
        <v>321</v>
      </c>
      <c r="CS326" s="24">
        <v>27.666666666666501</v>
      </c>
    </row>
    <row r="327" spans="95:97" ht="1.5" customHeight="1" x14ac:dyDescent="0.25">
      <c r="CQ327" s="27">
        <f t="shared" ref="CQ327:CQ366" si="132">_xlfn.IFS(CR327&lt;=$CS$3,1,CR327&lt;=$CS$4,2,CR327&lt;=$CS$5,3)</f>
        <v>3</v>
      </c>
      <c r="CR327" s="16">
        <f t="shared" si="131"/>
        <v>322</v>
      </c>
      <c r="CS327" s="24">
        <v>27.749999999999901</v>
      </c>
    </row>
    <row r="328" spans="95:97" ht="1.5" customHeight="1" x14ac:dyDescent="0.25">
      <c r="CQ328" s="27">
        <f t="shared" si="132"/>
        <v>3</v>
      </c>
      <c r="CR328" s="16">
        <f t="shared" ref="CR328:CR366" si="133">CR327+1</f>
        <v>323</v>
      </c>
      <c r="CS328" s="24">
        <v>27.833333333333201</v>
      </c>
    </row>
    <row r="329" spans="95:97" ht="1.5" customHeight="1" x14ac:dyDescent="0.25">
      <c r="CQ329" s="27">
        <f t="shared" si="132"/>
        <v>3</v>
      </c>
      <c r="CR329" s="16">
        <f t="shared" si="133"/>
        <v>324</v>
      </c>
      <c r="CS329" s="24">
        <v>27.916666666666501</v>
      </c>
    </row>
    <row r="330" spans="95:97" ht="1.5" customHeight="1" x14ac:dyDescent="0.25">
      <c r="CQ330" s="27">
        <f t="shared" si="132"/>
        <v>3</v>
      </c>
      <c r="CR330" s="16">
        <f t="shared" si="133"/>
        <v>325</v>
      </c>
      <c r="CS330" s="24">
        <v>27.999999999999901</v>
      </c>
    </row>
    <row r="331" spans="95:97" ht="1.5" customHeight="1" x14ac:dyDescent="0.25">
      <c r="CQ331" s="27">
        <f t="shared" si="132"/>
        <v>3</v>
      </c>
      <c r="CR331" s="16">
        <f t="shared" si="133"/>
        <v>326</v>
      </c>
      <c r="CS331" s="24">
        <v>28.083333333333201</v>
      </c>
    </row>
    <row r="332" spans="95:97" ht="1.5" customHeight="1" x14ac:dyDescent="0.25">
      <c r="CQ332" s="27">
        <f t="shared" si="132"/>
        <v>3</v>
      </c>
      <c r="CR332" s="16">
        <f t="shared" si="133"/>
        <v>327</v>
      </c>
      <c r="CS332" s="24">
        <v>28.166666666666501</v>
      </c>
    </row>
    <row r="333" spans="95:97" ht="1.5" customHeight="1" x14ac:dyDescent="0.25">
      <c r="CQ333" s="27">
        <f t="shared" si="132"/>
        <v>3</v>
      </c>
      <c r="CR333" s="16">
        <f t="shared" si="133"/>
        <v>328</v>
      </c>
      <c r="CS333" s="24">
        <v>28.249999999999801</v>
      </c>
    </row>
    <row r="334" spans="95:97" ht="1.5" customHeight="1" x14ac:dyDescent="0.25">
      <c r="CQ334" s="27">
        <f t="shared" si="132"/>
        <v>3</v>
      </c>
      <c r="CR334" s="16">
        <f t="shared" si="133"/>
        <v>329</v>
      </c>
      <c r="CS334" s="24">
        <v>28.333333333333201</v>
      </c>
    </row>
    <row r="335" spans="95:97" ht="1.5" customHeight="1" x14ac:dyDescent="0.25">
      <c r="CQ335" s="27">
        <f t="shared" si="132"/>
        <v>3</v>
      </c>
      <c r="CR335" s="16">
        <f t="shared" si="133"/>
        <v>330</v>
      </c>
      <c r="CS335" s="24">
        <v>28.416666666666501</v>
      </c>
    </row>
    <row r="336" spans="95:97" ht="1.5" customHeight="1" x14ac:dyDescent="0.25">
      <c r="CQ336" s="27">
        <f t="shared" si="132"/>
        <v>3</v>
      </c>
      <c r="CR336" s="16">
        <f t="shared" si="133"/>
        <v>331</v>
      </c>
      <c r="CS336" s="24">
        <v>28.499999999999801</v>
      </c>
    </row>
    <row r="337" spans="95:97" ht="1.5" customHeight="1" x14ac:dyDescent="0.25">
      <c r="CQ337" s="27">
        <f t="shared" si="132"/>
        <v>3</v>
      </c>
      <c r="CR337" s="16">
        <f t="shared" si="133"/>
        <v>332</v>
      </c>
      <c r="CS337" s="24">
        <v>28.583333333333201</v>
      </c>
    </row>
    <row r="338" spans="95:97" ht="1.5" customHeight="1" x14ac:dyDescent="0.25">
      <c r="CQ338" s="27">
        <f t="shared" si="132"/>
        <v>3</v>
      </c>
      <c r="CR338" s="16">
        <f t="shared" si="133"/>
        <v>333</v>
      </c>
      <c r="CS338" s="24">
        <v>28.666666666666501</v>
      </c>
    </row>
    <row r="339" spans="95:97" ht="1.5" customHeight="1" x14ac:dyDescent="0.25">
      <c r="CQ339" s="27">
        <f t="shared" si="132"/>
        <v>3</v>
      </c>
      <c r="CR339" s="16">
        <f t="shared" si="133"/>
        <v>334</v>
      </c>
      <c r="CS339" s="24">
        <v>28.749999999999801</v>
      </c>
    </row>
    <row r="340" spans="95:97" ht="1.5" customHeight="1" x14ac:dyDescent="0.25">
      <c r="CQ340" s="27">
        <f t="shared" si="132"/>
        <v>3</v>
      </c>
      <c r="CR340" s="16">
        <f t="shared" si="133"/>
        <v>335</v>
      </c>
      <c r="CS340" s="24">
        <v>28.833333333333201</v>
      </c>
    </row>
    <row r="341" spans="95:97" ht="1.5" customHeight="1" x14ac:dyDescent="0.25">
      <c r="CQ341" s="27">
        <f t="shared" si="132"/>
        <v>3</v>
      </c>
      <c r="CR341" s="16">
        <f t="shared" si="133"/>
        <v>336</v>
      </c>
      <c r="CS341" s="24">
        <v>28.916666666666501</v>
      </c>
    </row>
    <row r="342" spans="95:97" ht="1.5" customHeight="1" x14ac:dyDescent="0.25">
      <c r="CQ342" s="27">
        <f t="shared" si="132"/>
        <v>3</v>
      </c>
      <c r="CR342" s="16">
        <f t="shared" si="133"/>
        <v>337</v>
      </c>
      <c r="CS342" s="24">
        <v>28.999999999999801</v>
      </c>
    </row>
    <row r="343" spans="95:97" ht="1.5" customHeight="1" x14ac:dyDescent="0.25">
      <c r="CQ343" s="27">
        <f t="shared" si="132"/>
        <v>3</v>
      </c>
      <c r="CR343" s="16">
        <f t="shared" si="133"/>
        <v>338</v>
      </c>
      <c r="CS343" s="24">
        <v>29.083333333333201</v>
      </c>
    </row>
    <row r="344" spans="95:97" ht="1.5" customHeight="1" x14ac:dyDescent="0.25">
      <c r="CQ344" s="27">
        <f t="shared" si="132"/>
        <v>3</v>
      </c>
      <c r="CR344" s="16">
        <f t="shared" si="133"/>
        <v>339</v>
      </c>
      <c r="CS344" s="24">
        <v>29.166666666666501</v>
      </c>
    </row>
    <row r="345" spans="95:97" ht="1.5" customHeight="1" x14ac:dyDescent="0.25">
      <c r="CQ345" s="27">
        <f t="shared" si="132"/>
        <v>3</v>
      </c>
      <c r="CR345" s="16">
        <f t="shared" si="133"/>
        <v>340</v>
      </c>
      <c r="CS345" s="24">
        <v>29.249999999999801</v>
      </c>
    </row>
    <row r="346" spans="95:97" ht="1.5" customHeight="1" x14ac:dyDescent="0.25">
      <c r="CQ346" s="27">
        <f t="shared" si="132"/>
        <v>3</v>
      </c>
      <c r="CR346" s="16">
        <f t="shared" si="133"/>
        <v>341</v>
      </c>
      <c r="CS346" s="24">
        <v>29.333333333333201</v>
      </c>
    </row>
    <row r="347" spans="95:97" ht="1.5" customHeight="1" x14ac:dyDescent="0.25">
      <c r="CQ347" s="27">
        <f t="shared" si="132"/>
        <v>3</v>
      </c>
      <c r="CR347" s="16">
        <f t="shared" si="133"/>
        <v>342</v>
      </c>
      <c r="CS347" s="24">
        <v>29.416666666666501</v>
      </c>
    </row>
    <row r="348" spans="95:97" ht="1.5" customHeight="1" x14ac:dyDescent="0.25">
      <c r="CQ348" s="27">
        <f t="shared" si="132"/>
        <v>3</v>
      </c>
      <c r="CR348" s="16">
        <f t="shared" si="133"/>
        <v>343</v>
      </c>
      <c r="CS348" s="24">
        <v>29.499999999999801</v>
      </c>
    </row>
    <row r="349" spans="95:97" ht="1.5" customHeight="1" x14ac:dyDescent="0.25">
      <c r="CQ349" s="27">
        <f t="shared" si="132"/>
        <v>3</v>
      </c>
      <c r="CR349" s="16">
        <f t="shared" si="133"/>
        <v>344</v>
      </c>
      <c r="CS349" s="24">
        <v>29.583333333333201</v>
      </c>
    </row>
    <row r="350" spans="95:97" ht="1.5" customHeight="1" x14ac:dyDescent="0.25">
      <c r="CQ350" s="27">
        <f t="shared" si="132"/>
        <v>3</v>
      </c>
      <c r="CR350" s="16">
        <f t="shared" si="133"/>
        <v>345</v>
      </c>
      <c r="CS350" s="24">
        <v>29.666666666666501</v>
      </c>
    </row>
    <row r="351" spans="95:97" ht="1.5" customHeight="1" x14ac:dyDescent="0.25">
      <c r="CQ351" s="27">
        <f t="shared" si="132"/>
        <v>3</v>
      </c>
      <c r="CR351" s="16">
        <f t="shared" si="133"/>
        <v>346</v>
      </c>
      <c r="CS351" s="24">
        <v>29.749999999999801</v>
      </c>
    </row>
    <row r="352" spans="95:97" ht="1.5" customHeight="1" x14ac:dyDescent="0.25">
      <c r="CQ352" s="27">
        <f t="shared" si="132"/>
        <v>3</v>
      </c>
      <c r="CR352" s="16">
        <f t="shared" si="133"/>
        <v>347</v>
      </c>
      <c r="CS352" s="24">
        <v>29.833333333333201</v>
      </c>
    </row>
    <row r="353" spans="95:97" ht="1.5" customHeight="1" x14ac:dyDescent="0.25">
      <c r="CQ353" s="27">
        <f t="shared" si="132"/>
        <v>3</v>
      </c>
      <c r="CR353" s="16">
        <f t="shared" si="133"/>
        <v>348</v>
      </c>
      <c r="CS353" s="24">
        <v>29.916666666666501</v>
      </c>
    </row>
    <row r="354" spans="95:97" ht="1.5" customHeight="1" x14ac:dyDescent="0.25">
      <c r="CQ354" s="27">
        <f t="shared" si="132"/>
        <v>3</v>
      </c>
      <c r="CR354" s="16">
        <f t="shared" si="133"/>
        <v>349</v>
      </c>
      <c r="CS354" s="24">
        <v>29.999999999999801</v>
      </c>
    </row>
    <row r="355" spans="95:97" ht="1.5" customHeight="1" x14ac:dyDescent="0.25">
      <c r="CQ355" s="27">
        <f t="shared" si="132"/>
        <v>3</v>
      </c>
      <c r="CR355" s="16">
        <f t="shared" si="133"/>
        <v>350</v>
      </c>
      <c r="CS355" s="24">
        <v>30.083333333333201</v>
      </c>
    </row>
    <row r="356" spans="95:97" ht="1.5" customHeight="1" x14ac:dyDescent="0.25">
      <c r="CQ356" s="27">
        <f t="shared" si="132"/>
        <v>3</v>
      </c>
      <c r="CR356" s="16">
        <f t="shared" si="133"/>
        <v>351</v>
      </c>
      <c r="CS356" s="24">
        <v>30.166666666666501</v>
      </c>
    </row>
    <row r="357" spans="95:97" ht="1.5" customHeight="1" x14ac:dyDescent="0.25">
      <c r="CQ357" s="27">
        <f t="shared" si="132"/>
        <v>3</v>
      </c>
      <c r="CR357" s="16">
        <f t="shared" si="133"/>
        <v>352</v>
      </c>
      <c r="CS357" s="24">
        <v>30.249999999999801</v>
      </c>
    </row>
    <row r="358" spans="95:97" ht="1.5" customHeight="1" x14ac:dyDescent="0.25">
      <c r="CQ358" s="27">
        <f t="shared" si="132"/>
        <v>3</v>
      </c>
      <c r="CR358" s="16">
        <f t="shared" si="133"/>
        <v>353</v>
      </c>
      <c r="CS358" s="24">
        <v>30.333333333333201</v>
      </c>
    </row>
    <row r="359" spans="95:97" ht="1.5" customHeight="1" x14ac:dyDescent="0.25">
      <c r="CQ359" s="27">
        <f t="shared" si="132"/>
        <v>3</v>
      </c>
      <c r="CR359" s="16">
        <f t="shared" si="133"/>
        <v>354</v>
      </c>
      <c r="CS359" s="24">
        <v>30.416666666666501</v>
      </c>
    </row>
    <row r="360" spans="95:97" ht="1.5" customHeight="1" x14ac:dyDescent="0.25">
      <c r="CQ360" s="27">
        <f t="shared" si="132"/>
        <v>3</v>
      </c>
      <c r="CR360" s="16">
        <f t="shared" si="133"/>
        <v>355</v>
      </c>
      <c r="CS360" s="24">
        <v>30.499999999999801</v>
      </c>
    </row>
    <row r="361" spans="95:97" ht="1.5" customHeight="1" x14ac:dyDescent="0.25">
      <c r="CQ361" s="27">
        <f t="shared" si="132"/>
        <v>3</v>
      </c>
      <c r="CR361" s="16">
        <f t="shared" si="133"/>
        <v>356</v>
      </c>
      <c r="CS361" s="24">
        <v>30.583333333333101</v>
      </c>
    </row>
    <row r="362" spans="95:97" ht="1.5" customHeight="1" x14ac:dyDescent="0.25">
      <c r="CQ362" s="27">
        <f t="shared" si="132"/>
        <v>3</v>
      </c>
      <c r="CR362" s="16">
        <f t="shared" si="133"/>
        <v>357</v>
      </c>
      <c r="CS362" s="24">
        <v>30.666666666666501</v>
      </c>
    </row>
    <row r="363" spans="95:97" ht="1.5" customHeight="1" x14ac:dyDescent="0.25">
      <c r="CQ363" s="27">
        <f t="shared" si="132"/>
        <v>3</v>
      </c>
      <c r="CR363" s="16">
        <f t="shared" si="133"/>
        <v>358</v>
      </c>
      <c r="CS363" s="24">
        <v>30.749999999999801</v>
      </c>
    </row>
    <row r="364" spans="95:97" ht="1.5" customHeight="1" x14ac:dyDescent="0.25">
      <c r="CQ364" s="27">
        <f t="shared" si="132"/>
        <v>3</v>
      </c>
      <c r="CR364" s="16">
        <f t="shared" si="133"/>
        <v>359</v>
      </c>
      <c r="CS364" s="24">
        <v>30.833333333333101</v>
      </c>
    </row>
    <row r="365" spans="95:97" ht="1.5" customHeight="1" x14ac:dyDescent="0.25">
      <c r="CQ365" s="27">
        <f t="shared" si="132"/>
        <v>3</v>
      </c>
      <c r="CR365" s="16">
        <f t="shared" si="133"/>
        <v>360</v>
      </c>
      <c r="CS365" s="24">
        <v>30.916666666666501</v>
      </c>
    </row>
    <row r="366" spans="95:97" ht="1.5" customHeight="1" x14ac:dyDescent="0.25">
      <c r="CQ366" s="27">
        <f t="shared" si="132"/>
        <v>3</v>
      </c>
      <c r="CR366" s="16">
        <f t="shared" si="133"/>
        <v>361</v>
      </c>
      <c r="CS366" s="24">
        <v>31</v>
      </c>
    </row>
    <row r="367" spans="95:97" ht="1.5" customHeight="1" x14ac:dyDescent="0.25"/>
    <row r="368" spans="95:97" ht="1.5" customHeight="1" x14ac:dyDescent="0.25"/>
  </sheetData>
  <conditionalFormatting sqref="B6:B23 B25:B2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5:B93 B95:B10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F2 H5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D29">
    <cfRule type="colorScale" priority="5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62:F62 H9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:F29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5:F10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3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AW2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3:K3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9:AW4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Z19:AZ20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B6:CP25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B29:CP48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Q3:CQ36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U6:CU108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W6:CW10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X1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Z13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C6899-06AF-4E8E-ADA5-B30E5C744B84}">
  <sheetPr>
    <tabColor rgb="FFFFFF00"/>
  </sheetPr>
  <dimension ref="A1:LX368"/>
  <sheetViews>
    <sheetView tabSelected="1" zoomScale="130" zoomScaleNormal="130" workbookViewId="0">
      <selection activeCell="B50" sqref="B50:H70"/>
    </sheetView>
  </sheetViews>
  <sheetFormatPr defaultRowHeight="11.25" customHeight="1" x14ac:dyDescent="0.25"/>
  <cols>
    <col min="1" max="1" width="3.140625" customWidth="1"/>
    <col min="2" max="6" width="4.140625" customWidth="1"/>
    <col min="7" max="7" width="1.85546875" customWidth="1"/>
    <col min="8" max="8" width="4.7109375" customWidth="1"/>
    <col min="9" max="9" width="1.85546875" customWidth="1"/>
    <col min="10" max="10" width="3.42578125" customWidth="1"/>
    <col min="11" max="14" width="1.140625" customWidth="1"/>
    <col min="15" max="16" width="0.42578125" customWidth="1"/>
    <col min="17" max="108" width="0.28515625" customWidth="1"/>
    <col min="109" max="109" width="1.140625" customWidth="1"/>
    <col min="110" max="110" width="1.85546875" customWidth="1"/>
    <col min="111" max="111" width="2.28515625" customWidth="1"/>
    <col min="112" max="113" width="1.85546875" customWidth="1"/>
    <col min="114" max="161" width="0.140625" customWidth="1"/>
    <col min="162" max="164" width="1.85546875" customWidth="1"/>
    <col min="165" max="165" width="4.85546875" customWidth="1"/>
    <col min="166" max="167" width="5.140625" customWidth="1"/>
    <col min="168" max="168" width="4" customWidth="1"/>
    <col min="169" max="169" width="1.85546875" customWidth="1"/>
    <col min="170" max="170" width="4.140625" customWidth="1"/>
    <col min="171" max="171" width="1.7109375" bestFit="1" customWidth="1"/>
    <col min="172" max="172" width="5.42578125" bestFit="1" customWidth="1"/>
    <col min="173" max="173" width="4.7109375" customWidth="1"/>
    <col min="174" max="174" width="4.140625" customWidth="1"/>
    <col min="175" max="182" width="3.140625" customWidth="1"/>
    <col min="183" max="244" width="1.85546875" customWidth="1"/>
  </cols>
  <sheetData>
    <row r="1" spans="1:256" ht="9" customHeight="1" x14ac:dyDescent="0.25">
      <c r="A1" s="1"/>
      <c r="B1" s="22" t="s">
        <v>56</v>
      </c>
      <c r="C1" s="22"/>
      <c r="D1" s="22" t="s">
        <v>57</v>
      </c>
      <c r="E1" s="22"/>
      <c r="F1" s="2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2"/>
      <c r="FP1" s="2"/>
      <c r="FQ1" s="2"/>
      <c r="FR1" s="2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9" customHeight="1" x14ac:dyDescent="0.25">
      <c r="A2" s="1"/>
      <c r="B2" s="9" t="s">
        <v>45</v>
      </c>
      <c r="C2" s="9">
        <v>1</v>
      </c>
      <c r="D2" s="9">
        <v>-1</v>
      </c>
      <c r="E2" s="9">
        <v>3</v>
      </c>
      <c r="F2" s="9"/>
      <c r="G2" s="1"/>
      <c r="H2" s="1" t="s">
        <v>60</v>
      </c>
      <c r="I2" s="1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22" t="s">
        <v>51</v>
      </c>
      <c r="FJ2" s="47">
        <v>1095</v>
      </c>
      <c r="FK2" s="22" t="s">
        <v>52</v>
      </c>
      <c r="FL2" s="1"/>
      <c r="FM2" s="1"/>
      <c r="FN2" s="1"/>
      <c r="FO2" s="50" t="s">
        <v>49</v>
      </c>
      <c r="FP2" s="51"/>
      <c r="FQ2" s="58" t="s">
        <v>53</v>
      </c>
      <c r="FR2" s="52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ht="9" customHeight="1" x14ac:dyDescent="0.25">
      <c r="A3" s="1"/>
      <c r="B3" s="7" t="s">
        <v>2</v>
      </c>
      <c r="C3" s="2"/>
      <c r="D3" s="7" t="s">
        <v>2</v>
      </c>
      <c r="E3" s="7" t="s">
        <v>2</v>
      </c>
      <c r="F3" s="2"/>
      <c r="G3" s="1"/>
      <c r="H3" s="26">
        <f>MAX(B6:B49)+1</f>
        <v>30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22" t="s">
        <v>54</v>
      </c>
      <c r="DJ3" s="22"/>
      <c r="DK3" s="22"/>
      <c r="DL3" s="22"/>
      <c r="DM3" s="22"/>
      <c r="DN3" s="1"/>
      <c r="DO3" s="1"/>
      <c r="DP3" s="1"/>
      <c r="DQ3" s="1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1"/>
      <c r="FH3" s="1"/>
      <c r="FI3" s="72">
        <v>1</v>
      </c>
      <c r="FJ3" s="47">
        <v>365</v>
      </c>
      <c r="FK3" s="47">
        <f>COUNT(FJ3:FJ4)</f>
        <v>2</v>
      </c>
      <c r="FL3" s="85">
        <f>FQ3/FP3</f>
        <v>1</v>
      </c>
      <c r="FM3" s="1"/>
      <c r="FN3" s="85">
        <v>1</v>
      </c>
      <c r="FO3" s="53">
        <v>0</v>
      </c>
      <c r="FP3" s="49">
        <f>FI3*FJ3</f>
        <v>365</v>
      </c>
      <c r="FQ3" s="59">
        <f>FN3*FJ3</f>
        <v>365</v>
      </c>
      <c r="FR3" s="54">
        <v>1</v>
      </c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9" customHeight="1" x14ac:dyDescent="0.25">
      <c r="A4" s="1"/>
      <c r="B4" s="7" t="s">
        <v>31</v>
      </c>
      <c r="C4" s="2" t="s">
        <v>32</v>
      </c>
      <c r="D4" s="7" t="s">
        <v>1</v>
      </c>
      <c r="E4" s="2" t="s">
        <v>33</v>
      </c>
      <c r="F4" s="2"/>
      <c r="G4" s="1"/>
      <c r="H4" s="26">
        <f>MAX(D6:D49)+1</f>
        <v>100</v>
      </c>
      <c r="I4" s="1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1"/>
      <c r="DI4" s="63"/>
      <c r="DJ4" s="63"/>
      <c r="DK4" s="63"/>
      <c r="DL4" s="63"/>
      <c r="DM4" s="63"/>
      <c r="DN4" s="63"/>
      <c r="DO4" s="63"/>
      <c r="DP4" s="63"/>
      <c r="DQ4" s="63"/>
      <c r="DR4" s="63"/>
      <c r="DS4" s="63"/>
      <c r="DT4" s="63"/>
      <c r="DU4" s="63"/>
      <c r="DV4" s="63"/>
      <c r="DW4" s="63"/>
      <c r="DX4" s="63"/>
      <c r="DY4" s="63"/>
      <c r="DZ4" s="63"/>
      <c r="EA4" s="63"/>
      <c r="EB4" s="63"/>
      <c r="EC4" s="63"/>
      <c r="ED4" s="63"/>
      <c r="EE4" s="63"/>
      <c r="EF4" s="63"/>
      <c r="EG4" s="63"/>
      <c r="EH4" s="63"/>
      <c r="EI4" s="63"/>
      <c r="EJ4" s="63"/>
      <c r="EK4" s="63"/>
      <c r="EL4" s="63"/>
      <c r="EM4" s="63"/>
      <c r="EN4" s="63"/>
      <c r="EO4" s="63"/>
      <c r="EP4" s="63"/>
      <c r="EQ4" s="63"/>
      <c r="ER4" s="63"/>
      <c r="ES4" s="63"/>
      <c r="ET4" s="63"/>
      <c r="EU4" s="63"/>
      <c r="EV4" s="63"/>
      <c r="EW4" s="63"/>
      <c r="EX4" s="63"/>
      <c r="EY4" s="63"/>
      <c r="EZ4" s="63"/>
      <c r="FA4" s="63"/>
      <c r="FB4" s="63"/>
      <c r="FC4" s="63"/>
      <c r="FD4" s="63"/>
      <c r="FE4" s="63"/>
      <c r="FF4" s="63"/>
      <c r="FG4" s="1"/>
      <c r="FH4" s="1"/>
      <c r="FI4" s="72">
        <v>4</v>
      </c>
      <c r="FJ4" s="47">
        <v>365</v>
      </c>
      <c r="FK4" s="1"/>
      <c r="FL4" s="85">
        <f>FQ4/FP4</f>
        <v>0.5</v>
      </c>
      <c r="FM4" s="1"/>
      <c r="FN4" s="85">
        <v>2</v>
      </c>
      <c r="FO4" s="55">
        <v>1</v>
      </c>
      <c r="FP4" s="56">
        <f>FI4*FJ4</f>
        <v>1460</v>
      </c>
      <c r="FQ4" s="59">
        <f>FN4*FJ4</f>
        <v>730</v>
      </c>
      <c r="FR4" s="57">
        <v>1</v>
      </c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ht="11.25" customHeight="1" x14ac:dyDescent="0.25">
      <c r="A5" s="1"/>
      <c r="B5" s="9">
        <v>0</v>
      </c>
      <c r="C5" s="9">
        <v>1</v>
      </c>
      <c r="D5" s="9">
        <v>2</v>
      </c>
      <c r="E5" s="9">
        <v>3</v>
      </c>
      <c r="F5" s="9">
        <v>4</v>
      </c>
      <c r="G5" s="1"/>
      <c r="H5" s="9"/>
      <c r="I5" s="1"/>
      <c r="J5" s="5" t="s">
        <v>3</v>
      </c>
      <c r="K5" s="16">
        <v>0</v>
      </c>
      <c r="L5" s="16">
        <f>K5+1</f>
        <v>1</v>
      </c>
      <c r="M5" s="16">
        <f t="shared" ref="M5:AV5" si="0">L5+1</f>
        <v>2</v>
      </c>
      <c r="N5" s="16">
        <f t="shared" si="0"/>
        <v>3</v>
      </c>
      <c r="O5" s="16">
        <f t="shared" si="0"/>
        <v>4</v>
      </c>
      <c r="P5" s="16">
        <f t="shared" si="0"/>
        <v>5</v>
      </c>
      <c r="Q5" s="16">
        <f t="shared" si="0"/>
        <v>6</v>
      </c>
      <c r="R5" s="16">
        <f t="shared" si="0"/>
        <v>7</v>
      </c>
      <c r="S5" s="16">
        <f t="shared" si="0"/>
        <v>8</v>
      </c>
      <c r="T5" s="16">
        <f t="shared" si="0"/>
        <v>9</v>
      </c>
      <c r="U5" s="16">
        <f t="shared" si="0"/>
        <v>10</v>
      </c>
      <c r="V5" s="16">
        <f t="shared" si="0"/>
        <v>11</v>
      </c>
      <c r="W5" s="16">
        <f t="shared" si="0"/>
        <v>12</v>
      </c>
      <c r="X5" s="16">
        <f t="shared" si="0"/>
        <v>13</v>
      </c>
      <c r="Y5" s="16">
        <f t="shared" si="0"/>
        <v>14</v>
      </c>
      <c r="Z5" s="16">
        <f t="shared" si="0"/>
        <v>15</v>
      </c>
      <c r="AA5" s="16">
        <f t="shared" si="0"/>
        <v>16</v>
      </c>
      <c r="AB5" s="16">
        <f t="shared" si="0"/>
        <v>17</v>
      </c>
      <c r="AC5" s="16">
        <f t="shared" si="0"/>
        <v>18</v>
      </c>
      <c r="AD5" s="16">
        <f t="shared" si="0"/>
        <v>19</v>
      </c>
      <c r="AE5" s="16">
        <f t="shared" si="0"/>
        <v>20</v>
      </c>
      <c r="AF5" s="16">
        <f t="shared" si="0"/>
        <v>21</v>
      </c>
      <c r="AG5" s="16">
        <f t="shared" si="0"/>
        <v>22</v>
      </c>
      <c r="AH5" s="16">
        <f t="shared" si="0"/>
        <v>23</v>
      </c>
      <c r="AI5" s="16">
        <f t="shared" si="0"/>
        <v>24</v>
      </c>
      <c r="AJ5" s="16">
        <f t="shared" si="0"/>
        <v>25</v>
      </c>
      <c r="AK5" s="16">
        <f t="shared" si="0"/>
        <v>26</v>
      </c>
      <c r="AL5" s="16">
        <f t="shared" si="0"/>
        <v>27</v>
      </c>
      <c r="AM5" s="16">
        <f t="shared" si="0"/>
        <v>28</v>
      </c>
      <c r="AN5" s="16">
        <f t="shared" si="0"/>
        <v>29</v>
      </c>
      <c r="AO5" s="16">
        <f t="shared" si="0"/>
        <v>30</v>
      </c>
      <c r="AP5" s="16">
        <f t="shared" si="0"/>
        <v>31</v>
      </c>
      <c r="AQ5" s="16">
        <f t="shared" si="0"/>
        <v>32</v>
      </c>
      <c r="AR5" s="16">
        <f t="shared" si="0"/>
        <v>33</v>
      </c>
      <c r="AS5" s="16">
        <f t="shared" si="0"/>
        <v>34</v>
      </c>
      <c r="AT5" s="16">
        <f t="shared" si="0"/>
        <v>35</v>
      </c>
      <c r="AU5" s="16">
        <f t="shared" si="0"/>
        <v>36</v>
      </c>
      <c r="AV5" s="16">
        <f t="shared" si="0"/>
        <v>37</v>
      </c>
      <c r="AW5" s="16">
        <f t="shared" ref="AW5" si="1">AV5+1</f>
        <v>38</v>
      </c>
      <c r="AX5" s="16">
        <f t="shared" ref="AX5" si="2">AW5+1</f>
        <v>39</v>
      </c>
      <c r="AY5" s="16">
        <f t="shared" ref="AY5" si="3">AX5+1</f>
        <v>40</v>
      </c>
      <c r="AZ5" s="16">
        <f t="shared" ref="AZ5" si="4">AY5+1</f>
        <v>41</v>
      </c>
      <c r="BA5" s="16">
        <f t="shared" ref="BA5" si="5">AZ5+1</f>
        <v>42</v>
      </c>
      <c r="BB5" s="16">
        <f t="shared" ref="BB5" si="6">BA5+1</f>
        <v>43</v>
      </c>
      <c r="BC5" s="16">
        <f t="shared" ref="BC5" si="7">BB5+1</f>
        <v>44</v>
      </c>
      <c r="BD5" s="16">
        <f t="shared" ref="BD5" si="8">BC5+1</f>
        <v>45</v>
      </c>
      <c r="BE5" s="16">
        <f t="shared" ref="BE5" si="9">BD5+1</f>
        <v>46</v>
      </c>
      <c r="BF5" s="16">
        <f t="shared" ref="BF5" si="10">BE5+1</f>
        <v>47</v>
      </c>
      <c r="BG5" s="16">
        <f t="shared" ref="BG5" si="11">BF5+1</f>
        <v>48</v>
      </c>
      <c r="BH5" s="16">
        <f t="shared" ref="BH5" si="12">BG5+1</f>
        <v>49</v>
      </c>
      <c r="BI5" s="16">
        <f t="shared" ref="BI5" si="13">BH5+1</f>
        <v>50</v>
      </c>
      <c r="BJ5" s="16">
        <f t="shared" ref="BJ5" si="14">BI5+1</f>
        <v>51</v>
      </c>
      <c r="BK5" s="16">
        <f t="shared" ref="BK5" si="15">BJ5+1</f>
        <v>52</v>
      </c>
      <c r="BL5" s="16">
        <f t="shared" ref="BL5" si="16">BK5+1</f>
        <v>53</v>
      </c>
      <c r="BM5" s="16">
        <f t="shared" ref="BM5" si="17">BL5+1</f>
        <v>54</v>
      </c>
      <c r="BN5" s="16">
        <f t="shared" ref="BN5" si="18">BM5+1</f>
        <v>55</v>
      </c>
      <c r="BO5" s="16">
        <f t="shared" ref="BO5" si="19">BN5+1</f>
        <v>56</v>
      </c>
      <c r="BP5" s="16">
        <f t="shared" ref="BP5" si="20">BO5+1</f>
        <v>57</v>
      </c>
      <c r="BQ5" s="16">
        <f t="shared" ref="BQ5" si="21">BP5+1</f>
        <v>58</v>
      </c>
      <c r="BR5" s="16">
        <f t="shared" ref="BR5" si="22">BQ5+1</f>
        <v>59</v>
      </c>
      <c r="BS5" s="16">
        <f t="shared" ref="BS5" si="23">BR5+1</f>
        <v>60</v>
      </c>
      <c r="BT5" s="16">
        <f t="shared" ref="BT5" si="24">BS5+1</f>
        <v>61</v>
      </c>
      <c r="BU5" s="16">
        <f t="shared" ref="BU5" si="25">BT5+1</f>
        <v>62</v>
      </c>
      <c r="BV5" s="16">
        <f t="shared" ref="BV5" si="26">BU5+1</f>
        <v>63</v>
      </c>
      <c r="BW5" s="16">
        <f t="shared" ref="BW5" si="27">BV5+1</f>
        <v>64</v>
      </c>
      <c r="BX5" s="16">
        <f t="shared" ref="BX5" si="28">BW5+1</f>
        <v>65</v>
      </c>
      <c r="BY5" s="16">
        <f t="shared" ref="BY5" si="29">BX5+1</f>
        <v>66</v>
      </c>
      <c r="BZ5" s="16">
        <f t="shared" ref="BZ5" si="30">BY5+1</f>
        <v>67</v>
      </c>
      <c r="CA5" s="16">
        <f t="shared" ref="CA5" si="31">BZ5+1</f>
        <v>68</v>
      </c>
      <c r="CB5" s="16">
        <f t="shared" ref="CB5" si="32">CA5+1</f>
        <v>69</v>
      </c>
      <c r="CC5" s="16">
        <f t="shared" ref="CC5" si="33">CB5+1</f>
        <v>70</v>
      </c>
      <c r="CD5" s="16">
        <f t="shared" ref="CD5" si="34">CC5+1</f>
        <v>71</v>
      </c>
      <c r="CE5" s="16">
        <f t="shared" ref="CE5" si="35">CD5+1</f>
        <v>72</v>
      </c>
      <c r="CF5" s="16">
        <f t="shared" ref="CF5" si="36">CE5+1</f>
        <v>73</v>
      </c>
      <c r="CG5" s="16">
        <f t="shared" ref="CG5" si="37">CF5+1</f>
        <v>74</v>
      </c>
      <c r="CH5" s="16">
        <f t="shared" ref="CH5" si="38">CG5+1</f>
        <v>75</v>
      </c>
      <c r="CI5" s="16">
        <f t="shared" ref="CI5" si="39">CH5+1</f>
        <v>76</v>
      </c>
      <c r="CJ5" s="16">
        <f t="shared" ref="CJ5" si="40">CI5+1</f>
        <v>77</v>
      </c>
      <c r="CK5" s="16">
        <f t="shared" ref="CK5" si="41">CJ5+1</f>
        <v>78</v>
      </c>
      <c r="CL5" s="16">
        <f t="shared" ref="CL5" si="42">CK5+1</f>
        <v>79</v>
      </c>
      <c r="CM5" s="16">
        <f t="shared" ref="CM5" si="43">CL5+1</f>
        <v>80</v>
      </c>
      <c r="CN5" s="16">
        <f t="shared" ref="CN5" si="44">CM5+1</f>
        <v>81</v>
      </c>
      <c r="CO5" s="16">
        <f t="shared" ref="CO5" si="45">CN5+1</f>
        <v>82</v>
      </c>
      <c r="CP5" s="16">
        <f t="shared" ref="CP5" si="46">CO5+1</f>
        <v>83</v>
      </c>
      <c r="CQ5" s="16">
        <f t="shared" ref="CQ5" si="47">CP5+1</f>
        <v>84</v>
      </c>
      <c r="CR5" s="16">
        <f t="shared" ref="CR5" si="48">CQ5+1</f>
        <v>85</v>
      </c>
      <c r="CS5" s="16">
        <f t="shared" ref="CS5" si="49">CR5+1</f>
        <v>86</v>
      </c>
      <c r="CT5" s="16">
        <f t="shared" ref="CT5" si="50">CS5+1</f>
        <v>87</v>
      </c>
      <c r="CU5" s="16">
        <f t="shared" ref="CU5" si="51">CT5+1</f>
        <v>88</v>
      </c>
      <c r="CV5" s="16">
        <f t="shared" ref="CV5" si="52">CU5+1</f>
        <v>89</v>
      </c>
      <c r="CW5" s="16">
        <f t="shared" ref="CW5" si="53">CV5+1</f>
        <v>90</v>
      </c>
      <c r="CX5" s="16">
        <f t="shared" ref="CX5" si="54">CW5+1</f>
        <v>91</v>
      </c>
      <c r="CY5" s="16">
        <f t="shared" ref="CY5" si="55">CX5+1</f>
        <v>92</v>
      </c>
      <c r="CZ5" s="16">
        <f t="shared" ref="CZ5" si="56">CY5+1</f>
        <v>93</v>
      </c>
      <c r="DA5" s="16">
        <f t="shared" ref="DA5" si="57">CZ5+1</f>
        <v>94</v>
      </c>
      <c r="DB5" s="16">
        <f t="shared" ref="DB5" si="58">DA5+1</f>
        <v>95</v>
      </c>
      <c r="DC5" s="16">
        <f t="shared" ref="DC5" si="59">DB5+1</f>
        <v>96</v>
      </c>
      <c r="DD5" s="16">
        <f t="shared" ref="DD5" si="60">DC5+1</f>
        <v>97</v>
      </c>
      <c r="DE5" s="16">
        <f t="shared" ref="DE5" si="61">DD5+1</f>
        <v>98</v>
      </c>
      <c r="DF5" s="16">
        <f t="shared" ref="DF5" si="62">DE5+1</f>
        <v>99</v>
      </c>
      <c r="DG5" s="16">
        <v>0</v>
      </c>
      <c r="DH5" s="1"/>
      <c r="DI5" s="64">
        <v>0</v>
      </c>
      <c r="DJ5" s="64">
        <v>1</v>
      </c>
      <c r="DK5" s="64">
        <v>2</v>
      </c>
      <c r="DL5" s="64">
        <v>3</v>
      </c>
      <c r="DM5" s="64">
        <v>4</v>
      </c>
      <c r="DN5" s="64">
        <v>5</v>
      </c>
      <c r="DO5" s="64">
        <v>6</v>
      </c>
      <c r="DP5" s="64">
        <v>7</v>
      </c>
      <c r="DQ5" s="64">
        <v>8</v>
      </c>
      <c r="DR5" s="64">
        <v>9</v>
      </c>
      <c r="DS5" s="64">
        <v>10</v>
      </c>
      <c r="DT5" s="64">
        <v>11</v>
      </c>
      <c r="DU5" s="64">
        <v>12</v>
      </c>
      <c r="DV5" s="64">
        <v>13</v>
      </c>
      <c r="DW5" s="64">
        <v>14</v>
      </c>
      <c r="DX5" s="64">
        <v>15</v>
      </c>
      <c r="DY5" s="64">
        <v>16</v>
      </c>
      <c r="DZ5" s="64">
        <v>17</v>
      </c>
      <c r="EA5" s="64">
        <v>18</v>
      </c>
      <c r="EB5" s="64">
        <v>19</v>
      </c>
      <c r="EC5" s="64">
        <v>20</v>
      </c>
      <c r="ED5" s="64">
        <v>21</v>
      </c>
      <c r="EE5" s="64">
        <v>22</v>
      </c>
      <c r="EF5" s="64">
        <v>23</v>
      </c>
      <c r="EG5" s="64">
        <v>24</v>
      </c>
      <c r="EH5" s="64">
        <v>25</v>
      </c>
      <c r="EI5" s="64">
        <v>26</v>
      </c>
      <c r="EJ5" s="64">
        <v>27</v>
      </c>
      <c r="EK5" s="64">
        <v>28</v>
      </c>
      <c r="EL5" s="64">
        <v>29</v>
      </c>
      <c r="EM5" s="64">
        <v>30</v>
      </c>
      <c r="EN5" s="64">
        <v>31</v>
      </c>
      <c r="EO5" s="64">
        <v>32</v>
      </c>
      <c r="EP5" s="64">
        <v>33</v>
      </c>
      <c r="EQ5" s="64">
        <v>34</v>
      </c>
      <c r="ER5" s="64">
        <v>35</v>
      </c>
      <c r="ES5" s="64">
        <v>36</v>
      </c>
      <c r="ET5" s="64">
        <v>37</v>
      </c>
      <c r="EU5" s="64">
        <v>38</v>
      </c>
      <c r="EV5" s="64">
        <v>39</v>
      </c>
      <c r="EW5" s="64">
        <v>40</v>
      </c>
      <c r="EX5" s="64">
        <v>41</v>
      </c>
      <c r="EY5" s="64">
        <v>42</v>
      </c>
      <c r="EZ5" s="64">
        <v>43</v>
      </c>
      <c r="FA5" s="64">
        <v>44</v>
      </c>
      <c r="FB5" s="64">
        <v>45</v>
      </c>
      <c r="FC5" s="64">
        <v>46</v>
      </c>
      <c r="FD5" s="64">
        <v>47</v>
      </c>
      <c r="FE5" s="64">
        <v>48</v>
      </c>
      <c r="FF5" s="64">
        <v>49</v>
      </c>
      <c r="FG5" s="64"/>
      <c r="FH5" s="1"/>
      <c r="FI5" s="1"/>
      <c r="FJ5" s="22" t="s">
        <v>58</v>
      </c>
      <c r="FK5" s="22"/>
      <c r="FL5" s="1"/>
      <c r="FM5" s="1"/>
      <c r="FN5" s="22" t="s">
        <v>50</v>
      </c>
      <c r="FO5" s="22"/>
      <c r="FP5" s="80">
        <f>FP4+FP3</f>
        <v>1825</v>
      </c>
      <c r="FQ5" s="80">
        <f>SUM(FQ3:FQ4)</f>
        <v>1095</v>
      </c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ht="5.45" customHeight="1" x14ac:dyDescent="0.25">
      <c r="A6" s="3">
        <v>1</v>
      </c>
      <c r="B6" s="10">
        <v>1</v>
      </c>
      <c r="C6" s="10">
        <v>0</v>
      </c>
      <c r="D6" s="10">
        <v>0</v>
      </c>
      <c r="E6" s="41">
        <v>500</v>
      </c>
      <c r="F6" s="10">
        <v>0</v>
      </c>
      <c r="G6" s="27" t="s">
        <v>45</v>
      </c>
      <c r="H6" s="11" t="str">
        <f t="shared" ref="H6:H30" si="63">_xlfn.CONCAT(D6+1,",",B6+1)</f>
        <v>1,2</v>
      </c>
      <c r="I6" s="1"/>
      <c r="J6" s="16">
        <v>1</v>
      </c>
      <c r="K6" s="12" t="str">
        <f t="shared" ref="K6:AP6" si="64">IF(ISNUMBER(MATCH(K40,$H$35:$H$49,0)),$D$2,IF(ISNUMBER(MATCH(K40,$H$55:$H$62,0)),$E$2,IF(ISNUMBER(MATCH(K40,$H$6:$H$34,0)),$C$2,$B$2)))</f>
        <v>-</v>
      </c>
      <c r="L6" s="12" t="str">
        <f t="shared" si="64"/>
        <v>-</v>
      </c>
      <c r="M6" s="12" t="str">
        <f t="shared" si="64"/>
        <v>-</v>
      </c>
      <c r="N6" s="12" t="str">
        <f t="shared" si="64"/>
        <v>-</v>
      </c>
      <c r="O6" s="12" t="str">
        <f t="shared" si="64"/>
        <v>-</v>
      </c>
      <c r="P6" s="12" t="str">
        <f t="shared" si="64"/>
        <v>-</v>
      </c>
      <c r="Q6" s="12" t="str">
        <f t="shared" si="64"/>
        <v>-</v>
      </c>
      <c r="R6" s="12" t="str">
        <f t="shared" si="64"/>
        <v>-</v>
      </c>
      <c r="S6" s="12" t="str">
        <f t="shared" si="64"/>
        <v>-</v>
      </c>
      <c r="T6" s="12" t="str">
        <f t="shared" si="64"/>
        <v>-</v>
      </c>
      <c r="U6" s="12" t="str">
        <f t="shared" si="64"/>
        <v>-</v>
      </c>
      <c r="V6" s="12" t="str">
        <f t="shared" si="64"/>
        <v>-</v>
      </c>
      <c r="W6" s="12" t="str">
        <f t="shared" si="64"/>
        <v>-</v>
      </c>
      <c r="X6" s="12" t="str">
        <f t="shared" si="64"/>
        <v>-</v>
      </c>
      <c r="Y6" s="12" t="str">
        <f t="shared" si="64"/>
        <v>-</v>
      </c>
      <c r="Z6" s="12" t="str">
        <f t="shared" si="64"/>
        <v>-</v>
      </c>
      <c r="AA6" s="12" t="str">
        <f t="shared" si="64"/>
        <v>-</v>
      </c>
      <c r="AB6" s="12" t="str">
        <f t="shared" si="64"/>
        <v>-</v>
      </c>
      <c r="AC6" s="12" t="str">
        <f t="shared" si="64"/>
        <v>-</v>
      </c>
      <c r="AD6" s="12" t="str">
        <f t="shared" si="64"/>
        <v>-</v>
      </c>
      <c r="AE6" s="12" t="str">
        <f t="shared" si="64"/>
        <v>-</v>
      </c>
      <c r="AF6" s="12" t="str">
        <f t="shared" si="64"/>
        <v>-</v>
      </c>
      <c r="AG6" s="12" t="str">
        <f t="shared" si="64"/>
        <v>-</v>
      </c>
      <c r="AH6" s="12" t="str">
        <f t="shared" si="64"/>
        <v>-</v>
      </c>
      <c r="AI6" s="12" t="str">
        <f t="shared" si="64"/>
        <v>-</v>
      </c>
      <c r="AJ6" s="12" t="str">
        <f t="shared" si="64"/>
        <v>-</v>
      </c>
      <c r="AK6" s="12" t="str">
        <f t="shared" si="64"/>
        <v>-</v>
      </c>
      <c r="AL6" s="12" t="str">
        <f t="shared" si="64"/>
        <v>-</v>
      </c>
      <c r="AM6" s="12" t="str">
        <f t="shared" si="64"/>
        <v>-</v>
      </c>
      <c r="AN6" s="12" t="str">
        <f t="shared" si="64"/>
        <v>-</v>
      </c>
      <c r="AO6" s="12" t="str">
        <f t="shared" si="64"/>
        <v>-</v>
      </c>
      <c r="AP6" s="12" t="str">
        <f t="shared" si="64"/>
        <v>-</v>
      </c>
      <c r="AQ6" s="12" t="str">
        <f t="shared" ref="AQ6:BV6" si="65">IF(ISNUMBER(MATCH(AQ40,$H$35:$H$49,0)),$D$2,IF(ISNUMBER(MATCH(AQ40,$H$55:$H$62,0)),$E$2,IF(ISNUMBER(MATCH(AQ40,$H$6:$H$34,0)),$C$2,$B$2)))</f>
        <v>-</v>
      </c>
      <c r="AR6" s="12" t="str">
        <f t="shared" si="65"/>
        <v>-</v>
      </c>
      <c r="AS6" s="12" t="str">
        <f t="shared" si="65"/>
        <v>-</v>
      </c>
      <c r="AT6" s="12" t="str">
        <f t="shared" si="65"/>
        <v>-</v>
      </c>
      <c r="AU6" s="12" t="str">
        <f t="shared" si="65"/>
        <v>-</v>
      </c>
      <c r="AV6" s="12" t="str">
        <f t="shared" si="65"/>
        <v>-</v>
      </c>
      <c r="AW6" s="12" t="str">
        <f t="shared" si="65"/>
        <v>-</v>
      </c>
      <c r="AX6" s="12" t="str">
        <f t="shared" si="65"/>
        <v>-</v>
      </c>
      <c r="AY6" s="12" t="str">
        <f t="shared" si="65"/>
        <v>-</v>
      </c>
      <c r="AZ6" s="12" t="str">
        <f t="shared" si="65"/>
        <v>-</v>
      </c>
      <c r="BA6" s="12" t="str">
        <f t="shared" si="65"/>
        <v>-</v>
      </c>
      <c r="BB6" s="12" t="str">
        <f t="shared" si="65"/>
        <v>-</v>
      </c>
      <c r="BC6" s="12" t="str">
        <f t="shared" si="65"/>
        <v>-</v>
      </c>
      <c r="BD6" s="12" t="str">
        <f t="shared" si="65"/>
        <v>-</v>
      </c>
      <c r="BE6" s="12" t="str">
        <f t="shared" si="65"/>
        <v>-</v>
      </c>
      <c r="BF6" s="12" t="str">
        <f t="shared" si="65"/>
        <v>-</v>
      </c>
      <c r="BG6" s="12" t="str">
        <f t="shared" si="65"/>
        <v>-</v>
      </c>
      <c r="BH6" s="12" t="str">
        <f t="shared" si="65"/>
        <v>-</v>
      </c>
      <c r="BI6" s="12" t="str">
        <f t="shared" si="65"/>
        <v>-</v>
      </c>
      <c r="BJ6" s="12" t="str">
        <f t="shared" si="65"/>
        <v>-</v>
      </c>
      <c r="BK6" s="12" t="str">
        <f t="shared" si="65"/>
        <v>-</v>
      </c>
      <c r="BL6" s="12" t="str">
        <f t="shared" si="65"/>
        <v>-</v>
      </c>
      <c r="BM6" s="12" t="str">
        <f t="shared" si="65"/>
        <v>-</v>
      </c>
      <c r="BN6" s="12" t="str">
        <f t="shared" si="65"/>
        <v>-</v>
      </c>
      <c r="BO6" s="12" t="str">
        <f t="shared" si="65"/>
        <v>-</v>
      </c>
      <c r="BP6" s="12" t="str">
        <f t="shared" si="65"/>
        <v>-</v>
      </c>
      <c r="BQ6" s="12" t="str">
        <f t="shared" si="65"/>
        <v>-</v>
      </c>
      <c r="BR6" s="12" t="str">
        <f t="shared" si="65"/>
        <v>-</v>
      </c>
      <c r="BS6" s="12" t="str">
        <f t="shared" si="65"/>
        <v>-</v>
      </c>
      <c r="BT6" s="12" t="str">
        <f t="shared" si="65"/>
        <v>-</v>
      </c>
      <c r="BU6" s="12" t="str">
        <f t="shared" si="65"/>
        <v>-</v>
      </c>
      <c r="BV6" s="12" t="str">
        <f t="shared" si="65"/>
        <v>-</v>
      </c>
      <c r="BW6" s="12" t="str">
        <f t="shared" ref="BW6:DF6" si="66">IF(ISNUMBER(MATCH(BW40,$H$35:$H$49,0)),$D$2,IF(ISNUMBER(MATCH(BW40,$H$55:$H$62,0)),$E$2,IF(ISNUMBER(MATCH(BW40,$H$6:$H$34,0)),$C$2,$B$2)))</f>
        <v>-</v>
      </c>
      <c r="BX6" s="12" t="str">
        <f t="shared" si="66"/>
        <v>-</v>
      </c>
      <c r="BY6" s="12" t="str">
        <f t="shared" si="66"/>
        <v>-</v>
      </c>
      <c r="BZ6" s="12" t="str">
        <f t="shared" si="66"/>
        <v>-</v>
      </c>
      <c r="CA6" s="12" t="str">
        <f t="shared" si="66"/>
        <v>-</v>
      </c>
      <c r="CB6" s="12" t="str">
        <f t="shared" si="66"/>
        <v>-</v>
      </c>
      <c r="CC6" s="12" t="str">
        <f t="shared" si="66"/>
        <v>-</v>
      </c>
      <c r="CD6" s="12" t="str">
        <f t="shared" si="66"/>
        <v>-</v>
      </c>
      <c r="CE6" s="12" t="str">
        <f t="shared" si="66"/>
        <v>-</v>
      </c>
      <c r="CF6" s="12" t="str">
        <f t="shared" si="66"/>
        <v>-</v>
      </c>
      <c r="CG6" s="12" t="str">
        <f t="shared" si="66"/>
        <v>-</v>
      </c>
      <c r="CH6" s="12" t="str">
        <f t="shared" si="66"/>
        <v>-</v>
      </c>
      <c r="CI6" s="12" t="str">
        <f t="shared" si="66"/>
        <v>-</v>
      </c>
      <c r="CJ6" s="12" t="str">
        <f t="shared" si="66"/>
        <v>-</v>
      </c>
      <c r="CK6" s="12" t="str">
        <f t="shared" si="66"/>
        <v>-</v>
      </c>
      <c r="CL6" s="12" t="str">
        <f t="shared" si="66"/>
        <v>-</v>
      </c>
      <c r="CM6" s="12" t="str">
        <f t="shared" si="66"/>
        <v>-</v>
      </c>
      <c r="CN6" s="12" t="str">
        <f t="shared" si="66"/>
        <v>-</v>
      </c>
      <c r="CO6" s="12" t="str">
        <f t="shared" si="66"/>
        <v>-</v>
      </c>
      <c r="CP6" s="12" t="str">
        <f t="shared" si="66"/>
        <v>-</v>
      </c>
      <c r="CQ6" s="12" t="str">
        <f t="shared" si="66"/>
        <v>-</v>
      </c>
      <c r="CR6" s="12" t="str">
        <f t="shared" si="66"/>
        <v>-</v>
      </c>
      <c r="CS6" s="12" t="str">
        <f t="shared" si="66"/>
        <v>-</v>
      </c>
      <c r="CT6" s="12" t="str">
        <f t="shared" si="66"/>
        <v>-</v>
      </c>
      <c r="CU6" s="12" t="str">
        <f t="shared" si="66"/>
        <v>-</v>
      </c>
      <c r="CV6" s="12" t="str">
        <f t="shared" si="66"/>
        <v>-</v>
      </c>
      <c r="CW6" s="12" t="str">
        <f t="shared" si="66"/>
        <v>-</v>
      </c>
      <c r="CX6" s="12" t="str">
        <f t="shared" si="66"/>
        <v>-</v>
      </c>
      <c r="CY6" s="12" t="str">
        <f t="shared" si="66"/>
        <v>-</v>
      </c>
      <c r="CZ6" s="12" t="str">
        <f t="shared" si="66"/>
        <v>-</v>
      </c>
      <c r="DA6" s="12" t="str">
        <f t="shared" si="66"/>
        <v>-</v>
      </c>
      <c r="DB6" s="12" t="str">
        <f t="shared" si="66"/>
        <v>-</v>
      </c>
      <c r="DC6" s="12" t="str">
        <f t="shared" si="66"/>
        <v>-</v>
      </c>
      <c r="DD6" s="12" t="str">
        <f t="shared" si="66"/>
        <v>-</v>
      </c>
      <c r="DE6" s="12" t="str">
        <f t="shared" si="66"/>
        <v>-</v>
      </c>
      <c r="DF6" s="12" t="str">
        <f t="shared" si="66"/>
        <v>-</v>
      </c>
      <c r="DG6" s="16">
        <f>DG5+1</f>
        <v>1</v>
      </c>
      <c r="DH6" s="1"/>
      <c r="DI6" s="63">
        <v>6.66845</v>
      </c>
      <c r="DJ6" s="63">
        <v>6.6680999999999999</v>
      </c>
      <c r="DK6" s="63">
        <v>6.6673900000000001</v>
      </c>
      <c r="DL6" s="63">
        <v>6.6663199999999998</v>
      </c>
      <c r="DM6" s="63">
        <v>6.6649000000000003</v>
      </c>
      <c r="DN6" s="63">
        <v>6.6631200000000002</v>
      </c>
      <c r="DO6" s="63">
        <v>6.66099</v>
      </c>
      <c r="DP6" s="63">
        <v>6.6585000000000001</v>
      </c>
      <c r="DQ6" s="63">
        <v>6.6556600000000001</v>
      </c>
      <c r="DR6" s="63">
        <v>6.6524599999999996</v>
      </c>
      <c r="DS6" s="63">
        <v>6.6489099999999999</v>
      </c>
      <c r="DT6" s="63">
        <v>6.6449999999999996</v>
      </c>
      <c r="DU6" s="63">
        <v>6.6407299999999996</v>
      </c>
      <c r="DV6" s="63">
        <v>6.6361100000000004</v>
      </c>
      <c r="DW6" s="63">
        <v>6.6311200000000001</v>
      </c>
      <c r="DX6" s="63">
        <v>6.6257900000000003</v>
      </c>
      <c r="DY6" s="63">
        <v>6.6200900000000003</v>
      </c>
      <c r="DZ6" s="63">
        <v>6.6140400000000001</v>
      </c>
      <c r="EA6" s="63">
        <v>6.6076300000000003</v>
      </c>
      <c r="EB6" s="63">
        <v>6.6008699999999996</v>
      </c>
      <c r="EC6" s="63">
        <v>6.5937400000000004</v>
      </c>
      <c r="ED6" s="63">
        <v>6.5862100000000003</v>
      </c>
      <c r="EE6" s="63">
        <v>6.5779300000000003</v>
      </c>
      <c r="EF6" s="63">
        <v>6.56548</v>
      </c>
      <c r="EG6" s="63">
        <v>6.5217299999999998</v>
      </c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4">
        <f>FG5+1</f>
        <v>1</v>
      </c>
      <c r="FH6" s="1"/>
      <c r="FI6" s="1"/>
      <c r="FJ6" s="76"/>
      <c r="FK6" s="77" t="s">
        <v>47</v>
      </c>
      <c r="FL6" s="1"/>
      <c r="FM6" s="1"/>
      <c r="FN6" s="84"/>
      <c r="FO6" s="84"/>
      <c r="FP6" s="84"/>
      <c r="FQ6" s="84"/>
      <c r="FR6" s="1"/>
      <c r="FS6" s="3"/>
      <c r="FT6" s="3"/>
      <c r="FU6" s="3"/>
      <c r="FV6" s="3"/>
      <c r="FW6" s="3"/>
      <c r="FX6" s="3"/>
      <c r="FY6" s="3"/>
      <c r="FZ6" s="3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ht="5.45" customHeight="1" x14ac:dyDescent="0.25">
      <c r="A7" s="3">
        <f>A6+1</f>
        <v>2</v>
      </c>
      <c r="B7" s="10">
        <v>2</v>
      </c>
      <c r="C7" s="10">
        <v>0</v>
      </c>
      <c r="D7" s="10">
        <f t="shared" ref="D7:D34" si="67">D6</f>
        <v>0</v>
      </c>
      <c r="E7" s="10">
        <f>E6</f>
        <v>500</v>
      </c>
      <c r="F7" s="10">
        <v>0</v>
      </c>
      <c r="G7" s="27" t="s">
        <v>45</v>
      </c>
      <c r="H7" s="11" t="str">
        <f t="shared" si="63"/>
        <v>1,3</v>
      </c>
      <c r="I7" s="1"/>
      <c r="J7" s="16">
        <f t="shared" ref="J7:J35" si="68">J6+1</f>
        <v>2</v>
      </c>
      <c r="K7" s="12">
        <f t="shared" ref="K7:AP7" si="69">IF(ISNUMBER(MATCH(K41,$H$35:$H$49,0)),$D$2,IF(ISNUMBER(MATCH(K41,$H$55:$H$62,0)),$E$2,IF(ISNUMBER(MATCH(K41,$H$6:$H$34,0)),$C$2,$B$2)))</f>
        <v>1</v>
      </c>
      <c r="L7" s="12" t="str">
        <f t="shared" si="69"/>
        <v>-</v>
      </c>
      <c r="M7" s="12" t="str">
        <f t="shared" si="69"/>
        <v>-</v>
      </c>
      <c r="N7" s="12" t="str">
        <f t="shared" si="69"/>
        <v>-</v>
      </c>
      <c r="O7" s="12" t="str">
        <f t="shared" si="69"/>
        <v>-</v>
      </c>
      <c r="P7" s="12" t="str">
        <f t="shared" si="69"/>
        <v>-</v>
      </c>
      <c r="Q7" s="12" t="str">
        <f t="shared" si="69"/>
        <v>-</v>
      </c>
      <c r="R7" s="12" t="str">
        <f t="shared" si="69"/>
        <v>-</v>
      </c>
      <c r="S7" s="12" t="str">
        <f t="shared" si="69"/>
        <v>-</v>
      </c>
      <c r="T7" s="12" t="str">
        <f t="shared" si="69"/>
        <v>-</v>
      </c>
      <c r="U7" s="12" t="str">
        <f t="shared" si="69"/>
        <v>-</v>
      </c>
      <c r="V7" s="12" t="str">
        <f t="shared" si="69"/>
        <v>-</v>
      </c>
      <c r="W7" s="12" t="str">
        <f t="shared" si="69"/>
        <v>-</v>
      </c>
      <c r="X7" s="12" t="str">
        <f t="shared" si="69"/>
        <v>-</v>
      </c>
      <c r="Y7" s="12" t="str">
        <f t="shared" si="69"/>
        <v>-</v>
      </c>
      <c r="Z7" s="12" t="str">
        <f t="shared" si="69"/>
        <v>-</v>
      </c>
      <c r="AA7" s="12" t="str">
        <f t="shared" si="69"/>
        <v>-</v>
      </c>
      <c r="AB7" s="12" t="str">
        <f t="shared" si="69"/>
        <v>-</v>
      </c>
      <c r="AC7" s="12" t="str">
        <f t="shared" si="69"/>
        <v>-</v>
      </c>
      <c r="AD7" s="12" t="str">
        <f t="shared" si="69"/>
        <v>-</v>
      </c>
      <c r="AE7" s="12" t="str">
        <f t="shared" si="69"/>
        <v>-</v>
      </c>
      <c r="AF7" s="12" t="str">
        <f t="shared" si="69"/>
        <v>-</v>
      </c>
      <c r="AG7" s="12" t="str">
        <f t="shared" si="69"/>
        <v>-</v>
      </c>
      <c r="AH7" s="12" t="str">
        <f t="shared" si="69"/>
        <v>-</v>
      </c>
      <c r="AI7" s="12" t="str">
        <f t="shared" si="69"/>
        <v>-</v>
      </c>
      <c r="AJ7" s="12" t="str">
        <f t="shared" si="69"/>
        <v>-</v>
      </c>
      <c r="AK7" s="12" t="str">
        <f t="shared" si="69"/>
        <v>-</v>
      </c>
      <c r="AL7" s="12" t="str">
        <f t="shared" si="69"/>
        <v>-</v>
      </c>
      <c r="AM7" s="12" t="str">
        <f t="shared" si="69"/>
        <v>-</v>
      </c>
      <c r="AN7" s="12" t="str">
        <f t="shared" si="69"/>
        <v>-</v>
      </c>
      <c r="AO7" s="12" t="str">
        <f t="shared" si="69"/>
        <v>-</v>
      </c>
      <c r="AP7" s="12" t="str">
        <f t="shared" si="69"/>
        <v>-</v>
      </c>
      <c r="AQ7" s="12" t="str">
        <f t="shared" ref="AQ7:BV7" si="70">IF(ISNUMBER(MATCH(AQ41,$H$35:$H$49,0)),$D$2,IF(ISNUMBER(MATCH(AQ41,$H$55:$H$62,0)),$E$2,IF(ISNUMBER(MATCH(AQ41,$H$6:$H$34,0)),$C$2,$B$2)))</f>
        <v>-</v>
      </c>
      <c r="AR7" s="12" t="str">
        <f t="shared" si="70"/>
        <v>-</v>
      </c>
      <c r="AS7" s="12" t="str">
        <f t="shared" si="70"/>
        <v>-</v>
      </c>
      <c r="AT7" s="12" t="str">
        <f t="shared" si="70"/>
        <v>-</v>
      </c>
      <c r="AU7" s="12" t="str">
        <f t="shared" si="70"/>
        <v>-</v>
      </c>
      <c r="AV7" s="12" t="str">
        <f t="shared" si="70"/>
        <v>-</v>
      </c>
      <c r="AW7" s="12" t="str">
        <f t="shared" si="70"/>
        <v>-</v>
      </c>
      <c r="AX7" s="12" t="str">
        <f t="shared" si="70"/>
        <v>-</v>
      </c>
      <c r="AY7" s="12" t="str">
        <f t="shared" si="70"/>
        <v>-</v>
      </c>
      <c r="AZ7" s="12" t="str">
        <f t="shared" si="70"/>
        <v>-</v>
      </c>
      <c r="BA7" s="12" t="str">
        <f t="shared" si="70"/>
        <v>-</v>
      </c>
      <c r="BB7" s="12" t="str">
        <f t="shared" si="70"/>
        <v>-</v>
      </c>
      <c r="BC7" s="12" t="str">
        <f t="shared" si="70"/>
        <v>-</v>
      </c>
      <c r="BD7" s="12" t="str">
        <f t="shared" si="70"/>
        <v>-</v>
      </c>
      <c r="BE7" s="12" t="str">
        <f t="shared" si="70"/>
        <v>-</v>
      </c>
      <c r="BF7" s="12" t="str">
        <f t="shared" si="70"/>
        <v>-</v>
      </c>
      <c r="BG7" s="12" t="str">
        <f t="shared" si="70"/>
        <v>-</v>
      </c>
      <c r="BH7" s="12" t="str">
        <f t="shared" si="70"/>
        <v>-</v>
      </c>
      <c r="BI7" s="12" t="str">
        <f t="shared" si="70"/>
        <v>-</v>
      </c>
      <c r="BJ7" s="12" t="str">
        <f t="shared" si="70"/>
        <v>-</v>
      </c>
      <c r="BK7" s="12" t="str">
        <f t="shared" si="70"/>
        <v>-</v>
      </c>
      <c r="BL7" s="12" t="str">
        <f t="shared" si="70"/>
        <v>-</v>
      </c>
      <c r="BM7" s="12" t="str">
        <f t="shared" si="70"/>
        <v>-</v>
      </c>
      <c r="BN7" s="12" t="str">
        <f t="shared" si="70"/>
        <v>-</v>
      </c>
      <c r="BO7" s="12" t="str">
        <f t="shared" si="70"/>
        <v>-</v>
      </c>
      <c r="BP7" s="12" t="str">
        <f t="shared" si="70"/>
        <v>-</v>
      </c>
      <c r="BQ7" s="12" t="str">
        <f t="shared" si="70"/>
        <v>-</v>
      </c>
      <c r="BR7" s="12" t="str">
        <f t="shared" si="70"/>
        <v>-</v>
      </c>
      <c r="BS7" s="12" t="str">
        <f t="shared" si="70"/>
        <v>-</v>
      </c>
      <c r="BT7" s="12" t="str">
        <f t="shared" si="70"/>
        <v>-</v>
      </c>
      <c r="BU7" s="12" t="str">
        <f t="shared" si="70"/>
        <v>-</v>
      </c>
      <c r="BV7" s="12" t="str">
        <f t="shared" si="70"/>
        <v>-</v>
      </c>
      <c r="BW7" s="12" t="str">
        <f t="shared" ref="BW7:DF7" si="71">IF(ISNUMBER(MATCH(BW41,$H$35:$H$49,0)),$D$2,IF(ISNUMBER(MATCH(BW41,$H$55:$H$62,0)),$E$2,IF(ISNUMBER(MATCH(BW41,$H$6:$H$34,0)),$C$2,$B$2)))</f>
        <v>-</v>
      </c>
      <c r="BX7" s="12" t="str">
        <f t="shared" si="71"/>
        <v>-</v>
      </c>
      <c r="BY7" s="12" t="str">
        <f t="shared" si="71"/>
        <v>-</v>
      </c>
      <c r="BZ7" s="12" t="str">
        <f t="shared" si="71"/>
        <v>-</v>
      </c>
      <c r="CA7" s="12" t="str">
        <f t="shared" si="71"/>
        <v>-</v>
      </c>
      <c r="CB7" s="12" t="str">
        <f t="shared" si="71"/>
        <v>-</v>
      </c>
      <c r="CC7" s="12" t="str">
        <f t="shared" si="71"/>
        <v>-</v>
      </c>
      <c r="CD7" s="12" t="str">
        <f t="shared" si="71"/>
        <v>-</v>
      </c>
      <c r="CE7" s="12" t="str">
        <f t="shared" si="71"/>
        <v>-</v>
      </c>
      <c r="CF7" s="12" t="str">
        <f t="shared" si="71"/>
        <v>-</v>
      </c>
      <c r="CG7" s="12" t="str">
        <f t="shared" si="71"/>
        <v>-</v>
      </c>
      <c r="CH7" s="12" t="str">
        <f t="shared" si="71"/>
        <v>-</v>
      </c>
      <c r="CI7" s="12" t="str">
        <f t="shared" si="71"/>
        <v>-</v>
      </c>
      <c r="CJ7" s="12" t="str">
        <f t="shared" si="71"/>
        <v>-</v>
      </c>
      <c r="CK7" s="12" t="str">
        <f t="shared" si="71"/>
        <v>-</v>
      </c>
      <c r="CL7" s="12" t="str">
        <f t="shared" si="71"/>
        <v>-</v>
      </c>
      <c r="CM7" s="12" t="str">
        <f t="shared" si="71"/>
        <v>-</v>
      </c>
      <c r="CN7" s="12" t="str">
        <f t="shared" si="71"/>
        <v>-</v>
      </c>
      <c r="CO7" s="12" t="str">
        <f t="shared" si="71"/>
        <v>-</v>
      </c>
      <c r="CP7" s="12" t="str">
        <f t="shared" si="71"/>
        <v>-</v>
      </c>
      <c r="CQ7" s="12" t="str">
        <f t="shared" si="71"/>
        <v>-</v>
      </c>
      <c r="CR7" s="12" t="str">
        <f t="shared" si="71"/>
        <v>-</v>
      </c>
      <c r="CS7" s="12" t="str">
        <f t="shared" si="71"/>
        <v>-</v>
      </c>
      <c r="CT7" s="12" t="str">
        <f t="shared" si="71"/>
        <v>-</v>
      </c>
      <c r="CU7" s="12" t="str">
        <f t="shared" si="71"/>
        <v>-</v>
      </c>
      <c r="CV7" s="12" t="str">
        <f t="shared" si="71"/>
        <v>-</v>
      </c>
      <c r="CW7" s="12" t="str">
        <f t="shared" si="71"/>
        <v>-</v>
      </c>
      <c r="CX7" s="12" t="str">
        <f t="shared" si="71"/>
        <v>-</v>
      </c>
      <c r="CY7" s="12" t="str">
        <f t="shared" si="71"/>
        <v>-</v>
      </c>
      <c r="CZ7" s="12" t="str">
        <f t="shared" si="71"/>
        <v>-</v>
      </c>
      <c r="DA7" s="12" t="str">
        <f t="shared" si="71"/>
        <v>-</v>
      </c>
      <c r="DB7" s="12" t="str">
        <f t="shared" si="71"/>
        <v>-</v>
      </c>
      <c r="DC7" s="12" t="str">
        <f t="shared" si="71"/>
        <v>-</v>
      </c>
      <c r="DD7" s="12" t="str">
        <f t="shared" si="71"/>
        <v>-</v>
      </c>
      <c r="DE7" s="12" t="str">
        <f t="shared" si="71"/>
        <v>-</v>
      </c>
      <c r="DF7" s="12" t="str">
        <f t="shared" si="71"/>
        <v>-</v>
      </c>
      <c r="DG7" s="16">
        <f>DG6+1</f>
        <v>2</v>
      </c>
      <c r="DH7" s="1"/>
      <c r="DI7" s="63">
        <v>6.6682899999999998</v>
      </c>
      <c r="DJ7" s="63">
        <v>6.6679399999999998</v>
      </c>
      <c r="DK7" s="63">
        <v>6.66723</v>
      </c>
      <c r="DL7" s="63">
        <v>6.6661599999999996</v>
      </c>
      <c r="DM7" s="63">
        <v>6.6647400000000001</v>
      </c>
      <c r="DN7" s="63">
        <v>6.6629699999999996</v>
      </c>
      <c r="DO7" s="63">
        <v>6.6608299999999998</v>
      </c>
      <c r="DP7" s="63">
        <v>6.6583500000000004</v>
      </c>
      <c r="DQ7" s="63">
        <v>6.6555</v>
      </c>
      <c r="DR7" s="63">
        <v>6.6523000000000003</v>
      </c>
      <c r="DS7" s="63">
        <v>6.6487499999999997</v>
      </c>
      <c r="DT7" s="63">
        <v>6.6448400000000003</v>
      </c>
      <c r="DU7" s="63">
        <v>6.6405700000000003</v>
      </c>
      <c r="DV7" s="63">
        <v>6.6359500000000002</v>
      </c>
      <c r="DW7" s="63">
        <v>6.6309699999999996</v>
      </c>
      <c r="DX7" s="63">
        <v>6.6256300000000001</v>
      </c>
      <c r="DY7" s="63">
        <v>6.6199399999999997</v>
      </c>
      <c r="DZ7" s="63">
        <v>6.61388</v>
      </c>
      <c r="EA7" s="63">
        <v>6.6074700000000002</v>
      </c>
      <c r="EB7" s="63">
        <v>6.6007100000000003</v>
      </c>
      <c r="EC7" s="63">
        <v>6.5935800000000002</v>
      </c>
      <c r="ED7" s="63">
        <v>6.5860500000000002</v>
      </c>
      <c r="EE7" s="63">
        <v>6.5777700000000001</v>
      </c>
      <c r="EF7" s="63">
        <v>6.5653300000000003</v>
      </c>
      <c r="EG7" s="63">
        <v>6.52156</v>
      </c>
      <c r="EH7" s="63">
        <v>6.4617599999999999</v>
      </c>
      <c r="EI7" s="63">
        <v>6.3976600000000001</v>
      </c>
      <c r="EJ7" s="63">
        <v>6.3302399999999999</v>
      </c>
      <c r="EK7" s="63">
        <v>6.2590700000000004</v>
      </c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4">
        <f t="shared" ref="FG7:FG32" si="72">FG6+1</f>
        <v>2</v>
      </c>
      <c r="FH7" s="1"/>
      <c r="FI7" s="1"/>
      <c r="FJ7" s="76"/>
      <c r="FK7" s="77" t="s">
        <v>48</v>
      </c>
      <c r="FL7" s="1"/>
      <c r="FM7" s="1"/>
      <c r="FN7" s="84"/>
      <c r="FO7" s="9"/>
      <c r="FP7" s="22"/>
      <c r="FQ7" s="74">
        <v>365</v>
      </c>
      <c r="FR7" s="2"/>
      <c r="FS7" s="3"/>
      <c r="FT7" s="3"/>
      <c r="FU7" s="3"/>
      <c r="FV7" s="3"/>
      <c r="FW7" s="3"/>
      <c r="FX7" s="3"/>
      <c r="FY7" s="3"/>
      <c r="FZ7" s="3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ht="5.45" customHeight="1" x14ac:dyDescent="0.25">
      <c r="A8" s="3">
        <f t="shared" ref="A8:A31" si="73">A7+1</f>
        <v>3</v>
      </c>
      <c r="B8" s="10">
        <v>3</v>
      </c>
      <c r="C8" s="10">
        <v>0</v>
      </c>
      <c r="D8" s="10">
        <f t="shared" si="67"/>
        <v>0</v>
      </c>
      <c r="E8" s="10">
        <f t="shared" ref="E8:E34" si="74">E7</f>
        <v>500</v>
      </c>
      <c r="F8" s="10">
        <v>0</v>
      </c>
      <c r="G8" s="27" t="s">
        <v>45</v>
      </c>
      <c r="H8" s="11" t="str">
        <f t="shared" si="63"/>
        <v>1,4</v>
      </c>
      <c r="I8" s="1"/>
      <c r="J8" s="16">
        <f t="shared" si="68"/>
        <v>3</v>
      </c>
      <c r="K8" s="12">
        <f t="shared" ref="K8:AP8" si="75">IF(ISNUMBER(MATCH(K42,$H$35:$H$49,0)),$D$2,IF(ISNUMBER(MATCH(K42,$H$55:$H$62,0)),$E$2,IF(ISNUMBER(MATCH(K42,$H$6:$H$34,0)),$C$2,$B$2)))</f>
        <v>1</v>
      </c>
      <c r="L8" s="12" t="str">
        <f t="shared" si="75"/>
        <v>-</v>
      </c>
      <c r="M8" s="12" t="str">
        <f t="shared" si="75"/>
        <v>-</v>
      </c>
      <c r="N8" s="12" t="str">
        <f t="shared" si="75"/>
        <v>-</v>
      </c>
      <c r="O8" s="12" t="str">
        <f t="shared" si="75"/>
        <v>-</v>
      </c>
      <c r="P8" s="12" t="str">
        <f t="shared" si="75"/>
        <v>-</v>
      </c>
      <c r="Q8" s="12" t="str">
        <f t="shared" si="75"/>
        <v>-</v>
      </c>
      <c r="R8" s="12" t="str">
        <f t="shared" si="75"/>
        <v>-</v>
      </c>
      <c r="S8" s="12" t="str">
        <f t="shared" si="75"/>
        <v>-</v>
      </c>
      <c r="T8" s="12" t="str">
        <f t="shared" si="75"/>
        <v>-</v>
      </c>
      <c r="U8" s="12" t="str">
        <f t="shared" si="75"/>
        <v>-</v>
      </c>
      <c r="V8" s="12" t="str">
        <f t="shared" si="75"/>
        <v>-</v>
      </c>
      <c r="W8" s="12" t="str">
        <f t="shared" si="75"/>
        <v>-</v>
      </c>
      <c r="X8" s="12" t="str">
        <f t="shared" si="75"/>
        <v>-</v>
      </c>
      <c r="Y8" s="12" t="str">
        <f t="shared" si="75"/>
        <v>-</v>
      </c>
      <c r="Z8" s="12" t="str">
        <f t="shared" si="75"/>
        <v>-</v>
      </c>
      <c r="AA8" s="12" t="str">
        <f t="shared" si="75"/>
        <v>-</v>
      </c>
      <c r="AB8" s="12" t="str">
        <f t="shared" si="75"/>
        <v>-</v>
      </c>
      <c r="AC8" s="12" t="str">
        <f t="shared" si="75"/>
        <v>-</v>
      </c>
      <c r="AD8" s="12" t="str">
        <f t="shared" si="75"/>
        <v>-</v>
      </c>
      <c r="AE8" s="12" t="str">
        <f t="shared" si="75"/>
        <v>-</v>
      </c>
      <c r="AF8" s="12" t="str">
        <f t="shared" si="75"/>
        <v>-</v>
      </c>
      <c r="AG8" s="12" t="str">
        <f t="shared" si="75"/>
        <v>-</v>
      </c>
      <c r="AH8" s="12" t="str">
        <f t="shared" si="75"/>
        <v>-</v>
      </c>
      <c r="AI8" s="12" t="str">
        <f t="shared" si="75"/>
        <v>-</v>
      </c>
      <c r="AJ8" s="12" t="str">
        <f t="shared" si="75"/>
        <v>-</v>
      </c>
      <c r="AK8" s="12" t="str">
        <f t="shared" si="75"/>
        <v>-</v>
      </c>
      <c r="AL8" s="12" t="str">
        <f t="shared" si="75"/>
        <v>-</v>
      </c>
      <c r="AM8" s="12" t="str">
        <f t="shared" si="75"/>
        <v>-</v>
      </c>
      <c r="AN8" s="12" t="str">
        <f t="shared" si="75"/>
        <v>-</v>
      </c>
      <c r="AO8" s="12" t="str">
        <f t="shared" si="75"/>
        <v>-</v>
      </c>
      <c r="AP8" s="12" t="str">
        <f t="shared" si="75"/>
        <v>-</v>
      </c>
      <c r="AQ8" s="12" t="str">
        <f t="shared" ref="AQ8:BV8" si="76">IF(ISNUMBER(MATCH(AQ42,$H$35:$H$49,0)),$D$2,IF(ISNUMBER(MATCH(AQ42,$H$55:$H$62,0)),$E$2,IF(ISNUMBER(MATCH(AQ42,$H$6:$H$34,0)),$C$2,$B$2)))</f>
        <v>-</v>
      </c>
      <c r="AR8" s="12" t="str">
        <f t="shared" si="76"/>
        <v>-</v>
      </c>
      <c r="AS8" s="12" t="str">
        <f t="shared" si="76"/>
        <v>-</v>
      </c>
      <c r="AT8" s="12" t="str">
        <f t="shared" si="76"/>
        <v>-</v>
      </c>
      <c r="AU8" s="12" t="str">
        <f t="shared" si="76"/>
        <v>-</v>
      </c>
      <c r="AV8" s="12" t="str">
        <f t="shared" si="76"/>
        <v>-</v>
      </c>
      <c r="AW8" s="12" t="str">
        <f t="shared" si="76"/>
        <v>-</v>
      </c>
      <c r="AX8" s="12" t="str">
        <f t="shared" si="76"/>
        <v>-</v>
      </c>
      <c r="AY8" s="12" t="str">
        <f t="shared" si="76"/>
        <v>-</v>
      </c>
      <c r="AZ8" s="12" t="str">
        <f t="shared" si="76"/>
        <v>-</v>
      </c>
      <c r="BA8" s="12" t="str">
        <f t="shared" si="76"/>
        <v>-</v>
      </c>
      <c r="BB8" s="12" t="str">
        <f t="shared" si="76"/>
        <v>-</v>
      </c>
      <c r="BC8" s="12" t="str">
        <f t="shared" si="76"/>
        <v>-</v>
      </c>
      <c r="BD8" s="12" t="str">
        <f t="shared" si="76"/>
        <v>-</v>
      </c>
      <c r="BE8" s="12" t="str">
        <f t="shared" si="76"/>
        <v>-</v>
      </c>
      <c r="BF8" s="12" t="str">
        <f t="shared" si="76"/>
        <v>-</v>
      </c>
      <c r="BG8" s="12" t="str">
        <f t="shared" si="76"/>
        <v>-</v>
      </c>
      <c r="BH8" s="12" t="str">
        <f t="shared" si="76"/>
        <v>-</v>
      </c>
      <c r="BI8" s="12" t="str">
        <f t="shared" si="76"/>
        <v>-</v>
      </c>
      <c r="BJ8" s="12" t="str">
        <f t="shared" si="76"/>
        <v>-</v>
      </c>
      <c r="BK8" s="12" t="str">
        <f t="shared" si="76"/>
        <v>-</v>
      </c>
      <c r="BL8" s="12" t="str">
        <f t="shared" si="76"/>
        <v>-</v>
      </c>
      <c r="BM8" s="12" t="str">
        <f t="shared" si="76"/>
        <v>-</v>
      </c>
      <c r="BN8" s="12" t="str">
        <f t="shared" si="76"/>
        <v>-</v>
      </c>
      <c r="BO8" s="12" t="str">
        <f t="shared" si="76"/>
        <v>-</v>
      </c>
      <c r="BP8" s="12" t="str">
        <f t="shared" si="76"/>
        <v>-</v>
      </c>
      <c r="BQ8" s="12" t="str">
        <f t="shared" si="76"/>
        <v>-</v>
      </c>
      <c r="BR8" s="12" t="str">
        <f t="shared" si="76"/>
        <v>-</v>
      </c>
      <c r="BS8" s="12" t="str">
        <f t="shared" si="76"/>
        <v>-</v>
      </c>
      <c r="BT8" s="12" t="str">
        <f t="shared" si="76"/>
        <v>-</v>
      </c>
      <c r="BU8" s="12" t="str">
        <f t="shared" si="76"/>
        <v>-</v>
      </c>
      <c r="BV8" s="12" t="str">
        <f t="shared" si="76"/>
        <v>-</v>
      </c>
      <c r="BW8" s="12" t="str">
        <f t="shared" ref="BW8:DF8" si="77">IF(ISNUMBER(MATCH(BW42,$H$35:$H$49,0)),$D$2,IF(ISNUMBER(MATCH(BW42,$H$55:$H$62,0)),$E$2,IF(ISNUMBER(MATCH(BW42,$H$6:$H$34,0)),$C$2,$B$2)))</f>
        <v>-</v>
      </c>
      <c r="BX8" s="12" t="str">
        <f t="shared" si="77"/>
        <v>-</v>
      </c>
      <c r="BY8" s="12" t="str">
        <f t="shared" si="77"/>
        <v>-</v>
      </c>
      <c r="BZ8" s="12" t="str">
        <f t="shared" si="77"/>
        <v>-</v>
      </c>
      <c r="CA8" s="12" t="str">
        <f t="shared" si="77"/>
        <v>-</v>
      </c>
      <c r="CB8" s="12" t="str">
        <f t="shared" si="77"/>
        <v>-</v>
      </c>
      <c r="CC8" s="12" t="str">
        <f t="shared" si="77"/>
        <v>-</v>
      </c>
      <c r="CD8" s="12" t="str">
        <f t="shared" si="77"/>
        <v>-</v>
      </c>
      <c r="CE8" s="12" t="str">
        <f t="shared" si="77"/>
        <v>-</v>
      </c>
      <c r="CF8" s="12" t="str">
        <f t="shared" si="77"/>
        <v>-</v>
      </c>
      <c r="CG8" s="12" t="str">
        <f t="shared" si="77"/>
        <v>-</v>
      </c>
      <c r="CH8" s="12" t="str">
        <f t="shared" si="77"/>
        <v>-</v>
      </c>
      <c r="CI8" s="12" t="str">
        <f t="shared" si="77"/>
        <v>-</v>
      </c>
      <c r="CJ8" s="12" t="str">
        <f t="shared" si="77"/>
        <v>-</v>
      </c>
      <c r="CK8" s="12" t="str">
        <f t="shared" si="77"/>
        <v>-</v>
      </c>
      <c r="CL8" s="12" t="str">
        <f t="shared" si="77"/>
        <v>-</v>
      </c>
      <c r="CM8" s="12" t="str">
        <f t="shared" si="77"/>
        <v>-</v>
      </c>
      <c r="CN8" s="12" t="str">
        <f t="shared" si="77"/>
        <v>-</v>
      </c>
      <c r="CO8" s="12" t="str">
        <f t="shared" si="77"/>
        <v>-</v>
      </c>
      <c r="CP8" s="12" t="str">
        <f t="shared" si="77"/>
        <v>-</v>
      </c>
      <c r="CQ8" s="12" t="str">
        <f t="shared" si="77"/>
        <v>-</v>
      </c>
      <c r="CR8" s="12" t="str">
        <f t="shared" si="77"/>
        <v>-</v>
      </c>
      <c r="CS8" s="12" t="str">
        <f t="shared" si="77"/>
        <v>-</v>
      </c>
      <c r="CT8" s="12" t="str">
        <f t="shared" si="77"/>
        <v>-</v>
      </c>
      <c r="CU8" s="12" t="str">
        <f t="shared" si="77"/>
        <v>-</v>
      </c>
      <c r="CV8" s="12" t="str">
        <f t="shared" si="77"/>
        <v>-</v>
      </c>
      <c r="CW8" s="12" t="str">
        <f t="shared" si="77"/>
        <v>-</v>
      </c>
      <c r="CX8" s="12" t="str">
        <f t="shared" si="77"/>
        <v>-</v>
      </c>
      <c r="CY8" s="12" t="str">
        <f t="shared" si="77"/>
        <v>-</v>
      </c>
      <c r="CZ8" s="12" t="str">
        <f t="shared" si="77"/>
        <v>-</v>
      </c>
      <c r="DA8" s="12" t="str">
        <f t="shared" si="77"/>
        <v>-</v>
      </c>
      <c r="DB8" s="12" t="str">
        <f t="shared" si="77"/>
        <v>-</v>
      </c>
      <c r="DC8" s="12" t="str">
        <f t="shared" si="77"/>
        <v>-</v>
      </c>
      <c r="DD8" s="12" t="str">
        <f t="shared" si="77"/>
        <v>-</v>
      </c>
      <c r="DE8" s="12" t="str">
        <f t="shared" si="77"/>
        <v>-</v>
      </c>
      <c r="DF8" s="12" t="str">
        <f t="shared" si="77"/>
        <v>-</v>
      </c>
      <c r="DG8" s="16">
        <f t="shared" ref="DG8:DG35" si="78">DG7+1</f>
        <v>3</v>
      </c>
      <c r="DH8" s="1"/>
      <c r="DI8" s="63">
        <v>6.6681400000000002</v>
      </c>
      <c r="DJ8" s="63">
        <v>6.6677799999999996</v>
      </c>
      <c r="DK8" s="63">
        <v>6.6670699999999998</v>
      </c>
      <c r="DL8" s="63">
        <v>6.66601</v>
      </c>
      <c r="DM8" s="63">
        <v>6.6645799999999999</v>
      </c>
      <c r="DN8" s="63">
        <v>6.6628100000000003</v>
      </c>
      <c r="DO8" s="63">
        <v>6.6606800000000002</v>
      </c>
      <c r="DP8" s="63">
        <v>6.6581900000000003</v>
      </c>
      <c r="DQ8" s="63">
        <v>6.6553500000000003</v>
      </c>
      <c r="DR8" s="63">
        <v>6.6521499999999998</v>
      </c>
      <c r="DS8" s="63">
        <v>6.6485900000000004</v>
      </c>
      <c r="DT8" s="63">
        <v>6.6446800000000001</v>
      </c>
      <c r="DU8" s="63">
        <v>6.6404100000000001</v>
      </c>
      <c r="DV8" s="63">
        <v>6.6357900000000001</v>
      </c>
      <c r="DW8" s="63">
        <v>6.6308100000000003</v>
      </c>
      <c r="DX8" s="63">
        <v>6.62547</v>
      </c>
      <c r="DY8" s="63">
        <v>6.6197800000000004</v>
      </c>
      <c r="DZ8" s="63">
        <v>6.6137300000000003</v>
      </c>
      <c r="EA8" s="63">
        <v>6.6073199999999996</v>
      </c>
      <c r="EB8" s="63">
        <v>6.6005500000000001</v>
      </c>
      <c r="EC8" s="63">
        <v>6.5934200000000001</v>
      </c>
      <c r="ED8" s="63">
        <v>6.5858999999999996</v>
      </c>
      <c r="EE8" s="63">
        <v>6.5776199999999996</v>
      </c>
      <c r="EF8" s="63">
        <v>6.5652499999999998</v>
      </c>
      <c r="EG8" s="63">
        <v>6.52142</v>
      </c>
      <c r="EH8" s="63">
        <v>6.46157</v>
      </c>
      <c r="EI8" s="63">
        <v>6.3974599999999997</v>
      </c>
      <c r="EJ8" s="63">
        <v>6.3300299999999998</v>
      </c>
      <c r="EK8" s="63">
        <v>6.2588999999999997</v>
      </c>
      <c r="EL8" s="63">
        <v>6.18485</v>
      </c>
      <c r="EM8" s="63">
        <v>6.1072899999999999</v>
      </c>
      <c r="EN8" s="63">
        <v>6.0256600000000002</v>
      </c>
      <c r="EO8" s="63"/>
      <c r="EP8" s="63"/>
      <c r="EQ8" s="63"/>
      <c r="ER8" s="63"/>
      <c r="ES8" s="63"/>
      <c r="ET8" s="63"/>
      <c r="EU8" s="63"/>
      <c r="EV8" s="63"/>
      <c r="EW8" s="63"/>
      <c r="EX8" s="63"/>
      <c r="EY8" s="63"/>
      <c r="EZ8" s="63"/>
      <c r="FA8" s="63"/>
      <c r="FB8" s="63"/>
      <c r="FC8" s="63"/>
      <c r="FD8" s="63"/>
      <c r="FE8" s="63"/>
      <c r="FF8" s="63"/>
      <c r="FG8" s="64">
        <f t="shared" si="72"/>
        <v>3</v>
      </c>
      <c r="FH8" s="1"/>
      <c r="FI8" s="75">
        <f>IF(ISNUMBER(MATCH(FJ8,$FP$8:$FP$13,0)),MAX(FI$7:FI7)+1,0)</f>
        <v>0</v>
      </c>
      <c r="FJ8" s="78">
        <f>FJ3/FL8</f>
        <v>36.5</v>
      </c>
      <c r="FK8" s="81">
        <f>FJ8</f>
        <v>36.5</v>
      </c>
      <c r="FL8" s="5">
        <v>10</v>
      </c>
      <c r="FM8" s="1"/>
      <c r="FN8" s="16">
        <v>0</v>
      </c>
      <c r="FO8" s="30">
        <f t="shared" ref="FO8:FO31" si="79">IF(ISNUMBER(FP8),IF(FP8&lt;FP$3,1,2),"")</f>
        <v>1</v>
      </c>
      <c r="FP8" s="73">
        <v>0</v>
      </c>
      <c r="FQ8" s="75">
        <f t="shared" ref="FQ8:FQ31" si="80">IF(ISNUMBER(FP8),FP8/$FQ$7,"")</f>
        <v>0</v>
      </c>
      <c r="FR8" s="2"/>
      <c r="FS8" s="3"/>
      <c r="FT8" s="3"/>
      <c r="FU8" s="3"/>
      <c r="FV8" s="3"/>
      <c r="FW8" s="3"/>
      <c r="FX8" s="3"/>
      <c r="FY8" s="3"/>
      <c r="FZ8" s="3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ht="5.45" customHeight="1" x14ac:dyDescent="0.25">
      <c r="A9" s="3">
        <f t="shared" si="73"/>
        <v>4</v>
      </c>
      <c r="B9" s="10">
        <v>4</v>
      </c>
      <c r="C9" s="10">
        <v>0</v>
      </c>
      <c r="D9" s="10">
        <f t="shared" si="67"/>
        <v>0</v>
      </c>
      <c r="E9" s="10">
        <f t="shared" si="74"/>
        <v>500</v>
      </c>
      <c r="F9" s="10">
        <v>0</v>
      </c>
      <c r="G9" s="27" t="s">
        <v>45</v>
      </c>
      <c r="H9" s="11" t="str">
        <f t="shared" si="63"/>
        <v>1,5</v>
      </c>
      <c r="I9" s="1"/>
      <c r="J9" s="16">
        <f t="shared" si="68"/>
        <v>4</v>
      </c>
      <c r="K9" s="12">
        <f t="shared" ref="K9:AP9" si="81">IF(ISNUMBER(MATCH(K43,$H$35:$H$49,0)),$D$2,IF(ISNUMBER(MATCH(K43,$H$55:$H$62,0)),$E$2,IF(ISNUMBER(MATCH(K43,$H$6:$H$34,0)),$C$2,$B$2)))</f>
        <v>1</v>
      </c>
      <c r="L9" s="12" t="str">
        <f t="shared" si="81"/>
        <v>-</v>
      </c>
      <c r="M9" s="12" t="str">
        <f t="shared" si="81"/>
        <v>-</v>
      </c>
      <c r="N9" s="12" t="str">
        <f t="shared" si="81"/>
        <v>-</v>
      </c>
      <c r="O9" s="12" t="str">
        <f t="shared" si="81"/>
        <v>-</v>
      </c>
      <c r="P9" s="12" t="str">
        <f t="shared" si="81"/>
        <v>-</v>
      </c>
      <c r="Q9" s="12" t="str">
        <f t="shared" si="81"/>
        <v>-</v>
      </c>
      <c r="R9" s="12" t="str">
        <f t="shared" si="81"/>
        <v>-</v>
      </c>
      <c r="S9" s="12" t="str">
        <f t="shared" si="81"/>
        <v>-</v>
      </c>
      <c r="T9" s="12" t="str">
        <f t="shared" si="81"/>
        <v>-</v>
      </c>
      <c r="U9" s="12" t="str">
        <f t="shared" si="81"/>
        <v>-</v>
      </c>
      <c r="V9" s="12" t="str">
        <f t="shared" si="81"/>
        <v>-</v>
      </c>
      <c r="W9" s="12" t="str">
        <f t="shared" si="81"/>
        <v>-</v>
      </c>
      <c r="X9" s="12" t="str">
        <f t="shared" si="81"/>
        <v>-</v>
      </c>
      <c r="Y9" s="12" t="str">
        <f t="shared" si="81"/>
        <v>-</v>
      </c>
      <c r="Z9" s="12" t="str">
        <f t="shared" si="81"/>
        <v>-</v>
      </c>
      <c r="AA9" s="12" t="str">
        <f t="shared" si="81"/>
        <v>-</v>
      </c>
      <c r="AB9" s="12" t="str">
        <f t="shared" si="81"/>
        <v>-</v>
      </c>
      <c r="AC9" s="12" t="str">
        <f t="shared" si="81"/>
        <v>-</v>
      </c>
      <c r="AD9" s="12" t="str">
        <f t="shared" si="81"/>
        <v>-</v>
      </c>
      <c r="AE9" s="12" t="str">
        <f t="shared" si="81"/>
        <v>-</v>
      </c>
      <c r="AF9" s="12" t="str">
        <f t="shared" si="81"/>
        <v>-</v>
      </c>
      <c r="AG9" s="12" t="str">
        <f t="shared" si="81"/>
        <v>-</v>
      </c>
      <c r="AH9" s="12" t="str">
        <f t="shared" si="81"/>
        <v>-</v>
      </c>
      <c r="AI9" s="12" t="str">
        <f t="shared" si="81"/>
        <v>-</v>
      </c>
      <c r="AJ9" s="12" t="str">
        <f t="shared" si="81"/>
        <v>-</v>
      </c>
      <c r="AK9" s="12" t="str">
        <f t="shared" si="81"/>
        <v>-</v>
      </c>
      <c r="AL9" s="12" t="str">
        <f t="shared" si="81"/>
        <v>-</v>
      </c>
      <c r="AM9" s="12" t="str">
        <f t="shared" si="81"/>
        <v>-</v>
      </c>
      <c r="AN9" s="12" t="str">
        <f t="shared" si="81"/>
        <v>-</v>
      </c>
      <c r="AO9" s="12" t="str">
        <f t="shared" si="81"/>
        <v>-</v>
      </c>
      <c r="AP9" s="12" t="str">
        <f t="shared" si="81"/>
        <v>-</v>
      </c>
      <c r="AQ9" s="12" t="str">
        <f t="shared" ref="AQ9:BV9" si="82">IF(ISNUMBER(MATCH(AQ43,$H$35:$H$49,0)),$D$2,IF(ISNUMBER(MATCH(AQ43,$H$55:$H$62,0)),$E$2,IF(ISNUMBER(MATCH(AQ43,$H$6:$H$34,0)),$C$2,$B$2)))</f>
        <v>-</v>
      </c>
      <c r="AR9" s="12" t="str">
        <f t="shared" si="82"/>
        <v>-</v>
      </c>
      <c r="AS9" s="12" t="str">
        <f t="shared" si="82"/>
        <v>-</v>
      </c>
      <c r="AT9" s="12" t="str">
        <f t="shared" si="82"/>
        <v>-</v>
      </c>
      <c r="AU9" s="12" t="str">
        <f t="shared" si="82"/>
        <v>-</v>
      </c>
      <c r="AV9" s="12" t="str">
        <f t="shared" si="82"/>
        <v>-</v>
      </c>
      <c r="AW9" s="12" t="str">
        <f t="shared" si="82"/>
        <v>-</v>
      </c>
      <c r="AX9" s="12" t="str">
        <f t="shared" si="82"/>
        <v>-</v>
      </c>
      <c r="AY9" s="12" t="str">
        <f t="shared" si="82"/>
        <v>-</v>
      </c>
      <c r="AZ9" s="12" t="str">
        <f t="shared" si="82"/>
        <v>-</v>
      </c>
      <c r="BA9" s="12" t="str">
        <f t="shared" si="82"/>
        <v>-</v>
      </c>
      <c r="BB9" s="12" t="str">
        <f t="shared" si="82"/>
        <v>-</v>
      </c>
      <c r="BC9" s="12" t="str">
        <f t="shared" si="82"/>
        <v>-</v>
      </c>
      <c r="BD9" s="12" t="str">
        <f t="shared" si="82"/>
        <v>-</v>
      </c>
      <c r="BE9" s="12" t="str">
        <f t="shared" si="82"/>
        <v>-</v>
      </c>
      <c r="BF9" s="12" t="str">
        <f t="shared" si="82"/>
        <v>-</v>
      </c>
      <c r="BG9" s="12" t="str">
        <f t="shared" si="82"/>
        <v>-</v>
      </c>
      <c r="BH9" s="12" t="str">
        <f t="shared" si="82"/>
        <v>-</v>
      </c>
      <c r="BI9" s="12" t="str">
        <f t="shared" si="82"/>
        <v>-</v>
      </c>
      <c r="BJ9" s="12" t="str">
        <f t="shared" si="82"/>
        <v>-</v>
      </c>
      <c r="BK9" s="12" t="str">
        <f t="shared" si="82"/>
        <v>-</v>
      </c>
      <c r="BL9" s="12" t="str">
        <f t="shared" si="82"/>
        <v>-</v>
      </c>
      <c r="BM9" s="12" t="str">
        <f t="shared" si="82"/>
        <v>-</v>
      </c>
      <c r="BN9" s="12" t="str">
        <f t="shared" si="82"/>
        <v>-</v>
      </c>
      <c r="BO9" s="12" t="str">
        <f t="shared" si="82"/>
        <v>-</v>
      </c>
      <c r="BP9" s="12" t="str">
        <f t="shared" si="82"/>
        <v>-</v>
      </c>
      <c r="BQ9" s="12" t="str">
        <f t="shared" si="82"/>
        <v>-</v>
      </c>
      <c r="BR9" s="12" t="str">
        <f t="shared" si="82"/>
        <v>-</v>
      </c>
      <c r="BS9" s="12" t="str">
        <f t="shared" si="82"/>
        <v>-</v>
      </c>
      <c r="BT9" s="12" t="str">
        <f t="shared" si="82"/>
        <v>-</v>
      </c>
      <c r="BU9" s="12" t="str">
        <f t="shared" si="82"/>
        <v>-</v>
      </c>
      <c r="BV9" s="12" t="str">
        <f t="shared" si="82"/>
        <v>-</v>
      </c>
      <c r="BW9" s="12" t="str">
        <f t="shared" ref="BW9:DF9" si="83">IF(ISNUMBER(MATCH(BW43,$H$35:$H$49,0)),$D$2,IF(ISNUMBER(MATCH(BW43,$H$55:$H$62,0)),$E$2,IF(ISNUMBER(MATCH(BW43,$H$6:$H$34,0)),$C$2,$B$2)))</f>
        <v>-</v>
      </c>
      <c r="BX9" s="12" t="str">
        <f t="shared" si="83"/>
        <v>-</v>
      </c>
      <c r="BY9" s="12" t="str">
        <f t="shared" si="83"/>
        <v>-</v>
      </c>
      <c r="BZ9" s="12" t="str">
        <f t="shared" si="83"/>
        <v>-</v>
      </c>
      <c r="CA9" s="12" t="str">
        <f t="shared" si="83"/>
        <v>-</v>
      </c>
      <c r="CB9" s="12" t="str">
        <f t="shared" si="83"/>
        <v>-</v>
      </c>
      <c r="CC9" s="12" t="str">
        <f t="shared" si="83"/>
        <v>-</v>
      </c>
      <c r="CD9" s="12" t="str">
        <f t="shared" si="83"/>
        <v>-</v>
      </c>
      <c r="CE9" s="12" t="str">
        <f t="shared" si="83"/>
        <v>-</v>
      </c>
      <c r="CF9" s="12" t="str">
        <f t="shared" si="83"/>
        <v>-</v>
      </c>
      <c r="CG9" s="12" t="str">
        <f t="shared" si="83"/>
        <v>-</v>
      </c>
      <c r="CH9" s="12" t="str">
        <f t="shared" si="83"/>
        <v>-</v>
      </c>
      <c r="CI9" s="12" t="str">
        <f t="shared" si="83"/>
        <v>-</v>
      </c>
      <c r="CJ9" s="12" t="str">
        <f t="shared" si="83"/>
        <v>-</v>
      </c>
      <c r="CK9" s="12" t="str">
        <f t="shared" si="83"/>
        <v>-</v>
      </c>
      <c r="CL9" s="12" t="str">
        <f t="shared" si="83"/>
        <v>-</v>
      </c>
      <c r="CM9" s="12" t="str">
        <f t="shared" si="83"/>
        <v>-</v>
      </c>
      <c r="CN9" s="12" t="str">
        <f t="shared" si="83"/>
        <v>-</v>
      </c>
      <c r="CO9" s="12" t="str">
        <f t="shared" si="83"/>
        <v>-</v>
      </c>
      <c r="CP9" s="12" t="str">
        <f t="shared" si="83"/>
        <v>-</v>
      </c>
      <c r="CQ9" s="12" t="str">
        <f t="shared" si="83"/>
        <v>-</v>
      </c>
      <c r="CR9" s="12" t="str">
        <f t="shared" si="83"/>
        <v>-</v>
      </c>
      <c r="CS9" s="12" t="str">
        <f t="shared" si="83"/>
        <v>-</v>
      </c>
      <c r="CT9" s="12" t="str">
        <f t="shared" si="83"/>
        <v>-</v>
      </c>
      <c r="CU9" s="12" t="str">
        <f t="shared" si="83"/>
        <v>-</v>
      </c>
      <c r="CV9" s="12" t="str">
        <f t="shared" si="83"/>
        <v>-</v>
      </c>
      <c r="CW9" s="12" t="str">
        <f t="shared" si="83"/>
        <v>-</v>
      </c>
      <c r="CX9" s="12" t="str">
        <f t="shared" si="83"/>
        <v>-</v>
      </c>
      <c r="CY9" s="12" t="str">
        <f t="shared" si="83"/>
        <v>-</v>
      </c>
      <c r="CZ9" s="12" t="str">
        <f t="shared" si="83"/>
        <v>-</v>
      </c>
      <c r="DA9" s="12" t="str">
        <f t="shared" si="83"/>
        <v>-</v>
      </c>
      <c r="DB9" s="12" t="str">
        <f t="shared" si="83"/>
        <v>-</v>
      </c>
      <c r="DC9" s="12" t="str">
        <f t="shared" si="83"/>
        <v>-</v>
      </c>
      <c r="DD9" s="12" t="str">
        <f t="shared" si="83"/>
        <v>-</v>
      </c>
      <c r="DE9" s="12" t="str">
        <f t="shared" si="83"/>
        <v>-</v>
      </c>
      <c r="DF9" s="12" t="str">
        <f t="shared" si="83"/>
        <v>-</v>
      </c>
      <c r="DG9" s="16">
        <f t="shared" si="78"/>
        <v>4</v>
      </c>
      <c r="DH9" s="1"/>
      <c r="DI9" s="63">
        <v>6.66798</v>
      </c>
      <c r="DJ9" s="63">
        <v>6.6676200000000003</v>
      </c>
      <c r="DK9" s="63">
        <v>6.6669099999999997</v>
      </c>
      <c r="DL9" s="63">
        <v>6.6658499999999998</v>
      </c>
      <c r="DM9" s="63">
        <v>6.6644300000000003</v>
      </c>
      <c r="DN9" s="63">
        <v>6.6626500000000002</v>
      </c>
      <c r="DO9" s="63">
        <v>6.66052</v>
      </c>
      <c r="DP9" s="63">
        <v>6.6580300000000001</v>
      </c>
      <c r="DQ9" s="63">
        <v>6.6551900000000002</v>
      </c>
      <c r="DR9" s="63">
        <v>6.6519899999999996</v>
      </c>
      <c r="DS9" s="63">
        <v>6.6484399999999999</v>
      </c>
      <c r="DT9" s="63">
        <v>6.64452</v>
      </c>
      <c r="DU9" s="63">
        <v>6.6402599999999996</v>
      </c>
      <c r="DV9" s="63">
        <v>6.6356299999999999</v>
      </c>
      <c r="DW9" s="63">
        <v>6.6306500000000002</v>
      </c>
      <c r="DX9" s="63">
        <v>6.6253200000000003</v>
      </c>
      <c r="DY9" s="63">
        <v>6.6196200000000003</v>
      </c>
      <c r="DZ9" s="63">
        <v>6.6135700000000002</v>
      </c>
      <c r="EA9" s="63">
        <v>6.6071600000000004</v>
      </c>
      <c r="EB9" s="63">
        <v>6.60039</v>
      </c>
      <c r="EC9" s="63">
        <v>6.5932700000000004</v>
      </c>
      <c r="ED9" s="63">
        <v>6.5857400000000004</v>
      </c>
      <c r="EE9" s="63">
        <v>6.5774900000000001</v>
      </c>
      <c r="EF9" s="63">
        <v>6.5652600000000003</v>
      </c>
      <c r="EG9" s="63">
        <v>6.5213099999999997</v>
      </c>
      <c r="EH9" s="63">
        <v>6.4614000000000003</v>
      </c>
      <c r="EI9" s="63">
        <v>6.3972699999999998</v>
      </c>
      <c r="EJ9" s="63">
        <v>6.3298199999999998</v>
      </c>
      <c r="EK9" s="63">
        <v>6.2587099999999998</v>
      </c>
      <c r="EL9" s="63">
        <v>6.1846399999999999</v>
      </c>
      <c r="EM9" s="63">
        <v>6.1070599999999997</v>
      </c>
      <c r="EN9" s="63">
        <v>6.0254599999999998</v>
      </c>
      <c r="EO9" s="63">
        <v>5.9403199999999998</v>
      </c>
      <c r="EP9" s="63">
        <v>5.8514299999999997</v>
      </c>
      <c r="EQ9" s="63">
        <v>5.7574399999999999</v>
      </c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4">
        <f t="shared" si="72"/>
        <v>4</v>
      </c>
      <c r="FH9" s="1"/>
      <c r="FI9" s="75">
        <f>IF(ISNUMBER(MATCH(FJ9,$FP$8:$FP$13,0)),MAX(FI$7:FI8)+1,0)</f>
        <v>0</v>
      </c>
      <c r="FJ9" s="79">
        <f t="shared" ref="FJ9:FJ27" si="84">IF(FJ8="","",IF(FJ8+FL9&lt;MAX($FP$9:$FP$29),FJ8+FL9,""))</f>
        <v>73</v>
      </c>
      <c r="FK9" s="82">
        <f t="shared" ref="FK9:FK27" si="85">IF(FK8="","",IF(FK8+FL9&lt;MAX($FP$9:$FP$29),ROUND(FK8+FL9,0),""))</f>
        <v>73</v>
      </c>
      <c r="FL9" s="78">
        <f>FJ8</f>
        <v>36.5</v>
      </c>
      <c r="FM9" s="1"/>
      <c r="FN9" s="16">
        <f t="shared" ref="FN9:FN31" si="86">IF(ISNUMBER(FP9),FN8+1,"")</f>
        <v>1</v>
      </c>
      <c r="FO9" s="30">
        <f t="shared" si="79"/>
        <v>2</v>
      </c>
      <c r="FP9" s="73">
        <f t="shared" ref="FP9:FP31" si="87">IF(FP8="","",IF(FP8+FQ$3*FR$3&gt;$FP$5,"",FP8+FQ$3*FR$3))</f>
        <v>365</v>
      </c>
      <c r="FQ9" s="75">
        <f t="shared" si="80"/>
        <v>1</v>
      </c>
      <c r="FR9" s="2"/>
      <c r="FS9" s="3"/>
      <c r="FT9" s="3"/>
      <c r="FU9" s="3"/>
      <c r="FV9" s="3"/>
      <c r="FW9" s="3"/>
      <c r="FX9" s="3"/>
      <c r="FY9" s="3"/>
      <c r="FZ9" s="3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ht="5.45" customHeight="1" x14ac:dyDescent="0.25">
      <c r="A10" s="3">
        <f t="shared" si="73"/>
        <v>5</v>
      </c>
      <c r="B10" s="10">
        <v>5</v>
      </c>
      <c r="C10" s="10">
        <v>0</v>
      </c>
      <c r="D10" s="10">
        <f t="shared" si="67"/>
        <v>0</v>
      </c>
      <c r="E10" s="10">
        <f t="shared" si="74"/>
        <v>500</v>
      </c>
      <c r="F10" s="10">
        <v>0</v>
      </c>
      <c r="G10" s="27" t="s">
        <v>45</v>
      </c>
      <c r="H10" s="11" t="str">
        <f t="shared" si="63"/>
        <v>1,6</v>
      </c>
      <c r="I10" s="1"/>
      <c r="J10" s="16">
        <f t="shared" si="68"/>
        <v>5</v>
      </c>
      <c r="K10" s="12">
        <f t="shared" ref="K10:AP10" si="88">IF(ISNUMBER(MATCH(K44,$H$35:$H$49,0)),$D$2,IF(ISNUMBER(MATCH(K44,$H$55:$H$62,0)),$E$2,IF(ISNUMBER(MATCH(K44,$H$6:$H$34,0)),$C$2,$B$2)))</f>
        <v>1</v>
      </c>
      <c r="L10" s="12" t="str">
        <f t="shared" si="88"/>
        <v>-</v>
      </c>
      <c r="M10" s="12" t="str">
        <f t="shared" si="88"/>
        <v>-</v>
      </c>
      <c r="N10" s="12" t="str">
        <f t="shared" si="88"/>
        <v>-</v>
      </c>
      <c r="O10" s="12" t="str">
        <f t="shared" si="88"/>
        <v>-</v>
      </c>
      <c r="P10" s="12" t="str">
        <f t="shared" si="88"/>
        <v>-</v>
      </c>
      <c r="Q10" s="12" t="str">
        <f t="shared" si="88"/>
        <v>-</v>
      </c>
      <c r="R10" s="12" t="str">
        <f t="shared" si="88"/>
        <v>-</v>
      </c>
      <c r="S10" s="12" t="str">
        <f t="shared" si="88"/>
        <v>-</v>
      </c>
      <c r="T10" s="12" t="str">
        <f t="shared" si="88"/>
        <v>-</v>
      </c>
      <c r="U10" s="12" t="str">
        <f t="shared" si="88"/>
        <v>-</v>
      </c>
      <c r="V10" s="12" t="str">
        <f t="shared" si="88"/>
        <v>-</v>
      </c>
      <c r="W10" s="12" t="str">
        <f t="shared" si="88"/>
        <v>-</v>
      </c>
      <c r="X10" s="12" t="str">
        <f t="shared" si="88"/>
        <v>-</v>
      </c>
      <c r="Y10" s="12" t="str">
        <f t="shared" si="88"/>
        <v>-</v>
      </c>
      <c r="Z10" s="12" t="str">
        <f t="shared" si="88"/>
        <v>-</v>
      </c>
      <c r="AA10" s="12" t="str">
        <f t="shared" si="88"/>
        <v>-</v>
      </c>
      <c r="AB10" s="12" t="str">
        <f t="shared" si="88"/>
        <v>-</v>
      </c>
      <c r="AC10" s="12" t="str">
        <f t="shared" si="88"/>
        <v>-</v>
      </c>
      <c r="AD10" s="12" t="str">
        <f t="shared" si="88"/>
        <v>-</v>
      </c>
      <c r="AE10" s="12" t="str">
        <f t="shared" si="88"/>
        <v>-</v>
      </c>
      <c r="AF10" s="12" t="str">
        <f t="shared" si="88"/>
        <v>-</v>
      </c>
      <c r="AG10" s="12" t="str">
        <f t="shared" si="88"/>
        <v>-</v>
      </c>
      <c r="AH10" s="12" t="str">
        <f t="shared" si="88"/>
        <v>-</v>
      </c>
      <c r="AI10" s="12" t="str">
        <f t="shared" si="88"/>
        <v>-</v>
      </c>
      <c r="AJ10" s="12" t="str">
        <f t="shared" si="88"/>
        <v>-</v>
      </c>
      <c r="AK10" s="12" t="str">
        <f t="shared" si="88"/>
        <v>-</v>
      </c>
      <c r="AL10" s="12" t="str">
        <f t="shared" si="88"/>
        <v>-</v>
      </c>
      <c r="AM10" s="12" t="str">
        <f t="shared" si="88"/>
        <v>-</v>
      </c>
      <c r="AN10" s="12" t="str">
        <f t="shared" si="88"/>
        <v>-</v>
      </c>
      <c r="AO10" s="12" t="str">
        <f t="shared" si="88"/>
        <v>-</v>
      </c>
      <c r="AP10" s="12" t="str">
        <f t="shared" si="88"/>
        <v>-</v>
      </c>
      <c r="AQ10" s="12" t="str">
        <f t="shared" ref="AQ10:BV10" si="89">IF(ISNUMBER(MATCH(AQ44,$H$35:$H$49,0)),$D$2,IF(ISNUMBER(MATCH(AQ44,$H$55:$H$62,0)),$E$2,IF(ISNUMBER(MATCH(AQ44,$H$6:$H$34,0)),$C$2,$B$2)))</f>
        <v>-</v>
      </c>
      <c r="AR10" s="12" t="str">
        <f t="shared" si="89"/>
        <v>-</v>
      </c>
      <c r="AS10" s="12" t="str">
        <f t="shared" si="89"/>
        <v>-</v>
      </c>
      <c r="AT10" s="12" t="str">
        <f t="shared" si="89"/>
        <v>-</v>
      </c>
      <c r="AU10" s="12" t="str">
        <f t="shared" si="89"/>
        <v>-</v>
      </c>
      <c r="AV10" s="12" t="str">
        <f t="shared" si="89"/>
        <v>-</v>
      </c>
      <c r="AW10" s="12" t="str">
        <f t="shared" si="89"/>
        <v>-</v>
      </c>
      <c r="AX10" s="12" t="str">
        <f t="shared" si="89"/>
        <v>-</v>
      </c>
      <c r="AY10" s="12" t="str">
        <f t="shared" si="89"/>
        <v>-</v>
      </c>
      <c r="AZ10" s="12" t="str">
        <f t="shared" si="89"/>
        <v>-</v>
      </c>
      <c r="BA10" s="12" t="str">
        <f t="shared" si="89"/>
        <v>-</v>
      </c>
      <c r="BB10" s="12" t="str">
        <f t="shared" si="89"/>
        <v>-</v>
      </c>
      <c r="BC10" s="12" t="str">
        <f t="shared" si="89"/>
        <v>-</v>
      </c>
      <c r="BD10" s="12" t="str">
        <f t="shared" si="89"/>
        <v>-</v>
      </c>
      <c r="BE10" s="12" t="str">
        <f t="shared" si="89"/>
        <v>-</v>
      </c>
      <c r="BF10" s="12" t="str">
        <f t="shared" si="89"/>
        <v>-</v>
      </c>
      <c r="BG10" s="12" t="str">
        <f t="shared" si="89"/>
        <v>-</v>
      </c>
      <c r="BH10" s="12" t="str">
        <f t="shared" si="89"/>
        <v>-</v>
      </c>
      <c r="BI10" s="12" t="str">
        <f t="shared" si="89"/>
        <v>-</v>
      </c>
      <c r="BJ10" s="12" t="str">
        <f t="shared" si="89"/>
        <v>-</v>
      </c>
      <c r="BK10" s="12" t="str">
        <f t="shared" si="89"/>
        <v>-</v>
      </c>
      <c r="BL10" s="12" t="str">
        <f t="shared" si="89"/>
        <v>-</v>
      </c>
      <c r="BM10" s="12" t="str">
        <f t="shared" si="89"/>
        <v>-</v>
      </c>
      <c r="BN10" s="12" t="str">
        <f t="shared" si="89"/>
        <v>-</v>
      </c>
      <c r="BO10" s="12" t="str">
        <f t="shared" si="89"/>
        <v>-</v>
      </c>
      <c r="BP10" s="12" t="str">
        <f t="shared" si="89"/>
        <v>-</v>
      </c>
      <c r="BQ10" s="12" t="str">
        <f t="shared" si="89"/>
        <v>-</v>
      </c>
      <c r="BR10" s="12" t="str">
        <f t="shared" si="89"/>
        <v>-</v>
      </c>
      <c r="BS10" s="12" t="str">
        <f t="shared" si="89"/>
        <v>-</v>
      </c>
      <c r="BT10" s="12" t="str">
        <f t="shared" si="89"/>
        <v>-</v>
      </c>
      <c r="BU10" s="12" t="str">
        <f t="shared" si="89"/>
        <v>-</v>
      </c>
      <c r="BV10" s="12" t="str">
        <f t="shared" si="89"/>
        <v>-</v>
      </c>
      <c r="BW10" s="12" t="str">
        <f t="shared" ref="BW10:DF10" si="90">IF(ISNUMBER(MATCH(BW44,$H$35:$H$49,0)),$D$2,IF(ISNUMBER(MATCH(BW44,$H$55:$H$62,0)),$E$2,IF(ISNUMBER(MATCH(BW44,$H$6:$H$34,0)),$C$2,$B$2)))</f>
        <v>-</v>
      </c>
      <c r="BX10" s="12" t="str">
        <f t="shared" si="90"/>
        <v>-</v>
      </c>
      <c r="BY10" s="12" t="str">
        <f t="shared" si="90"/>
        <v>-</v>
      </c>
      <c r="BZ10" s="12" t="str">
        <f t="shared" si="90"/>
        <v>-</v>
      </c>
      <c r="CA10" s="12" t="str">
        <f t="shared" si="90"/>
        <v>-</v>
      </c>
      <c r="CB10" s="12" t="str">
        <f t="shared" si="90"/>
        <v>-</v>
      </c>
      <c r="CC10" s="12" t="str">
        <f t="shared" si="90"/>
        <v>-</v>
      </c>
      <c r="CD10" s="12" t="str">
        <f t="shared" si="90"/>
        <v>-</v>
      </c>
      <c r="CE10" s="12" t="str">
        <f t="shared" si="90"/>
        <v>-</v>
      </c>
      <c r="CF10" s="12" t="str">
        <f t="shared" si="90"/>
        <v>-</v>
      </c>
      <c r="CG10" s="12" t="str">
        <f t="shared" si="90"/>
        <v>-</v>
      </c>
      <c r="CH10" s="12" t="str">
        <f t="shared" si="90"/>
        <v>-</v>
      </c>
      <c r="CI10" s="12" t="str">
        <f t="shared" si="90"/>
        <v>-</v>
      </c>
      <c r="CJ10" s="12" t="str">
        <f t="shared" si="90"/>
        <v>-</v>
      </c>
      <c r="CK10" s="12" t="str">
        <f t="shared" si="90"/>
        <v>-</v>
      </c>
      <c r="CL10" s="12" t="str">
        <f t="shared" si="90"/>
        <v>-</v>
      </c>
      <c r="CM10" s="12" t="str">
        <f t="shared" si="90"/>
        <v>-</v>
      </c>
      <c r="CN10" s="12" t="str">
        <f t="shared" si="90"/>
        <v>-</v>
      </c>
      <c r="CO10" s="12" t="str">
        <f t="shared" si="90"/>
        <v>-</v>
      </c>
      <c r="CP10" s="12" t="str">
        <f t="shared" si="90"/>
        <v>-</v>
      </c>
      <c r="CQ10" s="12" t="str">
        <f t="shared" si="90"/>
        <v>-</v>
      </c>
      <c r="CR10" s="12" t="str">
        <f t="shared" si="90"/>
        <v>-</v>
      </c>
      <c r="CS10" s="12" t="str">
        <f t="shared" si="90"/>
        <v>-</v>
      </c>
      <c r="CT10" s="12" t="str">
        <f t="shared" si="90"/>
        <v>-</v>
      </c>
      <c r="CU10" s="12" t="str">
        <f t="shared" si="90"/>
        <v>-</v>
      </c>
      <c r="CV10" s="12" t="str">
        <f t="shared" si="90"/>
        <v>-</v>
      </c>
      <c r="CW10" s="12" t="str">
        <f t="shared" si="90"/>
        <v>-</v>
      </c>
      <c r="CX10" s="12" t="str">
        <f t="shared" si="90"/>
        <v>-</v>
      </c>
      <c r="CY10" s="12" t="str">
        <f t="shared" si="90"/>
        <v>-</v>
      </c>
      <c r="CZ10" s="12" t="str">
        <f t="shared" si="90"/>
        <v>-</v>
      </c>
      <c r="DA10" s="12" t="str">
        <f t="shared" si="90"/>
        <v>-</v>
      </c>
      <c r="DB10" s="12" t="str">
        <f t="shared" si="90"/>
        <v>-</v>
      </c>
      <c r="DC10" s="12" t="str">
        <f t="shared" si="90"/>
        <v>-</v>
      </c>
      <c r="DD10" s="12" t="str">
        <f t="shared" si="90"/>
        <v>-</v>
      </c>
      <c r="DE10" s="12" t="str">
        <f t="shared" si="90"/>
        <v>-</v>
      </c>
      <c r="DF10" s="12" t="str">
        <f t="shared" si="90"/>
        <v>-</v>
      </c>
      <c r="DG10" s="16">
        <f t="shared" si="78"/>
        <v>5</v>
      </c>
      <c r="DH10" s="1"/>
      <c r="DI10" s="63">
        <v>6.6678199999999999</v>
      </c>
      <c r="DJ10" s="63">
        <v>6.6674699999999998</v>
      </c>
      <c r="DK10" s="63">
        <v>6.66676</v>
      </c>
      <c r="DL10" s="63">
        <v>6.6656899999999997</v>
      </c>
      <c r="DM10" s="63">
        <v>6.6642700000000001</v>
      </c>
      <c r="DN10" s="63">
        <v>6.6624999999999996</v>
      </c>
      <c r="DO10" s="63">
        <v>6.6603700000000003</v>
      </c>
      <c r="DP10" s="63">
        <v>6.6578799999999996</v>
      </c>
      <c r="DQ10" s="63">
        <v>6.65503</v>
      </c>
      <c r="DR10" s="63">
        <v>6.65184</v>
      </c>
      <c r="DS10" s="63">
        <v>6.6482799999999997</v>
      </c>
      <c r="DT10" s="63">
        <v>6.6443700000000003</v>
      </c>
      <c r="DU10" s="63">
        <v>6.6401000000000003</v>
      </c>
      <c r="DV10" s="63">
        <v>6.6354800000000003</v>
      </c>
      <c r="DW10" s="63">
        <v>6.6304999999999996</v>
      </c>
      <c r="DX10" s="63">
        <v>6.6251600000000002</v>
      </c>
      <c r="DY10" s="63">
        <v>6.6194600000000001</v>
      </c>
      <c r="DZ10" s="63">
        <v>6.61341</v>
      </c>
      <c r="EA10" s="63">
        <v>6.6070000000000002</v>
      </c>
      <c r="EB10" s="63">
        <v>6.6002400000000003</v>
      </c>
      <c r="EC10" s="63">
        <v>6.5931100000000002</v>
      </c>
      <c r="ED10" s="63">
        <v>6.5855899999999998</v>
      </c>
      <c r="EE10" s="63">
        <v>6.5773599999999997</v>
      </c>
      <c r="EF10" s="63">
        <v>6.56534</v>
      </c>
      <c r="EG10" s="63">
        <v>6.5212500000000002</v>
      </c>
      <c r="EH10" s="63">
        <v>6.4612400000000001</v>
      </c>
      <c r="EI10" s="63">
        <v>6.3970799999999999</v>
      </c>
      <c r="EJ10" s="63">
        <v>6.3296200000000002</v>
      </c>
      <c r="EK10" s="63">
        <v>6.2585300000000004</v>
      </c>
      <c r="EL10" s="63">
        <v>6.1844400000000004</v>
      </c>
      <c r="EM10" s="63">
        <v>6.10684</v>
      </c>
      <c r="EN10" s="63">
        <v>6.0252499999999998</v>
      </c>
      <c r="EO10" s="63">
        <v>5.9401000000000002</v>
      </c>
      <c r="EP10" s="63">
        <v>5.8511699999999998</v>
      </c>
      <c r="EQ10" s="63">
        <v>5.7572700000000001</v>
      </c>
      <c r="ER10" s="63">
        <v>5.6608999999999998</v>
      </c>
      <c r="ES10" s="63">
        <v>5.5845000000000002</v>
      </c>
      <c r="ET10" s="63">
        <v>5.5671200000000001</v>
      </c>
      <c r="EU10" s="63">
        <v>5.55307</v>
      </c>
      <c r="EV10" s="63">
        <v>5.5388400000000004</v>
      </c>
      <c r="EW10" s="63">
        <v>5.5242399999999998</v>
      </c>
      <c r="EX10" s="63">
        <v>5.5092699999999999</v>
      </c>
      <c r="EY10" s="63"/>
      <c r="EZ10" s="63"/>
      <c r="FA10" s="63"/>
      <c r="FB10" s="63"/>
      <c r="FC10" s="63"/>
      <c r="FD10" s="63"/>
      <c r="FE10" s="63"/>
      <c r="FF10" s="63"/>
      <c r="FG10" s="64">
        <f t="shared" si="72"/>
        <v>5</v>
      </c>
      <c r="FH10" s="1"/>
      <c r="FI10" s="75">
        <f>IF(ISNUMBER(MATCH(FJ10,$FP$8:$FP$13,0)),MAX(FI$7:FI9)+1,0)</f>
        <v>0</v>
      </c>
      <c r="FJ10" s="79">
        <f t="shared" si="84"/>
        <v>109.5</v>
      </c>
      <c r="FK10" s="82">
        <f t="shared" si="85"/>
        <v>110</v>
      </c>
      <c r="FL10" s="73">
        <f>FL9</f>
        <v>36.5</v>
      </c>
      <c r="FM10" s="1"/>
      <c r="FN10" s="16">
        <f t="shared" si="86"/>
        <v>2</v>
      </c>
      <c r="FO10" s="30">
        <f t="shared" si="79"/>
        <v>2</v>
      </c>
      <c r="FP10" s="73">
        <f t="shared" si="87"/>
        <v>730</v>
      </c>
      <c r="FQ10" s="75">
        <f t="shared" si="80"/>
        <v>2</v>
      </c>
      <c r="FR10" s="2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ht="5.45" customHeight="1" x14ac:dyDescent="0.25">
      <c r="A11" s="3">
        <f t="shared" si="73"/>
        <v>6</v>
      </c>
      <c r="B11" s="10">
        <v>6</v>
      </c>
      <c r="C11" s="10">
        <v>0</v>
      </c>
      <c r="D11" s="10">
        <f t="shared" si="67"/>
        <v>0</v>
      </c>
      <c r="E11" s="10">
        <f t="shared" si="74"/>
        <v>500</v>
      </c>
      <c r="F11" s="10">
        <v>0</v>
      </c>
      <c r="G11" s="27" t="s">
        <v>45</v>
      </c>
      <c r="H11" s="11" t="str">
        <f t="shared" si="63"/>
        <v>1,7</v>
      </c>
      <c r="I11" s="1"/>
      <c r="J11" s="16">
        <f t="shared" si="68"/>
        <v>6</v>
      </c>
      <c r="K11" s="12">
        <f t="shared" ref="K11:AP11" si="91">IF(ISNUMBER(MATCH(K45,$H$35:$H$49,0)),$D$2,IF(ISNUMBER(MATCH(K45,$H$55:$H$62,0)),$E$2,IF(ISNUMBER(MATCH(K45,$H$6:$H$34,0)),$C$2,$B$2)))</f>
        <v>1</v>
      </c>
      <c r="L11" s="12" t="str">
        <f t="shared" si="91"/>
        <v>-</v>
      </c>
      <c r="M11" s="12" t="str">
        <f t="shared" si="91"/>
        <v>-</v>
      </c>
      <c r="N11" s="12" t="str">
        <f t="shared" si="91"/>
        <v>-</v>
      </c>
      <c r="O11" s="12" t="str">
        <f t="shared" si="91"/>
        <v>-</v>
      </c>
      <c r="P11" s="12" t="str">
        <f t="shared" si="91"/>
        <v>-</v>
      </c>
      <c r="Q11" s="12" t="str">
        <f t="shared" si="91"/>
        <v>-</v>
      </c>
      <c r="R11" s="12" t="str">
        <f t="shared" si="91"/>
        <v>-</v>
      </c>
      <c r="S11" s="12" t="str">
        <f t="shared" si="91"/>
        <v>-</v>
      </c>
      <c r="T11" s="12" t="str">
        <f t="shared" si="91"/>
        <v>-</v>
      </c>
      <c r="U11" s="12" t="str">
        <f t="shared" si="91"/>
        <v>-</v>
      </c>
      <c r="V11" s="12" t="str">
        <f t="shared" si="91"/>
        <v>-</v>
      </c>
      <c r="W11" s="12" t="str">
        <f t="shared" si="91"/>
        <v>-</v>
      </c>
      <c r="X11" s="12" t="str">
        <f t="shared" si="91"/>
        <v>-</v>
      </c>
      <c r="Y11" s="12" t="str">
        <f t="shared" si="91"/>
        <v>-</v>
      </c>
      <c r="Z11" s="12" t="str">
        <f t="shared" si="91"/>
        <v>-</v>
      </c>
      <c r="AA11" s="12" t="str">
        <f t="shared" si="91"/>
        <v>-</v>
      </c>
      <c r="AB11" s="12" t="str">
        <f t="shared" si="91"/>
        <v>-</v>
      </c>
      <c r="AC11" s="12" t="str">
        <f t="shared" si="91"/>
        <v>-</v>
      </c>
      <c r="AD11" s="12" t="str">
        <f t="shared" si="91"/>
        <v>-</v>
      </c>
      <c r="AE11" s="12" t="str">
        <f t="shared" si="91"/>
        <v>-</v>
      </c>
      <c r="AF11" s="12" t="str">
        <f t="shared" si="91"/>
        <v>-</v>
      </c>
      <c r="AG11" s="12" t="str">
        <f t="shared" si="91"/>
        <v>-</v>
      </c>
      <c r="AH11" s="12" t="str">
        <f t="shared" si="91"/>
        <v>-</v>
      </c>
      <c r="AI11" s="12" t="str">
        <f t="shared" si="91"/>
        <v>-</v>
      </c>
      <c r="AJ11" s="12" t="str">
        <f t="shared" si="91"/>
        <v>-</v>
      </c>
      <c r="AK11" s="12" t="str">
        <f t="shared" si="91"/>
        <v>-</v>
      </c>
      <c r="AL11" s="12" t="str">
        <f t="shared" si="91"/>
        <v>-</v>
      </c>
      <c r="AM11" s="12" t="str">
        <f t="shared" si="91"/>
        <v>-</v>
      </c>
      <c r="AN11" s="12" t="str">
        <f t="shared" si="91"/>
        <v>-</v>
      </c>
      <c r="AO11" s="12" t="str">
        <f t="shared" si="91"/>
        <v>-</v>
      </c>
      <c r="AP11" s="12" t="str">
        <f t="shared" si="91"/>
        <v>-</v>
      </c>
      <c r="AQ11" s="12" t="str">
        <f t="shared" ref="AQ11:BV11" si="92">IF(ISNUMBER(MATCH(AQ45,$H$35:$H$49,0)),$D$2,IF(ISNUMBER(MATCH(AQ45,$H$55:$H$62,0)),$E$2,IF(ISNUMBER(MATCH(AQ45,$H$6:$H$34,0)),$C$2,$B$2)))</f>
        <v>-</v>
      </c>
      <c r="AR11" s="12" t="str">
        <f t="shared" si="92"/>
        <v>-</v>
      </c>
      <c r="AS11" s="12" t="str">
        <f t="shared" si="92"/>
        <v>-</v>
      </c>
      <c r="AT11" s="12" t="str">
        <f t="shared" si="92"/>
        <v>-</v>
      </c>
      <c r="AU11" s="12" t="str">
        <f t="shared" si="92"/>
        <v>-</v>
      </c>
      <c r="AV11" s="12" t="str">
        <f t="shared" si="92"/>
        <v>-</v>
      </c>
      <c r="AW11" s="12" t="str">
        <f t="shared" si="92"/>
        <v>-</v>
      </c>
      <c r="AX11" s="12" t="str">
        <f t="shared" si="92"/>
        <v>-</v>
      </c>
      <c r="AY11" s="12" t="str">
        <f t="shared" si="92"/>
        <v>-</v>
      </c>
      <c r="AZ11" s="12" t="str">
        <f t="shared" si="92"/>
        <v>-</v>
      </c>
      <c r="BA11" s="12" t="str">
        <f t="shared" si="92"/>
        <v>-</v>
      </c>
      <c r="BB11" s="12" t="str">
        <f t="shared" si="92"/>
        <v>-</v>
      </c>
      <c r="BC11" s="12" t="str">
        <f t="shared" si="92"/>
        <v>-</v>
      </c>
      <c r="BD11" s="12" t="str">
        <f t="shared" si="92"/>
        <v>-</v>
      </c>
      <c r="BE11" s="12" t="str">
        <f t="shared" si="92"/>
        <v>-</v>
      </c>
      <c r="BF11" s="12" t="str">
        <f t="shared" si="92"/>
        <v>-</v>
      </c>
      <c r="BG11" s="12" t="str">
        <f t="shared" si="92"/>
        <v>-</v>
      </c>
      <c r="BH11" s="12" t="str">
        <f t="shared" si="92"/>
        <v>-</v>
      </c>
      <c r="BI11" s="12" t="str">
        <f t="shared" si="92"/>
        <v>-</v>
      </c>
      <c r="BJ11" s="12" t="str">
        <f t="shared" si="92"/>
        <v>-</v>
      </c>
      <c r="BK11" s="12" t="str">
        <f t="shared" si="92"/>
        <v>-</v>
      </c>
      <c r="BL11" s="12" t="str">
        <f t="shared" si="92"/>
        <v>-</v>
      </c>
      <c r="BM11" s="12" t="str">
        <f t="shared" si="92"/>
        <v>-</v>
      </c>
      <c r="BN11" s="12" t="str">
        <f t="shared" si="92"/>
        <v>-</v>
      </c>
      <c r="BO11" s="12" t="str">
        <f t="shared" si="92"/>
        <v>-</v>
      </c>
      <c r="BP11" s="12" t="str">
        <f t="shared" si="92"/>
        <v>-</v>
      </c>
      <c r="BQ11" s="12" t="str">
        <f t="shared" si="92"/>
        <v>-</v>
      </c>
      <c r="BR11" s="12" t="str">
        <f t="shared" si="92"/>
        <v>-</v>
      </c>
      <c r="BS11" s="12" t="str">
        <f t="shared" si="92"/>
        <v>-</v>
      </c>
      <c r="BT11" s="12" t="str">
        <f t="shared" si="92"/>
        <v>-</v>
      </c>
      <c r="BU11" s="12" t="str">
        <f t="shared" si="92"/>
        <v>-</v>
      </c>
      <c r="BV11" s="12" t="str">
        <f t="shared" si="92"/>
        <v>-</v>
      </c>
      <c r="BW11" s="12" t="str">
        <f t="shared" ref="BW11:DF11" si="93">IF(ISNUMBER(MATCH(BW45,$H$35:$H$49,0)),$D$2,IF(ISNUMBER(MATCH(BW45,$H$55:$H$62,0)),$E$2,IF(ISNUMBER(MATCH(BW45,$H$6:$H$34,0)),$C$2,$B$2)))</f>
        <v>-</v>
      </c>
      <c r="BX11" s="12" t="str">
        <f t="shared" si="93"/>
        <v>-</v>
      </c>
      <c r="BY11" s="12" t="str">
        <f t="shared" si="93"/>
        <v>-</v>
      </c>
      <c r="BZ11" s="12" t="str">
        <f t="shared" si="93"/>
        <v>-</v>
      </c>
      <c r="CA11" s="12" t="str">
        <f t="shared" si="93"/>
        <v>-</v>
      </c>
      <c r="CB11" s="12" t="str">
        <f t="shared" si="93"/>
        <v>-</v>
      </c>
      <c r="CC11" s="12" t="str">
        <f t="shared" si="93"/>
        <v>-</v>
      </c>
      <c r="CD11" s="12" t="str">
        <f t="shared" si="93"/>
        <v>-</v>
      </c>
      <c r="CE11" s="12" t="str">
        <f t="shared" si="93"/>
        <v>-</v>
      </c>
      <c r="CF11" s="12" t="str">
        <f t="shared" si="93"/>
        <v>-</v>
      </c>
      <c r="CG11" s="12" t="str">
        <f t="shared" si="93"/>
        <v>-</v>
      </c>
      <c r="CH11" s="12" t="str">
        <f t="shared" si="93"/>
        <v>-</v>
      </c>
      <c r="CI11" s="12" t="str">
        <f t="shared" si="93"/>
        <v>-</v>
      </c>
      <c r="CJ11" s="12" t="str">
        <f t="shared" si="93"/>
        <v>-</v>
      </c>
      <c r="CK11" s="12" t="str">
        <f t="shared" si="93"/>
        <v>-</v>
      </c>
      <c r="CL11" s="12" t="str">
        <f t="shared" si="93"/>
        <v>-</v>
      </c>
      <c r="CM11" s="12" t="str">
        <f t="shared" si="93"/>
        <v>-</v>
      </c>
      <c r="CN11" s="12" t="str">
        <f t="shared" si="93"/>
        <v>-</v>
      </c>
      <c r="CO11" s="12" t="str">
        <f t="shared" si="93"/>
        <v>-</v>
      </c>
      <c r="CP11" s="12" t="str">
        <f t="shared" si="93"/>
        <v>-</v>
      </c>
      <c r="CQ11" s="12" t="str">
        <f t="shared" si="93"/>
        <v>-</v>
      </c>
      <c r="CR11" s="12" t="str">
        <f t="shared" si="93"/>
        <v>-</v>
      </c>
      <c r="CS11" s="12" t="str">
        <f t="shared" si="93"/>
        <v>-</v>
      </c>
      <c r="CT11" s="12" t="str">
        <f t="shared" si="93"/>
        <v>-</v>
      </c>
      <c r="CU11" s="12" t="str">
        <f t="shared" si="93"/>
        <v>-</v>
      </c>
      <c r="CV11" s="12" t="str">
        <f t="shared" si="93"/>
        <v>-</v>
      </c>
      <c r="CW11" s="12" t="str">
        <f t="shared" si="93"/>
        <v>-</v>
      </c>
      <c r="CX11" s="12" t="str">
        <f t="shared" si="93"/>
        <v>-</v>
      </c>
      <c r="CY11" s="12" t="str">
        <f t="shared" si="93"/>
        <v>-</v>
      </c>
      <c r="CZ11" s="12" t="str">
        <f t="shared" si="93"/>
        <v>-</v>
      </c>
      <c r="DA11" s="12" t="str">
        <f t="shared" si="93"/>
        <v>-</v>
      </c>
      <c r="DB11" s="12" t="str">
        <f t="shared" si="93"/>
        <v>-</v>
      </c>
      <c r="DC11" s="12" t="str">
        <f t="shared" si="93"/>
        <v>-</v>
      </c>
      <c r="DD11" s="12" t="str">
        <f t="shared" si="93"/>
        <v>-</v>
      </c>
      <c r="DE11" s="12" t="str">
        <f t="shared" si="93"/>
        <v>-</v>
      </c>
      <c r="DF11" s="12" t="str">
        <f t="shared" si="93"/>
        <v>-</v>
      </c>
      <c r="DG11" s="16">
        <f t="shared" si="78"/>
        <v>6</v>
      </c>
      <c r="DH11" s="1"/>
      <c r="DI11" s="63">
        <v>6.6676700000000002</v>
      </c>
      <c r="DJ11" s="63">
        <v>6.6673099999999996</v>
      </c>
      <c r="DK11" s="63">
        <v>6.6665999999999999</v>
      </c>
      <c r="DL11" s="63">
        <v>6.66554</v>
      </c>
      <c r="DM11" s="63">
        <v>6.6641199999999996</v>
      </c>
      <c r="DN11" s="63">
        <v>6.6623400000000004</v>
      </c>
      <c r="DO11" s="63">
        <v>6.6602100000000002</v>
      </c>
      <c r="DP11" s="63">
        <v>6.6577200000000003</v>
      </c>
      <c r="DQ11" s="63">
        <v>6.6548800000000004</v>
      </c>
      <c r="DR11" s="63">
        <v>6.6516799999999998</v>
      </c>
      <c r="DS11" s="63">
        <v>6.6481300000000001</v>
      </c>
      <c r="DT11" s="63">
        <v>6.6442100000000002</v>
      </c>
      <c r="DU11" s="63">
        <v>6.6399499999999998</v>
      </c>
      <c r="DV11" s="63">
        <v>6.6353200000000001</v>
      </c>
      <c r="DW11" s="63">
        <v>6.6303400000000003</v>
      </c>
      <c r="DX11" s="63">
        <v>6.625</v>
      </c>
      <c r="DY11" s="63">
        <v>6.6193099999999996</v>
      </c>
      <c r="DZ11" s="63">
        <v>6.6132600000000004</v>
      </c>
      <c r="EA11" s="63">
        <v>6.6068499999999997</v>
      </c>
      <c r="EB11" s="63">
        <v>6.6000800000000002</v>
      </c>
      <c r="EC11" s="63">
        <v>6.5929500000000001</v>
      </c>
      <c r="ED11" s="63">
        <v>6.5854400000000002</v>
      </c>
      <c r="EE11" s="63">
        <v>6.5772500000000003</v>
      </c>
      <c r="EF11" s="63">
        <v>6.5655000000000001</v>
      </c>
      <c r="EG11" s="63">
        <v>6.5212199999999996</v>
      </c>
      <c r="EH11" s="63">
        <v>6.4610799999999999</v>
      </c>
      <c r="EI11" s="63">
        <v>6.3969100000000001</v>
      </c>
      <c r="EJ11" s="63">
        <v>6.3294300000000003</v>
      </c>
      <c r="EK11" s="63">
        <v>6.2583500000000001</v>
      </c>
      <c r="EL11" s="63">
        <v>6.1842499999999996</v>
      </c>
      <c r="EM11" s="63">
        <v>6.10663</v>
      </c>
      <c r="EN11" s="63">
        <v>6.0250500000000002</v>
      </c>
      <c r="EO11" s="63">
        <v>5.9398799999999996</v>
      </c>
      <c r="EP11" s="63">
        <v>5.8509200000000003</v>
      </c>
      <c r="EQ11" s="63">
        <v>5.7570499999999996</v>
      </c>
      <c r="ER11" s="63">
        <v>5.6606300000000003</v>
      </c>
      <c r="ES11" s="63">
        <v>5.5842700000000001</v>
      </c>
      <c r="ET11" s="63">
        <v>5.5669599999999999</v>
      </c>
      <c r="EU11" s="63">
        <v>5.5529099999999998</v>
      </c>
      <c r="EV11" s="63">
        <v>5.5386800000000003</v>
      </c>
      <c r="EW11" s="63">
        <v>5.5240799999999997</v>
      </c>
      <c r="EX11" s="63">
        <v>5.5091099999999997</v>
      </c>
      <c r="EY11" s="63">
        <v>5.4937699999999996</v>
      </c>
      <c r="EZ11" s="63">
        <v>5.4780699999999998</v>
      </c>
      <c r="FA11" s="63">
        <v>5.4619900000000001</v>
      </c>
      <c r="FB11" s="63">
        <v>5.4455400000000003</v>
      </c>
      <c r="FC11" s="63">
        <v>5.4287200000000002</v>
      </c>
      <c r="FD11" s="63">
        <v>5.41153</v>
      </c>
      <c r="FE11" s="63">
        <v>5.3939399999999997</v>
      </c>
      <c r="FF11" s="63">
        <v>5.375</v>
      </c>
      <c r="FG11" s="64">
        <f t="shared" si="72"/>
        <v>6</v>
      </c>
      <c r="FH11" s="1"/>
      <c r="FI11" s="75">
        <f>IF(ISNUMBER(MATCH(FJ11,$FP$8:$FP$13,0)),MAX(FI$7:FI10)+1,0)</f>
        <v>0</v>
      </c>
      <c r="FJ11" s="79">
        <f t="shared" si="84"/>
        <v>146</v>
      </c>
      <c r="FK11" s="82">
        <f t="shared" si="85"/>
        <v>147</v>
      </c>
      <c r="FL11" s="73">
        <f t="shared" ref="FL11:FL27" si="94">FL10</f>
        <v>36.5</v>
      </c>
      <c r="FM11" s="1"/>
      <c r="FN11" s="16">
        <f t="shared" si="86"/>
        <v>3</v>
      </c>
      <c r="FO11" s="30">
        <f t="shared" si="79"/>
        <v>2</v>
      </c>
      <c r="FP11" s="73">
        <f t="shared" si="87"/>
        <v>1095</v>
      </c>
      <c r="FQ11" s="75">
        <f t="shared" si="80"/>
        <v>3</v>
      </c>
      <c r="FR11" s="2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ht="5.45" customHeight="1" x14ac:dyDescent="0.25">
      <c r="A12" s="3">
        <f t="shared" si="73"/>
        <v>7</v>
      </c>
      <c r="B12" s="10">
        <v>7</v>
      </c>
      <c r="C12" s="10">
        <v>0</v>
      </c>
      <c r="D12" s="10">
        <f t="shared" si="67"/>
        <v>0</v>
      </c>
      <c r="E12" s="10">
        <f t="shared" si="74"/>
        <v>500</v>
      </c>
      <c r="F12" s="10">
        <v>0</v>
      </c>
      <c r="G12" s="27" t="s">
        <v>45</v>
      </c>
      <c r="H12" s="11" t="str">
        <f t="shared" si="63"/>
        <v>1,8</v>
      </c>
      <c r="I12" s="1"/>
      <c r="J12" s="16">
        <f t="shared" si="68"/>
        <v>7</v>
      </c>
      <c r="K12" s="12">
        <f t="shared" ref="K12:AP12" si="95">IF(ISNUMBER(MATCH(K46,$H$35:$H$49,0)),$D$2,IF(ISNUMBER(MATCH(K46,$H$55:$H$62,0)),$E$2,IF(ISNUMBER(MATCH(K46,$H$6:$H$34,0)),$C$2,$B$2)))</f>
        <v>1</v>
      </c>
      <c r="L12" s="12" t="str">
        <f t="shared" si="95"/>
        <v>-</v>
      </c>
      <c r="M12" s="12" t="str">
        <f t="shared" si="95"/>
        <v>-</v>
      </c>
      <c r="N12" s="12" t="str">
        <f t="shared" si="95"/>
        <v>-</v>
      </c>
      <c r="O12" s="12" t="str">
        <f t="shared" si="95"/>
        <v>-</v>
      </c>
      <c r="P12" s="12" t="str">
        <f t="shared" si="95"/>
        <v>-</v>
      </c>
      <c r="Q12" s="12" t="str">
        <f t="shared" si="95"/>
        <v>-</v>
      </c>
      <c r="R12" s="12" t="str">
        <f t="shared" si="95"/>
        <v>-</v>
      </c>
      <c r="S12" s="12" t="str">
        <f t="shared" si="95"/>
        <v>-</v>
      </c>
      <c r="T12" s="12" t="str">
        <f t="shared" si="95"/>
        <v>-</v>
      </c>
      <c r="U12" s="12" t="str">
        <f t="shared" si="95"/>
        <v>-</v>
      </c>
      <c r="V12" s="12" t="str">
        <f t="shared" si="95"/>
        <v>-</v>
      </c>
      <c r="W12" s="12" t="str">
        <f t="shared" si="95"/>
        <v>-</v>
      </c>
      <c r="X12" s="12" t="str">
        <f t="shared" si="95"/>
        <v>-</v>
      </c>
      <c r="Y12" s="12" t="str">
        <f t="shared" si="95"/>
        <v>-</v>
      </c>
      <c r="Z12" s="12" t="str">
        <f t="shared" si="95"/>
        <v>-</v>
      </c>
      <c r="AA12" s="12" t="str">
        <f t="shared" si="95"/>
        <v>-</v>
      </c>
      <c r="AB12" s="12" t="str">
        <f t="shared" si="95"/>
        <v>-</v>
      </c>
      <c r="AC12" s="12" t="str">
        <f t="shared" si="95"/>
        <v>-</v>
      </c>
      <c r="AD12" s="12" t="str">
        <f t="shared" si="95"/>
        <v>-</v>
      </c>
      <c r="AE12" s="12" t="str">
        <f t="shared" si="95"/>
        <v>-</v>
      </c>
      <c r="AF12" s="12" t="str">
        <f t="shared" si="95"/>
        <v>-</v>
      </c>
      <c r="AG12" s="12" t="str">
        <f t="shared" si="95"/>
        <v>-</v>
      </c>
      <c r="AH12" s="12" t="str">
        <f t="shared" si="95"/>
        <v>-</v>
      </c>
      <c r="AI12" s="12" t="str">
        <f t="shared" si="95"/>
        <v>-</v>
      </c>
      <c r="AJ12" s="12" t="str">
        <f t="shared" si="95"/>
        <v>-</v>
      </c>
      <c r="AK12" s="12" t="str">
        <f t="shared" si="95"/>
        <v>-</v>
      </c>
      <c r="AL12" s="12" t="str">
        <f t="shared" si="95"/>
        <v>-</v>
      </c>
      <c r="AM12" s="12" t="str">
        <f t="shared" si="95"/>
        <v>-</v>
      </c>
      <c r="AN12" s="12" t="str">
        <f t="shared" si="95"/>
        <v>-</v>
      </c>
      <c r="AO12" s="12" t="str">
        <f t="shared" si="95"/>
        <v>-</v>
      </c>
      <c r="AP12" s="12" t="str">
        <f t="shared" si="95"/>
        <v>-</v>
      </c>
      <c r="AQ12" s="12" t="str">
        <f t="shared" ref="AQ12:BV12" si="96">IF(ISNUMBER(MATCH(AQ46,$H$35:$H$49,0)),$D$2,IF(ISNUMBER(MATCH(AQ46,$H$55:$H$62,0)),$E$2,IF(ISNUMBER(MATCH(AQ46,$H$6:$H$34,0)),$C$2,$B$2)))</f>
        <v>-</v>
      </c>
      <c r="AR12" s="12" t="str">
        <f t="shared" si="96"/>
        <v>-</v>
      </c>
      <c r="AS12" s="12" t="str">
        <f t="shared" si="96"/>
        <v>-</v>
      </c>
      <c r="AT12" s="12" t="str">
        <f t="shared" si="96"/>
        <v>-</v>
      </c>
      <c r="AU12" s="12" t="str">
        <f t="shared" si="96"/>
        <v>-</v>
      </c>
      <c r="AV12" s="12" t="str">
        <f t="shared" si="96"/>
        <v>-</v>
      </c>
      <c r="AW12" s="12" t="str">
        <f t="shared" si="96"/>
        <v>-</v>
      </c>
      <c r="AX12" s="12" t="str">
        <f t="shared" si="96"/>
        <v>-</v>
      </c>
      <c r="AY12" s="12" t="str">
        <f t="shared" si="96"/>
        <v>-</v>
      </c>
      <c r="AZ12" s="12" t="str">
        <f t="shared" si="96"/>
        <v>-</v>
      </c>
      <c r="BA12" s="12" t="str">
        <f t="shared" si="96"/>
        <v>-</v>
      </c>
      <c r="BB12" s="12" t="str">
        <f t="shared" si="96"/>
        <v>-</v>
      </c>
      <c r="BC12" s="12" t="str">
        <f t="shared" si="96"/>
        <v>-</v>
      </c>
      <c r="BD12" s="12" t="str">
        <f t="shared" si="96"/>
        <v>-</v>
      </c>
      <c r="BE12" s="12" t="str">
        <f t="shared" si="96"/>
        <v>-</v>
      </c>
      <c r="BF12" s="12" t="str">
        <f t="shared" si="96"/>
        <v>-</v>
      </c>
      <c r="BG12" s="12" t="str">
        <f t="shared" si="96"/>
        <v>-</v>
      </c>
      <c r="BH12" s="12" t="str">
        <f t="shared" si="96"/>
        <v>-</v>
      </c>
      <c r="BI12" s="12" t="str">
        <f t="shared" si="96"/>
        <v>-</v>
      </c>
      <c r="BJ12" s="12" t="str">
        <f t="shared" si="96"/>
        <v>-</v>
      </c>
      <c r="BK12" s="12" t="str">
        <f t="shared" si="96"/>
        <v>-</v>
      </c>
      <c r="BL12" s="12" t="str">
        <f t="shared" si="96"/>
        <v>-</v>
      </c>
      <c r="BM12" s="12" t="str">
        <f t="shared" si="96"/>
        <v>-</v>
      </c>
      <c r="BN12" s="12" t="str">
        <f t="shared" si="96"/>
        <v>-</v>
      </c>
      <c r="BO12" s="12" t="str">
        <f t="shared" si="96"/>
        <v>-</v>
      </c>
      <c r="BP12" s="12" t="str">
        <f t="shared" si="96"/>
        <v>-</v>
      </c>
      <c r="BQ12" s="12" t="str">
        <f t="shared" si="96"/>
        <v>-</v>
      </c>
      <c r="BR12" s="12" t="str">
        <f t="shared" si="96"/>
        <v>-</v>
      </c>
      <c r="BS12" s="12" t="str">
        <f t="shared" si="96"/>
        <v>-</v>
      </c>
      <c r="BT12" s="12" t="str">
        <f t="shared" si="96"/>
        <v>-</v>
      </c>
      <c r="BU12" s="12" t="str">
        <f t="shared" si="96"/>
        <v>-</v>
      </c>
      <c r="BV12" s="12" t="str">
        <f t="shared" si="96"/>
        <v>-</v>
      </c>
      <c r="BW12" s="12" t="str">
        <f t="shared" ref="BW12:DF12" si="97">IF(ISNUMBER(MATCH(BW46,$H$35:$H$49,0)),$D$2,IF(ISNUMBER(MATCH(BW46,$H$55:$H$62,0)),$E$2,IF(ISNUMBER(MATCH(BW46,$H$6:$H$34,0)),$C$2,$B$2)))</f>
        <v>-</v>
      </c>
      <c r="BX12" s="12" t="str">
        <f t="shared" si="97"/>
        <v>-</v>
      </c>
      <c r="BY12" s="12" t="str">
        <f t="shared" si="97"/>
        <v>-</v>
      </c>
      <c r="BZ12" s="12" t="str">
        <f t="shared" si="97"/>
        <v>-</v>
      </c>
      <c r="CA12" s="12" t="str">
        <f t="shared" si="97"/>
        <v>-</v>
      </c>
      <c r="CB12" s="12" t="str">
        <f t="shared" si="97"/>
        <v>-</v>
      </c>
      <c r="CC12" s="12" t="str">
        <f t="shared" si="97"/>
        <v>-</v>
      </c>
      <c r="CD12" s="12" t="str">
        <f t="shared" si="97"/>
        <v>-</v>
      </c>
      <c r="CE12" s="12" t="str">
        <f t="shared" si="97"/>
        <v>-</v>
      </c>
      <c r="CF12" s="12" t="str">
        <f t="shared" si="97"/>
        <v>-</v>
      </c>
      <c r="CG12" s="12" t="str">
        <f t="shared" si="97"/>
        <v>-</v>
      </c>
      <c r="CH12" s="12" t="str">
        <f t="shared" si="97"/>
        <v>-</v>
      </c>
      <c r="CI12" s="12" t="str">
        <f t="shared" si="97"/>
        <v>-</v>
      </c>
      <c r="CJ12" s="12" t="str">
        <f t="shared" si="97"/>
        <v>-</v>
      </c>
      <c r="CK12" s="12" t="str">
        <f t="shared" si="97"/>
        <v>-</v>
      </c>
      <c r="CL12" s="12" t="str">
        <f t="shared" si="97"/>
        <v>-</v>
      </c>
      <c r="CM12" s="12" t="str">
        <f t="shared" si="97"/>
        <v>-</v>
      </c>
      <c r="CN12" s="12" t="str">
        <f t="shared" si="97"/>
        <v>-</v>
      </c>
      <c r="CO12" s="12" t="str">
        <f t="shared" si="97"/>
        <v>-</v>
      </c>
      <c r="CP12" s="12" t="str">
        <f t="shared" si="97"/>
        <v>-</v>
      </c>
      <c r="CQ12" s="12" t="str">
        <f t="shared" si="97"/>
        <v>-</v>
      </c>
      <c r="CR12" s="12" t="str">
        <f t="shared" si="97"/>
        <v>-</v>
      </c>
      <c r="CS12" s="12" t="str">
        <f t="shared" si="97"/>
        <v>-</v>
      </c>
      <c r="CT12" s="12" t="str">
        <f t="shared" si="97"/>
        <v>-</v>
      </c>
      <c r="CU12" s="12" t="str">
        <f t="shared" si="97"/>
        <v>-</v>
      </c>
      <c r="CV12" s="12" t="str">
        <f t="shared" si="97"/>
        <v>-</v>
      </c>
      <c r="CW12" s="12" t="str">
        <f t="shared" si="97"/>
        <v>-</v>
      </c>
      <c r="CX12" s="12" t="str">
        <f t="shared" si="97"/>
        <v>-</v>
      </c>
      <c r="CY12" s="12" t="str">
        <f t="shared" si="97"/>
        <v>-</v>
      </c>
      <c r="CZ12" s="12" t="str">
        <f t="shared" si="97"/>
        <v>-</v>
      </c>
      <c r="DA12" s="12" t="str">
        <f t="shared" si="97"/>
        <v>-</v>
      </c>
      <c r="DB12" s="12" t="str">
        <f t="shared" si="97"/>
        <v>-</v>
      </c>
      <c r="DC12" s="12" t="str">
        <f t="shared" si="97"/>
        <v>-</v>
      </c>
      <c r="DD12" s="12" t="str">
        <f t="shared" si="97"/>
        <v>-</v>
      </c>
      <c r="DE12" s="12" t="str">
        <f t="shared" si="97"/>
        <v>-</v>
      </c>
      <c r="DF12" s="12" t="str">
        <f t="shared" si="97"/>
        <v>-</v>
      </c>
      <c r="DG12" s="16">
        <f t="shared" si="78"/>
        <v>7</v>
      </c>
      <c r="DH12" s="1"/>
      <c r="DI12" s="63">
        <v>6.6675199999999997</v>
      </c>
      <c r="DJ12" s="63">
        <v>6.66716</v>
      </c>
      <c r="DK12" s="63">
        <v>6.6664500000000002</v>
      </c>
      <c r="DL12" s="63">
        <v>6.6653900000000004</v>
      </c>
      <c r="DM12" s="63">
        <v>6.6639600000000003</v>
      </c>
      <c r="DN12" s="63">
        <v>6.6621899999999998</v>
      </c>
      <c r="DO12" s="63">
        <v>6.6600599999999996</v>
      </c>
      <c r="DP12" s="63">
        <v>6.6575699999999998</v>
      </c>
      <c r="DQ12" s="63">
        <v>6.6547299999999998</v>
      </c>
      <c r="DR12" s="63">
        <v>6.6515300000000002</v>
      </c>
      <c r="DS12" s="63">
        <v>6.6479699999999999</v>
      </c>
      <c r="DT12" s="63">
        <v>6.6440599999999996</v>
      </c>
      <c r="DU12" s="63">
        <v>6.6397899999999996</v>
      </c>
      <c r="DV12" s="63">
        <v>6.6351699999999996</v>
      </c>
      <c r="DW12" s="63">
        <v>6.6301899999999998</v>
      </c>
      <c r="DX12" s="63">
        <v>6.6248500000000003</v>
      </c>
      <c r="DY12" s="63">
        <v>6.6191599999999999</v>
      </c>
      <c r="DZ12" s="63">
        <v>6.6131000000000002</v>
      </c>
      <c r="EA12" s="63">
        <v>6.6067</v>
      </c>
      <c r="EB12" s="63">
        <v>6.5999299999999996</v>
      </c>
      <c r="EC12" s="63">
        <v>6.5928000000000004</v>
      </c>
      <c r="ED12" s="63">
        <v>6.5852899999999996</v>
      </c>
      <c r="EE12" s="63">
        <v>6.57714</v>
      </c>
      <c r="EF12" s="63">
        <v>6.5657500000000004</v>
      </c>
      <c r="EG12" s="63">
        <v>6.5212300000000001</v>
      </c>
      <c r="EH12" s="63">
        <v>6.4609399999999999</v>
      </c>
      <c r="EI12" s="63">
        <v>6.3967400000000003</v>
      </c>
      <c r="EJ12" s="63">
        <v>6.32925</v>
      </c>
      <c r="EK12" s="63">
        <v>6.2581800000000003</v>
      </c>
      <c r="EL12" s="63">
        <v>6.1840599999999997</v>
      </c>
      <c r="EM12" s="63">
        <v>6.1064299999999996</v>
      </c>
      <c r="EN12" s="63">
        <v>6.0248499999999998</v>
      </c>
      <c r="EO12" s="63">
        <v>5.9396800000000001</v>
      </c>
      <c r="EP12" s="63">
        <v>5.8506799999999997</v>
      </c>
      <c r="EQ12" s="63">
        <v>5.7568400000000004</v>
      </c>
      <c r="ER12" s="63">
        <v>5.6603199999999996</v>
      </c>
      <c r="ES12" s="63">
        <v>5.5838900000000002</v>
      </c>
      <c r="ET12" s="63">
        <v>5.5667900000000001</v>
      </c>
      <c r="EU12" s="63">
        <v>5.5527499999999996</v>
      </c>
      <c r="EV12" s="63">
        <v>5.5385200000000001</v>
      </c>
      <c r="EW12" s="63">
        <v>5.5239200000000004</v>
      </c>
      <c r="EX12" s="63">
        <v>5.5089499999999996</v>
      </c>
      <c r="EY12" s="63">
        <v>5.4936100000000003</v>
      </c>
      <c r="EZ12" s="63">
        <v>5.4779099999999996</v>
      </c>
      <c r="FA12" s="63">
        <v>5.46183</v>
      </c>
      <c r="FB12" s="63">
        <v>5.4453800000000001</v>
      </c>
      <c r="FC12" s="63">
        <v>5.4285600000000001</v>
      </c>
      <c r="FD12" s="63">
        <v>5.4113699999999998</v>
      </c>
      <c r="FE12" s="63">
        <v>5.3937799999999996</v>
      </c>
      <c r="FF12" s="63">
        <v>5.375</v>
      </c>
      <c r="FG12" s="64">
        <f t="shared" si="72"/>
        <v>7</v>
      </c>
      <c r="FH12" s="1"/>
      <c r="FI12" s="75">
        <f>IF(ISNUMBER(MATCH(FJ12,$FP$8:$FP$13,0)),MAX(FI$7:FI11)+1,0)</f>
        <v>0</v>
      </c>
      <c r="FJ12" s="79">
        <f t="shared" si="84"/>
        <v>182.5</v>
      </c>
      <c r="FK12" s="82">
        <f t="shared" si="85"/>
        <v>184</v>
      </c>
      <c r="FL12" s="73">
        <f t="shared" si="94"/>
        <v>36.5</v>
      </c>
      <c r="FM12" s="1"/>
      <c r="FN12" s="16">
        <f t="shared" si="86"/>
        <v>4</v>
      </c>
      <c r="FO12" s="30">
        <f t="shared" si="79"/>
        <v>2</v>
      </c>
      <c r="FP12" s="73">
        <f t="shared" si="87"/>
        <v>1460</v>
      </c>
      <c r="FQ12" s="75">
        <f t="shared" si="80"/>
        <v>4</v>
      </c>
      <c r="FR12" s="2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ht="5.45" customHeight="1" x14ac:dyDescent="0.25">
      <c r="A13" s="3">
        <f t="shared" si="73"/>
        <v>8</v>
      </c>
      <c r="B13" s="10">
        <v>8</v>
      </c>
      <c r="C13" s="10">
        <v>0</v>
      </c>
      <c r="D13" s="10">
        <f t="shared" si="67"/>
        <v>0</v>
      </c>
      <c r="E13" s="10">
        <f t="shared" si="74"/>
        <v>500</v>
      </c>
      <c r="F13" s="10">
        <v>0</v>
      </c>
      <c r="G13" s="27" t="s">
        <v>45</v>
      </c>
      <c r="H13" s="11" t="str">
        <f t="shared" si="63"/>
        <v>1,9</v>
      </c>
      <c r="I13" s="1"/>
      <c r="J13" s="16">
        <f t="shared" si="68"/>
        <v>8</v>
      </c>
      <c r="K13" s="12">
        <f t="shared" ref="K13:AP13" si="98">IF(ISNUMBER(MATCH(K47,$H$35:$H$49,0)),$D$2,IF(ISNUMBER(MATCH(K47,$H$55:$H$62,0)),$E$2,IF(ISNUMBER(MATCH(K47,$H$6:$H$34,0)),$C$2,$B$2)))</f>
        <v>1</v>
      </c>
      <c r="L13" s="12" t="str">
        <f t="shared" si="98"/>
        <v>-</v>
      </c>
      <c r="M13" s="12" t="str">
        <f t="shared" si="98"/>
        <v>-</v>
      </c>
      <c r="N13" s="12" t="str">
        <f t="shared" si="98"/>
        <v>-</v>
      </c>
      <c r="O13" s="12" t="str">
        <f t="shared" si="98"/>
        <v>-</v>
      </c>
      <c r="P13" s="12" t="str">
        <f t="shared" si="98"/>
        <v>-</v>
      </c>
      <c r="Q13" s="12" t="str">
        <f t="shared" si="98"/>
        <v>-</v>
      </c>
      <c r="R13" s="12" t="str">
        <f t="shared" si="98"/>
        <v>-</v>
      </c>
      <c r="S13" s="12" t="str">
        <f t="shared" si="98"/>
        <v>-</v>
      </c>
      <c r="T13" s="12" t="str">
        <f t="shared" si="98"/>
        <v>-</v>
      </c>
      <c r="U13" s="12" t="str">
        <f t="shared" si="98"/>
        <v>-</v>
      </c>
      <c r="V13" s="12" t="str">
        <f t="shared" si="98"/>
        <v>-</v>
      </c>
      <c r="W13" s="12" t="str">
        <f t="shared" si="98"/>
        <v>-</v>
      </c>
      <c r="X13" s="12" t="str">
        <f t="shared" si="98"/>
        <v>-</v>
      </c>
      <c r="Y13" s="12" t="str">
        <f t="shared" si="98"/>
        <v>-</v>
      </c>
      <c r="Z13" s="12" t="str">
        <f t="shared" si="98"/>
        <v>-</v>
      </c>
      <c r="AA13" s="12" t="str">
        <f t="shared" si="98"/>
        <v>-</v>
      </c>
      <c r="AB13" s="12" t="str">
        <f t="shared" si="98"/>
        <v>-</v>
      </c>
      <c r="AC13" s="12" t="str">
        <f t="shared" si="98"/>
        <v>-</v>
      </c>
      <c r="AD13" s="12" t="str">
        <f t="shared" si="98"/>
        <v>-</v>
      </c>
      <c r="AE13" s="12" t="str">
        <f t="shared" si="98"/>
        <v>-</v>
      </c>
      <c r="AF13" s="12" t="str">
        <f t="shared" si="98"/>
        <v>-</v>
      </c>
      <c r="AG13" s="12" t="str">
        <f t="shared" si="98"/>
        <v>-</v>
      </c>
      <c r="AH13" s="12" t="str">
        <f t="shared" si="98"/>
        <v>-</v>
      </c>
      <c r="AI13" s="12" t="str">
        <f t="shared" si="98"/>
        <v>-</v>
      </c>
      <c r="AJ13" s="12" t="str">
        <f t="shared" si="98"/>
        <v>-</v>
      </c>
      <c r="AK13" s="12" t="str">
        <f t="shared" si="98"/>
        <v>-</v>
      </c>
      <c r="AL13" s="12" t="str">
        <f t="shared" si="98"/>
        <v>-</v>
      </c>
      <c r="AM13" s="12" t="str">
        <f t="shared" si="98"/>
        <v>-</v>
      </c>
      <c r="AN13" s="12" t="str">
        <f t="shared" si="98"/>
        <v>-</v>
      </c>
      <c r="AO13" s="12" t="str">
        <f t="shared" si="98"/>
        <v>-</v>
      </c>
      <c r="AP13" s="12" t="str">
        <f t="shared" si="98"/>
        <v>-</v>
      </c>
      <c r="AQ13" s="12" t="str">
        <f t="shared" ref="AQ13:BV13" si="99">IF(ISNUMBER(MATCH(AQ47,$H$35:$H$49,0)),$D$2,IF(ISNUMBER(MATCH(AQ47,$H$55:$H$62,0)),$E$2,IF(ISNUMBER(MATCH(AQ47,$H$6:$H$34,0)),$C$2,$B$2)))</f>
        <v>-</v>
      </c>
      <c r="AR13" s="12" t="str">
        <f t="shared" si="99"/>
        <v>-</v>
      </c>
      <c r="AS13" s="12" t="str">
        <f t="shared" si="99"/>
        <v>-</v>
      </c>
      <c r="AT13" s="12" t="str">
        <f t="shared" si="99"/>
        <v>-</v>
      </c>
      <c r="AU13" s="12" t="str">
        <f t="shared" si="99"/>
        <v>-</v>
      </c>
      <c r="AV13" s="12" t="str">
        <f t="shared" si="99"/>
        <v>-</v>
      </c>
      <c r="AW13" s="12" t="str">
        <f t="shared" si="99"/>
        <v>-</v>
      </c>
      <c r="AX13" s="12" t="str">
        <f t="shared" si="99"/>
        <v>-</v>
      </c>
      <c r="AY13" s="12" t="str">
        <f t="shared" si="99"/>
        <v>-</v>
      </c>
      <c r="AZ13" s="12" t="str">
        <f t="shared" si="99"/>
        <v>-</v>
      </c>
      <c r="BA13" s="12" t="str">
        <f t="shared" si="99"/>
        <v>-</v>
      </c>
      <c r="BB13" s="12" t="str">
        <f t="shared" si="99"/>
        <v>-</v>
      </c>
      <c r="BC13" s="12" t="str">
        <f t="shared" si="99"/>
        <v>-</v>
      </c>
      <c r="BD13" s="12" t="str">
        <f t="shared" si="99"/>
        <v>-</v>
      </c>
      <c r="BE13" s="12" t="str">
        <f t="shared" si="99"/>
        <v>-</v>
      </c>
      <c r="BF13" s="12" t="str">
        <f t="shared" si="99"/>
        <v>-</v>
      </c>
      <c r="BG13" s="12" t="str">
        <f t="shared" si="99"/>
        <v>-</v>
      </c>
      <c r="BH13" s="12" t="str">
        <f t="shared" si="99"/>
        <v>-</v>
      </c>
      <c r="BI13" s="12" t="str">
        <f t="shared" si="99"/>
        <v>-</v>
      </c>
      <c r="BJ13" s="12" t="str">
        <f t="shared" si="99"/>
        <v>-</v>
      </c>
      <c r="BK13" s="12" t="str">
        <f t="shared" si="99"/>
        <v>-</v>
      </c>
      <c r="BL13" s="12" t="str">
        <f t="shared" si="99"/>
        <v>-</v>
      </c>
      <c r="BM13" s="12" t="str">
        <f t="shared" si="99"/>
        <v>-</v>
      </c>
      <c r="BN13" s="12" t="str">
        <f t="shared" si="99"/>
        <v>-</v>
      </c>
      <c r="BO13" s="12" t="str">
        <f t="shared" si="99"/>
        <v>-</v>
      </c>
      <c r="BP13" s="12" t="str">
        <f t="shared" si="99"/>
        <v>-</v>
      </c>
      <c r="BQ13" s="12" t="str">
        <f t="shared" si="99"/>
        <v>-</v>
      </c>
      <c r="BR13" s="12" t="str">
        <f t="shared" si="99"/>
        <v>-</v>
      </c>
      <c r="BS13" s="12" t="str">
        <f t="shared" si="99"/>
        <v>-</v>
      </c>
      <c r="BT13" s="12" t="str">
        <f t="shared" si="99"/>
        <v>-</v>
      </c>
      <c r="BU13" s="12" t="str">
        <f t="shared" si="99"/>
        <v>-</v>
      </c>
      <c r="BV13" s="12" t="str">
        <f t="shared" si="99"/>
        <v>-</v>
      </c>
      <c r="BW13" s="12" t="str">
        <f t="shared" ref="BW13:DF13" si="100">IF(ISNUMBER(MATCH(BW47,$H$35:$H$49,0)),$D$2,IF(ISNUMBER(MATCH(BW47,$H$55:$H$62,0)),$E$2,IF(ISNUMBER(MATCH(BW47,$H$6:$H$34,0)),$C$2,$B$2)))</f>
        <v>-</v>
      </c>
      <c r="BX13" s="12" t="str">
        <f t="shared" si="100"/>
        <v>-</v>
      </c>
      <c r="BY13" s="12" t="str">
        <f t="shared" si="100"/>
        <v>-</v>
      </c>
      <c r="BZ13" s="12" t="str">
        <f t="shared" si="100"/>
        <v>-</v>
      </c>
      <c r="CA13" s="12" t="str">
        <f t="shared" si="100"/>
        <v>-</v>
      </c>
      <c r="CB13" s="12" t="str">
        <f t="shared" si="100"/>
        <v>-</v>
      </c>
      <c r="CC13" s="12" t="str">
        <f t="shared" si="100"/>
        <v>-</v>
      </c>
      <c r="CD13" s="12" t="str">
        <f t="shared" si="100"/>
        <v>-</v>
      </c>
      <c r="CE13" s="12" t="str">
        <f t="shared" si="100"/>
        <v>-</v>
      </c>
      <c r="CF13" s="12" t="str">
        <f t="shared" si="100"/>
        <v>-</v>
      </c>
      <c r="CG13" s="12" t="str">
        <f t="shared" si="100"/>
        <v>-</v>
      </c>
      <c r="CH13" s="12" t="str">
        <f t="shared" si="100"/>
        <v>-</v>
      </c>
      <c r="CI13" s="12" t="str">
        <f t="shared" si="100"/>
        <v>-</v>
      </c>
      <c r="CJ13" s="12" t="str">
        <f t="shared" si="100"/>
        <v>-</v>
      </c>
      <c r="CK13" s="12" t="str">
        <f t="shared" si="100"/>
        <v>-</v>
      </c>
      <c r="CL13" s="12" t="str">
        <f t="shared" si="100"/>
        <v>-</v>
      </c>
      <c r="CM13" s="12" t="str">
        <f t="shared" si="100"/>
        <v>-</v>
      </c>
      <c r="CN13" s="12" t="str">
        <f t="shared" si="100"/>
        <v>-</v>
      </c>
      <c r="CO13" s="12" t="str">
        <f t="shared" si="100"/>
        <v>-</v>
      </c>
      <c r="CP13" s="12" t="str">
        <f t="shared" si="100"/>
        <v>-</v>
      </c>
      <c r="CQ13" s="12" t="str">
        <f t="shared" si="100"/>
        <v>-</v>
      </c>
      <c r="CR13" s="12" t="str">
        <f t="shared" si="100"/>
        <v>-</v>
      </c>
      <c r="CS13" s="12" t="str">
        <f t="shared" si="100"/>
        <v>-</v>
      </c>
      <c r="CT13" s="12" t="str">
        <f t="shared" si="100"/>
        <v>-</v>
      </c>
      <c r="CU13" s="12" t="str">
        <f t="shared" si="100"/>
        <v>-</v>
      </c>
      <c r="CV13" s="12" t="str">
        <f t="shared" si="100"/>
        <v>-</v>
      </c>
      <c r="CW13" s="12" t="str">
        <f t="shared" si="100"/>
        <v>-</v>
      </c>
      <c r="CX13" s="12" t="str">
        <f t="shared" si="100"/>
        <v>-</v>
      </c>
      <c r="CY13" s="12" t="str">
        <f t="shared" si="100"/>
        <v>-</v>
      </c>
      <c r="CZ13" s="12" t="str">
        <f t="shared" si="100"/>
        <v>-</v>
      </c>
      <c r="DA13" s="12" t="str">
        <f t="shared" si="100"/>
        <v>-</v>
      </c>
      <c r="DB13" s="12" t="str">
        <f t="shared" si="100"/>
        <v>-</v>
      </c>
      <c r="DC13" s="12" t="str">
        <f t="shared" si="100"/>
        <v>-</v>
      </c>
      <c r="DD13" s="12" t="str">
        <f t="shared" si="100"/>
        <v>-</v>
      </c>
      <c r="DE13" s="12" t="str">
        <f t="shared" si="100"/>
        <v>-</v>
      </c>
      <c r="DF13" s="12" t="str">
        <f t="shared" si="100"/>
        <v>-</v>
      </c>
      <c r="DG13" s="16">
        <f t="shared" si="78"/>
        <v>8</v>
      </c>
      <c r="DH13" s="1"/>
      <c r="DI13" s="63">
        <v>6.6673600000000004</v>
      </c>
      <c r="DJ13" s="63">
        <v>6.6670100000000003</v>
      </c>
      <c r="DK13" s="63">
        <v>6.6662999999999997</v>
      </c>
      <c r="DL13" s="63">
        <v>6.6652300000000002</v>
      </c>
      <c r="DM13" s="63">
        <v>6.6638099999999998</v>
      </c>
      <c r="DN13" s="63">
        <v>6.6620400000000002</v>
      </c>
      <c r="DO13" s="63">
        <v>6.6599000000000004</v>
      </c>
      <c r="DP13" s="63">
        <v>6.6574200000000001</v>
      </c>
      <c r="DQ13" s="63">
        <v>6.6545699999999997</v>
      </c>
      <c r="DR13" s="63">
        <v>6.65137</v>
      </c>
      <c r="DS13" s="63">
        <v>6.6478200000000003</v>
      </c>
      <c r="DT13" s="63">
        <v>6.64391</v>
      </c>
      <c r="DU13" s="63">
        <v>6.63964</v>
      </c>
      <c r="DV13" s="63">
        <v>6.6350199999999999</v>
      </c>
      <c r="DW13" s="63">
        <v>6.6300299999999996</v>
      </c>
      <c r="DX13" s="63">
        <v>6.6246999999999998</v>
      </c>
      <c r="DY13" s="63">
        <v>6.6189999999999998</v>
      </c>
      <c r="DZ13" s="63">
        <v>6.6129499999999997</v>
      </c>
      <c r="EA13" s="63">
        <v>6.6065399999999999</v>
      </c>
      <c r="EB13" s="63">
        <v>6.59978</v>
      </c>
      <c r="EC13" s="63">
        <v>6.5926499999999999</v>
      </c>
      <c r="ED13" s="63">
        <v>6.58514</v>
      </c>
      <c r="EE13" s="63">
        <v>6.5770400000000002</v>
      </c>
      <c r="EF13" s="63">
        <v>6.5660800000000004</v>
      </c>
      <c r="EG13" s="63">
        <v>6.5212899999999996</v>
      </c>
      <c r="EH13" s="63">
        <v>6.4608100000000004</v>
      </c>
      <c r="EI13" s="63">
        <v>6.3965800000000002</v>
      </c>
      <c r="EJ13" s="63">
        <v>6.3290800000000003</v>
      </c>
      <c r="EK13" s="63">
        <v>6.2580200000000001</v>
      </c>
      <c r="EL13" s="63">
        <v>6.1838899999999999</v>
      </c>
      <c r="EM13" s="63">
        <v>6.1062399999999997</v>
      </c>
      <c r="EN13" s="63">
        <v>6.0246700000000004</v>
      </c>
      <c r="EO13" s="63">
        <v>5.9394799999999996</v>
      </c>
      <c r="EP13" s="63">
        <v>5.8504500000000004</v>
      </c>
      <c r="EQ13" s="63">
        <v>5.7566300000000004</v>
      </c>
      <c r="ER13" s="63">
        <v>5.6599599999999999</v>
      </c>
      <c r="ES13" s="63">
        <v>5.5833700000000004</v>
      </c>
      <c r="ET13" s="63">
        <v>5.5666099999999998</v>
      </c>
      <c r="EU13" s="63">
        <v>5.5525900000000004</v>
      </c>
      <c r="EV13" s="63">
        <v>5.5383599999999999</v>
      </c>
      <c r="EW13" s="63">
        <v>5.5237600000000002</v>
      </c>
      <c r="EX13" s="63">
        <v>5.5087900000000003</v>
      </c>
      <c r="EY13" s="63">
        <v>5.4934500000000002</v>
      </c>
      <c r="EZ13" s="63">
        <v>5.4777500000000003</v>
      </c>
      <c r="FA13" s="63">
        <v>5.4616699999999998</v>
      </c>
      <c r="FB13" s="63">
        <v>5.4452199999999999</v>
      </c>
      <c r="FC13" s="63">
        <v>5.4283999999999999</v>
      </c>
      <c r="FD13" s="63">
        <v>5.4112099999999996</v>
      </c>
      <c r="FE13" s="63">
        <v>5.3936200000000003</v>
      </c>
      <c r="FF13" s="63">
        <v>5.375</v>
      </c>
      <c r="FG13" s="64">
        <f t="shared" si="72"/>
        <v>8</v>
      </c>
      <c r="FH13" s="1"/>
      <c r="FI13" s="75">
        <f>IF(ISNUMBER(MATCH(FJ13,$FP$8:$FP$13,0)),MAX(FI$7:FI12)+1,0)</f>
        <v>0</v>
      </c>
      <c r="FJ13" s="79">
        <f t="shared" si="84"/>
        <v>219</v>
      </c>
      <c r="FK13" s="82">
        <f t="shared" si="85"/>
        <v>221</v>
      </c>
      <c r="FL13" s="73">
        <f t="shared" si="94"/>
        <v>36.5</v>
      </c>
      <c r="FM13" s="1"/>
      <c r="FN13" s="16">
        <f t="shared" si="86"/>
        <v>5</v>
      </c>
      <c r="FO13" s="30">
        <f t="shared" si="79"/>
        <v>2</v>
      </c>
      <c r="FP13" s="73">
        <f t="shared" si="87"/>
        <v>1825</v>
      </c>
      <c r="FQ13" s="75">
        <f t="shared" si="80"/>
        <v>5</v>
      </c>
      <c r="FR13" s="2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ht="5.45" customHeight="1" x14ac:dyDescent="0.25">
      <c r="A14" s="3">
        <f t="shared" si="73"/>
        <v>9</v>
      </c>
      <c r="B14" s="10">
        <v>9</v>
      </c>
      <c r="C14" s="10">
        <v>0</v>
      </c>
      <c r="D14" s="10">
        <f t="shared" si="67"/>
        <v>0</v>
      </c>
      <c r="E14" s="10">
        <f t="shared" si="74"/>
        <v>500</v>
      </c>
      <c r="F14" s="10">
        <v>0</v>
      </c>
      <c r="G14" s="27" t="s">
        <v>45</v>
      </c>
      <c r="H14" s="11" t="str">
        <f t="shared" si="63"/>
        <v>1,10</v>
      </c>
      <c r="I14" s="1"/>
      <c r="J14" s="16">
        <f t="shared" si="68"/>
        <v>9</v>
      </c>
      <c r="K14" s="12">
        <f t="shared" ref="K14:AP14" si="101">IF(ISNUMBER(MATCH(K48,$H$35:$H$49,0)),$D$2,IF(ISNUMBER(MATCH(K48,$H$55:$H$62,0)),$E$2,IF(ISNUMBER(MATCH(K48,$H$6:$H$34,0)),$C$2,$B$2)))</f>
        <v>1</v>
      </c>
      <c r="L14" s="12" t="str">
        <f t="shared" si="101"/>
        <v>-</v>
      </c>
      <c r="M14" s="12" t="str">
        <f t="shared" si="101"/>
        <v>-</v>
      </c>
      <c r="N14" s="12" t="str">
        <f t="shared" si="101"/>
        <v>-</v>
      </c>
      <c r="O14" s="12" t="str">
        <f t="shared" si="101"/>
        <v>-</v>
      </c>
      <c r="P14" s="12" t="str">
        <f t="shared" si="101"/>
        <v>-</v>
      </c>
      <c r="Q14" s="12" t="str">
        <f t="shared" si="101"/>
        <v>-</v>
      </c>
      <c r="R14" s="12" t="str">
        <f t="shared" si="101"/>
        <v>-</v>
      </c>
      <c r="S14" s="12" t="str">
        <f t="shared" si="101"/>
        <v>-</v>
      </c>
      <c r="T14" s="12" t="str">
        <f t="shared" si="101"/>
        <v>-</v>
      </c>
      <c r="U14" s="12" t="str">
        <f t="shared" si="101"/>
        <v>-</v>
      </c>
      <c r="V14" s="12" t="str">
        <f t="shared" si="101"/>
        <v>-</v>
      </c>
      <c r="W14" s="12" t="str">
        <f t="shared" si="101"/>
        <v>-</v>
      </c>
      <c r="X14" s="12" t="str">
        <f t="shared" si="101"/>
        <v>-</v>
      </c>
      <c r="Y14" s="12" t="str">
        <f t="shared" si="101"/>
        <v>-</v>
      </c>
      <c r="Z14" s="12" t="str">
        <f t="shared" si="101"/>
        <v>-</v>
      </c>
      <c r="AA14" s="12" t="str">
        <f t="shared" si="101"/>
        <v>-</v>
      </c>
      <c r="AB14" s="12" t="str">
        <f t="shared" si="101"/>
        <v>-</v>
      </c>
      <c r="AC14" s="12" t="str">
        <f t="shared" si="101"/>
        <v>-</v>
      </c>
      <c r="AD14" s="12" t="str">
        <f t="shared" si="101"/>
        <v>-</v>
      </c>
      <c r="AE14" s="12" t="str">
        <f t="shared" si="101"/>
        <v>-</v>
      </c>
      <c r="AF14" s="12" t="str">
        <f t="shared" si="101"/>
        <v>-</v>
      </c>
      <c r="AG14" s="12" t="str">
        <f t="shared" si="101"/>
        <v>-</v>
      </c>
      <c r="AH14" s="12" t="str">
        <f t="shared" si="101"/>
        <v>-</v>
      </c>
      <c r="AI14" s="12" t="str">
        <f t="shared" si="101"/>
        <v>-</v>
      </c>
      <c r="AJ14" s="12" t="str">
        <f t="shared" si="101"/>
        <v>-</v>
      </c>
      <c r="AK14" s="12" t="str">
        <f t="shared" si="101"/>
        <v>-</v>
      </c>
      <c r="AL14" s="12" t="str">
        <f t="shared" si="101"/>
        <v>-</v>
      </c>
      <c r="AM14" s="12" t="str">
        <f t="shared" si="101"/>
        <v>-</v>
      </c>
      <c r="AN14" s="12" t="str">
        <f t="shared" si="101"/>
        <v>-</v>
      </c>
      <c r="AO14" s="12" t="str">
        <f t="shared" si="101"/>
        <v>-</v>
      </c>
      <c r="AP14" s="12" t="str">
        <f t="shared" si="101"/>
        <v>-</v>
      </c>
      <c r="AQ14" s="12" t="str">
        <f t="shared" ref="AQ14:BV14" si="102">IF(ISNUMBER(MATCH(AQ48,$H$35:$H$49,0)),$D$2,IF(ISNUMBER(MATCH(AQ48,$H$55:$H$62,0)),$E$2,IF(ISNUMBER(MATCH(AQ48,$H$6:$H$34,0)),$C$2,$B$2)))</f>
        <v>-</v>
      </c>
      <c r="AR14" s="12" t="str">
        <f t="shared" si="102"/>
        <v>-</v>
      </c>
      <c r="AS14" s="12" t="str">
        <f t="shared" si="102"/>
        <v>-</v>
      </c>
      <c r="AT14" s="12" t="str">
        <f t="shared" si="102"/>
        <v>-</v>
      </c>
      <c r="AU14" s="12" t="str">
        <f t="shared" si="102"/>
        <v>-</v>
      </c>
      <c r="AV14" s="12" t="str">
        <f t="shared" si="102"/>
        <v>-</v>
      </c>
      <c r="AW14" s="12" t="str">
        <f t="shared" si="102"/>
        <v>-</v>
      </c>
      <c r="AX14" s="12" t="str">
        <f t="shared" si="102"/>
        <v>-</v>
      </c>
      <c r="AY14" s="12" t="str">
        <f t="shared" si="102"/>
        <v>-</v>
      </c>
      <c r="AZ14" s="12" t="str">
        <f t="shared" si="102"/>
        <v>-</v>
      </c>
      <c r="BA14" s="12" t="str">
        <f t="shared" si="102"/>
        <v>-</v>
      </c>
      <c r="BB14" s="12" t="str">
        <f t="shared" si="102"/>
        <v>-</v>
      </c>
      <c r="BC14" s="12" t="str">
        <f t="shared" si="102"/>
        <v>-</v>
      </c>
      <c r="BD14" s="12" t="str">
        <f t="shared" si="102"/>
        <v>-</v>
      </c>
      <c r="BE14" s="12" t="str">
        <f t="shared" si="102"/>
        <v>-</v>
      </c>
      <c r="BF14" s="12" t="str">
        <f t="shared" si="102"/>
        <v>-</v>
      </c>
      <c r="BG14" s="12" t="str">
        <f t="shared" si="102"/>
        <v>-</v>
      </c>
      <c r="BH14" s="12" t="str">
        <f t="shared" si="102"/>
        <v>-</v>
      </c>
      <c r="BI14" s="12" t="str">
        <f t="shared" si="102"/>
        <v>-</v>
      </c>
      <c r="BJ14" s="12" t="str">
        <f t="shared" si="102"/>
        <v>-</v>
      </c>
      <c r="BK14" s="12" t="str">
        <f t="shared" si="102"/>
        <v>-</v>
      </c>
      <c r="BL14" s="12" t="str">
        <f t="shared" si="102"/>
        <v>-</v>
      </c>
      <c r="BM14" s="12" t="str">
        <f t="shared" si="102"/>
        <v>-</v>
      </c>
      <c r="BN14" s="12" t="str">
        <f t="shared" si="102"/>
        <v>-</v>
      </c>
      <c r="BO14" s="12" t="str">
        <f t="shared" si="102"/>
        <v>-</v>
      </c>
      <c r="BP14" s="12" t="str">
        <f t="shared" si="102"/>
        <v>-</v>
      </c>
      <c r="BQ14" s="12" t="str">
        <f t="shared" si="102"/>
        <v>-</v>
      </c>
      <c r="BR14" s="12" t="str">
        <f t="shared" si="102"/>
        <v>-</v>
      </c>
      <c r="BS14" s="12" t="str">
        <f t="shared" si="102"/>
        <v>-</v>
      </c>
      <c r="BT14" s="12" t="str">
        <f t="shared" si="102"/>
        <v>-</v>
      </c>
      <c r="BU14" s="12" t="str">
        <f t="shared" si="102"/>
        <v>-</v>
      </c>
      <c r="BV14" s="12" t="str">
        <f t="shared" si="102"/>
        <v>-</v>
      </c>
      <c r="BW14" s="12" t="str">
        <f t="shared" ref="BW14:DF14" si="103">IF(ISNUMBER(MATCH(BW48,$H$35:$H$49,0)),$D$2,IF(ISNUMBER(MATCH(BW48,$H$55:$H$62,0)),$E$2,IF(ISNUMBER(MATCH(BW48,$H$6:$H$34,0)),$C$2,$B$2)))</f>
        <v>-</v>
      </c>
      <c r="BX14" s="12" t="str">
        <f t="shared" si="103"/>
        <v>-</v>
      </c>
      <c r="BY14" s="12" t="str">
        <f t="shared" si="103"/>
        <v>-</v>
      </c>
      <c r="BZ14" s="12" t="str">
        <f t="shared" si="103"/>
        <v>-</v>
      </c>
      <c r="CA14" s="12" t="str">
        <f t="shared" si="103"/>
        <v>-</v>
      </c>
      <c r="CB14" s="12" t="str">
        <f t="shared" si="103"/>
        <v>-</v>
      </c>
      <c r="CC14" s="12" t="str">
        <f t="shared" si="103"/>
        <v>-</v>
      </c>
      <c r="CD14" s="12" t="str">
        <f t="shared" si="103"/>
        <v>-</v>
      </c>
      <c r="CE14" s="12" t="str">
        <f t="shared" si="103"/>
        <v>-</v>
      </c>
      <c r="CF14" s="12" t="str">
        <f t="shared" si="103"/>
        <v>-</v>
      </c>
      <c r="CG14" s="12" t="str">
        <f t="shared" si="103"/>
        <v>-</v>
      </c>
      <c r="CH14" s="12" t="str">
        <f t="shared" si="103"/>
        <v>-</v>
      </c>
      <c r="CI14" s="12" t="str">
        <f t="shared" si="103"/>
        <v>-</v>
      </c>
      <c r="CJ14" s="12" t="str">
        <f t="shared" si="103"/>
        <v>-</v>
      </c>
      <c r="CK14" s="12" t="str">
        <f t="shared" si="103"/>
        <v>-</v>
      </c>
      <c r="CL14" s="12" t="str">
        <f t="shared" si="103"/>
        <v>-</v>
      </c>
      <c r="CM14" s="12" t="str">
        <f t="shared" si="103"/>
        <v>-</v>
      </c>
      <c r="CN14" s="12" t="str">
        <f t="shared" si="103"/>
        <v>-</v>
      </c>
      <c r="CO14" s="12" t="str">
        <f t="shared" si="103"/>
        <v>-</v>
      </c>
      <c r="CP14" s="12" t="str">
        <f t="shared" si="103"/>
        <v>-</v>
      </c>
      <c r="CQ14" s="12" t="str">
        <f t="shared" si="103"/>
        <v>-</v>
      </c>
      <c r="CR14" s="12" t="str">
        <f t="shared" si="103"/>
        <v>-</v>
      </c>
      <c r="CS14" s="12" t="str">
        <f t="shared" si="103"/>
        <v>-</v>
      </c>
      <c r="CT14" s="12" t="str">
        <f t="shared" si="103"/>
        <v>-</v>
      </c>
      <c r="CU14" s="12" t="str">
        <f t="shared" si="103"/>
        <v>-</v>
      </c>
      <c r="CV14" s="12" t="str">
        <f t="shared" si="103"/>
        <v>-</v>
      </c>
      <c r="CW14" s="12" t="str">
        <f t="shared" si="103"/>
        <v>-</v>
      </c>
      <c r="CX14" s="12" t="str">
        <f t="shared" si="103"/>
        <v>-</v>
      </c>
      <c r="CY14" s="12" t="str">
        <f t="shared" si="103"/>
        <v>-</v>
      </c>
      <c r="CZ14" s="12" t="str">
        <f t="shared" si="103"/>
        <v>-</v>
      </c>
      <c r="DA14" s="12" t="str">
        <f t="shared" si="103"/>
        <v>-</v>
      </c>
      <c r="DB14" s="12" t="str">
        <f t="shared" si="103"/>
        <v>-</v>
      </c>
      <c r="DC14" s="12" t="str">
        <f t="shared" si="103"/>
        <v>-</v>
      </c>
      <c r="DD14" s="12" t="str">
        <f t="shared" si="103"/>
        <v>-</v>
      </c>
      <c r="DE14" s="12" t="str">
        <f t="shared" si="103"/>
        <v>-</v>
      </c>
      <c r="DF14" s="12" t="str">
        <f t="shared" si="103"/>
        <v>-</v>
      </c>
      <c r="DG14" s="16">
        <f t="shared" si="78"/>
        <v>9</v>
      </c>
      <c r="DH14" s="1"/>
      <c r="DI14" s="63">
        <v>6.6672099999999999</v>
      </c>
      <c r="DJ14" s="63">
        <v>6.6668599999999998</v>
      </c>
      <c r="DK14" s="63">
        <v>6.66615</v>
      </c>
      <c r="DL14" s="63">
        <v>6.6650799999999997</v>
      </c>
      <c r="DM14" s="63">
        <v>6.6636600000000001</v>
      </c>
      <c r="DN14" s="63">
        <v>6.66188</v>
      </c>
      <c r="DO14" s="63">
        <v>6.6597499999999998</v>
      </c>
      <c r="DP14" s="63">
        <v>6.6572699999999996</v>
      </c>
      <c r="DQ14" s="63">
        <v>6.65442</v>
      </c>
      <c r="DR14" s="63">
        <v>6.6512200000000004</v>
      </c>
      <c r="DS14" s="63">
        <v>6.6476699999999997</v>
      </c>
      <c r="DT14" s="63">
        <v>6.6437600000000003</v>
      </c>
      <c r="DU14" s="63">
        <v>6.6394900000000003</v>
      </c>
      <c r="DV14" s="63">
        <v>6.6348599999999998</v>
      </c>
      <c r="DW14" s="63">
        <v>6.62988</v>
      </c>
      <c r="DX14" s="63">
        <v>6.6245500000000002</v>
      </c>
      <c r="DY14" s="63">
        <v>6.6188500000000001</v>
      </c>
      <c r="DZ14" s="63">
        <v>6.6128</v>
      </c>
      <c r="EA14" s="63">
        <v>6.6063900000000002</v>
      </c>
      <c r="EB14" s="63">
        <v>6.5996199999999998</v>
      </c>
      <c r="EC14" s="63">
        <v>6.5925000000000002</v>
      </c>
      <c r="ED14" s="63">
        <v>6.5849900000000003</v>
      </c>
      <c r="EE14" s="63">
        <v>6.5769500000000001</v>
      </c>
      <c r="EF14" s="63">
        <v>6.5664899999999999</v>
      </c>
      <c r="EG14" s="63">
        <v>6.5213799999999997</v>
      </c>
      <c r="EH14" s="63">
        <v>6.46068</v>
      </c>
      <c r="EI14" s="63">
        <v>6.3964299999999996</v>
      </c>
      <c r="EJ14" s="63">
        <v>6.3289200000000001</v>
      </c>
      <c r="EK14" s="63">
        <v>6.2578699999999996</v>
      </c>
      <c r="EL14" s="63">
        <v>6.1837200000000001</v>
      </c>
      <c r="EM14" s="63">
        <v>6.1060499999999998</v>
      </c>
      <c r="EN14" s="63">
        <v>6.0244900000000001</v>
      </c>
      <c r="EO14" s="63">
        <v>5.9392899999999997</v>
      </c>
      <c r="EP14" s="63">
        <v>5.8502400000000003</v>
      </c>
      <c r="EQ14" s="63">
        <v>5.7564299999999999</v>
      </c>
      <c r="ER14" s="63">
        <v>5.6595399999999998</v>
      </c>
      <c r="ES14" s="63">
        <v>5.5826900000000004</v>
      </c>
      <c r="ET14" s="63">
        <v>5.5664199999999999</v>
      </c>
      <c r="EU14" s="63">
        <v>5.5524300000000002</v>
      </c>
      <c r="EV14" s="63">
        <v>5.5381999999999998</v>
      </c>
      <c r="EW14" s="63">
        <v>5.5236000000000001</v>
      </c>
      <c r="EX14" s="63">
        <v>5.5086399999999998</v>
      </c>
      <c r="EY14" s="63">
        <v>5.49329</v>
      </c>
      <c r="EZ14" s="63">
        <v>5.4775900000000002</v>
      </c>
      <c r="FA14" s="63">
        <v>5.4615099999999996</v>
      </c>
      <c r="FB14" s="63">
        <v>5.4450599999999998</v>
      </c>
      <c r="FC14" s="63">
        <v>5.4282399999999997</v>
      </c>
      <c r="FD14" s="63">
        <v>5.4110500000000004</v>
      </c>
      <c r="FE14" s="63">
        <v>5.3934600000000001</v>
      </c>
      <c r="FF14" s="63">
        <v>5.375</v>
      </c>
      <c r="FG14" s="64">
        <f t="shared" si="72"/>
        <v>9</v>
      </c>
      <c r="FH14" s="1"/>
      <c r="FI14" s="75">
        <f>IF(ISNUMBER(MATCH(FJ14,$FP$8:$FP$13,0)),MAX(FI$7:FI13)+1,0)</f>
        <v>0</v>
      </c>
      <c r="FJ14" s="79">
        <f t="shared" si="84"/>
        <v>255.5</v>
      </c>
      <c r="FK14" s="82">
        <f t="shared" si="85"/>
        <v>258</v>
      </c>
      <c r="FL14" s="73">
        <f t="shared" si="94"/>
        <v>36.5</v>
      </c>
      <c r="FM14" s="1"/>
      <c r="FN14" s="16" t="str">
        <f t="shared" si="86"/>
        <v/>
      </c>
      <c r="FO14" s="30" t="str">
        <f t="shared" si="79"/>
        <v/>
      </c>
      <c r="FP14" s="73" t="str">
        <f t="shared" si="87"/>
        <v/>
      </c>
      <c r="FQ14" s="75" t="str">
        <f t="shared" si="80"/>
        <v/>
      </c>
      <c r="FR14" s="2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ht="5.45" customHeight="1" x14ac:dyDescent="0.25">
      <c r="A15" s="3">
        <f t="shared" si="73"/>
        <v>10</v>
      </c>
      <c r="B15" s="10">
        <v>10</v>
      </c>
      <c r="C15" s="10">
        <v>0</v>
      </c>
      <c r="D15" s="10">
        <f t="shared" si="67"/>
        <v>0</v>
      </c>
      <c r="E15" s="10">
        <f t="shared" si="74"/>
        <v>500</v>
      </c>
      <c r="F15" s="10">
        <v>0</v>
      </c>
      <c r="G15" s="27" t="s">
        <v>45</v>
      </c>
      <c r="H15" s="11" t="str">
        <f t="shared" si="63"/>
        <v>1,11</v>
      </c>
      <c r="I15" s="1"/>
      <c r="J15" s="16">
        <f t="shared" si="68"/>
        <v>10</v>
      </c>
      <c r="K15" s="12">
        <f t="shared" ref="K15:AP15" si="104">IF(ISNUMBER(MATCH(K49,$H$35:$H$49,0)),$D$2,IF(ISNUMBER(MATCH(K49,$H$55:$H$62,0)),$E$2,IF(ISNUMBER(MATCH(K49,$H$6:$H$34,0)),$C$2,$B$2)))</f>
        <v>1</v>
      </c>
      <c r="L15" s="12" t="str">
        <f t="shared" si="104"/>
        <v>-</v>
      </c>
      <c r="M15" s="12" t="str">
        <f t="shared" si="104"/>
        <v>-</v>
      </c>
      <c r="N15" s="12" t="str">
        <f t="shared" si="104"/>
        <v>-</v>
      </c>
      <c r="O15" s="12" t="str">
        <f t="shared" si="104"/>
        <v>-</v>
      </c>
      <c r="P15" s="12" t="str">
        <f t="shared" si="104"/>
        <v>-</v>
      </c>
      <c r="Q15" s="12" t="str">
        <f t="shared" si="104"/>
        <v>-</v>
      </c>
      <c r="R15" s="12" t="str">
        <f t="shared" si="104"/>
        <v>-</v>
      </c>
      <c r="S15" s="12" t="str">
        <f t="shared" si="104"/>
        <v>-</v>
      </c>
      <c r="T15" s="12" t="str">
        <f t="shared" si="104"/>
        <v>-</v>
      </c>
      <c r="U15" s="12" t="str">
        <f t="shared" si="104"/>
        <v>-</v>
      </c>
      <c r="V15" s="12" t="str">
        <f t="shared" si="104"/>
        <v>-</v>
      </c>
      <c r="W15" s="12" t="str">
        <f t="shared" si="104"/>
        <v>-</v>
      </c>
      <c r="X15" s="12" t="str">
        <f t="shared" si="104"/>
        <v>-</v>
      </c>
      <c r="Y15" s="12" t="str">
        <f t="shared" si="104"/>
        <v>-</v>
      </c>
      <c r="Z15" s="12" t="str">
        <f t="shared" si="104"/>
        <v>-</v>
      </c>
      <c r="AA15" s="12" t="str">
        <f t="shared" si="104"/>
        <v>-</v>
      </c>
      <c r="AB15" s="12" t="str">
        <f t="shared" si="104"/>
        <v>-</v>
      </c>
      <c r="AC15" s="12" t="str">
        <f t="shared" si="104"/>
        <v>-</v>
      </c>
      <c r="AD15" s="12" t="str">
        <f t="shared" si="104"/>
        <v>-</v>
      </c>
      <c r="AE15" s="12" t="str">
        <f t="shared" si="104"/>
        <v>-</v>
      </c>
      <c r="AF15" s="12" t="str">
        <f t="shared" si="104"/>
        <v>-</v>
      </c>
      <c r="AG15" s="12" t="str">
        <f t="shared" si="104"/>
        <v>-</v>
      </c>
      <c r="AH15" s="12" t="str">
        <f t="shared" si="104"/>
        <v>-</v>
      </c>
      <c r="AI15" s="12" t="str">
        <f t="shared" si="104"/>
        <v>-</v>
      </c>
      <c r="AJ15" s="12" t="str">
        <f t="shared" si="104"/>
        <v>-</v>
      </c>
      <c r="AK15" s="12" t="str">
        <f t="shared" si="104"/>
        <v>-</v>
      </c>
      <c r="AL15" s="12" t="str">
        <f t="shared" si="104"/>
        <v>-</v>
      </c>
      <c r="AM15" s="12" t="str">
        <f t="shared" si="104"/>
        <v>-</v>
      </c>
      <c r="AN15" s="12" t="str">
        <f t="shared" si="104"/>
        <v>-</v>
      </c>
      <c r="AO15" s="12" t="str">
        <f t="shared" si="104"/>
        <v>-</v>
      </c>
      <c r="AP15" s="12" t="str">
        <f t="shared" si="104"/>
        <v>-</v>
      </c>
      <c r="AQ15" s="12" t="str">
        <f t="shared" ref="AQ15:BV15" si="105">IF(ISNUMBER(MATCH(AQ49,$H$35:$H$49,0)),$D$2,IF(ISNUMBER(MATCH(AQ49,$H$55:$H$62,0)),$E$2,IF(ISNUMBER(MATCH(AQ49,$H$6:$H$34,0)),$C$2,$B$2)))</f>
        <v>-</v>
      </c>
      <c r="AR15" s="12" t="str">
        <f t="shared" si="105"/>
        <v>-</v>
      </c>
      <c r="AS15" s="12" t="str">
        <f t="shared" si="105"/>
        <v>-</v>
      </c>
      <c r="AT15" s="12" t="str">
        <f t="shared" si="105"/>
        <v>-</v>
      </c>
      <c r="AU15" s="12" t="str">
        <f t="shared" si="105"/>
        <v>-</v>
      </c>
      <c r="AV15" s="12" t="str">
        <f t="shared" si="105"/>
        <v>-</v>
      </c>
      <c r="AW15" s="12" t="str">
        <f t="shared" si="105"/>
        <v>-</v>
      </c>
      <c r="AX15" s="12" t="str">
        <f t="shared" si="105"/>
        <v>-</v>
      </c>
      <c r="AY15" s="12" t="str">
        <f t="shared" si="105"/>
        <v>-</v>
      </c>
      <c r="AZ15" s="12" t="str">
        <f t="shared" si="105"/>
        <v>-</v>
      </c>
      <c r="BA15" s="12" t="str">
        <f t="shared" si="105"/>
        <v>-</v>
      </c>
      <c r="BB15" s="12" t="str">
        <f t="shared" si="105"/>
        <v>-</v>
      </c>
      <c r="BC15" s="12" t="str">
        <f t="shared" si="105"/>
        <v>-</v>
      </c>
      <c r="BD15" s="12" t="str">
        <f t="shared" si="105"/>
        <v>-</v>
      </c>
      <c r="BE15" s="12" t="str">
        <f t="shared" si="105"/>
        <v>-</v>
      </c>
      <c r="BF15" s="12" t="str">
        <f t="shared" si="105"/>
        <v>-</v>
      </c>
      <c r="BG15" s="12" t="str">
        <f t="shared" si="105"/>
        <v>-</v>
      </c>
      <c r="BH15" s="12" t="str">
        <f t="shared" si="105"/>
        <v>-</v>
      </c>
      <c r="BI15" s="12" t="str">
        <f t="shared" si="105"/>
        <v>-</v>
      </c>
      <c r="BJ15" s="12" t="str">
        <f t="shared" si="105"/>
        <v>-</v>
      </c>
      <c r="BK15" s="12" t="str">
        <f t="shared" si="105"/>
        <v>-</v>
      </c>
      <c r="BL15" s="12" t="str">
        <f t="shared" si="105"/>
        <v>-</v>
      </c>
      <c r="BM15" s="12" t="str">
        <f t="shared" si="105"/>
        <v>-</v>
      </c>
      <c r="BN15" s="12" t="str">
        <f t="shared" si="105"/>
        <v>-</v>
      </c>
      <c r="BO15" s="12" t="str">
        <f t="shared" si="105"/>
        <v>-</v>
      </c>
      <c r="BP15" s="12" t="str">
        <f t="shared" si="105"/>
        <v>-</v>
      </c>
      <c r="BQ15" s="12" t="str">
        <f t="shared" si="105"/>
        <v>-</v>
      </c>
      <c r="BR15" s="12" t="str">
        <f t="shared" si="105"/>
        <v>-</v>
      </c>
      <c r="BS15" s="12" t="str">
        <f t="shared" si="105"/>
        <v>-</v>
      </c>
      <c r="BT15" s="12" t="str">
        <f t="shared" si="105"/>
        <v>-</v>
      </c>
      <c r="BU15" s="12" t="str">
        <f t="shared" si="105"/>
        <v>-</v>
      </c>
      <c r="BV15" s="12" t="str">
        <f t="shared" si="105"/>
        <v>-</v>
      </c>
      <c r="BW15" s="12" t="str">
        <f t="shared" ref="BW15:DF15" si="106">IF(ISNUMBER(MATCH(BW49,$H$35:$H$49,0)),$D$2,IF(ISNUMBER(MATCH(BW49,$H$55:$H$62,0)),$E$2,IF(ISNUMBER(MATCH(BW49,$H$6:$H$34,0)),$C$2,$B$2)))</f>
        <v>-</v>
      </c>
      <c r="BX15" s="12" t="str">
        <f t="shared" si="106"/>
        <v>-</v>
      </c>
      <c r="BY15" s="12" t="str">
        <f t="shared" si="106"/>
        <v>-</v>
      </c>
      <c r="BZ15" s="12" t="str">
        <f t="shared" si="106"/>
        <v>-</v>
      </c>
      <c r="CA15" s="12" t="str">
        <f t="shared" si="106"/>
        <v>-</v>
      </c>
      <c r="CB15" s="12" t="str">
        <f t="shared" si="106"/>
        <v>-</v>
      </c>
      <c r="CC15" s="12" t="str">
        <f t="shared" si="106"/>
        <v>-</v>
      </c>
      <c r="CD15" s="12" t="str">
        <f t="shared" si="106"/>
        <v>-</v>
      </c>
      <c r="CE15" s="12" t="str">
        <f t="shared" si="106"/>
        <v>-</v>
      </c>
      <c r="CF15" s="12" t="str">
        <f t="shared" si="106"/>
        <v>-</v>
      </c>
      <c r="CG15" s="12" t="str">
        <f t="shared" si="106"/>
        <v>-</v>
      </c>
      <c r="CH15" s="12" t="str">
        <f t="shared" si="106"/>
        <v>-</v>
      </c>
      <c r="CI15" s="12" t="str">
        <f t="shared" si="106"/>
        <v>-</v>
      </c>
      <c r="CJ15" s="12" t="str">
        <f t="shared" si="106"/>
        <v>-</v>
      </c>
      <c r="CK15" s="12" t="str">
        <f t="shared" si="106"/>
        <v>-</v>
      </c>
      <c r="CL15" s="12" t="str">
        <f t="shared" si="106"/>
        <v>-</v>
      </c>
      <c r="CM15" s="12" t="str">
        <f t="shared" si="106"/>
        <v>-</v>
      </c>
      <c r="CN15" s="12" t="str">
        <f t="shared" si="106"/>
        <v>-</v>
      </c>
      <c r="CO15" s="12" t="str">
        <f t="shared" si="106"/>
        <v>-</v>
      </c>
      <c r="CP15" s="12" t="str">
        <f t="shared" si="106"/>
        <v>-</v>
      </c>
      <c r="CQ15" s="12" t="str">
        <f t="shared" si="106"/>
        <v>-</v>
      </c>
      <c r="CR15" s="12" t="str">
        <f t="shared" si="106"/>
        <v>-</v>
      </c>
      <c r="CS15" s="12" t="str">
        <f t="shared" si="106"/>
        <v>-</v>
      </c>
      <c r="CT15" s="12" t="str">
        <f t="shared" si="106"/>
        <v>-</v>
      </c>
      <c r="CU15" s="12" t="str">
        <f t="shared" si="106"/>
        <v>-</v>
      </c>
      <c r="CV15" s="12" t="str">
        <f t="shared" si="106"/>
        <v>-</v>
      </c>
      <c r="CW15" s="12" t="str">
        <f t="shared" si="106"/>
        <v>-</v>
      </c>
      <c r="CX15" s="12" t="str">
        <f t="shared" si="106"/>
        <v>-</v>
      </c>
      <c r="CY15" s="12" t="str">
        <f t="shared" si="106"/>
        <v>-</v>
      </c>
      <c r="CZ15" s="12" t="str">
        <f t="shared" si="106"/>
        <v>-</v>
      </c>
      <c r="DA15" s="12" t="str">
        <f t="shared" si="106"/>
        <v>-</v>
      </c>
      <c r="DB15" s="12" t="str">
        <f t="shared" si="106"/>
        <v>-</v>
      </c>
      <c r="DC15" s="12" t="str">
        <f t="shared" si="106"/>
        <v>-</v>
      </c>
      <c r="DD15" s="12" t="str">
        <f t="shared" si="106"/>
        <v>-</v>
      </c>
      <c r="DE15" s="12" t="str">
        <f t="shared" si="106"/>
        <v>-</v>
      </c>
      <c r="DF15" s="12" t="str">
        <f t="shared" si="106"/>
        <v>-</v>
      </c>
      <c r="DG15" s="16">
        <f t="shared" si="78"/>
        <v>10</v>
      </c>
      <c r="DH15" s="1"/>
      <c r="DI15" s="63">
        <v>6.6670600000000002</v>
      </c>
      <c r="DJ15" s="63">
        <v>6.6667100000000001</v>
      </c>
      <c r="DK15" s="63">
        <v>6.6660000000000004</v>
      </c>
      <c r="DL15" s="63">
        <v>6.66493</v>
      </c>
      <c r="DM15" s="63">
        <v>6.6635099999999996</v>
      </c>
      <c r="DN15" s="63">
        <v>6.6617300000000004</v>
      </c>
      <c r="DO15" s="63">
        <v>6.6596000000000002</v>
      </c>
      <c r="DP15" s="63">
        <v>6.6571100000000003</v>
      </c>
      <c r="DQ15" s="63">
        <v>6.6542700000000004</v>
      </c>
      <c r="DR15" s="63">
        <v>6.6510699999999998</v>
      </c>
      <c r="DS15" s="63">
        <v>6.6475200000000001</v>
      </c>
      <c r="DT15" s="63">
        <v>6.6436000000000002</v>
      </c>
      <c r="DU15" s="63">
        <v>6.6393399999999998</v>
      </c>
      <c r="DV15" s="63">
        <v>6.6347100000000001</v>
      </c>
      <c r="DW15" s="63">
        <v>6.6297300000000003</v>
      </c>
      <c r="DX15" s="63">
        <v>6.62439</v>
      </c>
      <c r="DY15" s="63">
        <v>6.6186999999999996</v>
      </c>
      <c r="DZ15" s="63">
        <v>6.6126500000000004</v>
      </c>
      <c r="EA15" s="63">
        <v>6.6062399999999997</v>
      </c>
      <c r="EB15" s="63">
        <v>6.5994700000000002</v>
      </c>
      <c r="EC15" s="63">
        <v>6.5923499999999997</v>
      </c>
      <c r="ED15" s="63">
        <v>6.5848500000000003</v>
      </c>
      <c r="EE15" s="63">
        <v>6.5768599999999999</v>
      </c>
      <c r="EF15" s="63">
        <v>6.5669899999999997</v>
      </c>
      <c r="EG15" s="63">
        <v>6.5215100000000001</v>
      </c>
      <c r="EH15" s="63">
        <v>6.4605699999999997</v>
      </c>
      <c r="EI15" s="63">
        <v>6.3962899999999996</v>
      </c>
      <c r="EJ15" s="63">
        <v>6.3287599999999999</v>
      </c>
      <c r="EK15" s="63">
        <v>6.2577199999999999</v>
      </c>
      <c r="EL15" s="63">
        <v>6.1835599999999999</v>
      </c>
      <c r="EM15" s="63">
        <v>6.10588</v>
      </c>
      <c r="EN15" s="63">
        <v>6.0243200000000003</v>
      </c>
      <c r="EO15" s="63">
        <v>5.93912</v>
      </c>
      <c r="EP15" s="63">
        <v>5.8500300000000003</v>
      </c>
      <c r="EQ15" s="63">
        <v>5.7562499999999996</v>
      </c>
      <c r="ER15" s="63">
        <v>5.6590800000000003</v>
      </c>
      <c r="ES15" s="63">
        <v>5.5818599999999998</v>
      </c>
      <c r="ET15" s="63">
        <v>5.56623</v>
      </c>
      <c r="EU15" s="63">
        <v>5.5522799999999997</v>
      </c>
      <c r="EV15" s="63">
        <v>5.5380399999999996</v>
      </c>
      <c r="EW15" s="63">
        <v>5.5234500000000004</v>
      </c>
      <c r="EX15" s="63">
        <v>5.5084799999999996</v>
      </c>
      <c r="EY15" s="63">
        <v>5.4931400000000004</v>
      </c>
      <c r="EZ15" s="63">
        <v>5.47743</v>
      </c>
      <c r="FA15" s="63">
        <v>5.4613500000000004</v>
      </c>
      <c r="FB15" s="63">
        <v>5.4449100000000001</v>
      </c>
      <c r="FC15" s="63">
        <v>5.4280900000000001</v>
      </c>
      <c r="FD15" s="63">
        <v>5.4108900000000002</v>
      </c>
      <c r="FE15" s="63">
        <v>5.3933099999999996</v>
      </c>
      <c r="FF15" s="63">
        <v>5.375</v>
      </c>
      <c r="FG15" s="64">
        <f t="shared" si="72"/>
        <v>10</v>
      </c>
      <c r="FH15" s="1"/>
      <c r="FI15" s="75">
        <f>IF(ISNUMBER(MATCH(FJ15,$FP$8:$FP$13,0)),MAX(FI$7:FI14)+1,0)</f>
        <v>0</v>
      </c>
      <c r="FJ15" s="79">
        <f t="shared" si="84"/>
        <v>292</v>
      </c>
      <c r="FK15" s="82">
        <f t="shared" si="85"/>
        <v>295</v>
      </c>
      <c r="FL15" s="73">
        <f t="shared" si="94"/>
        <v>36.5</v>
      </c>
      <c r="FM15" s="1"/>
      <c r="FN15" s="16" t="str">
        <f t="shared" si="86"/>
        <v/>
      </c>
      <c r="FO15" s="30" t="str">
        <f t="shared" si="79"/>
        <v/>
      </c>
      <c r="FP15" s="73" t="str">
        <f t="shared" si="87"/>
        <v/>
      </c>
      <c r="FQ15" s="75" t="str">
        <f t="shared" si="80"/>
        <v/>
      </c>
      <c r="FR15" s="2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ht="5.45" customHeight="1" x14ac:dyDescent="0.25">
      <c r="A16" s="3">
        <f t="shared" si="73"/>
        <v>11</v>
      </c>
      <c r="B16" s="10">
        <v>11</v>
      </c>
      <c r="C16" s="10">
        <v>0</v>
      </c>
      <c r="D16" s="10">
        <f t="shared" si="67"/>
        <v>0</v>
      </c>
      <c r="E16" s="10">
        <f t="shared" si="74"/>
        <v>500</v>
      </c>
      <c r="F16" s="10">
        <v>0</v>
      </c>
      <c r="G16" s="27" t="s">
        <v>45</v>
      </c>
      <c r="H16" s="11" t="str">
        <f t="shared" si="63"/>
        <v>1,12</v>
      </c>
      <c r="I16" s="1"/>
      <c r="J16" s="16">
        <f t="shared" si="68"/>
        <v>11</v>
      </c>
      <c r="K16" s="12">
        <f t="shared" ref="K16:AP16" si="107">IF(ISNUMBER(MATCH(K50,$H$35:$H$49,0)),$D$2,IF(ISNUMBER(MATCH(K50,$H$55:$H$62,0)),$E$2,IF(ISNUMBER(MATCH(K50,$H$6:$H$34,0)),$C$2,$B$2)))</f>
        <v>1</v>
      </c>
      <c r="L16" s="12" t="str">
        <f t="shared" si="107"/>
        <v>-</v>
      </c>
      <c r="M16" s="12" t="str">
        <f t="shared" si="107"/>
        <v>-</v>
      </c>
      <c r="N16" s="12" t="str">
        <f t="shared" si="107"/>
        <v>-</v>
      </c>
      <c r="O16" s="12" t="str">
        <f t="shared" si="107"/>
        <v>-</v>
      </c>
      <c r="P16" s="12" t="str">
        <f t="shared" si="107"/>
        <v>-</v>
      </c>
      <c r="Q16" s="12" t="str">
        <f t="shared" si="107"/>
        <v>-</v>
      </c>
      <c r="R16" s="12" t="str">
        <f t="shared" si="107"/>
        <v>-</v>
      </c>
      <c r="S16" s="12" t="str">
        <f t="shared" si="107"/>
        <v>-</v>
      </c>
      <c r="T16" s="12" t="str">
        <f t="shared" si="107"/>
        <v>-</v>
      </c>
      <c r="U16" s="12" t="str">
        <f t="shared" si="107"/>
        <v>-</v>
      </c>
      <c r="V16" s="12" t="str">
        <f t="shared" si="107"/>
        <v>-</v>
      </c>
      <c r="W16" s="12" t="str">
        <f t="shared" si="107"/>
        <v>-</v>
      </c>
      <c r="X16" s="12" t="str">
        <f t="shared" si="107"/>
        <v>-</v>
      </c>
      <c r="Y16" s="12" t="str">
        <f t="shared" si="107"/>
        <v>-</v>
      </c>
      <c r="Z16" s="12" t="str">
        <f t="shared" si="107"/>
        <v>-</v>
      </c>
      <c r="AA16" s="12" t="str">
        <f t="shared" si="107"/>
        <v>-</v>
      </c>
      <c r="AB16" s="12" t="str">
        <f t="shared" si="107"/>
        <v>-</v>
      </c>
      <c r="AC16" s="12" t="str">
        <f t="shared" si="107"/>
        <v>-</v>
      </c>
      <c r="AD16" s="12" t="str">
        <f t="shared" si="107"/>
        <v>-</v>
      </c>
      <c r="AE16" s="12" t="str">
        <f t="shared" si="107"/>
        <v>-</v>
      </c>
      <c r="AF16" s="12" t="str">
        <f t="shared" si="107"/>
        <v>-</v>
      </c>
      <c r="AG16" s="12" t="str">
        <f t="shared" si="107"/>
        <v>-</v>
      </c>
      <c r="AH16" s="12" t="str">
        <f t="shared" si="107"/>
        <v>-</v>
      </c>
      <c r="AI16" s="12" t="str">
        <f t="shared" si="107"/>
        <v>-</v>
      </c>
      <c r="AJ16" s="12" t="str">
        <f t="shared" si="107"/>
        <v>-</v>
      </c>
      <c r="AK16" s="12" t="str">
        <f t="shared" si="107"/>
        <v>-</v>
      </c>
      <c r="AL16" s="12" t="str">
        <f t="shared" si="107"/>
        <v>-</v>
      </c>
      <c r="AM16" s="12" t="str">
        <f t="shared" si="107"/>
        <v>-</v>
      </c>
      <c r="AN16" s="12" t="str">
        <f t="shared" si="107"/>
        <v>-</v>
      </c>
      <c r="AO16" s="12" t="str">
        <f t="shared" si="107"/>
        <v>-</v>
      </c>
      <c r="AP16" s="12" t="str">
        <f t="shared" si="107"/>
        <v>-</v>
      </c>
      <c r="AQ16" s="12" t="str">
        <f t="shared" ref="AQ16:BV16" si="108">IF(ISNUMBER(MATCH(AQ50,$H$35:$H$49,0)),$D$2,IF(ISNUMBER(MATCH(AQ50,$H$55:$H$62,0)),$E$2,IF(ISNUMBER(MATCH(AQ50,$H$6:$H$34,0)),$C$2,$B$2)))</f>
        <v>-</v>
      </c>
      <c r="AR16" s="12" t="str">
        <f t="shared" si="108"/>
        <v>-</v>
      </c>
      <c r="AS16" s="12" t="str">
        <f t="shared" si="108"/>
        <v>-</v>
      </c>
      <c r="AT16" s="12" t="str">
        <f t="shared" si="108"/>
        <v>-</v>
      </c>
      <c r="AU16" s="12" t="str">
        <f t="shared" si="108"/>
        <v>-</v>
      </c>
      <c r="AV16" s="12" t="str">
        <f t="shared" si="108"/>
        <v>-</v>
      </c>
      <c r="AW16" s="12" t="str">
        <f t="shared" si="108"/>
        <v>-</v>
      </c>
      <c r="AX16" s="12" t="str">
        <f t="shared" si="108"/>
        <v>-</v>
      </c>
      <c r="AY16" s="12" t="str">
        <f t="shared" si="108"/>
        <v>-</v>
      </c>
      <c r="AZ16" s="12" t="str">
        <f t="shared" si="108"/>
        <v>-</v>
      </c>
      <c r="BA16" s="12" t="str">
        <f t="shared" si="108"/>
        <v>-</v>
      </c>
      <c r="BB16" s="12" t="str">
        <f t="shared" si="108"/>
        <v>-</v>
      </c>
      <c r="BC16" s="12" t="str">
        <f t="shared" si="108"/>
        <v>-</v>
      </c>
      <c r="BD16" s="12" t="str">
        <f t="shared" si="108"/>
        <v>-</v>
      </c>
      <c r="BE16" s="12" t="str">
        <f t="shared" si="108"/>
        <v>-</v>
      </c>
      <c r="BF16" s="12" t="str">
        <f t="shared" si="108"/>
        <v>-</v>
      </c>
      <c r="BG16" s="12" t="str">
        <f t="shared" si="108"/>
        <v>-</v>
      </c>
      <c r="BH16" s="12" t="str">
        <f t="shared" si="108"/>
        <v>-</v>
      </c>
      <c r="BI16" s="12" t="str">
        <f t="shared" si="108"/>
        <v>-</v>
      </c>
      <c r="BJ16" s="12" t="str">
        <f t="shared" si="108"/>
        <v>-</v>
      </c>
      <c r="BK16" s="12" t="str">
        <f t="shared" si="108"/>
        <v>-</v>
      </c>
      <c r="BL16" s="12" t="str">
        <f t="shared" si="108"/>
        <v>-</v>
      </c>
      <c r="BM16" s="12" t="str">
        <f t="shared" si="108"/>
        <v>-</v>
      </c>
      <c r="BN16" s="12" t="str">
        <f t="shared" si="108"/>
        <v>-</v>
      </c>
      <c r="BO16" s="12" t="str">
        <f t="shared" si="108"/>
        <v>-</v>
      </c>
      <c r="BP16" s="12" t="str">
        <f t="shared" si="108"/>
        <v>-</v>
      </c>
      <c r="BQ16" s="12" t="str">
        <f t="shared" si="108"/>
        <v>-</v>
      </c>
      <c r="BR16" s="12" t="str">
        <f t="shared" si="108"/>
        <v>-</v>
      </c>
      <c r="BS16" s="12" t="str">
        <f t="shared" si="108"/>
        <v>-</v>
      </c>
      <c r="BT16" s="12" t="str">
        <f t="shared" si="108"/>
        <v>-</v>
      </c>
      <c r="BU16" s="12" t="str">
        <f t="shared" si="108"/>
        <v>-</v>
      </c>
      <c r="BV16" s="12" t="str">
        <f t="shared" si="108"/>
        <v>-</v>
      </c>
      <c r="BW16" s="12" t="str">
        <f t="shared" ref="BW16:DF16" si="109">IF(ISNUMBER(MATCH(BW50,$H$35:$H$49,0)),$D$2,IF(ISNUMBER(MATCH(BW50,$H$55:$H$62,0)),$E$2,IF(ISNUMBER(MATCH(BW50,$H$6:$H$34,0)),$C$2,$B$2)))</f>
        <v>-</v>
      </c>
      <c r="BX16" s="12" t="str">
        <f t="shared" si="109"/>
        <v>-</v>
      </c>
      <c r="BY16" s="12" t="str">
        <f t="shared" si="109"/>
        <v>-</v>
      </c>
      <c r="BZ16" s="12" t="str">
        <f t="shared" si="109"/>
        <v>-</v>
      </c>
      <c r="CA16" s="12" t="str">
        <f t="shared" si="109"/>
        <v>-</v>
      </c>
      <c r="CB16" s="12" t="str">
        <f t="shared" si="109"/>
        <v>-</v>
      </c>
      <c r="CC16" s="12" t="str">
        <f t="shared" si="109"/>
        <v>-</v>
      </c>
      <c r="CD16" s="12" t="str">
        <f t="shared" si="109"/>
        <v>-</v>
      </c>
      <c r="CE16" s="12" t="str">
        <f t="shared" si="109"/>
        <v>-</v>
      </c>
      <c r="CF16" s="12" t="str">
        <f t="shared" si="109"/>
        <v>-</v>
      </c>
      <c r="CG16" s="12" t="str">
        <f t="shared" si="109"/>
        <v>-</v>
      </c>
      <c r="CH16" s="12" t="str">
        <f t="shared" si="109"/>
        <v>-</v>
      </c>
      <c r="CI16" s="12" t="str">
        <f t="shared" si="109"/>
        <v>-</v>
      </c>
      <c r="CJ16" s="12" t="str">
        <f t="shared" si="109"/>
        <v>-</v>
      </c>
      <c r="CK16" s="12" t="str">
        <f t="shared" si="109"/>
        <v>-</v>
      </c>
      <c r="CL16" s="12" t="str">
        <f t="shared" si="109"/>
        <v>-</v>
      </c>
      <c r="CM16" s="12" t="str">
        <f t="shared" si="109"/>
        <v>-</v>
      </c>
      <c r="CN16" s="12" t="str">
        <f t="shared" si="109"/>
        <v>-</v>
      </c>
      <c r="CO16" s="12" t="str">
        <f t="shared" si="109"/>
        <v>-</v>
      </c>
      <c r="CP16" s="12" t="str">
        <f t="shared" si="109"/>
        <v>-</v>
      </c>
      <c r="CQ16" s="12" t="str">
        <f t="shared" si="109"/>
        <v>-</v>
      </c>
      <c r="CR16" s="12" t="str">
        <f t="shared" si="109"/>
        <v>-</v>
      </c>
      <c r="CS16" s="12" t="str">
        <f t="shared" si="109"/>
        <v>-</v>
      </c>
      <c r="CT16" s="12" t="str">
        <f t="shared" si="109"/>
        <v>-</v>
      </c>
      <c r="CU16" s="12" t="str">
        <f t="shared" si="109"/>
        <v>-</v>
      </c>
      <c r="CV16" s="12" t="str">
        <f t="shared" si="109"/>
        <v>-</v>
      </c>
      <c r="CW16" s="12" t="str">
        <f t="shared" si="109"/>
        <v>-</v>
      </c>
      <c r="CX16" s="12" t="str">
        <f t="shared" si="109"/>
        <v>-</v>
      </c>
      <c r="CY16" s="12" t="str">
        <f t="shared" si="109"/>
        <v>-</v>
      </c>
      <c r="CZ16" s="12" t="str">
        <f t="shared" si="109"/>
        <v>-</v>
      </c>
      <c r="DA16" s="12" t="str">
        <f t="shared" si="109"/>
        <v>-</v>
      </c>
      <c r="DB16" s="12" t="str">
        <f t="shared" si="109"/>
        <v>-</v>
      </c>
      <c r="DC16" s="12" t="str">
        <f t="shared" si="109"/>
        <v>-</v>
      </c>
      <c r="DD16" s="12" t="str">
        <f t="shared" si="109"/>
        <v>-</v>
      </c>
      <c r="DE16" s="12" t="str">
        <f t="shared" si="109"/>
        <v>-</v>
      </c>
      <c r="DF16" s="12" t="str">
        <f t="shared" si="109"/>
        <v>-</v>
      </c>
      <c r="DG16" s="16">
        <f t="shared" si="78"/>
        <v>11</v>
      </c>
      <c r="DH16" s="1"/>
      <c r="DI16" s="63">
        <v>6.6669099999999997</v>
      </c>
      <c r="DJ16" s="63">
        <v>6.6665599999999996</v>
      </c>
      <c r="DK16" s="63">
        <v>6.6658499999999998</v>
      </c>
      <c r="DL16" s="63">
        <v>6.6647800000000004</v>
      </c>
      <c r="DM16" s="63">
        <v>6.6633599999999999</v>
      </c>
      <c r="DN16" s="63">
        <v>6.6615799999999998</v>
      </c>
      <c r="DO16" s="63">
        <v>6.6594499999999996</v>
      </c>
      <c r="DP16" s="63">
        <v>6.6569599999999998</v>
      </c>
      <c r="DQ16" s="63">
        <v>6.6541199999999998</v>
      </c>
      <c r="DR16" s="63">
        <v>6.6509200000000002</v>
      </c>
      <c r="DS16" s="63">
        <v>6.6473699999999996</v>
      </c>
      <c r="DT16" s="63">
        <v>6.6434499999999996</v>
      </c>
      <c r="DU16" s="63">
        <v>6.6391900000000001</v>
      </c>
      <c r="DV16" s="63">
        <v>6.6345599999999996</v>
      </c>
      <c r="DW16" s="63">
        <v>6.6295799999999998</v>
      </c>
      <c r="DX16" s="63">
        <v>6.6242400000000004</v>
      </c>
      <c r="DY16" s="63">
        <v>6.6185499999999999</v>
      </c>
      <c r="DZ16" s="63">
        <v>6.6124999999999998</v>
      </c>
      <c r="EA16" s="63">
        <v>6.60609</v>
      </c>
      <c r="EB16" s="63">
        <v>6.5993199999999996</v>
      </c>
      <c r="EC16" s="63">
        <v>6.5922000000000001</v>
      </c>
      <c r="ED16" s="63">
        <v>6.5846999999999998</v>
      </c>
      <c r="EE16" s="63">
        <v>6.5767800000000003</v>
      </c>
      <c r="EF16" s="63">
        <v>6.5675699999999999</v>
      </c>
      <c r="EG16" s="63">
        <v>6.5216799999999999</v>
      </c>
      <c r="EH16" s="63">
        <v>6.4604600000000003</v>
      </c>
      <c r="EI16" s="63">
        <v>6.3961600000000001</v>
      </c>
      <c r="EJ16" s="63">
        <v>6.3286199999999999</v>
      </c>
      <c r="EK16" s="63">
        <v>6.2575900000000004</v>
      </c>
      <c r="EL16" s="63">
        <v>6.1834100000000003</v>
      </c>
      <c r="EM16" s="63">
        <v>6.1057199999999998</v>
      </c>
      <c r="EN16" s="63">
        <v>6.0241699999999998</v>
      </c>
      <c r="EO16" s="63">
        <v>5.9389500000000002</v>
      </c>
      <c r="EP16" s="63">
        <v>5.8498400000000004</v>
      </c>
      <c r="EQ16" s="63">
        <v>5.7560599999999997</v>
      </c>
      <c r="ER16" s="63">
        <v>5.6585700000000001</v>
      </c>
      <c r="ES16" s="63">
        <v>5.5808799999999996</v>
      </c>
      <c r="ET16" s="63">
        <v>5.5660299999999996</v>
      </c>
      <c r="EU16" s="63">
        <v>5.5521200000000004</v>
      </c>
      <c r="EV16" s="63">
        <v>5.53789</v>
      </c>
      <c r="EW16" s="63">
        <v>5.5232900000000003</v>
      </c>
      <c r="EX16" s="63">
        <v>5.5083200000000003</v>
      </c>
      <c r="EY16" s="63">
        <v>5.4929800000000002</v>
      </c>
      <c r="EZ16" s="63">
        <v>5.4772800000000004</v>
      </c>
      <c r="FA16" s="63">
        <v>5.4611999999999998</v>
      </c>
      <c r="FB16" s="63">
        <v>5.44475</v>
      </c>
      <c r="FC16" s="63">
        <v>5.4279299999999999</v>
      </c>
      <c r="FD16" s="63">
        <v>5.4107399999999997</v>
      </c>
      <c r="FE16" s="63">
        <v>5.39316</v>
      </c>
      <c r="FF16" s="63">
        <v>5.375</v>
      </c>
      <c r="FG16" s="64">
        <f t="shared" si="72"/>
        <v>11</v>
      </c>
      <c r="FH16" s="1"/>
      <c r="FI16" s="75">
        <f>IF(ISNUMBER(MATCH(FJ16,$FP$8:$FP$13,0)),MAX(FI$7:FI15)+1,0)</f>
        <v>0</v>
      </c>
      <c r="FJ16" s="79">
        <f t="shared" si="84"/>
        <v>328.5</v>
      </c>
      <c r="FK16" s="82">
        <f t="shared" si="85"/>
        <v>332</v>
      </c>
      <c r="FL16" s="73">
        <f t="shared" si="94"/>
        <v>36.5</v>
      </c>
      <c r="FM16" s="1"/>
      <c r="FN16" s="16" t="str">
        <f t="shared" si="86"/>
        <v/>
      </c>
      <c r="FO16" s="30" t="str">
        <f t="shared" si="79"/>
        <v/>
      </c>
      <c r="FP16" s="73" t="str">
        <f t="shared" si="87"/>
        <v/>
      </c>
      <c r="FQ16" s="75" t="str">
        <f t="shared" si="80"/>
        <v/>
      </c>
      <c r="FR16" s="2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ht="5.45" customHeight="1" x14ac:dyDescent="0.25">
      <c r="A17" s="3">
        <f t="shared" si="73"/>
        <v>12</v>
      </c>
      <c r="B17" s="10">
        <v>12</v>
      </c>
      <c r="C17" s="10">
        <v>0</v>
      </c>
      <c r="D17" s="10">
        <f t="shared" si="67"/>
        <v>0</v>
      </c>
      <c r="E17" s="10">
        <f t="shared" si="74"/>
        <v>500</v>
      </c>
      <c r="F17" s="10">
        <v>0</v>
      </c>
      <c r="G17" s="27" t="s">
        <v>45</v>
      </c>
      <c r="H17" s="11" t="str">
        <f t="shared" si="63"/>
        <v>1,13</v>
      </c>
      <c r="I17" s="1"/>
      <c r="J17" s="16">
        <f t="shared" si="68"/>
        <v>12</v>
      </c>
      <c r="K17" s="12">
        <f t="shared" ref="K17:AP17" si="110">IF(ISNUMBER(MATCH(K51,$H$35:$H$49,0)),$D$2,IF(ISNUMBER(MATCH(K51,$H$55:$H$62,0)),$E$2,IF(ISNUMBER(MATCH(K51,$H$6:$H$34,0)),$C$2,$B$2)))</f>
        <v>1</v>
      </c>
      <c r="L17" s="12" t="str">
        <f t="shared" si="110"/>
        <v>-</v>
      </c>
      <c r="M17" s="12" t="str">
        <f t="shared" si="110"/>
        <v>-</v>
      </c>
      <c r="N17" s="12" t="str">
        <f t="shared" si="110"/>
        <v>-</v>
      </c>
      <c r="O17" s="12" t="str">
        <f t="shared" si="110"/>
        <v>-</v>
      </c>
      <c r="P17" s="12" t="str">
        <f t="shared" si="110"/>
        <v>-</v>
      </c>
      <c r="Q17" s="12" t="str">
        <f t="shared" si="110"/>
        <v>-</v>
      </c>
      <c r="R17" s="12" t="str">
        <f t="shared" si="110"/>
        <v>-</v>
      </c>
      <c r="S17" s="12" t="str">
        <f t="shared" si="110"/>
        <v>-</v>
      </c>
      <c r="T17" s="12" t="str">
        <f t="shared" si="110"/>
        <v>-</v>
      </c>
      <c r="U17" s="12" t="str">
        <f t="shared" si="110"/>
        <v>-</v>
      </c>
      <c r="V17" s="12" t="str">
        <f t="shared" si="110"/>
        <v>-</v>
      </c>
      <c r="W17" s="12" t="str">
        <f t="shared" si="110"/>
        <v>-</v>
      </c>
      <c r="X17" s="12" t="str">
        <f t="shared" si="110"/>
        <v>-</v>
      </c>
      <c r="Y17" s="12" t="str">
        <f t="shared" si="110"/>
        <v>-</v>
      </c>
      <c r="Z17" s="12" t="str">
        <f t="shared" si="110"/>
        <v>-</v>
      </c>
      <c r="AA17" s="12" t="str">
        <f t="shared" si="110"/>
        <v>-</v>
      </c>
      <c r="AB17" s="12" t="str">
        <f t="shared" si="110"/>
        <v>-</v>
      </c>
      <c r="AC17" s="12" t="str">
        <f t="shared" si="110"/>
        <v>-</v>
      </c>
      <c r="AD17" s="12" t="str">
        <f t="shared" si="110"/>
        <v>-</v>
      </c>
      <c r="AE17" s="12" t="str">
        <f t="shared" si="110"/>
        <v>-</v>
      </c>
      <c r="AF17" s="12" t="str">
        <f t="shared" si="110"/>
        <v>-</v>
      </c>
      <c r="AG17" s="12" t="str">
        <f t="shared" si="110"/>
        <v>-</v>
      </c>
      <c r="AH17" s="12" t="str">
        <f t="shared" si="110"/>
        <v>-</v>
      </c>
      <c r="AI17" s="12" t="str">
        <f t="shared" si="110"/>
        <v>-</v>
      </c>
      <c r="AJ17" s="12" t="str">
        <f t="shared" si="110"/>
        <v>-</v>
      </c>
      <c r="AK17" s="12" t="str">
        <f t="shared" si="110"/>
        <v>-</v>
      </c>
      <c r="AL17" s="12" t="str">
        <f t="shared" si="110"/>
        <v>-</v>
      </c>
      <c r="AM17" s="12" t="str">
        <f t="shared" si="110"/>
        <v>-</v>
      </c>
      <c r="AN17" s="12" t="str">
        <f t="shared" si="110"/>
        <v>-</v>
      </c>
      <c r="AO17" s="12" t="str">
        <f t="shared" si="110"/>
        <v>-</v>
      </c>
      <c r="AP17" s="12" t="str">
        <f t="shared" si="110"/>
        <v>-</v>
      </c>
      <c r="AQ17" s="12" t="str">
        <f t="shared" ref="AQ17:BV17" si="111">IF(ISNUMBER(MATCH(AQ51,$H$35:$H$49,0)),$D$2,IF(ISNUMBER(MATCH(AQ51,$H$55:$H$62,0)),$E$2,IF(ISNUMBER(MATCH(AQ51,$H$6:$H$34,0)),$C$2,$B$2)))</f>
        <v>-</v>
      </c>
      <c r="AR17" s="12" t="str">
        <f t="shared" si="111"/>
        <v>-</v>
      </c>
      <c r="AS17" s="12" t="str">
        <f t="shared" si="111"/>
        <v>-</v>
      </c>
      <c r="AT17" s="12" t="str">
        <f t="shared" si="111"/>
        <v>-</v>
      </c>
      <c r="AU17" s="12" t="str">
        <f t="shared" si="111"/>
        <v>-</v>
      </c>
      <c r="AV17" s="12" t="str">
        <f t="shared" si="111"/>
        <v>-</v>
      </c>
      <c r="AW17" s="12" t="str">
        <f t="shared" si="111"/>
        <v>-</v>
      </c>
      <c r="AX17" s="12" t="str">
        <f t="shared" si="111"/>
        <v>-</v>
      </c>
      <c r="AY17" s="12" t="str">
        <f t="shared" si="111"/>
        <v>-</v>
      </c>
      <c r="AZ17" s="12" t="str">
        <f t="shared" si="111"/>
        <v>-</v>
      </c>
      <c r="BA17" s="12" t="str">
        <f t="shared" si="111"/>
        <v>-</v>
      </c>
      <c r="BB17" s="12" t="str">
        <f t="shared" si="111"/>
        <v>-</v>
      </c>
      <c r="BC17" s="12" t="str">
        <f t="shared" si="111"/>
        <v>-</v>
      </c>
      <c r="BD17" s="12" t="str">
        <f t="shared" si="111"/>
        <v>-</v>
      </c>
      <c r="BE17" s="12" t="str">
        <f t="shared" si="111"/>
        <v>-</v>
      </c>
      <c r="BF17" s="12" t="str">
        <f t="shared" si="111"/>
        <v>-</v>
      </c>
      <c r="BG17" s="12" t="str">
        <f t="shared" si="111"/>
        <v>-</v>
      </c>
      <c r="BH17" s="12" t="str">
        <f t="shared" si="111"/>
        <v>-</v>
      </c>
      <c r="BI17" s="12" t="str">
        <f t="shared" si="111"/>
        <v>-</v>
      </c>
      <c r="BJ17" s="12" t="str">
        <f t="shared" si="111"/>
        <v>-</v>
      </c>
      <c r="BK17" s="12" t="str">
        <f t="shared" si="111"/>
        <v>-</v>
      </c>
      <c r="BL17" s="12" t="str">
        <f t="shared" si="111"/>
        <v>-</v>
      </c>
      <c r="BM17" s="12" t="str">
        <f t="shared" si="111"/>
        <v>-</v>
      </c>
      <c r="BN17" s="12" t="str">
        <f t="shared" si="111"/>
        <v>-</v>
      </c>
      <c r="BO17" s="12" t="str">
        <f t="shared" si="111"/>
        <v>-</v>
      </c>
      <c r="BP17" s="12" t="str">
        <f t="shared" si="111"/>
        <v>-</v>
      </c>
      <c r="BQ17" s="12" t="str">
        <f t="shared" si="111"/>
        <v>-</v>
      </c>
      <c r="BR17" s="12" t="str">
        <f t="shared" si="111"/>
        <v>-</v>
      </c>
      <c r="BS17" s="12" t="str">
        <f t="shared" si="111"/>
        <v>-</v>
      </c>
      <c r="BT17" s="12" t="str">
        <f t="shared" si="111"/>
        <v>-</v>
      </c>
      <c r="BU17" s="12" t="str">
        <f t="shared" si="111"/>
        <v>-</v>
      </c>
      <c r="BV17" s="12" t="str">
        <f t="shared" si="111"/>
        <v>-</v>
      </c>
      <c r="BW17" s="12" t="str">
        <f t="shared" ref="BW17:DF17" si="112">IF(ISNUMBER(MATCH(BW51,$H$35:$H$49,0)),$D$2,IF(ISNUMBER(MATCH(BW51,$H$55:$H$62,0)),$E$2,IF(ISNUMBER(MATCH(BW51,$H$6:$H$34,0)),$C$2,$B$2)))</f>
        <v>-</v>
      </c>
      <c r="BX17" s="12" t="str">
        <f t="shared" si="112"/>
        <v>-</v>
      </c>
      <c r="BY17" s="12" t="str">
        <f t="shared" si="112"/>
        <v>-</v>
      </c>
      <c r="BZ17" s="12" t="str">
        <f t="shared" si="112"/>
        <v>-</v>
      </c>
      <c r="CA17" s="12" t="str">
        <f t="shared" si="112"/>
        <v>-</v>
      </c>
      <c r="CB17" s="12" t="str">
        <f t="shared" si="112"/>
        <v>-</v>
      </c>
      <c r="CC17" s="12" t="str">
        <f t="shared" si="112"/>
        <v>-</v>
      </c>
      <c r="CD17" s="12" t="str">
        <f t="shared" si="112"/>
        <v>-</v>
      </c>
      <c r="CE17" s="12" t="str">
        <f t="shared" si="112"/>
        <v>-</v>
      </c>
      <c r="CF17" s="12" t="str">
        <f t="shared" si="112"/>
        <v>-</v>
      </c>
      <c r="CG17" s="12" t="str">
        <f t="shared" si="112"/>
        <v>-</v>
      </c>
      <c r="CH17" s="12" t="str">
        <f t="shared" si="112"/>
        <v>-</v>
      </c>
      <c r="CI17" s="12" t="str">
        <f t="shared" si="112"/>
        <v>-</v>
      </c>
      <c r="CJ17" s="12" t="str">
        <f t="shared" si="112"/>
        <v>-</v>
      </c>
      <c r="CK17" s="12" t="str">
        <f t="shared" si="112"/>
        <v>-</v>
      </c>
      <c r="CL17" s="12" t="str">
        <f t="shared" si="112"/>
        <v>-</v>
      </c>
      <c r="CM17" s="12" t="str">
        <f t="shared" si="112"/>
        <v>-</v>
      </c>
      <c r="CN17" s="12" t="str">
        <f t="shared" si="112"/>
        <v>-</v>
      </c>
      <c r="CO17" s="12" t="str">
        <f t="shared" si="112"/>
        <v>-</v>
      </c>
      <c r="CP17" s="12" t="str">
        <f t="shared" si="112"/>
        <v>-</v>
      </c>
      <c r="CQ17" s="12" t="str">
        <f t="shared" si="112"/>
        <v>-</v>
      </c>
      <c r="CR17" s="12" t="str">
        <f t="shared" si="112"/>
        <v>-</v>
      </c>
      <c r="CS17" s="12" t="str">
        <f t="shared" si="112"/>
        <v>-</v>
      </c>
      <c r="CT17" s="12" t="str">
        <f t="shared" si="112"/>
        <v>-</v>
      </c>
      <c r="CU17" s="12" t="str">
        <f t="shared" si="112"/>
        <v>-</v>
      </c>
      <c r="CV17" s="12" t="str">
        <f t="shared" si="112"/>
        <v>-</v>
      </c>
      <c r="CW17" s="12" t="str">
        <f t="shared" si="112"/>
        <v>-</v>
      </c>
      <c r="CX17" s="12" t="str">
        <f t="shared" si="112"/>
        <v>-</v>
      </c>
      <c r="CY17" s="12" t="str">
        <f t="shared" si="112"/>
        <v>-</v>
      </c>
      <c r="CZ17" s="12" t="str">
        <f t="shared" si="112"/>
        <v>-</v>
      </c>
      <c r="DA17" s="12" t="str">
        <f t="shared" si="112"/>
        <v>-</v>
      </c>
      <c r="DB17" s="12" t="str">
        <f t="shared" si="112"/>
        <v>-</v>
      </c>
      <c r="DC17" s="12" t="str">
        <f t="shared" si="112"/>
        <v>-</v>
      </c>
      <c r="DD17" s="12" t="str">
        <f t="shared" si="112"/>
        <v>-</v>
      </c>
      <c r="DE17" s="12" t="str">
        <f t="shared" si="112"/>
        <v>-</v>
      </c>
      <c r="DF17" s="12" t="str">
        <f t="shared" si="112"/>
        <v>-</v>
      </c>
      <c r="DG17" s="16">
        <f t="shared" si="78"/>
        <v>12</v>
      </c>
      <c r="DH17" s="1"/>
      <c r="DI17" s="63">
        <v>6.66676</v>
      </c>
      <c r="DJ17" s="63">
        <v>6.6664099999999999</v>
      </c>
      <c r="DK17" s="63">
        <v>6.6657000000000002</v>
      </c>
      <c r="DL17" s="63">
        <v>6.6646299999999998</v>
      </c>
      <c r="DM17" s="63">
        <v>6.6632100000000003</v>
      </c>
      <c r="DN17" s="63">
        <v>6.6614300000000002</v>
      </c>
      <c r="DO17" s="63">
        <v>6.6593</v>
      </c>
      <c r="DP17" s="63">
        <v>6.6568100000000001</v>
      </c>
      <c r="DQ17" s="63">
        <v>6.6539700000000002</v>
      </c>
      <c r="DR17" s="63">
        <v>6.6507699999999996</v>
      </c>
      <c r="DS17" s="63">
        <v>6.6472199999999999</v>
      </c>
      <c r="DT17" s="63">
        <v>6.6433099999999996</v>
      </c>
      <c r="DU17" s="63">
        <v>6.6390399999999996</v>
      </c>
      <c r="DV17" s="63">
        <v>6.6344099999999999</v>
      </c>
      <c r="DW17" s="63">
        <v>6.6294300000000002</v>
      </c>
      <c r="DX17" s="63">
        <v>6.6240899999999998</v>
      </c>
      <c r="DY17" s="63">
        <v>6.6184000000000003</v>
      </c>
      <c r="DZ17" s="63">
        <v>6.6123500000000002</v>
      </c>
      <c r="EA17" s="63">
        <v>6.6059400000000004</v>
      </c>
      <c r="EB17" s="63">
        <v>6.59917</v>
      </c>
      <c r="EC17" s="63">
        <v>6.5920500000000004</v>
      </c>
      <c r="ED17" s="63">
        <v>6.5845599999999997</v>
      </c>
      <c r="EE17" s="63">
        <v>6.5766999999999998</v>
      </c>
      <c r="EF17" s="63">
        <v>6.5682499999999999</v>
      </c>
      <c r="EG17" s="63">
        <v>6.52189</v>
      </c>
      <c r="EH17" s="63">
        <v>6.4603599999999997</v>
      </c>
      <c r="EI17" s="63">
        <v>6.3960299999999997</v>
      </c>
      <c r="EJ17" s="63">
        <v>6.3284799999999999</v>
      </c>
      <c r="EK17" s="63">
        <v>6.25746</v>
      </c>
      <c r="EL17" s="63">
        <v>6.1832700000000003</v>
      </c>
      <c r="EM17" s="63">
        <v>6.1055700000000002</v>
      </c>
      <c r="EN17" s="63">
        <v>6.0240200000000002</v>
      </c>
      <c r="EO17" s="63">
        <v>5.93879</v>
      </c>
      <c r="EP17" s="63">
        <v>5.8496600000000001</v>
      </c>
      <c r="EQ17" s="63">
        <v>5.75589</v>
      </c>
      <c r="ER17" s="63">
        <v>5.65801</v>
      </c>
      <c r="ES17" s="63">
        <v>5.5797499999999998</v>
      </c>
      <c r="ET17" s="63">
        <v>5.5658399999999997</v>
      </c>
      <c r="EU17" s="63">
        <v>5.5519600000000002</v>
      </c>
      <c r="EV17" s="63">
        <v>5.5377299999999998</v>
      </c>
      <c r="EW17" s="63">
        <v>5.5231300000000001</v>
      </c>
      <c r="EX17" s="63">
        <v>5.5081699999999998</v>
      </c>
      <c r="EY17" s="63">
        <v>5.4928299999999997</v>
      </c>
      <c r="EZ17" s="63">
        <v>5.4771200000000002</v>
      </c>
      <c r="FA17" s="63">
        <v>5.4610399999999997</v>
      </c>
      <c r="FB17" s="63">
        <v>5.4445899999999998</v>
      </c>
      <c r="FC17" s="63">
        <v>5.4277699999999998</v>
      </c>
      <c r="FD17" s="63">
        <v>5.4105800000000004</v>
      </c>
      <c r="FE17" s="63">
        <v>5.3930100000000003</v>
      </c>
      <c r="FF17" s="63">
        <v>5.375</v>
      </c>
      <c r="FG17" s="64">
        <f t="shared" si="72"/>
        <v>12</v>
      </c>
      <c r="FH17" s="1"/>
      <c r="FI17" s="75">
        <f>IF(ISNUMBER(MATCH(FJ17,$FP$8:$FP$13,0)),MAX(FI$7:FI16)+1,0)</f>
        <v>1</v>
      </c>
      <c r="FJ17" s="79">
        <f t="shared" si="84"/>
        <v>365</v>
      </c>
      <c r="FK17" s="82">
        <f t="shared" si="85"/>
        <v>369</v>
      </c>
      <c r="FL17" s="73">
        <f t="shared" si="94"/>
        <v>36.5</v>
      </c>
      <c r="FM17" s="1"/>
      <c r="FN17" s="16" t="str">
        <f t="shared" si="86"/>
        <v/>
      </c>
      <c r="FO17" s="30" t="str">
        <f t="shared" si="79"/>
        <v/>
      </c>
      <c r="FP17" s="73" t="str">
        <f t="shared" si="87"/>
        <v/>
      </c>
      <c r="FQ17" s="75" t="str">
        <f t="shared" si="80"/>
        <v/>
      </c>
      <c r="FR17" s="2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ht="5.45" customHeight="1" x14ac:dyDescent="0.25">
      <c r="A18" s="3">
        <f t="shared" si="73"/>
        <v>13</v>
      </c>
      <c r="B18" s="10">
        <v>13</v>
      </c>
      <c r="C18" s="10">
        <v>0</v>
      </c>
      <c r="D18" s="10">
        <f t="shared" si="67"/>
        <v>0</v>
      </c>
      <c r="E18" s="10">
        <f t="shared" si="74"/>
        <v>500</v>
      </c>
      <c r="F18" s="10">
        <v>0</v>
      </c>
      <c r="G18" s="27" t="s">
        <v>45</v>
      </c>
      <c r="H18" s="11" t="str">
        <f t="shared" si="63"/>
        <v>1,14</v>
      </c>
      <c r="I18" s="1"/>
      <c r="J18" s="16">
        <f t="shared" si="68"/>
        <v>13</v>
      </c>
      <c r="K18" s="12">
        <f t="shared" ref="K18:AP18" si="113">IF(ISNUMBER(MATCH(K52,$H$35:$H$49,0)),$D$2,IF(ISNUMBER(MATCH(K52,$H$55:$H$62,0)),$E$2,IF(ISNUMBER(MATCH(K52,$H$6:$H$34,0)),$C$2,$B$2)))</f>
        <v>1</v>
      </c>
      <c r="L18" s="12" t="str">
        <f t="shared" si="113"/>
        <v>-</v>
      </c>
      <c r="M18" s="12" t="str">
        <f t="shared" si="113"/>
        <v>-</v>
      </c>
      <c r="N18" s="12" t="str">
        <f t="shared" si="113"/>
        <v>-</v>
      </c>
      <c r="O18" s="12" t="str">
        <f t="shared" si="113"/>
        <v>-</v>
      </c>
      <c r="P18" s="12" t="str">
        <f t="shared" si="113"/>
        <v>-</v>
      </c>
      <c r="Q18" s="12" t="str">
        <f t="shared" si="113"/>
        <v>-</v>
      </c>
      <c r="R18" s="12" t="str">
        <f t="shared" si="113"/>
        <v>-</v>
      </c>
      <c r="S18" s="12" t="str">
        <f t="shared" si="113"/>
        <v>-</v>
      </c>
      <c r="T18" s="12" t="str">
        <f t="shared" si="113"/>
        <v>-</v>
      </c>
      <c r="U18" s="12" t="str">
        <f t="shared" si="113"/>
        <v>-</v>
      </c>
      <c r="V18" s="12" t="str">
        <f t="shared" si="113"/>
        <v>-</v>
      </c>
      <c r="W18" s="12" t="str">
        <f t="shared" si="113"/>
        <v>-</v>
      </c>
      <c r="X18" s="12" t="str">
        <f t="shared" si="113"/>
        <v>-</v>
      </c>
      <c r="Y18" s="12" t="str">
        <f t="shared" si="113"/>
        <v>-</v>
      </c>
      <c r="Z18" s="12" t="str">
        <f t="shared" si="113"/>
        <v>-</v>
      </c>
      <c r="AA18" s="12" t="str">
        <f t="shared" si="113"/>
        <v>-</v>
      </c>
      <c r="AB18" s="12" t="str">
        <f t="shared" si="113"/>
        <v>-</v>
      </c>
      <c r="AC18" s="12" t="str">
        <f t="shared" si="113"/>
        <v>-</v>
      </c>
      <c r="AD18" s="12" t="str">
        <f t="shared" si="113"/>
        <v>-</v>
      </c>
      <c r="AE18" s="12" t="str">
        <f t="shared" si="113"/>
        <v>-</v>
      </c>
      <c r="AF18" s="12" t="str">
        <f t="shared" si="113"/>
        <v>-</v>
      </c>
      <c r="AG18" s="12" t="str">
        <f t="shared" si="113"/>
        <v>-</v>
      </c>
      <c r="AH18" s="12" t="str">
        <f t="shared" si="113"/>
        <v>-</v>
      </c>
      <c r="AI18" s="12" t="str">
        <f t="shared" si="113"/>
        <v>-</v>
      </c>
      <c r="AJ18" s="12" t="str">
        <f t="shared" si="113"/>
        <v>-</v>
      </c>
      <c r="AK18" s="12" t="str">
        <f t="shared" si="113"/>
        <v>-</v>
      </c>
      <c r="AL18" s="12" t="str">
        <f t="shared" si="113"/>
        <v>-</v>
      </c>
      <c r="AM18" s="12" t="str">
        <f t="shared" si="113"/>
        <v>-</v>
      </c>
      <c r="AN18" s="12" t="str">
        <f t="shared" si="113"/>
        <v>-</v>
      </c>
      <c r="AO18" s="12" t="str">
        <f t="shared" si="113"/>
        <v>-</v>
      </c>
      <c r="AP18" s="12" t="str">
        <f t="shared" si="113"/>
        <v>-</v>
      </c>
      <c r="AQ18" s="12" t="str">
        <f t="shared" ref="AQ18:BV18" si="114">IF(ISNUMBER(MATCH(AQ52,$H$35:$H$49,0)),$D$2,IF(ISNUMBER(MATCH(AQ52,$H$55:$H$62,0)),$E$2,IF(ISNUMBER(MATCH(AQ52,$H$6:$H$34,0)),$C$2,$B$2)))</f>
        <v>-</v>
      </c>
      <c r="AR18" s="12" t="str">
        <f t="shared" si="114"/>
        <v>-</v>
      </c>
      <c r="AS18" s="12" t="str">
        <f t="shared" si="114"/>
        <v>-</v>
      </c>
      <c r="AT18" s="12" t="str">
        <f t="shared" si="114"/>
        <v>-</v>
      </c>
      <c r="AU18" s="12" t="str">
        <f t="shared" si="114"/>
        <v>-</v>
      </c>
      <c r="AV18" s="12" t="str">
        <f t="shared" si="114"/>
        <v>-</v>
      </c>
      <c r="AW18" s="12" t="str">
        <f t="shared" si="114"/>
        <v>-</v>
      </c>
      <c r="AX18" s="12" t="str">
        <f t="shared" si="114"/>
        <v>-</v>
      </c>
      <c r="AY18" s="12" t="str">
        <f t="shared" si="114"/>
        <v>-</v>
      </c>
      <c r="AZ18" s="12" t="str">
        <f t="shared" si="114"/>
        <v>-</v>
      </c>
      <c r="BA18" s="12" t="str">
        <f t="shared" si="114"/>
        <v>-</v>
      </c>
      <c r="BB18" s="12" t="str">
        <f t="shared" si="114"/>
        <v>-</v>
      </c>
      <c r="BC18" s="12" t="str">
        <f t="shared" si="114"/>
        <v>-</v>
      </c>
      <c r="BD18" s="12" t="str">
        <f t="shared" si="114"/>
        <v>-</v>
      </c>
      <c r="BE18" s="12" t="str">
        <f t="shared" si="114"/>
        <v>-</v>
      </c>
      <c r="BF18" s="12" t="str">
        <f t="shared" si="114"/>
        <v>-</v>
      </c>
      <c r="BG18" s="12" t="str">
        <f t="shared" si="114"/>
        <v>-</v>
      </c>
      <c r="BH18" s="12" t="str">
        <f t="shared" si="114"/>
        <v>-</v>
      </c>
      <c r="BI18" s="12" t="str">
        <f t="shared" si="114"/>
        <v>-</v>
      </c>
      <c r="BJ18" s="12" t="str">
        <f t="shared" si="114"/>
        <v>-</v>
      </c>
      <c r="BK18" s="12" t="str">
        <f t="shared" si="114"/>
        <v>-</v>
      </c>
      <c r="BL18" s="12" t="str">
        <f t="shared" si="114"/>
        <v>-</v>
      </c>
      <c r="BM18" s="12" t="str">
        <f t="shared" si="114"/>
        <v>-</v>
      </c>
      <c r="BN18" s="12" t="str">
        <f t="shared" si="114"/>
        <v>-</v>
      </c>
      <c r="BO18" s="12" t="str">
        <f t="shared" si="114"/>
        <v>-</v>
      </c>
      <c r="BP18" s="12" t="str">
        <f t="shared" si="114"/>
        <v>-</v>
      </c>
      <c r="BQ18" s="12" t="str">
        <f t="shared" si="114"/>
        <v>-</v>
      </c>
      <c r="BR18" s="12" t="str">
        <f t="shared" si="114"/>
        <v>-</v>
      </c>
      <c r="BS18" s="12" t="str">
        <f t="shared" si="114"/>
        <v>-</v>
      </c>
      <c r="BT18" s="12" t="str">
        <f t="shared" si="114"/>
        <v>-</v>
      </c>
      <c r="BU18" s="12" t="str">
        <f t="shared" si="114"/>
        <v>-</v>
      </c>
      <c r="BV18" s="12" t="str">
        <f t="shared" si="114"/>
        <v>-</v>
      </c>
      <c r="BW18" s="12" t="str">
        <f t="shared" ref="BW18:DF18" si="115">IF(ISNUMBER(MATCH(BW52,$H$35:$H$49,0)),$D$2,IF(ISNUMBER(MATCH(BW52,$H$55:$H$62,0)),$E$2,IF(ISNUMBER(MATCH(BW52,$H$6:$H$34,0)),$C$2,$B$2)))</f>
        <v>-</v>
      </c>
      <c r="BX18" s="12" t="str">
        <f t="shared" si="115"/>
        <v>-</v>
      </c>
      <c r="BY18" s="12" t="str">
        <f t="shared" si="115"/>
        <v>-</v>
      </c>
      <c r="BZ18" s="12" t="str">
        <f t="shared" si="115"/>
        <v>-</v>
      </c>
      <c r="CA18" s="12" t="str">
        <f t="shared" si="115"/>
        <v>-</v>
      </c>
      <c r="CB18" s="12" t="str">
        <f t="shared" si="115"/>
        <v>-</v>
      </c>
      <c r="CC18" s="12" t="str">
        <f t="shared" si="115"/>
        <v>-</v>
      </c>
      <c r="CD18" s="12" t="str">
        <f t="shared" si="115"/>
        <v>-</v>
      </c>
      <c r="CE18" s="12" t="str">
        <f t="shared" si="115"/>
        <v>-</v>
      </c>
      <c r="CF18" s="12" t="str">
        <f t="shared" si="115"/>
        <v>-</v>
      </c>
      <c r="CG18" s="12" t="str">
        <f t="shared" si="115"/>
        <v>-</v>
      </c>
      <c r="CH18" s="12" t="str">
        <f t="shared" si="115"/>
        <v>-</v>
      </c>
      <c r="CI18" s="12" t="str">
        <f t="shared" si="115"/>
        <v>-</v>
      </c>
      <c r="CJ18" s="12" t="str">
        <f t="shared" si="115"/>
        <v>-</v>
      </c>
      <c r="CK18" s="12" t="str">
        <f t="shared" si="115"/>
        <v>-</v>
      </c>
      <c r="CL18" s="12" t="str">
        <f t="shared" si="115"/>
        <v>-</v>
      </c>
      <c r="CM18" s="12" t="str">
        <f t="shared" si="115"/>
        <v>-</v>
      </c>
      <c r="CN18" s="12" t="str">
        <f t="shared" si="115"/>
        <v>-</v>
      </c>
      <c r="CO18" s="12" t="str">
        <f t="shared" si="115"/>
        <v>-</v>
      </c>
      <c r="CP18" s="12" t="str">
        <f t="shared" si="115"/>
        <v>-</v>
      </c>
      <c r="CQ18" s="12" t="str">
        <f t="shared" si="115"/>
        <v>-</v>
      </c>
      <c r="CR18" s="12" t="str">
        <f t="shared" si="115"/>
        <v>-</v>
      </c>
      <c r="CS18" s="12" t="str">
        <f t="shared" si="115"/>
        <v>-</v>
      </c>
      <c r="CT18" s="12" t="str">
        <f t="shared" si="115"/>
        <v>-</v>
      </c>
      <c r="CU18" s="12" t="str">
        <f t="shared" si="115"/>
        <v>-</v>
      </c>
      <c r="CV18" s="12" t="str">
        <f t="shared" si="115"/>
        <v>-</v>
      </c>
      <c r="CW18" s="12" t="str">
        <f t="shared" si="115"/>
        <v>-</v>
      </c>
      <c r="CX18" s="12" t="str">
        <f t="shared" si="115"/>
        <v>-</v>
      </c>
      <c r="CY18" s="12" t="str">
        <f t="shared" si="115"/>
        <v>-</v>
      </c>
      <c r="CZ18" s="12" t="str">
        <f t="shared" si="115"/>
        <v>-</v>
      </c>
      <c r="DA18" s="12" t="str">
        <f t="shared" si="115"/>
        <v>-</v>
      </c>
      <c r="DB18" s="12" t="str">
        <f t="shared" si="115"/>
        <v>-</v>
      </c>
      <c r="DC18" s="12" t="str">
        <f t="shared" si="115"/>
        <v>-</v>
      </c>
      <c r="DD18" s="12" t="str">
        <f t="shared" si="115"/>
        <v>-</v>
      </c>
      <c r="DE18" s="12" t="str">
        <f t="shared" si="115"/>
        <v>-</v>
      </c>
      <c r="DF18" s="12" t="str">
        <f t="shared" si="115"/>
        <v>-</v>
      </c>
      <c r="DG18" s="16">
        <f t="shared" si="78"/>
        <v>13</v>
      </c>
      <c r="DH18" s="1"/>
      <c r="DI18" s="63">
        <v>6.6666800000000004</v>
      </c>
      <c r="DJ18" s="63">
        <v>6.6663300000000003</v>
      </c>
      <c r="DK18" s="63">
        <v>6.6656199999999997</v>
      </c>
      <c r="DL18" s="63">
        <v>6.6645500000000002</v>
      </c>
      <c r="DM18" s="63">
        <v>6.6631299999999998</v>
      </c>
      <c r="DN18" s="63">
        <v>6.6613600000000002</v>
      </c>
      <c r="DO18" s="63">
        <v>6.6592200000000004</v>
      </c>
      <c r="DP18" s="63">
        <v>6.6567400000000001</v>
      </c>
      <c r="DQ18" s="63">
        <v>6.6538899999999996</v>
      </c>
      <c r="DR18" s="63">
        <v>6.65069</v>
      </c>
      <c r="DS18" s="63">
        <v>6.6471400000000003</v>
      </c>
      <c r="DT18" s="63">
        <v>6.64323</v>
      </c>
      <c r="DU18" s="63">
        <v>6.63896</v>
      </c>
      <c r="DV18" s="63">
        <v>6.6343399999999999</v>
      </c>
      <c r="DW18" s="63">
        <v>6.6293499999999996</v>
      </c>
      <c r="DX18" s="63">
        <v>6.6240199999999998</v>
      </c>
      <c r="DY18" s="63">
        <v>6.6183199999999998</v>
      </c>
      <c r="DZ18" s="63">
        <v>6.6122699999999996</v>
      </c>
      <c r="EA18" s="63">
        <v>6.6058599999999998</v>
      </c>
      <c r="EB18" s="63">
        <v>6.5990900000000003</v>
      </c>
      <c r="EC18" s="63">
        <v>6.5919699999999999</v>
      </c>
      <c r="ED18" s="63">
        <v>6.5844899999999997</v>
      </c>
      <c r="EE18" s="63">
        <v>6.5766600000000004</v>
      </c>
      <c r="EF18" s="63">
        <v>6.5686600000000004</v>
      </c>
      <c r="EG18" s="63">
        <v>6.5221400000000003</v>
      </c>
      <c r="EH18" s="63">
        <v>6.4602700000000004</v>
      </c>
      <c r="EI18" s="63">
        <v>6.3959099999999998</v>
      </c>
      <c r="EJ18" s="63">
        <v>6.3283500000000004</v>
      </c>
      <c r="EK18" s="63">
        <v>6.2573400000000001</v>
      </c>
      <c r="EL18" s="63">
        <v>6.1831399999999999</v>
      </c>
      <c r="EM18" s="63">
        <v>6.1054300000000001</v>
      </c>
      <c r="EN18" s="63">
        <v>6.0238800000000001</v>
      </c>
      <c r="EO18" s="63">
        <v>5.9386400000000004</v>
      </c>
      <c r="EP18" s="63">
        <v>5.8494999999999999</v>
      </c>
      <c r="EQ18" s="63">
        <v>5.7557299999999998</v>
      </c>
      <c r="ER18" s="63">
        <v>5.6573900000000004</v>
      </c>
      <c r="ES18" s="63">
        <v>5.5790600000000001</v>
      </c>
      <c r="ET18" s="63">
        <v>5.5657300000000003</v>
      </c>
      <c r="EU18" s="63">
        <v>5.5518799999999997</v>
      </c>
      <c r="EV18" s="63">
        <v>5.5376500000000002</v>
      </c>
      <c r="EW18" s="63">
        <v>5.5230499999999996</v>
      </c>
      <c r="EX18" s="63">
        <v>5.5080900000000002</v>
      </c>
      <c r="EY18" s="63">
        <v>5.49275</v>
      </c>
      <c r="EZ18" s="63">
        <v>5.4770399999999997</v>
      </c>
      <c r="FA18" s="63">
        <v>5.46096</v>
      </c>
      <c r="FB18" s="63">
        <v>5.4445100000000002</v>
      </c>
      <c r="FC18" s="63">
        <v>5.4276900000000001</v>
      </c>
      <c r="FD18" s="63">
        <v>5.4104999999999999</v>
      </c>
      <c r="FE18" s="63">
        <v>5.3929400000000003</v>
      </c>
      <c r="FF18" s="63">
        <v>5.375</v>
      </c>
      <c r="FG18" s="64">
        <f t="shared" si="72"/>
        <v>13</v>
      </c>
      <c r="FH18" s="1"/>
      <c r="FI18" s="75">
        <f>IF(ISNUMBER(MATCH(FJ18,$FP$8:$FP$13,0)),MAX(FI$7:FI17)+1,0)</f>
        <v>0</v>
      </c>
      <c r="FJ18" s="79">
        <f t="shared" si="84"/>
        <v>401.5</v>
      </c>
      <c r="FK18" s="82">
        <f t="shared" si="85"/>
        <v>406</v>
      </c>
      <c r="FL18" s="73">
        <f t="shared" si="94"/>
        <v>36.5</v>
      </c>
      <c r="FM18" s="1"/>
      <c r="FN18" s="16" t="str">
        <f t="shared" si="86"/>
        <v/>
      </c>
      <c r="FO18" s="30" t="str">
        <f t="shared" si="79"/>
        <v/>
      </c>
      <c r="FP18" s="73" t="str">
        <f t="shared" si="87"/>
        <v/>
      </c>
      <c r="FQ18" s="75" t="str">
        <f t="shared" si="80"/>
        <v/>
      </c>
      <c r="FR18" s="2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ht="5.45" customHeight="1" x14ac:dyDescent="0.25">
      <c r="A19" s="3">
        <f t="shared" si="73"/>
        <v>14</v>
      </c>
      <c r="B19" s="10">
        <v>14</v>
      </c>
      <c r="C19" s="10">
        <v>0</v>
      </c>
      <c r="D19" s="10">
        <f t="shared" si="67"/>
        <v>0</v>
      </c>
      <c r="E19" s="10">
        <f t="shared" si="74"/>
        <v>500</v>
      </c>
      <c r="F19" s="10">
        <v>0</v>
      </c>
      <c r="G19" s="27" t="s">
        <v>45</v>
      </c>
      <c r="H19" s="11" t="str">
        <f t="shared" si="63"/>
        <v>1,15</v>
      </c>
      <c r="I19" s="1"/>
      <c r="J19" s="16">
        <f t="shared" si="68"/>
        <v>14</v>
      </c>
      <c r="K19" s="12">
        <f t="shared" ref="K19:AP19" si="116">IF(ISNUMBER(MATCH(K53,$H$35:$H$49,0)),$D$2,IF(ISNUMBER(MATCH(K53,$H$55:$H$62,0)),$E$2,IF(ISNUMBER(MATCH(K53,$H$6:$H$34,0)),$C$2,$B$2)))</f>
        <v>1</v>
      </c>
      <c r="L19" s="12" t="str">
        <f t="shared" si="116"/>
        <v>-</v>
      </c>
      <c r="M19" s="12" t="str">
        <f t="shared" si="116"/>
        <v>-</v>
      </c>
      <c r="N19" s="12" t="str">
        <f t="shared" si="116"/>
        <v>-</v>
      </c>
      <c r="O19" s="12" t="str">
        <f t="shared" si="116"/>
        <v>-</v>
      </c>
      <c r="P19" s="12" t="str">
        <f t="shared" si="116"/>
        <v>-</v>
      </c>
      <c r="Q19" s="12" t="str">
        <f t="shared" si="116"/>
        <v>-</v>
      </c>
      <c r="R19" s="12" t="str">
        <f t="shared" si="116"/>
        <v>-</v>
      </c>
      <c r="S19" s="12" t="str">
        <f t="shared" si="116"/>
        <v>-</v>
      </c>
      <c r="T19" s="12" t="str">
        <f t="shared" si="116"/>
        <v>-</v>
      </c>
      <c r="U19" s="12" t="str">
        <f t="shared" si="116"/>
        <v>-</v>
      </c>
      <c r="V19" s="12" t="str">
        <f t="shared" si="116"/>
        <v>-</v>
      </c>
      <c r="W19" s="12" t="str">
        <f t="shared" si="116"/>
        <v>-</v>
      </c>
      <c r="X19" s="12" t="str">
        <f t="shared" si="116"/>
        <v>-</v>
      </c>
      <c r="Y19" s="12" t="str">
        <f t="shared" si="116"/>
        <v>-</v>
      </c>
      <c r="Z19" s="12" t="str">
        <f t="shared" si="116"/>
        <v>-</v>
      </c>
      <c r="AA19" s="12" t="str">
        <f t="shared" si="116"/>
        <v>-</v>
      </c>
      <c r="AB19" s="12" t="str">
        <f t="shared" si="116"/>
        <v>-</v>
      </c>
      <c r="AC19" s="12" t="str">
        <f t="shared" si="116"/>
        <v>-</v>
      </c>
      <c r="AD19" s="12" t="str">
        <f t="shared" si="116"/>
        <v>-</v>
      </c>
      <c r="AE19" s="12" t="str">
        <f t="shared" si="116"/>
        <v>-</v>
      </c>
      <c r="AF19" s="12" t="str">
        <f t="shared" si="116"/>
        <v>-</v>
      </c>
      <c r="AG19" s="12" t="str">
        <f t="shared" si="116"/>
        <v>-</v>
      </c>
      <c r="AH19" s="12" t="str">
        <f t="shared" si="116"/>
        <v>-</v>
      </c>
      <c r="AI19" s="12" t="str">
        <f t="shared" si="116"/>
        <v>-</v>
      </c>
      <c r="AJ19" s="12" t="str">
        <f t="shared" si="116"/>
        <v>-</v>
      </c>
      <c r="AK19" s="12" t="str">
        <f t="shared" si="116"/>
        <v>-</v>
      </c>
      <c r="AL19" s="12" t="str">
        <f t="shared" si="116"/>
        <v>-</v>
      </c>
      <c r="AM19" s="12" t="str">
        <f t="shared" si="116"/>
        <v>-</v>
      </c>
      <c r="AN19" s="12" t="str">
        <f t="shared" si="116"/>
        <v>-</v>
      </c>
      <c r="AO19" s="12" t="str">
        <f t="shared" si="116"/>
        <v>-</v>
      </c>
      <c r="AP19" s="12" t="str">
        <f t="shared" si="116"/>
        <v>-</v>
      </c>
      <c r="AQ19" s="12" t="str">
        <f t="shared" ref="AQ19:BV19" si="117">IF(ISNUMBER(MATCH(AQ53,$H$35:$H$49,0)),$D$2,IF(ISNUMBER(MATCH(AQ53,$H$55:$H$62,0)),$E$2,IF(ISNUMBER(MATCH(AQ53,$H$6:$H$34,0)),$C$2,$B$2)))</f>
        <v>-</v>
      </c>
      <c r="AR19" s="12" t="str">
        <f t="shared" si="117"/>
        <v>-</v>
      </c>
      <c r="AS19" s="12" t="str">
        <f t="shared" si="117"/>
        <v>-</v>
      </c>
      <c r="AT19" s="12" t="str">
        <f t="shared" si="117"/>
        <v>-</v>
      </c>
      <c r="AU19" s="12" t="str">
        <f t="shared" si="117"/>
        <v>-</v>
      </c>
      <c r="AV19" s="12" t="str">
        <f t="shared" si="117"/>
        <v>-</v>
      </c>
      <c r="AW19" s="12" t="str">
        <f t="shared" si="117"/>
        <v>-</v>
      </c>
      <c r="AX19" s="12" t="str">
        <f t="shared" si="117"/>
        <v>-</v>
      </c>
      <c r="AY19" s="12" t="str">
        <f t="shared" si="117"/>
        <v>-</v>
      </c>
      <c r="AZ19" s="12" t="str">
        <f t="shared" si="117"/>
        <v>-</v>
      </c>
      <c r="BA19" s="12" t="str">
        <f t="shared" si="117"/>
        <v>-</v>
      </c>
      <c r="BB19" s="12" t="str">
        <f t="shared" si="117"/>
        <v>-</v>
      </c>
      <c r="BC19" s="12" t="str">
        <f t="shared" si="117"/>
        <v>-</v>
      </c>
      <c r="BD19" s="12" t="str">
        <f t="shared" si="117"/>
        <v>-</v>
      </c>
      <c r="BE19" s="12" t="str">
        <f t="shared" si="117"/>
        <v>-</v>
      </c>
      <c r="BF19" s="12" t="str">
        <f t="shared" si="117"/>
        <v>-</v>
      </c>
      <c r="BG19" s="12" t="str">
        <f t="shared" si="117"/>
        <v>-</v>
      </c>
      <c r="BH19" s="12" t="str">
        <f t="shared" si="117"/>
        <v>-</v>
      </c>
      <c r="BI19" s="12" t="str">
        <f t="shared" si="117"/>
        <v>-</v>
      </c>
      <c r="BJ19" s="12" t="str">
        <f t="shared" si="117"/>
        <v>-</v>
      </c>
      <c r="BK19" s="12" t="str">
        <f t="shared" si="117"/>
        <v>-</v>
      </c>
      <c r="BL19" s="12" t="str">
        <f t="shared" si="117"/>
        <v>-</v>
      </c>
      <c r="BM19" s="12" t="str">
        <f t="shared" si="117"/>
        <v>-</v>
      </c>
      <c r="BN19" s="12" t="str">
        <f t="shared" si="117"/>
        <v>-</v>
      </c>
      <c r="BO19" s="12" t="str">
        <f t="shared" si="117"/>
        <v>-</v>
      </c>
      <c r="BP19" s="12" t="str">
        <f t="shared" si="117"/>
        <v>-</v>
      </c>
      <c r="BQ19" s="12" t="str">
        <f t="shared" si="117"/>
        <v>-</v>
      </c>
      <c r="BR19" s="12" t="str">
        <f t="shared" si="117"/>
        <v>-</v>
      </c>
      <c r="BS19" s="12" t="str">
        <f t="shared" si="117"/>
        <v>-</v>
      </c>
      <c r="BT19" s="12" t="str">
        <f t="shared" si="117"/>
        <v>-</v>
      </c>
      <c r="BU19" s="12" t="str">
        <f t="shared" si="117"/>
        <v>-</v>
      </c>
      <c r="BV19" s="12" t="str">
        <f t="shared" si="117"/>
        <v>-</v>
      </c>
      <c r="BW19" s="12" t="str">
        <f t="shared" ref="BW19:DF19" si="118">IF(ISNUMBER(MATCH(BW53,$H$35:$H$49,0)),$D$2,IF(ISNUMBER(MATCH(BW53,$H$55:$H$62,0)),$E$2,IF(ISNUMBER(MATCH(BW53,$H$6:$H$34,0)),$C$2,$B$2)))</f>
        <v>-</v>
      </c>
      <c r="BX19" s="12" t="str">
        <f t="shared" si="118"/>
        <v>-</v>
      </c>
      <c r="BY19" s="12" t="str">
        <f t="shared" si="118"/>
        <v>-</v>
      </c>
      <c r="BZ19" s="12" t="str">
        <f t="shared" si="118"/>
        <v>-</v>
      </c>
      <c r="CA19" s="12" t="str">
        <f t="shared" si="118"/>
        <v>-</v>
      </c>
      <c r="CB19" s="12" t="str">
        <f t="shared" si="118"/>
        <v>-</v>
      </c>
      <c r="CC19" s="12" t="str">
        <f t="shared" si="118"/>
        <v>-</v>
      </c>
      <c r="CD19" s="12" t="str">
        <f t="shared" si="118"/>
        <v>-</v>
      </c>
      <c r="CE19" s="12" t="str">
        <f t="shared" si="118"/>
        <v>-</v>
      </c>
      <c r="CF19" s="12" t="str">
        <f t="shared" si="118"/>
        <v>-</v>
      </c>
      <c r="CG19" s="12" t="str">
        <f t="shared" si="118"/>
        <v>-</v>
      </c>
      <c r="CH19" s="12" t="str">
        <f t="shared" si="118"/>
        <v>-</v>
      </c>
      <c r="CI19" s="12" t="str">
        <f t="shared" si="118"/>
        <v>-</v>
      </c>
      <c r="CJ19" s="12" t="str">
        <f t="shared" si="118"/>
        <v>-</v>
      </c>
      <c r="CK19" s="12" t="str">
        <f t="shared" si="118"/>
        <v>-</v>
      </c>
      <c r="CL19" s="12" t="str">
        <f t="shared" si="118"/>
        <v>-</v>
      </c>
      <c r="CM19" s="12" t="str">
        <f t="shared" si="118"/>
        <v>-</v>
      </c>
      <c r="CN19" s="12" t="str">
        <f t="shared" si="118"/>
        <v>-</v>
      </c>
      <c r="CO19" s="12" t="str">
        <f t="shared" si="118"/>
        <v>-</v>
      </c>
      <c r="CP19" s="12" t="str">
        <f t="shared" si="118"/>
        <v>-</v>
      </c>
      <c r="CQ19" s="12" t="str">
        <f t="shared" si="118"/>
        <v>-</v>
      </c>
      <c r="CR19" s="12" t="str">
        <f t="shared" si="118"/>
        <v>-</v>
      </c>
      <c r="CS19" s="12" t="str">
        <f t="shared" si="118"/>
        <v>-</v>
      </c>
      <c r="CT19" s="12" t="str">
        <f t="shared" si="118"/>
        <v>-</v>
      </c>
      <c r="CU19" s="12" t="str">
        <f t="shared" si="118"/>
        <v>-</v>
      </c>
      <c r="CV19" s="12" t="str">
        <f t="shared" si="118"/>
        <v>-</v>
      </c>
      <c r="CW19" s="12" t="str">
        <f t="shared" si="118"/>
        <v>-</v>
      </c>
      <c r="CX19" s="12" t="str">
        <f t="shared" si="118"/>
        <v>-</v>
      </c>
      <c r="CY19" s="12" t="str">
        <f t="shared" si="118"/>
        <v>-</v>
      </c>
      <c r="CZ19" s="12" t="str">
        <f t="shared" si="118"/>
        <v>-</v>
      </c>
      <c r="DA19" s="12" t="str">
        <f t="shared" si="118"/>
        <v>-</v>
      </c>
      <c r="DB19" s="12" t="str">
        <f t="shared" si="118"/>
        <v>-</v>
      </c>
      <c r="DC19" s="12" t="str">
        <f t="shared" si="118"/>
        <v>-</v>
      </c>
      <c r="DD19" s="12" t="str">
        <f t="shared" si="118"/>
        <v>-</v>
      </c>
      <c r="DE19" s="12" t="str">
        <f t="shared" si="118"/>
        <v>-</v>
      </c>
      <c r="DF19" s="12" t="str">
        <f t="shared" si="118"/>
        <v>-</v>
      </c>
      <c r="DG19" s="16">
        <f t="shared" si="78"/>
        <v>14</v>
      </c>
      <c r="DH19" s="1"/>
      <c r="DI19" s="63">
        <v>6.6666800000000004</v>
      </c>
      <c r="DJ19" s="63">
        <v>6.6663199999999998</v>
      </c>
      <c r="DK19" s="63">
        <v>6.66561</v>
      </c>
      <c r="DL19" s="63">
        <v>6.6645500000000002</v>
      </c>
      <c r="DM19" s="63">
        <v>6.6631299999999998</v>
      </c>
      <c r="DN19" s="63">
        <v>6.6613499999999997</v>
      </c>
      <c r="DO19" s="63">
        <v>6.6592200000000004</v>
      </c>
      <c r="DP19" s="63">
        <v>6.6567299999999996</v>
      </c>
      <c r="DQ19" s="63">
        <v>6.6538899999999996</v>
      </c>
      <c r="DR19" s="63">
        <v>6.65069</v>
      </c>
      <c r="DS19" s="63">
        <v>6.6471299999999998</v>
      </c>
      <c r="DT19" s="63">
        <v>6.6432200000000003</v>
      </c>
      <c r="DU19" s="63">
        <v>6.6389500000000004</v>
      </c>
      <c r="DV19" s="63">
        <v>6.6343300000000003</v>
      </c>
      <c r="DW19" s="63">
        <v>6.6293499999999996</v>
      </c>
      <c r="DX19" s="63">
        <v>6.6240100000000002</v>
      </c>
      <c r="DY19" s="63">
        <v>6.6183100000000001</v>
      </c>
      <c r="DZ19" s="63">
        <v>6.61226</v>
      </c>
      <c r="EA19" s="63">
        <v>6.6058500000000002</v>
      </c>
      <c r="EB19" s="63">
        <v>6.5990900000000003</v>
      </c>
      <c r="EC19" s="63">
        <v>6.5919600000000003</v>
      </c>
      <c r="ED19" s="63">
        <v>6.5844800000000001</v>
      </c>
      <c r="EE19" s="63">
        <v>6.5766600000000004</v>
      </c>
      <c r="EF19" s="63">
        <v>6.5686900000000001</v>
      </c>
      <c r="EG19" s="63">
        <v>6.5223199999999997</v>
      </c>
      <c r="EH19" s="63">
        <v>6.4601800000000003</v>
      </c>
      <c r="EI19" s="63">
        <v>6.3958000000000004</v>
      </c>
      <c r="EJ19" s="63">
        <v>6.3282299999999996</v>
      </c>
      <c r="EK19" s="63">
        <v>6.2572200000000002</v>
      </c>
      <c r="EL19" s="63">
        <v>6.18302</v>
      </c>
      <c r="EM19" s="63">
        <v>6.1052999999999997</v>
      </c>
      <c r="EN19" s="63">
        <v>6.0237499999999997</v>
      </c>
      <c r="EO19" s="63">
        <v>5.93851</v>
      </c>
      <c r="EP19" s="63">
        <v>5.8493399999999998</v>
      </c>
      <c r="EQ19" s="63">
        <v>5.7555800000000001</v>
      </c>
      <c r="ER19" s="63">
        <v>5.6569099999999999</v>
      </c>
      <c r="ES19" s="63">
        <v>5.5790100000000002</v>
      </c>
      <c r="ET19" s="63">
        <v>5.5657199999999998</v>
      </c>
      <c r="EU19" s="63">
        <v>5.5518700000000001</v>
      </c>
      <c r="EV19" s="63">
        <v>5.5376399999999997</v>
      </c>
      <c r="EW19" s="63">
        <v>5.5230499999999996</v>
      </c>
      <c r="EX19" s="63">
        <v>5.5080799999999996</v>
      </c>
      <c r="EY19" s="63">
        <v>5.4927400000000004</v>
      </c>
      <c r="EZ19" s="63">
        <v>5.4770300000000001</v>
      </c>
      <c r="FA19" s="63">
        <v>5.4609500000000004</v>
      </c>
      <c r="FB19" s="63">
        <v>5.4445100000000002</v>
      </c>
      <c r="FC19" s="63">
        <v>5.4276799999999996</v>
      </c>
      <c r="FD19" s="63">
        <v>5.4104900000000002</v>
      </c>
      <c r="FE19" s="63">
        <v>5.3929299999999998</v>
      </c>
      <c r="FF19" s="63">
        <v>5.375</v>
      </c>
      <c r="FG19" s="64">
        <f t="shared" si="72"/>
        <v>14</v>
      </c>
      <c r="FH19" s="1"/>
      <c r="FI19" s="75">
        <f>IF(ISNUMBER(MATCH(FJ19,$FP$8:$FP$13,0)),MAX(FI$7:FI18)+1,0)</f>
        <v>0</v>
      </c>
      <c r="FJ19" s="79">
        <f t="shared" si="84"/>
        <v>438</v>
      </c>
      <c r="FK19" s="82">
        <f t="shared" si="85"/>
        <v>443</v>
      </c>
      <c r="FL19" s="73">
        <f t="shared" si="94"/>
        <v>36.5</v>
      </c>
      <c r="FM19" s="1"/>
      <c r="FN19" s="16" t="str">
        <f t="shared" si="86"/>
        <v/>
      </c>
      <c r="FO19" s="30" t="str">
        <f t="shared" si="79"/>
        <v/>
      </c>
      <c r="FP19" s="73" t="str">
        <f t="shared" si="87"/>
        <v/>
      </c>
      <c r="FQ19" s="75" t="str">
        <f t="shared" si="80"/>
        <v/>
      </c>
      <c r="FR19" s="2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spans="1:256" ht="5.45" customHeight="1" x14ac:dyDescent="0.25">
      <c r="A20" s="3">
        <f t="shared" si="73"/>
        <v>15</v>
      </c>
      <c r="B20" s="10">
        <v>15</v>
      </c>
      <c r="C20" s="10">
        <v>0</v>
      </c>
      <c r="D20" s="10">
        <f t="shared" si="67"/>
        <v>0</v>
      </c>
      <c r="E20" s="10">
        <f t="shared" si="74"/>
        <v>500</v>
      </c>
      <c r="F20" s="10">
        <v>0</v>
      </c>
      <c r="G20" s="27" t="s">
        <v>45</v>
      </c>
      <c r="H20" s="11" t="str">
        <f t="shared" si="63"/>
        <v>1,16</v>
      </c>
      <c r="I20" s="1"/>
      <c r="J20" s="16">
        <f t="shared" si="68"/>
        <v>15</v>
      </c>
      <c r="K20" s="12">
        <f t="shared" ref="K20:AP20" si="119">IF(ISNUMBER(MATCH(K54,$H$35:$H$49,0)),$D$2,IF(ISNUMBER(MATCH(K54,$H$55:$H$62,0)),$E$2,IF(ISNUMBER(MATCH(K54,$H$6:$H$34,0)),$C$2,$B$2)))</f>
        <v>1</v>
      </c>
      <c r="L20" s="12" t="str">
        <f t="shared" si="119"/>
        <v>-</v>
      </c>
      <c r="M20" s="12" t="str">
        <f t="shared" si="119"/>
        <v>-</v>
      </c>
      <c r="N20" s="12" t="str">
        <f t="shared" si="119"/>
        <v>-</v>
      </c>
      <c r="O20" s="12" t="str">
        <f t="shared" si="119"/>
        <v>-</v>
      </c>
      <c r="P20" s="12" t="str">
        <f t="shared" si="119"/>
        <v>-</v>
      </c>
      <c r="Q20" s="12" t="str">
        <f t="shared" si="119"/>
        <v>-</v>
      </c>
      <c r="R20" s="12" t="str">
        <f t="shared" si="119"/>
        <v>-</v>
      </c>
      <c r="S20" s="12" t="str">
        <f t="shared" si="119"/>
        <v>-</v>
      </c>
      <c r="T20" s="12" t="str">
        <f t="shared" si="119"/>
        <v>-</v>
      </c>
      <c r="U20" s="12" t="str">
        <f t="shared" si="119"/>
        <v>-</v>
      </c>
      <c r="V20" s="12" t="str">
        <f t="shared" si="119"/>
        <v>-</v>
      </c>
      <c r="W20" s="12" t="str">
        <f t="shared" si="119"/>
        <v>-</v>
      </c>
      <c r="X20" s="12" t="str">
        <f t="shared" si="119"/>
        <v>-</v>
      </c>
      <c r="Y20" s="12" t="str">
        <f t="shared" si="119"/>
        <v>-</v>
      </c>
      <c r="Z20" s="12" t="str">
        <f t="shared" si="119"/>
        <v>-</v>
      </c>
      <c r="AA20" s="12" t="str">
        <f t="shared" si="119"/>
        <v>-</v>
      </c>
      <c r="AB20" s="12" t="str">
        <f t="shared" si="119"/>
        <v>-</v>
      </c>
      <c r="AC20" s="12" t="str">
        <f t="shared" si="119"/>
        <v>-</v>
      </c>
      <c r="AD20" s="12" t="str">
        <f t="shared" si="119"/>
        <v>-</v>
      </c>
      <c r="AE20" s="12" t="str">
        <f t="shared" si="119"/>
        <v>-</v>
      </c>
      <c r="AF20" s="12" t="str">
        <f t="shared" si="119"/>
        <v>-</v>
      </c>
      <c r="AG20" s="12" t="str">
        <f t="shared" si="119"/>
        <v>-</v>
      </c>
      <c r="AH20" s="12" t="str">
        <f t="shared" si="119"/>
        <v>-</v>
      </c>
      <c r="AI20" s="12" t="str">
        <f t="shared" si="119"/>
        <v>-</v>
      </c>
      <c r="AJ20" s="12" t="str">
        <f t="shared" si="119"/>
        <v>-</v>
      </c>
      <c r="AK20" s="12" t="str">
        <f t="shared" si="119"/>
        <v>-</v>
      </c>
      <c r="AL20" s="12" t="str">
        <f t="shared" si="119"/>
        <v>-</v>
      </c>
      <c r="AM20" s="12" t="str">
        <f t="shared" si="119"/>
        <v>-</v>
      </c>
      <c r="AN20" s="12" t="str">
        <f t="shared" si="119"/>
        <v>-</v>
      </c>
      <c r="AO20" s="12" t="str">
        <f t="shared" si="119"/>
        <v>-</v>
      </c>
      <c r="AP20" s="12" t="str">
        <f t="shared" si="119"/>
        <v>-</v>
      </c>
      <c r="AQ20" s="12" t="str">
        <f t="shared" ref="AQ20:BV20" si="120">IF(ISNUMBER(MATCH(AQ54,$H$35:$H$49,0)),$D$2,IF(ISNUMBER(MATCH(AQ54,$H$55:$H$62,0)),$E$2,IF(ISNUMBER(MATCH(AQ54,$H$6:$H$34,0)),$C$2,$B$2)))</f>
        <v>-</v>
      </c>
      <c r="AR20" s="12" t="str">
        <f t="shared" si="120"/>
        <v>-</v>
      </c>
      <c r="AS20" s="12" t="str">
        <f t="shared" si="120"/>
        <v>-</v>
      </c>
      <c r="AT20" s="12" t="str">
        <f t="shared" si="120"/>
        <v>-</v>
      </c>
      <c r="AU20" s="12" t="str">
        <f t="shared" si="120"/>
        <v>-</v>
      </c>
      <c r="AV20" s="12" t="str">
        <f t="shared" si="120"/>
        <v>-</v>
      </c>
      <c r="AW20" s="12" t="str">
        <f t="shared" si="120"/>
        <v>-</v>
      </c>
      <c r="AX20" s="12" t="str">
        <f t="shared" si="120"/>
        <v>-</v>
      </c>
      <c r="AY20" s="12" t="str">
        <f t="shared" si="120"/>
        <v>-</v>
      </c>
      <c r="AZ20" s="12" t="str">
        <f t="shared" si="120"/>
        <v>-</v>
      </c>
      <c r="BA20" s="12" t="str">
        <f t="shared" si="120"/>
        <v>-</v>
      </c>
      <c r="BB20" s="12" t="str">
        <f t="shared" si="120"/>
        <v>-</v>
      </c>
      <c r="BC20" s="12" t="str">
        <f t="shared" si="120"/>
        <v>-</v>
      </c>
      <c r="BD20" s="12" t="str">
        <f t="shared" si="120"/>
        <v>-</v>
      </c>
      <c r="BE20" s="12" t="str">
        <f t="shared" si="120"/>
        <v>-</v>
      </c>
      <c r="BF20" s="12" t="str">
        <f t="shared" si="120"/>
        <v>-</v>
      </c>
      <c r="BG20" s="12" t="str">
        <f t="shared" si="120"/>
        <v>-</v>
      </c>
      <c r="BH20" s="12" t="str">
        <f t="shared" si="120"/>
        <v>-</v>
      </c>
      <c r="BI20" s="12" t="str">
        <f t="shared" si="120"/>
        <v>-</v>
      </c>
      <c r="BJ20" s="12" t="str">
        <f t="shared" si="120"/>
        <v>-</v>
      </c>
      <c r="BK20" s="12" t="str">
        <f t="shared" si="120"/>
        <v>-</v>
      </c>
      <c r="BL20" s="12" t="str">
        <f t="shared" si="120"/>
        <v>-</v>
      </c>
      <c r="BM20" s="12" t="str">
        <f t="shared" si="120"/>
        <v>-</v>
      </c>
      <c r="BN20" s="12" t="str">
        <f t="shared" si="120"/>
        <v>-</v>
      </c>
      <c r="BO20" s="12" t="str">
        <f t="shared" si="120"/>
        <v>-</v>
      </c>
      <c r="BP20" s="12" t="str">
        <f t="shared" si="120"/>
        <v>-</v>
      </c>
      <c r="BQ20" s="12" t="str">
        <f t="shared" si="120"/>
        <v>-</v>
      </c>
      <c r="BR20" s="12" t="str">
        <f t="shared" si="120"/>
        <v>-</v>
      </c>
      <c r="BS20" s="12" t="str">
        <f t="shared" si="120"/>
        <v>-</v>
      </c>
      <c r="BT20" s="12" t="str">
        <f t="shared" si="120"/>
        <v>-</v>
      </c>
      <c r="BU20" s="12" t="str">
        <f t="shared" si="120"/>
        <v>-</v>
      </c>
      <c r="BV20" s="12" t="str">
        <f t="shared" si="120"/>
        <v>-</v>
      </c>
      <c r="BW20" s="12" t="str">
        <f t="shared" ref="BW20:DF20" si="121">IF(ISNUMBER(MATCH(BW54,$H$35:$H$49,0)),$D$2,IF(ISNUMBER(MATCH(BW54,$H$55:$H$62,0)),$E$2,IF(ISNUMBER(MATCH(BW54,$H$6:$H$34,0)),$C$2,$B$2)))</f>
        <v>-</v>
      </c>
      <c r="BX20" s="12" t="str">
        <f t="shared" si="121"/>
        <v>-</v>
      </c>
      <c r="BY20" s="12" t="str">
        <f t="shared" si="121"/>
        <v>-</v>
      </c>
      <c r="BZ20" s="12" t="str">
        <f t="shared" si="121"/>
        <v>-</v>
      </c>
      <c r="CA20" s="12" t="str">
        <f t="shared" si="121"/>
        <v>-</v>
      </c>
      <c r="CB20" s="12" t="str">
        <f t="shared" si="121"/>
        <v>-</v>
      </c>
      <c r="CC20" s="12" t="str">
        <f t="shared" si="121"/>
        <v>-</v>
      </c>
      <c r="CD20" s="12" t="str">
        <f t="shared" si="121"/>
        <v>-</v>
      </c>
      <c r="CE20" s="12" t="str">
        <f t="shared" si="121"/>
        <v>-</v>
      </c>
      <c r="CF20" s="12" t="str">
        <f t="shared" si="121"/>
        <v>-</v>
      </c>
      <c r="CG20" s="12" t="str">
        <f t="shared" si="121"/>
        <v>-</v>
      </c>
      <c r="CH20" s="12" t="str">
        <f t="shared" si="121"/>
        <v>-</v>
      </c>
      <c r="CI20" s="12" t="str">
        <f t="shared" si="121"/>
        <v>-</v>
      </c>
      <c r="CJ20" s="12" t="str">
        <f t="shared" si="121"/>
        <v>-</v>
      </c>
      <c r="CK20" s="12" t="str">
        <f t="shared" si="121"/>
        <v>-</v>
      </c>
      <c r="CL20" s="12" t="str">
        <f t="shared" si="121"/>
        <v>-</v>
      </c>
      <c r="CM20" s="12" t="str">
        <f t="shared" si="121"/>
        <v>-</v>
      </c>
      <c r="CN20" s="12" t="str">
        <f t="shared" si="121"/>
        <v>-</v>
      </c>
      <c r="CO20" s="12" t="str">
        <f t="shared" si="121"/>
        <v>-</v>
      </c>
      <c r="CP20" s="12" t="str">
        <f t="shared" si="121"/>
        <v>-</v>
      </c>
      <c r="CQ20" s="12" t="str">
        <f t="shared" si="121"/>
        <v>-</v>
      </c>
      <c r="CR20" s="12" t="str">
        <f t="shared" si="121"/>
        <v>-</v>
      </c>
      <c r="CS20" s="12" t="str">
        <f t="shared" si="121"/>
        <v>-</v>
      </c>
      <c r="CT20" s="12" t="str">
        <f t="shared" si="121"/>
        <v>-</v>
      </c>
      <c r="CU20" s="12" t="str">
        <f t="shared" si="121"/>
        <v>-</v>
      </c>
      <c r="CV20" s="12" t="str">
        <f t="shared" si="121"/>
        <v>-</v>
      </c>
      <c r="CW20" s="12" t="str">
        <f t="shared" si="121"/>
        <v>-</v>
      </c>
      <c r="CX20" s="12" t="str">
        <f t="shared" si="121"/>
        <v>-</v>
      </c>
      <c r="CY20" s="12" t="str">
        <f t="shared" si="121"/>
        <v>-</v>
      </c>
      <c r="CZ20" s="12" t="str">
        <f t="shared" si="121"/>
        <v>-</v>
      </c>
      <c r="DA20" s="12" t="str">
        <f t="shared" si="121"/>
        <v>-</v>
      </c>
      <c r="DB20" s="12" t="str">
        <f t="shared" si="121"/>
        <v>-</v>
      </c>
      <c r="DC20" s="12" t="str">
        <f t="shared" si="121"/>
        <v>-</v>
      </c>
      <c r="DD20" s="12" t="str">
        <f t="shared" si="121"/>
        <v>-</v>
      </c>
      <c r="DE20" s="12" t="str">
        <f t="shared" si="121"/>
        <v>-</v>
      </c>
      <c r="DF20" s="12" t="str">
        <f t="shared" si="121"/>
        <v>-</v>
      </c>
      <c r="DG20" s="16">
        <f t="shared" si="78"/>
        <v>15</v>
      </c>
      <c r="DH20" s="1"/>
      <c r="DI20" s="63">
        <v>6.6666699999999999</v>
      </c>
      <c r="DJ20" s="63">
        <v>6.6663199999999998</v>
      </c>
      <c r="DK20" s="63">
        <v>6.66561</v>
      </c>
      <c r="DL20" s="63">
        <v>6.6645399999999997</v>
      </c>
      <c r="DM20" s="63">
        <v>6.6631200000000002</v>
      </c>
      <c r="DN20" s="63">
        <v>6.66134</v>
      </c>
      <c r="DO20" s="63">
        <v>6.6592099999999999</v>
      </c>
      <c r="DP20" s="63">
        <v>6.65672</v>
      </c>
      <c r="DQ20" s="63">
        <v>6.65388</v>
      </c>
      <c r="DR20" s="63">
        <v>6.6506800000000004</v>
      </c>
      <c r="DS20" s="63">
        <v>6.6471299999999998</v>
      </c>
      <c r="DT20" s="63">
        <v>6.6432200000000003</v>
      </c>
      <c r="DU20" s="63">
        <v>6.6389500000000004</v>
      </c>
      <c r="DV20" s="63">
        <v>6.6343199999999998</v>
      </c>
      <c r="DW20" s="63">
        <v>6.62934</v>
      </c>
      <c r="DX20" s="63">
        <v>6.6239999999999997</v>
      </c>
      <c r="DY20" s="63">
        <v>6.6183100000000001</v>
      </c>
      <c r="DZ20" s="63">
        <v>6.61226</v>
      </c>
      <c r="EA20" s="63">
        <v>6.6058500000000002</v>
      </c>
      <c r="EB20" s="63">
        <v>6.5990799999999998</v>
      </c>
      <c r="EC20" s="63">
        <v>6.5919600000000003</v>
      </c>
      <c r="ED20" s="63">
        <v>6.5844800000000001</v>
      </c>
      <c r="EE20" s="63">
        <v>6.5766499999999999</v>
      </c>
      <c r="EF20" s="63">
        <v>6.5687100000000003</v>
      </c>
      <c r="EG20" s="63">
        <v>6.5224299999999999</v>
      </c>
      <c r="EH20" s="63">
        <v>6.4600999999999997</v>
      </c>
      <c r="EI20" s="63">
        <v>6.3956999999999997</v>
      </c>
      <c r="EJ20" s="63">
        <v>6.3281200000000002</v>
      </c>
      <c r="EK20" s="63">
        <v>6.2571199999999996</v>
      </c>
      <c r="EL20" s="63">
        <v>6.1829099999999997</v>
      </c>
      <c r="EM20" s="63">
        <v>6.1051700000000002</v>
      </c>
      <c r="EN20" s="63">
        <v>6.0236200000000002</v>
      </c>
      <c r="EO20" s="63">
        <v>5.9383800000000004</v>
      </c>
      <c r="EP20" s="63">
        <v>5.8491999999999997</v>
      </c>
      <c r="EQ20" s="63">
        <v>5.7554400000000001</v>
      </c>
      <c r="ER20" s="63">
        <v>5.6565500000000002</v>
      </c>
      <c r="ES20" s="63">
        <v>5.5789799999999996</v>
      </c>
      <c r="ET20" s="63">
        <v>5.5657199999999998</v>
      </c>
      <c r="EU20" s="63">
        <v>5.5518700000000001</v>
      </c>
      <c r="EV20" s="63">
        <v>5.5376399999999997</v>
      </c>
      <c r="EW20" s="63">
        <v>5.5230399999999999</v>
      </c>
      <c r="EX20" s="63">
        <v>5.50807</v>
      </c>
      <c r="EY20" s="63">
        <v>5.4927299999999999</v>
      </c>
      <c r="EZ20" s="63">
        <v>5.4770300000000001</v>
      </c>
      <c r="FA20" s="63">
        <v>5.4609500000000004</v>
      </c>
      <c r="FB20" s="63">
        <v>5.4444999999999997</v>
      </c>
      <c r="FC20" s="63">
        <v>5.4276799999999996</v>
      </c>
      <c r="FD20" s="63">
        <v>5.4104900000000002</v>
      </c>
      <c r="FE20" s="63">
        <v>5.3929200000000002</v>
      </c>
      <c r="FF20" s="63">
        <v>5.375</v>
      </c>
      <c r="FG20" s="64">
        <f t="shared" si="72"/>
        <v>15</v>
      </c>
      <c r="FH20" s="1"/>
      <c r="FI20" s="75">
        <f>IF(ISNUMBER(MATCH(FJ20,$FP$8:$FP$13,0)),MAX(FI$7:FI19)+1,0)</f>
        <v>0</v>
      </c>
      <c r="FJ20" s="79">
        <f t="shared" si="84"/>
        <v>474.5</v>
      </c>
      <c r="FK20" s="82">
        <f t="shared" si="85"/>
        <v>480</v>
      </c>
      <c r="FL20" s="73">
        <f t="shared" si="94"/>
        <v>36.5</v>
      </c>
      <c r="FM20" s="1"/>
      <c r="FN20" s="16" t="str">
        <f t="shared" si="86"/>
        <v/>
      </c>
      <c r="FO20" s="30" t="str">
        <f t="shared" si="79"/>
        <v/>
      </c>
      <c r="FP20" s="73" t="str">
        <f t="shared" si="87"/>
        <v/>
      </c>
      <c r="FQ20" s="75" t="str">
        <f t="shared" si="80"/>
        <v/>
      </c>
      <c r="FR20" s="2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spans="1:256" ht="5.45" customHeight="1" x14ac:dyDescent="0.25">
      <c r="A21" s="3">
        <f t="shared" si="73"/>
        <v>16</v>
      </c>
      <c r="B21" s="10">
        <v>16</v>
      </c>
      <c r="C21" s="10">
        <v>0</v>
      </c>
      <c r="D21" s="10">
        <f t="shared" si="67"/>
        <v>0</v>
      </c>
      <c r="E21" s="10">
        <f t="shared" si="74"/>
        <v>500</v>
      </c>
      <c r="F21" s="10">
        <v>0</v>
      </c>
      <c r="G21" s="27" t="s">
        <v>45</v>
      </c>
      <c r="H21" s="11" t="str">
        <f t="shared" si="63"/>
        <v>1,17</v>
      </c>
      <c r="I21" s="1"/>
      <c r="J21" s="16">
        <f t="shared" si="68"/>
        <v>16</v>
      </c>
      <c r="K21" s="12">
        <f t="shared" ref="K21:AP21" si="122">IF(ISNUMBER(MATCH(K55,$H$35:$H$49,0)),$D$2,IF(ISNUMBER(MATCH(K55,$H$55:$H$62,0)),$E$2,IF(ISNUMBER(MATCH(K55,$H$6:$H$34,0)),$C$2,$B$2)))</f>
        <v>1</v>
      </c>
      <c r="L21" s="12" t="str">
        <f t="shared" si="122"/>
        <v>-</v>
      </c>
      <c r="M21" s="12" t="str">
        <f t="shared" si="122"/>
        <v>-</v>
      </c>
      <c r="N21" s="12" t="str">
        <f t="shared" si="122"/>
        <v>-</v>
      </c>
      <c r="O21" s="12" t="str">
        <f t="shared" si="122"/>
        <v>-</v>
      </c>
      <c r="P21" s="12" t="str">
        <f t="shared" si="122"/>
        <v>-</v>
      </c>
      <c r="Q21" s="12" t="str">
        <f t="shared" si="122"/>
        <v>-</v>
      </c>
      <c r="R21" s="12" t="str">
        <f t="shared" si="122"/>
        <v>-</v>
      </c>
      <c r="S21" s="12" t="str">
        <f t="shared" si="122"/>
        <v>-</v>
      </c>
      <c r="T21" s="12" t="str">
        <f t="shared" si="122"/>
        <v>-</v>
      </c>
      <c r="U21" s="12" t="str">
        <f t="shared" si="122"/>
        <v>-</v>
      </c>
      <c r="V21" s="12" t="str">
        <f t="shared" si="122"/>
        <v>-</v>
      </c>
      <c r="W21" s="12" t="str">
        <f t="shared" si="122"/>
        <v>-</v>
      </c>
      <c r="X21" s="12" t="str">
        <f t="shared" si="122"/>
        <v>-</v>
      </c>
      <c r="Y21" s="12" t="str">
        <f t="shared" si="122"/>
        <v>-</v>
      </c>
      <c r="Z21" s="12" t="str">
        <f t="shared" si="122"/>
        <v>-</v>
      </c>
      <c r="AA21" s="12" t="str">
        <f t="shared" si="122"/>
        <v>-</v>
      </c>
      <c r="AB21" s="12" t="str">
        <f t="shared" si="122"/>
        <v>-</v>
      </c>
      <c r="AC21" s="12" t="str">
        <f t="shared" si="122"/>
        <v>-</v>
      </c>
      <c r="AD21" s="12" t="str">
        <f t="shared" si="122"/>
        <v>-</v>
      </c>
      <c r="AE21" s="12" t="str">
        <f t="shared" si="122"/>
        <v>-</v>
      </c>
      <c r="AF21" s="12" t="str">
        <f t="shared" si="122"/>
        <v>-</v>
      </c>
      <c r="AG21" s="12" t="str">
        <f t="shared" si="122"/>
        <v>-</v>
      </c>
      <c r="AH21" s="12" t="str">
        <f t="shared" si="122"/>
        <v>-</v>
      </c>
      <c r="AI21" s="12" t="str">
        <f t="shared" si="122"/>
        <v>-</v>
      </c>
      <c r="AJ21" s="12" t="str">
        <f t="shared" si="122"/>
        <v>-</v>
      </c>
      <c r="AK21" s="12" t="str">
        <f t="shared" si="122"/>
        <v>-</v>
      </c>
      <c r="AL21" s="12" t="str">
        <f t="shared" si="122"/>
        <v>-</v>
      </c>
      <c r="AM21" s="12" t="str">
        <f t="shared" si="122"/>
        <v>-</v>
      </c>
      <c r="AN21" s="12" t="str">
        <f t="shared" si="122"/>
        <v>-</v>
      </c>
      <c r="AO21" s="12" t="str">
        <f t="shared" si="122"/>
        <v>-</v>
      </c>
      <c r="AP21" s="12" t="str">
        <f t="shared" si="122"/>
        <v>-</v>
      </c>
      <c r="AQ21" s="12" t="str">
        <f t="shared" ref="AQ21:BV21" si="123">IF(ISNUMBER(MATCH(AQ55,$H$35:$H$49,0)),$D$2,IF(ISNUMBER(MATCH(AQ55,$H$55:$H$62,0)),$E$2,IF(ISNUMBER(MATCH(AQ55,$H$6:$H$34,0)),$C$2,$B$2)))</f>
        <v>-</v>
      </c>
      <c r="AR21" s="12" t="str">
        <f t="shared" si="123"/>
        <v>-</v>
      </c>
      <c r="AS21" s="12" t="str">
        <f t="shared" si="123"/>
        <v>-</v>
      </c>
      <c r="AT21" s="12" t="str">
        <f t="shared" si="123"/>
        <v>-</v>
      </c>
      <c r="AU21" s="12" t="str">
        <f t="shared" si="123"/>
        <v>-</v>
      </c>
      <c r="AV21" s="12" t="str">
        <f t="shared" si="123"/>
        <v>-</v>
      </c>
      <c r="AW21" s="12" t="str">
        <f t="shared" si="123"/>
        <v>-</v>
      </c>
      <c r="AX21" s="12" t="str">
        <f t="shared" si="123"/>
        <v>-</v>
      </c>
      <c r="AY21" s="12" t="str">
        <f t="shared" si="123"/>
        <v>-</v>
      </c>
      <c r="AZ21" s="12" t="str">
        <f t="shared" si="123"/>
        <v>-</v>
      </c>
      <c r="BA21" s="12" t="str">
        <f t="shared" si="123"/>
        <v>-</v>
      </c>
      <c r="BB21" s="12" t="str">
        <f t="shared" si="123"/>
        <v>-</v>
      </c>
      <c r="BC21" s="12" t="str">
        <f t="shared" si="123"/>
        <v>-</v>
      </c>
      <c r="BD21" s="12" t="str">
        <f t="shared" si="123"/>
        <v>-</v>
      </c>
      <c r="BE21" s="12" t="str">
        <f t="shared" si="123"/>
        <v>-</v>
      </c>
      <c r="BF21" s="12" t="str">
        <f t="shared" si="123"/>
        <v>-</v>
      </c>
      <c r="BG21" s="12" t="str">
        <f t="shared" si="123"/>
        <v>-</v>
      </c>
      <c r="BH21" s="12" t="str">
        <f t="shared" si="123"/>
        <v>-</v>
      </c>
      <c r="BI21" s="12" t="str">
        <f t="shared" si="123"/>
        <v>-</v>
      </c>
      <c r="BJ21" s="12" t="str">
        <f t="shared" si="123"/>
        <v>-</v>
      </c>
      <c r="BK21" s="12" t="str">
        <f t="shared" si="123"/>
        <v>-</v>
      </c>
      <c r="BL21" s="12" t="str">
        <f t="shared" si="123"/>
        <v>-</v>
      </c>
      <c r="BM21" s="12" t="str">
        <f t="shared" si="123"/>
        <v>-</v>
      </c>
      <c r="BN21" s="12" t="str">
        <f t="shared" si="123"/>
        <v>-</v>
      </c>
      <c r="BO21" s="12" t="str">
        <f t="shared" si="123"/>
        <v>-</v>
      </c>
      <c r="BP21" s="12" t="str">
        <f t="shared" si="123"/>
        <v>-</v>
      </c>
      <c r="BQ21" s="12" t="str">
        <f t="shared" si="123"/>
        <v>-</v>
      </c>
      <c r="BR21" s="12" t="str">
        <f t="shared" si="123"/>
        <v>-</v>
      </c>
      <c r="BS21" s="12" t="str">
        <f t="shared" si="123"/>
        <v>-</v>
      </c>
      <c r="BT21" s="12" t="str">
        <f t="shared" si="123"/>
        <v>-</v>
      </c>
      <c r="BU21" s="12" t="str">
        <f t="shared" si="123"/>
        <v>-</v>
      </c>
      <c r="BV21" s="12" t="str">
        <f t="shared" si="123"/>
        <v>-</v>
      </c>
      <c r="BW21" s="12" t="str">
        <f t="shared" ref="BW21:DF21" si="124">IF(ISNUMBER(MATCH(BW55,$H$35:$H$49,0)),$D$2,IF(ISNUMBER(MATCH(BW55,$H$55:$H$62,0)),$E$2,IF(ISNUMBER(MATCH(BW55,$H$6:$H$34,0)),$C$2,$B$2)))</f>
        <v>-</v>
      </c>
      <c r="BX21" s="12" t="str">
        <f t="shared" si="124"/>
        <v>-</v>
      </c>
      <c r="BY21" s="12" t="str">
        <f t="shared" si="124"/>
        <v>-</v>
      </c>
      <c r="BZ21" s="12" t="str">
        <f t="shared" si="124"/>
        <v>-</v>
      </c>
      <c r="CA21" s="12" t="str">
        <f t="shared" si="124"/>
        <v>-</v>
      </c>
      <c r="CB21" s="12" t="str">
        <f t="shared" si="124"/>
        <v>-</v>
      </c>
      <c r="CC21" s="12" t="str">
        <f t="shared" si="124"/>
        <v>-</v>
      </c>
      <c r="CD21" s="12" t="str">
        <f t="shared" si="124"/>
        <v>-</v>
      </c>
      <c r="CE21" s="12" t="str">
        <f t="shared" si="124"/>
        <v>-</v>
      </c>
      <c r="CF21" s="12" t="str">
        <f t="shared" si="124"/>
        <v>-</v>
      </c>
      <c r="CG21" s="12" t="str">
        <f t="shared" si="124"/>
        <v>-</v>
      </c>
      <c r="CH21" s="12" t="str">
        <f t="shared" si="124"/>
        <v>-</v>
      </c>
      <c r="CI21" s="12" t="str">
        <f t="shared" si="124"/>
        <v>-</v>
      </c>
      <c r="CJ21" s="12" t="str">
        <f t="shared" si="124"/>
        <v>-</v>
      </c>
      <c r="CK21" s="12" t="str">
        <f t="shared" si="124"/>
        <v>-</v>
      </c>
      <c r="CL21" s="12" t="str">
        <f t="shared" si="124"/>
        <v>-</v>
      </c>
      <c r="CM21" s="12" t="str">
        <f t="shared" si="124"/>
        <v>-</v>
      </c>
      <c r="CN21" s="12" t="str">
        <f t="shared" si="124"/>
        <v>-</v>
      </c>
      <c r="CO21" s="12" t="str">
        <f t="shared" si="124"/>
        <v>-</v>
      </c>
      <c r="CP21" s="12" t="str">
        <f t="shared" si="124"/>
        <v>-</v>
      </c>
      <c r="CQ21" s="12" t="str">
        <f t="shared" si="124"/>
        <v>-</v>
      </c>
      <c r="CR21" s="12" t="str">
        <f t="shared" si="124"/>
        <v>-</v>
      </c>
      <c r="CS21" s="12" t="str">
        <f t="shared" si="124"/>
        <v>-</v>
      </c>
      <c r="CT21" s="12" t="str">
        <f t="shared" si="124"/>
        <v>-</v>
      </c>
      <c r="CU21" s="12" t="str">
        <f t="shared" si="124"/>
        <v>-</v>
      </c>
      <c r="CV21" s="12" t="str">
        <f t="shared" si="124"/>
        <v>-</v>
      </c>
      <c r="CW21" s="12" t="str">
        <f t="shared" si="124"/>
        <v>-</v>
      </c>
      <c r="CX21" s="12" t="str">
        <f t="shared" si="124"/>
        <v>-</v>
      </c>
      <c r="CY21" s="12" t="str">
        <f t="shared" si="124"/>
        <v>-</v>
      </c>
      <c r="CZ21" s="12" t="str">
        <f t="shared" si="124"/>
        <v>-</v>
      </c>
      <c r="DA21" s="12" t="str">
        <f t="shared" si="124"/>
        <v>-</v>
      </c>
      <c r="DB21" s="12" t="str">
        <f t="shared" si="124"/>
        <v>-</v>
      </c>
      <c r="DC21" s="12" t="str">
        <f t="shared" si="124"/>
        <v>-</v>
      </c>
      <c r="DD21" s="12" t="str">
        <f t="shared" si="124"/>
        <v>-</v>
      </c>
      <c r="DE21" s="12" t="str">
        <f t="shared" si="124"/>
        <v>-</v>
      </c>
      <c r="DF21" s="12" t="str">
        <f t="shared" si="124"/>
        <v>-</v>
      </c>
      <c r="DG21" s="16">
        <f t="shared" si="78"/>
        <v>16</v>
      </c>
      <c r="DH21" s="1"/>
      <c r="DI21" s="63">
        <v>6.6666699999999999</v>
      </c>
      <c r="DJ21" s="63">
        <v>6.6663100000000002</v>
      </c>
      <c r="DK21" s="63">
        <v>6.6656000000000004</v>
      </c>
      <c r="DL21" s="63">
        <v>6.6645399999999997</v>
      </c>
      <c r="DM21" s="63">
        <v>6.6631200000000002</v>
      </c>
      <c r="DN21" s="63">
        <v>6.66134</v>
      </c>
      <c r="DO21" s="63">
        <v>6.6592099999999999</v>
      </c>
      <c r="DP21" s="63">
        <v>6.65672</v>
      </c>
      <c r="DQ21" s="63">
        <v>6.65388</v>
      </c>
      <c r="DR21" s="63">
        <v>6.6506800000000004</v>
      </c>
      <c r="DS21" s="63">
        <v>6.6471200000000001</v>
      </c>
      <c r="DT21" s="63">
        <v>6.6432099999999998</v>
      </c>
      <c r="DU21" s="63">
        <v>6.6389399999999998</v>
      </c>
      <c r="DV21" s="63">
        <v>6.6343199999999998</v>
      </c>
      <c r="DW21" s="63">
        <v>6.62934</v>
      </c>
      <c r="DX21" s="63">
        <v>6.6239999999999997</v>
      </c>
      <c r="DY21" s="63">
        <v>6.6182999999999996</v>
      </c>
      <c r="DZ21" s="63">
        <v>6.6122500000000004</v>
      </c>
      <c r="EA21" s="63">
        <v>6.6058399999999997</v>
      </c>
      <c r="EB21" s="63">
        <v>6.5990799999999998</v>
      </c>
      <c r="EC21" s="63">
        <v>6.5919499999999998</v>
      </c>
      <c r="ED21" s="63">
        <v>6.5844699999999996</v>
      </c>
      <c r="EE21" s="63">
        <v>6.5766499999999999</v>
      </c>
      <c r="EF21" s="63">
        <v>6.5687199999999999</v>
      </c>
      <c r="EG21" s="63">
        <v>6.5224799999999998</v>
      </c>
      <c r="EH21" s="63">
        <v>6.4600299999999997</v>
      </c>
      <c r="EI21" s="63">
        <v>6.3956099999999996</v>
      </c>
      <c r="EJ21" s="63">
        <v>6.3280200000000004</v>
      </c>
      <c r="EK21" s="63">
        <v>6.2570199999999998</v>
      </c>
      <c r="EL21" s="63">
        <v>6.1828000000000003</v>
      </c>
      <c r="EM21" s="63">
        <v>6.1050599999999999</v>
      </c>
      <c r="EN21" s="63">
        <v>6.0235099999999999</v>
      </c>
      <c r="EO21" s="63">
        <v>5.9382599999999996</v>
      </c>
      <c r="EP21" s="63">
        <v>5.8490599999999997</v>
      </c>
      <c r="EQ21" s="63">
        <v>5.7553200000000002</v>
      </c>
      <c r="ER21" s="63">
        <v>5.6563100000000004</v>
      </c>
      <c r="ES21" s="63">
        <v>5.5789600000000004</v>
      </c>
      <c r="ET21" s="63">
        <v>5.5657100000000002</v>
      </c>
      <c r="EU21" s="63">
        <v>5.5518599999999996</v>
      </c>
      <c r="EV21" s="63">
        <v>5.5376300000000001</v>
      </c>
      <c r="EW21" s="63">
        <v>5.5230399999999999</v>
      </c>
      <c r="EX21" s="63">
        <v>5.50807</v>
      </c>
      <c r="EY21" s="63">
        <v>5.4927299999999999</v>
      </c>
      <c r="EZ21" s="63">
        <v>5.4770200000000004</v>
      </c>
      <c r="FA21" s="63">
        <v>5.4609399999999999</v>
      </c>
      <c r="FB21" s="63">
        <v>5.4444900000000001</v>
      </c>
      <c r="FC21" s="63">
        <v>5.42767</v>
      </c>
      <c r="FD21" s="63">
        <v>5.4104799999999997</v>
      </c>
      <c r="FE21" s="63">
        <v>5.3929200000000002</v>
      </c>
      <c r="FF21" s="63">
        <v>5.375</v>
      </c>
      <c r="FG21" s="64">
        <f t="shared" si="72"/>
        <v>16</v>
      </c>
      <c r="FH21" s="1"/>
      <c r="FI21" s="75">
        <f>IF(ISNUMBER(MATCH(FJ21,$FP$8:$FP$13,0)),MAX(FI$7:FI20)+1,0)</f>
        <v>0</v>
      </c>
      <c r="FJ21" s="79">
        <f t="shared" si="84"/>
        <v>511</v>
      </c>
      <c r="FK21" s="82">
        <f t="shared" si="85"/>
        <v>517</v>
      </c>
      <c r="FL21" s="73">
        <f t="shared" si="94"/>
        <v>36.5</v>
      </c>
      <c r="FM21" s="1"/>
      <c r="FN21" s="16" t="str">
        <f t="shared" si="86"/>
        <v/>
      </c>
      <c r="FO21" s="30" t="str">
        <f t="shared" si="79"/>
        <v/>
      </c>
      <c r="FP21" s="73" t="str">
        <f t="shared" si="87"/>
        <v/>
      </c>
      <c r="FQ21" s="75" t="str">
        <f t="shared" si="80"/>
        <v/>
      </c>
      <c r="FR21" s="2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spans="1:256" ht="5.45" customHeight="1" x14ac:dyDescent="0.25">
      <c r="A22" s="3">
        <f t="shared" si="73"/>
        <v>17</v>
      </c>
      <c r="B22" s="10">
        <f>B21+1</f>
        <v>17</v>
      </c>
      <c r="C22" s="10">
        <v>0</v>
      </c>
      <c r="D22" s="10">
        <f t="shared" si="67"/>
        <v>0</v>
      </c>
      <c r="E22" s="10">
        <f t="shared" si="74"/>
        <v>500</v>
      </c>
      <c r="F22" s="10">
        <v>0</v>
      </c>
      <c r="G22" s="27" t="s">
        <v>45</v>
      </c>
      <c r="H22" s="11" t="str">
        <f t="shared" si="63"/>
        <v>1,18</v>
      </c>
      <c r="I22" s="1"/>
      <c r="J22" s="16">
        <f t="shared" si="68"/>
        <v>17</v>
      </c>
      <c r="K22" s="12">
        <f t="shared" ref="K22:AP22" si="125">IF(ISNUMBER(MATCH(K56,$H$35:$H$49,0)),$D$2,IF(ISNUMBER(MATCH(K56,$H$55:$H$62,0)),$E$2,IF(ISNUMBER(MATCH(K56,$H$6:$H$34,0)),$C$2,$B$2)))</f>
        <v>1</v>
      </c>
      <c r="L22" s="12" t="str">
        <f t="shared" si="125"/>
        <v>-</v>
      </c>
      <c r="M22" s="12" t="str">
        <f t="shared" si="125"/>
        <v>-</v>
      </c>
      <c r="N22" s="12" t="str">
        <f t="shared" si="125"/>
        <v>-</v>
      </c>
      <c r="O22" s="12" t="str">
        <f t="shared" si="125"/>
        <v>-</v>
      </c>
      <c r="P22" s="12" t="str">
        <f t="shared" si="125"/>
        <v>-</v>
      </c>
      <c r="Q22" s="12" t="str">
        <f t="shared" si="125"/>
        <v>-</v>
      </c>
      <c r="R22" s="12" t="str">
        <f t="shared" si="125"/>
        <v>-</v>
      </c>
      <c r="S22" s="12" t="str">
        <f t="shared" si="125"/>
        <v>-</v>
      </c>
      <c r="T22" s="12" t="str">
        <f t="shared" si="125"/>
        <v>-</v>
      </c>
      <c r="U22" s="12" t="str">
        <f t="shared" si="125"/>
        <v>-</v>
      </c>
      <c r="V22" s="12" t="str">
        <f t="shared" si="125"/>
        <v>-</v>
      </c>
      <c r="W22" s="12" t="str">
        <f t="shared" si="125"/>
        <v>-</v>
      </c>
      <c r="X22" s="12" t="str">
        <f t="shared" si="125"/>
        <v>-</v>
      </c>
      <c r="Y22" s="12" t="str">
        <f t="shared" si="125"/>
        <v>-</v>
      </c>
      <c r="Z22" s="12" t="str">
        <f t="shared" si="125"/>
        <v>-</v>
      </c>
      <c r="AA22" s="12" t="str">
        <f t="shared" si="125"/>
        <v>-</v>
      </c>
      <c r="AB22" s="12" t="str">
        <f t="shared" si="125"/>
        <v>-</v>
      </c>
      <c r="AC22" s="12" t="str">
        <f t="shared" si="125"/>
        <v>-</v>
      </c>
      <c r="AD22" s="12" t="str">
        <f t="shared" si="125"/>
        <v>-</v>
      </c>
      <c r="AE22" s="12" t="str">
        <f t="shared" si="125"/>
        <v>-</v>
      </c>
      <c r="AF22" s="12" t="str">
        <f t="shared" si="125"/>
        <v>-</v>
      </c>
      <c r="AG22" s="12" t="str">
        <f t="shared" si="125"/>
        <v>-</v>
      </c>
      <c r="AH22" s="12" t="str">
        <f t="shared" si="125"/>
        <v>-</v>
      </c>
      <c r="AI22" s="12" t="str">
        <f t="shared" si="125"/>
        <v>-</v>
      </c>
      <c r="AJ22" s="12" t="str">
        <f t="shared" si="125"/>
        <v>-</v>
      </c>
      <c r="AK22" s="12" t="str">
        <f t="shared" si="125"/>
        <v>-</v>
      </c>
      <c r="AL22" s="12" t="str">
        <f t="shared" si="125"/>
        <v>-</v>
      </c>
      <c r="AM22" s="12" t="str">
        <f t="shared" si="125"/>
        <v>-</v>
      </c>
      <c r="AN22" s="12" t="str">
        <f t="shared" si="125"/>
        <v>-</v>
      </c>
      <c r="AO22" s="12" t="str">
        <f t="shared" si="125"/>
        <v>-</v>
      </c>
      <c r="AP22" s="12" t="str">
        <f t="shared" si="125"/>
        <v>-</v>
      </c>
      <c r="AQ22" s="12" t="str">
        <f t="shared" ref="AQ22:BV22" si="126">IF(ISNUMBER(MATCH(AQ56,$H$35:$H$49,0)),$D$2,IF(ISNUMBER(MATCH(AQ56,$H$55:$H$62,0)),$E$2,IF(ISNUMBER(MATCH(AQ56,$H$6:$H$34,0)),$C$2,$B$2)))</f>
        <v>-</v>
      </c>
      <c r="AR22" s="12" t="str">
        <f t="shared" si="126"/>
        <v>-</v>
      </c>
      <c r="AS22" s="12" t="str">
        <f t="shared" si="126"/>
        <v>-</v>
      </c>
      <c r="AT22" s="12" t="str">
        <f t="shared" si="126"/>
        <v>-</v>
      </c>
      <c r="AU22" s="12" t="str">
        <f t="shared" si="126"/>
        <v>-</v>
      </c>
      <c r="AV22" s="12" t="str">
        <f t="shared" si="126"/>
        <v>-</v>
      </c>
      <c r="AW22" s="12" t="str">
        <f t="shared" si="126"/>
        <v>-</v>
      </c>
      <c r="AX22" s="12" t="str">
        <f t="shared" si="126"/>
        <v>-</v>
      </c>
      <c r="AY22" s="12" t="str">
        <f t="shared" si="126"/>
        <v>-</v>
      </c>
      <c r="AZ22" s="12" t="str">
        <f t="shared" si="126"/>
        <v>-</v>
      </c>
      <c r="BA22" s="12" t="str">
        <f t="shared" si="126"/>
        <v>-</v>
      </c>
      <c r="BB22" s="12" t="str">
        <f t="shared" si="126"/>
        <v>-</v>
      </c>
      <c r="BC22" s="12" t="str">
        <f t="shared" si="126"/>
        <v>-</v>
      </c>
      <c r="BD22" s="12" t="str">
        <f t="shared" si="126"/>
        <v>-</v>
      </c>
      <c r="BE22" s="12" t="str">
        <f t="shared" si="126"/>
        <v>-</v>
      </c>
      <c r="BF22" s="12" t="str">
        <f t="shared" si="126"/>
        <v>-</v>
      </c>
      <c r="BG22" s="12" t="str">
        <f t="shared" si="126"/>
        <v>-</v>
      </c>
      <c r="BH22" s="12" t="str">
        <f t="shared" si="126"/>
        <v>-</v>
      </c>
      <c r="BI22" s="12" t="str">
        <f t="shared" si="126"/>
        <v>-</v>
      </c>
      <c r="BJ22" s="12" t="str">
        <f t="shared" si="126"/>
        <v>-</v>
      </c>
      <c r="BK22" s="12" t="str">
        <f t="shared" si="126"/>
        <v>-</v>
      </c>
      <c r="BL22" s="12" t="str">
        <f t="shared" si="126"/>
        <v>-</v>
      </c>
      <c r="BM22" s="12" t="str">
        <f t="shared" si="126"/>
        <v>-</v>
      </c>
      <c r="BN22" s="12" t="str">
        <f t="shared" si="126"/>
        <v>-</v>
      </c>
      <c r="BO22" s="12" t="str">
        <f t="shared" si="126"/>
        <v>-</v>
      </c>
      <c r="BP22" s="12" t="str">
        <f t="shared" si="126"/>
        <v>-</v>
      </c>
      <c r="BQ22" s="12" t="str">
        <f t="shared" si="126"/>
        <v>-</v>
      </c>
      <c r="BR22" s="12" t="str">
        <f t="shared" si="126"/>
        <v>-</v>
      </c>
      <c r="BS22" s="12" t="str">
        <f t="shared" si="126"/>
        <v>-</v>
      </c>
      <c r="BT22" s="12" t="str">
        <f t="shared" si="126"/>
        <v>-</v>
      </c>
      <c r="BU22" s="12" t="str">
        <f t="shared" si="126"/>
        <v>-</v>
      </c>
      <c r="BV22" s="12" t="str">
        <f t="shared" si="126"/>
        <v>-</v>
      </c>
      <c r="BW22" s="12" t="str">
        <f t="shared" ref="BW22:DF22" si="127">IF(ISNUMBER(MATCH(BW56,$H$35:$H$49,0)),$D$2,IF(ISNUMBER(MATCH(BW56,$H$55:$H$62,0)),$E$2,IF(ISNUMBER(MATCH(BW56,$H$6:$H$34,0)),$C$2,$B$2)))</f>
        <v>-</v>
      </c>
      <c r="BX22" s="12" t="str">
        <f t="shared" si="127"/>
        <v>-</v>
      </c>
      <c r="BY22" s="12" t="str">
        <f t="shared" si="127"/>
        <v>-</v>
      </c>
      <c r="BZ22" s="12" t="str">
        <f t="shared" si="127"/>
        <v>-</v>
      </c>
      <c r="CA22" s="12" t="str">
        <f t="shared" si="127"/>
        <v>-</v>
      </c>
      <c r="CB22" s="12" t="str">
        <f t="shared" si="127"/>
        <v>-</v>
      </c>
      <c r="CC22" s="12" t="str">
        <f t="shared" si="127"/>
        <v>-</v>
      </c>
      <c r="CD22" s="12" t="str">
        <f t="shared" si="127"/>
        <v>-</v>
      </c>
      <c r="CE22" s="12" t="str">
        <f t="shared" si="127"/>
        <v>-</v>
      </c>
      <c r="CF22" s="12" t="str">
        <f t="shared" si="127"/>
        <v>-</v>
      </c>
      <c r="CG22" s="12" t="str">
        <f t="shared" si="127"/>
        <v>-</v>
      </c>
      <c r="CH22" s="12" t="str">
        <f t="shared" si="127"/>
        <v>-</v>
      </c>
      <c r="CI22" s="12" t="str">
        <f t="shared" si="127"/>
        <v>-</v>
      </c>
      <c r="CJ22" s="12" t="str">
        <f t="shared" si="127"/>
        <v>-</v>
      </c>
      <c r="CK22" s="12" t="str">
        <f t="shared" si="127"/>
        <v>-</v>
      </c>
      <c r="CL22" s="12" t="str">
        <f t="shared" si="127"/>
        <v>-</v>
      </c>
      <c r="CM22" s="12" t="str">
        <f t="shared" si="127"/>
        <v>-</v>
      </c>
      <c r="CN22" s="12" t="str">
        <f t="shared" si="127"/>
        <v>-</v>
      </c>
      <c r="CO22" s="12" t="str">
        <f t="shared" si="127"/>
        <v>-</v>
      </c>
      <c r="CP22" s="12" t="str">
        <f t="shared" si="127"/>
        <v>-</v>
      </c>
      <c r="CQ22" s="12" t="str">
        <f t="shared" si="127"/>
        <v>-</v>
      </c>
      <c r="CR22" s="12" t="str">
        <f t="shared" si="127"/>
        <v>-</v>
      </c>
      <c r="CS22" s="12" t="str">
        <f t="shared" si="127"/>
        <v>-</v>
      </c>
      <c r="CT22" s="12" t="str">
        <f t="shared" si="127"/>
        <v>-</v>
      </c>
      <c r="CU22" s="12" t="str">
        <f t="shared" si="127"/>
        <v>-</v>
      </c>
      <c r="CV22" s="12" t="str">
        <f t="shared" si="127"/>
        <v>-</v>
      </c>
      <c r="CW22" s="12" t="str">
        <f t="shared" si="127"/>
        <v>-</v>
      </c>
      <c r="CX22" s="12" t="str">
        <f t="shared" si="127"/>
        <v>-</v>
      </c>
      <c r="CY22" s="12" t="str">
        <f t="shared" si="127"/>
        <v>-</v>
      </c>
      <c r="CZ22" s="12" t="str">
        <f t="shared" si="127"/>
        <v>-</v>
      </c>
      <c r="DA22" s="12" t="str">
        <f t="shared" si="127"/>
        <v>-</v>
      </c>
      <c r="DB22" s="12" t="str">
        <f t="shared" si="127"/>
        <v>-</v>
      </c>
      <c r="DC22" s="12" t="str">
        <f t="shared" si="127"/>
        <v>-</v>
      </c>
      <c r="DD22" s="12" t="str">
        <f t="shared" si="127"/>
        <v>-</v>
      </c>
      <c r="DE22" s="12" t="str">
        <f t="shared" si="127"/>
        <v>-</v>
      </c>
      <c r="DF22" s="12" t="str">
        <f t="shared" si="127"/>
        <v>-</v>
      </c>
      <c r="DG22" s="16">
        <f t="shared" si="78"/>
        <v>17</v>
      </c>
      <c r="DH22" s="1"/>
      <c r="DI22" s="63">
        <v>6.6666600000000003</v>
      </c>
      <c r="DJ22" s="63">
        <v>6.6663100000000002</v>
      </c>
      <c r="DK22" s="63">
        <v>6.6656000000000004</v>
      </c>
      <c r="DL22" s="63">
        <v>6.6645300000000001</v>
      </c>
      <c r="DM22" s="63">
        <v>6.6631099999999996</v>
      </c>
      <c r="DN22" s="63">
        <v>6.66134</v>
      </c>
      <c r="DO22" s="63">
        <v>6.6592000000000002</v>
      </c>
      <c r="DP22" s="63">
        <v>6.65672</v>
      </c>
      <c r="DQ22" s="63">
        <v>6.6538700000000004</v>
      </c>
      <c r="DR22" s="63">
        <v>6.6506699999999999</v>
      </c>
      <c r="DS22" s="63">
        <v>6.6471200000000001</v>
      </c>
      <c r="DT22" s="63">
        <v>6.6432099999999998</v>
      </c>
      <c r="DU22" s="63">
        <v>6.6389399999999998</v>
      </c>
      <c r="DV22" s="63">
        <v>6.6343100000000002</v>
      </c>
      <c r="DW22" s="63">
        <v>6.6293300000000004</v>
      </c>
      <c r="DX22" s="63">
        <v>6.6239999999999997</v>
      </c>
      <c r="DY22" s="63">
        <v>6.6182999999999996</v>
      </c>
      <c r="DZ22" s="63">
        <v>6.6122500000000004</v>
      </c>
      <c r="EA22" s="63">
        <v>6.6058399999999997</v>
      </c>
      <c r="EB22" s="63">
        <v>6.5990700000000002</v>
      </c>
      <c r="EC22" s="63">
        <v>6.5919499999999998</v>
      </c>
      <c r="ED22" s="63">
        <v>6.5844699999999996</v>
      </c>
      <c r="EE22" s="63">
        <v>6.5766499999999999</v>
      </c>
      <c r="EF22" s="63">
        <v>6.5687300000000004</v>
      </c>
      <c r="EG22" s="63">
        <v>6.5224700000000002</v>
      </c>
      <c r="EH22" s="63">
        <v>6.4599599999999997</v>
      </c>
      <c r="EI22" s="63">
        <v>6.3955200000000003</v>
      </c>
      <c r="EJ22" s="63">
        <v>6.3279300000000003</v>
      </c>
      <c r="EK22" s="63">
        <v>6.2569299999999997</v>
      </c>
      <c r="EL22" s="63">
        <v>6.1826999999999996</v>
      </c>
      <c r="EM22" s="63">
        <v>6.1049600000000002</v>
      </c>
      <c r="EN22" s="63">
        <v>6.0234100000000002</v>
      </c>
      <c r="EO22" s="63">
        <v>5.9381500000000003</v>
      </c>
      <c r="EP22" s="63">
        <v>5.8489399999999998</v>
      </c>
      <c r="EQ22" s="63">
        <v>5.7552099999999999</v>
      </c>
      <c r="ER22" s="63">
        <v>5.6561899999999996</v>
      </c>
      <c r="ES22" s="63">
        <v>5.5789499999999999</v>
      </c>
      <c r="ET22" s="63">
        <v>5.5657100000000002</v>
      </c>
      <c r="EU22" s="63">
        <v>5.5518599999999996</v>
      </c>
      <c r="EV22" s="63">
        <v>5.5376300000000001</v>
      </c>
      <c r="EW22" s="63">
        <v>5.5230300000000003</v>
      </c>
      <c r="EX22" s="63">
        <v>5.5080600000000004</v>
      </c>
      <c r="EY22" s="63">
        <v>5.4927200000000003</v>
      </c>
      <c r="EZ22" s="63">
        <v>5.4770200000000004</v>
      </c>
      <c r="FA22" s="63">
        <v>5.4609399999999999</v>
      </c>
      <c r="FB22" s="63">
        <v>5.4444900000000001</v>
      </c>
      <c r="FC22" s="63">
        <v>5.42767</v>
      </c>
      <c r="FD22" s="63">
        <v>5.4104799999999997</v>
      </c>
      <c r="FE22" s="63">
        <v>5.3929099999999996</v>
      </c>
      <c r="FF22" s="63">
        <v>5.375</v>
      </c>
      <c r="FG22" s="64">
        <f t="shared" si="72"/>
        <v>17</v>
      </c>
      <c r="FH22" s="1"/>
      <c r="FI22" s="75">
        <f>IF(ISNUMBER(MATCH(FJ22,$FP$8:$FP$13,0)),MAX(FI$7:FI21)+1,0)</f>
        <v>0</v>
      </c>
      <c r="FJ22" s="79">
        <f t="shared" si="84"/>
        <v>547.5</v>
      </c>
      <c r="FK22" s="82">
        <f t="shared" si="85"/>
        <v>554</v>
      </c>
      <c r="FL22" s="73">
        <f t="shared" si="94"/>
        <v>36.5</v>
      </c>
      <c r="FM22" s="1"/>
      <c r="FN22" s="16" t="str">
        <f t="shared" si="86"/>
        <v/>
      </c>
      <c r="FO22" s="30" t="str">
        <f t="shared" si="79"/>
        <v/>
      </c>
      <c r="FP22" s="73" t="str">
        <f t="shared" si="87"/>
        <v/>
      </c>
      <c r="FQ22" s="75" t="str">
        <f t="shared" si="80"/>
        <v/>
      </c>
      <c r="FR22" s="2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ht="5.45" customHeight="1" x14ac:dyDescent="0.25">
      <c r="A23" s="3">
        <f t="shared" si="73"/>
        <v>18</v>
      </c>
      <c r="B23" s="10">
        <f t="shared" ref="B23:B34" si="128">B22+1</f>
        <v>18</v>
      </c>
      <c r="C23" s="10">
        <v>0</v>
      </c>
      <c r="D23" s="10">
        <f t="shared" si="67"/>
        <v>0</v>
      </c>
      <c r="E23" s="10">
        <f t="shared" si="74"/>
        <v>500</v>
      </c>
      <c r="F23" s="10">
        <v>0</v>
      </c>
      <c r="G23" s="27" t="s">
        <v>45</v>
      </c>
      <c r="H23" s="11" t="str">
        <f t="shared" si="63"/>
        <v>1,19</v>
      </c>
      <c r="I23" s="1"/>
      <c r="J23" s="16">
        <f t="shared" si="68"/>
        <v>18</v>
      </c>
      <c r="K23" s="12">
        <f t="shared" ref="K23:AP23" si="129">IF(ISNUMBER(MATCH(K57,$H$35:$H$49,0)),$D$2,IF(ISNUMBER(MATCH(K57,$H$55:$H$62,0)),$E$2,IF(ISNUMBER(MATCH(K57,$H$6:$H$34,0)),$C$2,$B$2)))</f>
        <v>1</v>
      </c>
      <c r="L23" s="12" t="str">
        <f t="shared" si="129"/>
        <v>-</v>
      </c>
      <c r="M23" s="12" t="str">
        <f t="shared" si="129"/>
        <v>-</v>
      </c>
      <c r="N23" s="12" t="str">
        <f t="shared" si="129"/>
        <v>-</v>
      </c>
      <c r="O23" s="12" t="str">
        <f t="shared" si="129"/>
        <v>-</v>
      </c>
      <c r="P23" s="12" t="str">
        <f t="shared" si="129"/>
        <v>-</v>
      </c>
      <c r="Q23" s="12" t="str">
        <f t="shared" si="129"/>
        <v>-</v>
      </c>
      <c r="R23" s="12" t="str">
        <f t="shared" si="129"/>
        <v>-</v>
      </c>
      <c r="S23" s="12" t="str">
        <f t="shared" si="129"/>
        <v>-</v>
      </c>
      <c r="T23" s="12" t="str">
        <f t="shared" si="129"/>
        <v>-</v>
      </c>
      <c r="U23" s="12" t="str">
        <f t="shared" si="129"/>
        <v>-</v>
      </c>
      <c r="V23" s="12" t="str">
        <f t="shared" si="129"/>
        <v>-</v>
      </c>
      <c r="W23" s="12" t="str">
        <f t="shared" si="129"/>
        <v>-</v>
      </c>
      <c r="X23" s="12" t="str">
        <f t="shared" si="129"/>
        <v>-</v>
      </c>
      <c r="Y23" s="12" t="str">
        <f t="shared" si="129"/>
        <v>-</v>
      </c>
      <c r="Z23" s="12" t="str">
        <f t="shared" si="129"/>
        <v>-</v>
      </c>
      <c r="AA23" s="12" t="str">
        <f t="shared" si="129"/>
        <v>-</v>
      </c>
      <c r="AB23" s="12" t="str">
        <f t="shared" si="129"/>
        <v>-</v>
      </c>
      <c r="AC23" s="12" t="str">
        <f t="shared" si="129"/>
        <v>-</v>
      </c>
      <c r="AD23" s="12" t="str">
        <f t="shared" si="129"/>
        <v>-</v>
      </c>
      <c r="AE23" s="12" t="str">
        <f t="shared" si="129"/>
        <v>-</v>
      </c>
      <c r="AF23" s="12" t="str">
        <f t="shared" si="129"/>
        <v>-</v>
      </c>
      <c r="AG23" s="12" t="str">
        <f t="shared" si="129"/>
        <v>-</v>
      </c>
      <c r="AH23" s="12" t="str">
        <f t="shared" si="129"/>
        <v>-</v>
      </c>
      <c r="AI23" s="12" t="str">
        <f t="shared" si="129"/>
        <v>-</v>
      </c>
      <c r="AJ23" s="12" t="str">
        <f t="shared" si="129"/>
        <v>-</v>
      </c>
      <c r="AK23" s="12" t="str">
        <f t="shared" si="129"/>
        <v>-</v>
      </c>
      <c r="AL23" s="12" t="str">
        <f t="shared" si="129"/>
        <v>-</v>
      </c>
      <c r="AM23" s="12" t="str">
        <f t="shared" si="129"/>
        <v>-</v>
      </c>
      <c r="AN23" s="12" t="str">
        <f t="shared" si="129"/>
        <v>-</v>
      </c>
      <c r="AO23" s="12" t="str">
        <f t="shared" si="129"/>
        <v>-</v>
      </c>
      <c r="AP23" s="12" t="str">
        <f t="shared" si="129"/>
        <v>-</v>
      </c>
      <c r="AQ23" s="12" t="str">
        <f t="shared" ref="AQ23:BV23" si="130">IF(ISNUMBER(MATCH(AQ57,$H$35:$H$49,0)),$D$2,IF(ISNUMBER(MATCH(AQ57,$H$55:$H$62,0)),$E$2,IF(ISNUMBER(MATCH(AQ57,$H$6:$H$34,0)),$C$2,$B$2)))</f>
        <v>-</v>
      </c>
      <c r="AR23" s="12" t="str">
        <f t="shared" si="130"/>
        <v>-</v>
      </c>
      <c r="AS23" s="12" t="str">
        <f t="shared" si="130"/>
        <v>-</v>
      </c>
      <c r="AT23" s="12" t="str">
        <f t="shared" si="130"/>
        <v>-</v>
      </c>
      <c r="AU23" s="12" t="str">
        <f t="shared" si="130"/>
        <v>-</v>
      </c>
      <c r="AV23" s="12" t="str">
        <f t="shared" si="130"/>
        <v>-</v>
      </c>
      <c r="AW23" s="12" t="str">
        <f t="shared" si="130"/>
        <v>-</v>
      </c>
      <c r="AX23" s="12" t="str">
        <f t="shared" si="130"/>
        <v>-</v>
      </c>
      <c r="AY23" s="12" t="str">
        <f t="shared" si="130"/>
        <v>-</v>
      </c>
      <c r="AZ23" s="12" t="str">
        <f t="shared" si="130"/>
        <v>-</v>
      </c>
      <c r="BA23" s="12" t="str">
        <f t="shared" si="130"/>
        <v>-</v>
      </c>
      <c r="BB23" s="12" t="str">
        <f t="shared" si="130"/>
        <v>-</v>
      </c>
      <c r="BC23" s="12" t="str">
        <f t="shared" si="130"/>
        <v>-</v>
      </c>
      <c r="BD23" s="12" t="str">
        <f t="shared" si="130"/>
        <v>-</v>
      </c>
      <c r="BE23" s="12" t="str">
        <f t="shared" si="130"/>
        <v>-</v>
      </c>
      <c r="BF23" s="12" t="str">
        <f t="shared" si="130"/>
        <v>-</v>
      </c>
      <c r="BG23" s="12" t="str">
        <f t="shared" si="130"/>
        <v>-</v>
      </c>
      <c r="BH23" s="12" t="str">
        <f t="shared" si="130"/>
        <v>-</v>
      </c>
      <c r="BI23" s="12" t="str">
        <f t="shared" si="130"/>
        <v>-</v>
      </c>
      <c r="BJ23" s="12" t="str">
        <f t="shared" si="130"/>
        <v>-</v>
      </c>
      <c r="BK23" s="12" t="str">
        <f t="shared" si="130"/>
        <v>-</v>
      </c>
      <c r="BL23" s="12" t="str">
        <f t="shared" si="130"/>
        <v>-</v>
      </c>
      <c r="BM23" s="12" t="str">
        <f t="shared" si="130"/>
        <v>-</v>
      </c>
      <c r="BN23" s="12" t="str">
        <f t="shared" si="130"/>
        <v>-</v>
      </c>
      <c r="BO23" s="12" t="str">
        <f t="shared" si="130"/>
        <v>-</v>
      </c>
      <c r="BP23" s="12" t="str">
        <f t="shared" si="130"/>
        <v>-</v>
      </c>
      <c r="BQ23" s="12" t="str">
        <f t="shared" si="130"/>
        <v>-</v>
      </c>
      <c r="BR23" s="12" t="str">
        <f t="shared" si="130"/>
        <v>-</v>
      </c>
      <c r="BS23" s="12" t="str">
        <f t="shared" si="130"/>
        <v>-</v>
      </c>
      <c r="BT23" s="12" t="str">
        <f t="shared" si="130"/>
        <v>-</v>
      </c>
      <c r="BU23" s="12" t="str">
        <f t="shared" si="130"/>
        <v>-</v>
      </c>
      <c r="BV23" s="12" t="str">
        <f t="shared" si="130"/>
        <v>-</v>
      </c>
      <c r="BW23" s="12" t="str">
        <f t="shared" ref="BW23:DF23" si="131">IF(ISNUMBER(MATCH(BW57,$H$35:$H$49,0)),$D$2,IF(ISNUMBER(MATCH(BW57,$H$55:$H$62,0)),$E$2,IF(ISNUMBER(MATCH(BW57,$H$6:$H$34,0)),$C$2,$B$2)))</f>
        <v>-</v>
      </c>
      <c r="BX23" s="12" t="str">
        <f t="shared" si="131"/>
        <v>-</v>
      </c>
      <c r="BY23" s="12" t="str">
        <f t="shared" si="131"/>
        <v>-</v>
      </c>
      <c r="BZ23" s="12" t="str">
        <f t="shared" si="131"/>
        <v>-</v>
      </c>
      <c r="CA23" s="12" t="str">
        <f t="shared" si="131"/>
        <v>-</v>
      </c>
      <c r="CB23" s="12" t="str">
        <f t="shared" si="131"/>
        <v>-</v>
      </c>
      <c r="CC23" s="12" t="str">
        <f t="shared" si="131"/>
        <v>-</v>
      </c>
      <c r="CD23" s="12" t="str">
        <f t="shared" si="131"/>
        <v>-</v>
      </c>
      <c r="CE23" s="12" t="str">
        <f t="shared" si="131"/>
        <v>-</v>
      </c>
      <c r="CF23" s="12" t="str">
        <f t="shared" si="131"/>
        <v>-</v>
      </c>
      <c r="CG23" s="12" t="str">
        <f t="shared" si="131"/>
        <v>-</v>
      </c>
      <c r="CH23" s="12" t="str">
        <f t="shared" si="131"/>
        <v>-</v>
      </c>
      <c r="CI23" s="12" t="str">
        <f t="shared" si="131"/>
        <v>-</v>
      </c>
      <c r="CJ23" s="12" t="str">
        <f t="shared" si="131"/>
        <v>-</v>
      </c>
      <c r="CK23" s="12" t="str">
        <f t="shared" si="131"/>
        <v>-</v>
      </c>
      <c r="CL23" s="12" t="str">
        <f t="shared" si="131"/>
        <v>-</v>
      </c>
      <c r="CM23" s="12" t="str">
        <f t="shared" si="131"/>
        <v>-</v>
      </c>
      <c r="CN23" s="12" t="str">
        <f t="shared" si="131"/>
        <v>-</v>
      </c>
      <c r="CO23" s="12" t="str">
        <f t="shared" si="131"/>
        <v>-</v>
      </c>
      <c r="CP23" s="12" t="str">
        <f t="shared" si="131"/>
        <v>-</v>
      </c>
      <c r="CQ23" s="12" t="str">
        <f t="shared" si="131"/>
        <v>-</v>
      </c>
      <c r="CR23" s="12" t="str">
        <f t="shared" si="131"/>
        <v>-</v>
      </c>
      <c r="CS23" s="12" t="str">
        <f t="shared" si="131"/>
        <v>-</v>
      </c>
      <c r="CT23" s="12" t="str">
        <f t="shared" si="131"/>
        <v>-</v>
      </c>
      <c r="CU23" s="12" t="str">
        <f t="shared" si="131"/>
        <v>-</v>
      </c>
      <c r="CV23" s="12" t="str">
        <f t="shared" si="131"/>
        <v>-</v>
      </c>
      <c r="CW23" s="12" t="str">
        <f t="shared" si="131"/>
        <v>-</v>
      </c>
      <c r="CX23" s="12" t="str">
        <f t="shared" si="131"/>
        <v>-</v>
      </c>
      <c r="CY23" s="12" t="str">
        <f t="shared" si="131"/>
        <v>-</v>
      </c>
      <c r="CZ23" s="12" t="str">
        <f t="shared" si="131"/>
        <v>-</v>
      </c>
      <c r="DA23" s="12" t="str">
        <f t="shared" si="131"/>
        <v>-</v>
      </c>
      <c r="DB23" s="12" t="str">
        <f t="shared" si="131"/>
        <v>-</v>
      </c>
      <c r="DC23" s="12" t="str">
        <f t="shared" si="131"/>
        <v>-</v>
      </c>
      <c r="DD23" s="12" t="str">
        <f t="shared" si="131"/>
        <v>-</v>
      </c>
      <c r="DE23" s="12" t="str">
        <f t="shared" si="131"/>
        <v>-</v>
      </c>
      <c r="DF23" s="12">
        <f t="shared" si="131"/>
        <v>-1</v>
      </c>
      <c r="DG23" s="16">
        <f t="shared" si="78"/>
        <v>18</v>
      </c>
      <c r="DH23" s="1"/>
      <c r="DI23" s="63">
        <v>6.6666600000000003</v>
      </c>
      <c r="DJ23" s="63">
        <v>6.6663100000000002</v>
      </c>
      <c r="DK23" s="63">
        <v>6.6656000000000004</v>
      </c>
      <c r="DL23" s="63">
        <v>6.6645300000000001</v>
      </c>
      <c r="DM23" s="63">
        <v>6.6631099999999996</v>
      </c>
      <c r="DN23" s="63">
        <v>6.6613300000000004</v>
      </c>
      <c r="DO23" s="63">
        <v>6.6592000000000002</v>
      </c>
      <c r="DP23" s="63">
        <v>6.6567100000000003</v>
      </c>
      <c r="DQ23" s="63">
        <v>6.6538700000000004</v>
      </c>
      <c r="DR23" s="63">
        <v>6.6506699999999999</v>
      </c>
      <c r="DS23" s="63">
        <v>6.6471200000000001</v>
      </c>
      <c r="DT23" s="63">
        <v>6.6432000000000002</v>
      </c>
      <c r="DU23" s="63">
        <v>6.6389399999999998</v>
      </c>
      <c r="DV23" s="63">
        <v>6.6343100000000002</v>
      </c>
      <c r="DW23" s="63">
        <v>6.6293300000000004</v>
      </c>
      <c r="DX23" s="63">
        <v>6.62399</v>
      </c>
      <c r="DY23" s="63">
        <v>6.6182999999999996</v>
      </c>
      <c r="DZ23" s="63">
        <v>6.6122500000000004</v>
      </c>
      <c r="EA23" s="63">
        <v>6.6058399999999997</v>
      </c>
      <c r="EB23" s="63">
        <v>6.5990700000000002</v>
      </c>
      <c r="EC23" s="63">
        <v>6.5919400000000001</v>
      </c>
      <c r="ED23" s="63">
        <v>6.58446</v>
      </c>
      <c r="EE23" s="63">
        <v>6.5766499999999999</v>
      </c>
      <c r="EF23" s="63">
        <v>6.5687199999999999</v>
      </c>
      <c r="EG23" s="63">
        <v>6.5223899999999997</v>
      </c>
      <c r="EH23" s="63">
        <v>6.4598899999999997</v>
      </c>
      <c r="EI23" s="63">
        <v>6.3954399999999998</v>
      </c>
      <c r="EJ23" s="63">
        <v>6.3278499999999998</v>
      </c>
      <c r="EK23" s="63">
        <v>6.25685</v>
      </c>
      <c r="EL23" s="63">
        <v>6.18262</v>
      </c>
      <c r="EM23" s="63">
        <v>6.1048600000000004</v>
      </c>
      <c r="EN23" s="63">
        <v>6.02332</v>
      </c>
      <c r="EO23" s="63">
        <v>5.9380499999999996</v>
      </c>
      <c r="EP23" s="63">
        <v>5.8488300000000004</v>
      </c>
      <c r="EQ23" s="63">
        <v>5.7551100000000002</v>
      </c>
      <c r="ER23" s="63">
        <v>5.6562000000000001</v>
      </c>
      <c r="ES23" s="63">
        <v>5.5789600000000004</v>
      </c>
      <c r="ET23" s="63">
        <v>5.5656999999999996</v>
      </c>
      <c r="EU23" s="63">
        <v>5.5518599999999996</v>
      </c>
      <c r="EV23" s="63">
        <v>5.5376300000000001</v>
      </c>
      <c r="EW23" s="63">
        <v>5.5230300000000003</v>
      </c>
      <c r="EX23" s="63">
        <v>5.5080600000000004</v>
      </c>
      <c r="EY23" s="63">
        <v>5.4927200000000003</v>
      </c>
      <c r="EZ23" s="63">
        <v>5.4770099999999999</v>
      </c>
      <c r="FA23" s="63">
        <v>5.4609399999999999</v>
      </c>
      <c r="FB23" s="63">
        <v>5.4444900000000001</v>
      </c>
      <c r="FC23" s="63">
        <v>5.42767</v>
      </c>
      <c r="FD23" s="63">
        <v>5.4104700000000001</v>
      </c>
      <c r="FE23" s="63">
        <v>5.3929099999999996</v>
      </c>
      <c r="FF23" s="63">
        <v>5.375</v>
      </c>
      <c r="FG23" s="64">
        <f t="shared" si="72"/>
        <v>18</v>
      </c>
      <c r="FH23" s="1"/>
      <c r="FI23" s="75">
        <f>IF(ISNUMBER(MATCH(FJ23,$FP$8:$FP$13,0)),MAX(FI$7:FI22)+1,0)</f>
        <v>0</v>
      </c>
      <c r="FJ23" s="79">
        <f t="shared" si="84"/>
        <v>584</v>
      </c>
      <c r="FK23" s="82">
        <f t="shared" si="85"/>
        <v>591</v>
      </c>
      <c r="FL23" s="73">
        <f t="shared" si="94"/>
        <v>36.5</v>
      </c>
      <c r="FM23" s="1"/>
      <c r="FN23" s="16" t="str">
        <f t="shared" si="86"/>
        <v/>
      </c>
      <c r="FO23" s="30" t="str">
        <f t="shared" si="79"/>
        <v/>
      </c>
      <c r="FP23" s="73" t="str">
        <f t="shared" si="87"/>
        <v/>
      </c>
      <c r="FQ23" s="75" t="str">
        <f t="shared" si="80"/>
        <v/>
      </c>
      <c r="FR23" s="2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ht="5.45" customHeight="1" x14ac:dyDescent="0.25">
      <c r="A24" s="3">
        <f t="shared" si="73"/>
        <v>19</v>
      </c>
      <c r="B24" s="10">
        <f t="shared" si="128"/>
        <v>19</v>
      </c>
      <c r="C24" s="10">
        <v>0</v>
      </c>
      <c r="D24" s="10">
        <f t="shared" si="67"/>
        <v>0</v>
      </c>
      <c r="E24" s="10">
        <f t="shared" si="74"/>
        <v>500</v>
      </c>
      <c r="F24" s="10">
        <v>0</v>
      </c>
      <c r="G24" s="27" t="s">
        <v>45</v>
      </c>
      <c r="H24" s="11" t="str">
        <f t="shared" si="63"/>
        <v>1,20</v>
      </c>
      <c r="I24" s="1"/>
      <c r="J24" s="16">
        <f t="shared" si="68"/>
        <v>19</v>
      </c>
      <c r="K24" s="12">
        <f t="shared" ref="K24:AP24" si="132">IF(ISNUMBER(MATCH(K58,$H$35:$H$49,0)),$D$2,IF(ISNUMBER(MATCH(K58,$H$55:$H$62,0)),$E$2,IF(ISNUMBER(MATCH(K58,$H$6:$H$34,0)),$C$2,$B$2)))</f>
        <v>1</v>
      </c>
      <c r="L24" s="12" t="str">
        <f t="shared" si="132"/>
        <v>-</v>
      </c>
      <c r="M24" s="12" t="str">
        <f t="shared" si="132"/>
        <v>-</v>
      </c>
      <c r="N24" s="12" t="str">
        <f t="shared" si="132"/>
        <v>-</v>
      </c>
      <c r="O24" s="12" t="str">
        <f t="shared" si="132"/>
        <v>-</v>
      </c>
      <c r="P24" s="12" t="str">
        <f t="shared" si="132"/>
        <v>-</v>
      </c>
      <c r="Q24" s="12" t="str">
        <f t="shared" si="132"/>
        <v>-</v>
      </c>
      <c r="R24" s="12" t="str">
        <f t="shared" si="132"/>
        <v>-</v>
      </c>
      <c r="S24" s="12" t="str">
        <f t="shared" si="132"/>
        <v>-</v>
      </c>
      <c r="T24" s="12" t="str">
        <f t="shared" si="132"/>
        <v>-</v>
      </c>
      <c r="U24" s="12" t="str">
        <f t="shared" si="132"/>
        <v>-</v>
      </c>
      <c r="V24" s="12" t="str">
        <f t="shared" si="132"/>
        <v>-</v>
      </c>
      <c r="W24" s="12" t="str">
        <f t="shared" si="132"/>
        <v>-</v>
      </c>
      <c r="X24" s="12" t="str">
        <f t="shared" si="132"/>
        <v>-</v>
      </c>
      <c r="Y24" s="12" t="str">
        <f t="shared" si="132"/>
        <v>-</v>
      </c>
      <c r="Z24" s="12" t="str">
        <f t="shared" si="132"/>
        <v>-</v>
      </c>
      <c r="AA24" s="12" t="str">
        <f t="shared" si="132"/>
        <v>-</v>
      </c>
      <c r="AB24" s="12" t="str">
        <f t="shared" si="132"/>
        <v>-</v>
      </c>
      <c r="AC24" s="12" t="str">
        <f t="shared" si="132"/>
        <v>-</v>
      </c>
      <c r="AD24" s="12" t="str">
        <f t="shared" si="132"/>
        <v>-</v>
      </c>
      <c r="AE24" s="12" t="str">
        <f t="shared" si="132"/>
        <v>-</v>
      </c>
      <c r="AF24" s="12" t="str">
        <f t="shared" si="132"/>
        <v>-</v>
      </c>
      <c r="AG24" s="12" t="str">
        <f t="shared" si="132"/>
        <v>-</v>
      </c>
      <c r="AH24" s="12" t="str">
        <f t="shared" si="132"/>
        <v>-</v>
      </c>
      <c r="AI24" s="12" t="str">
        <f t="shared" si="132"/>
        <v>-</v>
      </c>
      <c r="AJ24" s="12" t="str">
        <f t="shared" si="132"/>
        <v>-</v>
      </c>
      <c r="AK24" s="12" t="str">
        <f t="shared" si="132"/>
        <v>-</v>
      </c>
      <c r="AL24" s="12" t="str">
        <f t="shared" si="132"/>
        <v>-</v>
      </c>
      <c r="AM24" s="12" t="str">
        <f t="shared" si="132"/>
        <v>-</v>
      </c>
      <c r="AN24" s="12" t="str">
        <f t="shared" si="132"/>
        <v>-</v>
      </c>
      <c r="AO24" s="12" t="str">
        <f t="shared" si="132"/>
        <v>-</v>
      </c>
      <c r="AP24" s="12" t="str">
        <f t="shared" si="132"/>
        <v>-</v>
      </c>
      <c r="AQ24" s="12" t="str">
        <f t="shared" ref="AQ24:BV24" si="133">IF(ISNUMBER(MATCH(AQ58,$H$35:$H$49,0)),$D$2,IF(ISNUMBER(MATCH(AQ58,$H$55:$H$62,0)),$E$2,IF(ISNUMBER(MATCH(AQ58,$H$6:$H$34,0)),$C$2,$B$2)))</f>
        <v>-</v>
      </c>
      <c r="AR24" s="12" t="str">
        <f t="shared" si="133"/>
        <v>-</v>
      </c>
      <c r="AS24" s="12" t="str">
        <f t="shared" si="133"/>
        <v>-</v>
      </c>
      <c r="AT24" s="12" t="str">
        <f t="shared" si="133"/>
        <v>-</v>
      </c>
      <c r="AU24" s="12" t="str">
        <f t="shared" si="133"/>
        <v>-</v>
      </c>
      <c r="AV24" s="12" t="str">
        <f t="shared" si="133"/>
        <v>-</v>
      </c>
      <c r="AW24" s="12" t="str">
        <f t="shared" si="133"/>
        <v>-</v>
      </c>
      <c r="AX24" s="12" t="str">
        <f t="shared" si="133"/>
        <v>-</v>
      </c>
      <c r="AY24" s="12" t="str">
        <f t="shared" si="133"/>
        <v>-</v>
      </c>
      <c r="AZ24" s="12" t="str">
        <f t="shared" si="133"/>
        <v>-</v>
      </c>
      <c r="BA24" s="12" t="str">
        <f t="shared" si="133"/>
        <v>-</v>
      </c>
      <c r="BB24" s="12" t="str">
        <f t="shared" si="133"/>
        <v>-</v>
      </c>
      <c r="BC24" s="12" t="str">
        <f t="shared" si="133"/>
        <v>-</v>
      </c>
      <c r="BD24" s="12" t="str">
        <f t="shared" si="133"/>
        <v>-</v>
      </c>
      <c r="BE24" s="12" t="str">
        <f t="shared" si="133"/>
        <v>-</v>
      </c>
      <c r="BF24" s="12" t="str">
        <f t="shared" si="133"/>
        <v>-</v>
      </c>
      <c r="BG24" s="12" t="str">
        <f t="shared" si="133"/>
        <v>-</v>
      </c>
      <c r="BH24" s="12" t="str">
        <f t="shared" si="133"/>
        <v>-</v>
      </c>
      <c r="BI24" s="12" t="str">
        <f t="shared" si="133"/>
        <v>-</v>
      </c>
      <c r="BJ24" s="12" t="str">
        <f t="shared" si="133"/>
        <v>-</v>
      </c>
      <c r="BK24" s="12" t="str">
        <f t="shared" si="133"/>
        <v>-</v>
      </c>
      <c r="BL24" s="12" t="str">
        <f t="shared" si="133"/>
        <v>-</v>
      </c>
      <c r="BM24" s="12" t="str">
        <f t="shared" si="133"/>
        <v>-</v>
      </c>
      <c r="BN24" s="12" t="str">
        <f t="shared" si="133"/>
        <v>-</v>
      </c>
      <c r="BO24" s="12" t="str">
        <f t="shared" si="133"/>
        <v>-</v>
      </c>
      <c r="BP24" s="12" t="str">
        <f t="shared" si="133"/>
        <v>-</v>
      </c>
      <c r="BQ24" s="12" t="str">
        <f t="shared" si="133"/>
        <v>-</v>
      </c>
      <c r="BR24" s="12" t="str">
        <f t="shared" si="133"/>
        <v>-</v>
      </c>
      <c r="BS24" s="12" t="str">
        <f t="shared" si="133"/>
        <v>-</v>
      </c>
      <c r="BT24" s="12" t="str">
        <f t="shared" si="133"/>
        <v>-</v>
      </c>
      <c r="BU24" s="12" t="str">
        <f t="shared" si="133"/>
        <v>-</v>
      </c>
      <c r="BV24" s="12" t="str">
        <f t="shared" si="133"/>
        <v>-</v>
      </c>
      <c r="BW24" s="12" t="str">
        <f t="shared" ref="BW24:DF24" si="134">IF(ISNUMBER(MATCH(BW58,$H$35:$H$49,0)),$D$2,IF(ISNUMBER(MATCH(BW58,$H$55:$H$62,0)),$E$2,IF(ISNUMBER(MATCH(BW58,$H$6:$H$34,0)),$C$2,$B$2)))</f>
        <v>-</v>
      </c>
      <c r="BX24" s="12" t="str">
        <f t="shared" si="134"/>
        <v>-</v>
      </c>
      <c r="BY24" s="12" t="str">
        <f t="shared" si="134"/>
        <v>-</v>
      </c>
      <c r="BZ24" s="12" t="str">
        <f t="shared" si="134"/>
        <v>-</v>
      </c>
      <c r="CA24" s="12" t="str">
        <f t="shared" si="134"/>
        <v>-</v>
      </c>
      <c r="CB24" s="12" t="str">
        <f t="shared" si="134"/>
        <v>-</v>
      </c>
      <c r="CC24" s="12" t="str">
        <f t="shared" si="134"/>
        <v>-</v>
      </c>
      <c r="CD24" s="12" t="str">
        <f t="shared" si="134"/>
        <v>-</v>
      </c>
      <c r="CE24" s="12" t="str">
        <f t="shared" si="134"/>
        <v>-</v>
      </c>
      <c r="CF24" s="12" t="str">
        <f t="shared" si="134"/>
        <v>-</v>
      </c>
      <c r="CG24" s="12" t="str">
        <f t="shared" si="134"/>
        <v>-</v>
      </c>
      <c r="CH24" s="12" t="str">
        <f t="shared" si="134"/>
        <v>-</v>
      </c>
      <c r="CI24" s="12" t="str">
        <f t="shared" si="134"/>
        <v>-</v>
      </c>
      <c r="CJ24" s="12" t="str">
        <f t="shared" si="134"/>
        <v>-</v>
      </c>
      <c r="CK24" s="12" t="str">
        <f t="shared" si="134"/>
        <v>-</v>
      </c>
      <c r="CL24" s="12" t="str">
        <f t="shared" si="134"/>
        <v>-</v>
      </c>
      <c r="CM24" s="12" t="str">
        <f t="shared" si="134"/>
        <v>-</v>
      </c>
      <c r="CN24" s="12" t="str">
        <f t="shared" si="134"/>
        <v>-</v>
      </c>
      <c r="CO24" s="12" t="str">
        <f t="shared" si="134"/>
        <v>-</v>
      </c>
      <c r="CP24" s="12" t="str">
        <f t="shared" si="134"/>
        <v>-</v>
      </c>
      <c r="CQ24" s="12" t="str">
        <f t="shared" si="134"/>
        <v>-</v>
      </c>
      <c r="CR24" s="12" t="str">
        <f t="shared" si="134"/>
        <v>-</v>
      </c>
      <c r="CS24" s="12" t="str">
        <f t="shared" si="134"/>
        <v>-</v>
      </c>
      <c r="CT24" s="12" t="str">
        <f t="shared" si="134"/>
        <v>-</v>
      </c>
      <c r="CU24" s="12" t="str">
        <f t="shared" si="134"/>
        <v>-</v>
      </c>
      <c r="CV24" s="12" t="str">
        <f t="shared" si="134"/>
        <v>-</v>
      </c>
      <c r="CW24" s="12" t="str">
        <f t="shared" si="134"/>
        <v>-</v>
      </c>
      <c r="CX24" s="12" t="str">
        <f t="shared" si="134"/>
        <v>-</v>
      </c>
      <c r="CY24" s="12" t="str">
        <f t="shared" si="134"/>
        <v>-</v>
      </c>
      <c r="CZ24" s="12" t="str">
        <f t="shared" si="134"/>
        <v>-</v>
      </c>
      <c r="DA24" s="12" t="str">
        <f t="shared" si="134"/>
        <v>-</v>
      </c>
      <c r="DB24" s="12" t="str">
        <f t="shared" si="134"/>
        <v>-</v>
      </c>
      <c r="DC24" s="12" t="str">
        <f t="shared" si="134"/>
        <v>-</v>
      </c>
      <c r="DD24" s="12" t="str">
        <f t="shared" si="134"/>
        <v>-</v>
      </c>
      <c r="DE24" s="12" t="str">
        <f t="shared" si="134"/>
        <v>-</v>
      </c>
      <c r="DF24" s="12">
        <f t="shared" si="134"/>
        <v>-1</v>
      </c>
      <c r="DG24" s="16">
        <f t="shared" si="78"/>
        <v>19</v>
      </c>
      <c r="DH24" s="1"/>
      <c r="DI24" s="63">
        <v>6.6666600000000003</v>
      </c>
      <c r="DJ24" s="63">
        <v>6.6662999999999997</v>
      </c>
      <c r="DK24" s="63">
        <v>6.6655899999999999</v>
      </c>
      <c r="DL24" s="63">
        <v>6.6645300000000001</v>
      </c>
      <c r="DM24" s="63">
        <v>6.6631099999999996</v>
      </c>
      <c r="DN24" s="63">
        <v>6.6613300000000004</v>
      </c>
      <c r="DO24" s="63">
        <v>6.6592000000000002</v>
      </c>
      <c r="DP24" s="63">
        <v>6.6567100000000003</v>
      </c>
      <c r="DQ24" s="63">
        <v>6.6538700000000004</v>
      </c>
      <c r="DR24" s="63">
        <v>6.6506699999999999</v>
      </c>
      <c r="DS24" s="63">
        <v>6.6471099999999996</v>
      </c>
      <c r="DT24" s="63">
        <v>6.6432000000000002</v>
      </c>
      <c r="DU24" s="63">
        <v>6.6389300000000002</v>
      </c>
      <c r="DV24" s="63">
        <v>6.6343100000000002</v>
      </c>
      <c r="DW24" s="63">
        <v>6.6293300000000004</v>
      </c>
      <c r="DX24" s="63">
        <v>6.62399</v>
      </c>
      <c r="DY24" s="63">
        <v>6.6182999999999996</v>
      </c>
      <c r="DZ24" s="63">
        <v>6.6122399999999999</v>
      </c>
      <c r="EA24" s="63">
        <v>6.6058300000000001</v>
      </c>
      <c r="EB24" s="63">
        <v>6.5990700000000002</v>
      </c>
      <c r="EC24" s="63">
        <v>6.5919400000000001</v>
      </c>
      <c r="ED24" s="63">
        <v>6.58446</v>
      </c>
      <c r="EE24" s="63">
        <v>6.5766400000000003</v>
      </c>
      <c r="EF24" s="63">
        <v>6.5687100000000003</v>
      </c>
      <c r="EG24" s="63">
        <v>6.5222499999999997</v>
      </c>
      <c r="EH24" s="63">
        <v>6.4598300000000002</v>
      </c>
      <c r="EI24" s="63">
        <v>6.3953699999999998</v>
      </c>
      <c r="EJ24" s="63">
        <v>6.3277700000000001</v>
      </c>
      <c r="EK24" s="63">
        <v>6.2567700000000004</v>
      </c>
      <c r="EL24" s="63">
        <v>6.1825400000000004</v>
      </c>
      <c r="EM24" s="63">
        <v>6.1047799999999999</v>
      </c>
      <c r="EN24" s="63">
        <v>6.0232299999999999</v>
      </c>
      <c r="EO24" s="63">
        <v>5.9379600000000003</v>
      </c>
      <c r="EP24" s="63">
        <v>5.8487299999999998</v>
      </c>
      <c r="EQ24" s="63">
        <v>5.75502</v>
      </c>
      <c r="ER24" s="63">
        <v>5.65632</v>
      </c>
      <c r="ES24" s="63">
        <v>5.5789799999999996</v>
      </c>
      <c r="ET24" s="63">
        <v>5.5656999999999996</v>
      </c>
      <c r="EU24" s="63">
        <v>5.55185</v>
      </c>
      <c r="EV24" s="63">
        <v>5.5376200000000004</v>
      </c>
      <c r="EW24" s="63">
        <v>5.5230300000000003</v>
      </c>
      <c r="EX24" s="63">
        <v>5.5080600000000004</v>
      </c>
      <c r="EY24" s="63">
        <v>5.4927200000000003</v>
      </c>
      <c r="EZ24" s="63">
        <v>5.4770099999999999</v>
      </c>
      <c r="FA24" s="63">
        <v>5.4609300000000003</v>
      </c>
      <c r="FB24" s="63">
        <v>5.4444900000000001</v>
      </c>
      <c r="FC24" s="63">
        <v>5.4276600000000004</v>
      </c>
      <c r="FD24" s="63">
        <v>5.4104700000000001</v>
      </c>
      <c r="FE24" s="63">
        <v>5.3929099999999996</v>
      </c>
      <c r="FF24" s="63">
        <v>5.375</v>
      </c>
      <c r="FG24" s="64">
        <f t="shared" si="72"/>
        <v>19</v>
      </c>
      <c r="FH24" s="1"/>
      <c r="FI24" s="75">
        <f>IF(ISNUMBER(MATCH(FJ24,$FP$8:$FP$13,0)),MAX(FI$7:FI23)+1,0)</f>
        <v>0</v>
      </c>
      <c r="FJ24" s="79">
        <f t="shared" si="84"/>
        <v>620.5</v>
      </c>
      <c r="FK24" s="82">
        <f t="shared" si="85"/>
        <v>628</v>
      </c>
      <c r="FL24" s="73">
        <f t="shared" si="94"/>
        <v>36.5</v>
      </c>
      <c r="FM24" s="1"/>
      <c r="FN24" s="16" t="str">
        <f t="shared" si="86"/>
        <v/>
      </c>
      <c r="FO24" s="30" t="str">
        <f t="shared" si="79"/>
        <v/>
      </c>
      <c r="FP24" s="73" t="str">
        <f t="shared" si="87"/>
        <v/>
      </c>
      <c r="FQ24" s="75" t="str">
        <f t="shared" si="80"/>
        <v/>
      </c>
      <c r="FR24" s="2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ht="5.45" customHeight="1" x14ac:dyDescent="0.25">
      <c r="A25" s="3">
        <f t="shared" si="73"/>
        <v>20</v>
      </c>
      <c r="B25" s="10">
        <f t="shared" si="128"/>
        <v>20</v>
      </c>
      <c r="C25" s="10">
        <v>0</v>
      </c>
      <c r="D25" s="10">
        <f t="shared" si="67"/>
        <v>0</v>
      </c>
      <c r="E25" s="10">
        <f t="shared" si="74"/>
        <v>500</v>
      </c>
      <c r="F25" s="10">
        <v>0</v>
      </c>
      <c r="G25" s="27" t="s">
        <v>45</v>
      </c>
      <c r="H25" s="11" t="str">
        <f t="shared" si="63"/>
        <v>1,21</v>
      </c>
      <c r="I25" s="1"/>
      <c r="J25" s="16">
        <f t="shared" si="68"/>
        <v>20</v>
      </c>
      <c r="K25" s="12">
        <f t="shared" ref="K25:AP25" si="135">IF(ISNUMBER(MATCH(K59,$H$35:$H$49,0)),$D$2,IF(ISNUMBER(MATCH(K59,$H$55:$H$62,0)),$E$2,IF(ISNUMBER(MATCH(K59,$H$6:$H$34,0)),$C$2,$B$2)))</f>
        <v>1</v>
      </c>
      <c r="L25" s="12" t="str">
        <f t="shared" si="135"/>
        <v>-</v>
      </c>
      <c r="M25" s="12" t="str">
        <f t="shared" si="135"/>
        <v>-</v>
      </c>
      <c r="N25" s="12" t="str">
        <f t="shared" si="135"/>
        <v>-</v>
      </c>
      <c r="O25" s="12" t="str">
        <f t="shared" si="135"/>
        <v>-</v>
      </c>
      <c r="P25" s="12" t="str">
        <f t="shared" si="135"/>
        <v>-</v>
      </c>
      <c r="Q25" s="12" t="str">
        <f t="shared" si="135"/>
        <v>-</v>
      </c>
      <c r="R25" s="12" t="str">
        <f t="shared" si="135"/>
        <v>-</v>
      </c>
      <c r="S25" s="12" t="str">
        <f t="shared" si="135"/>
        <v>-</v>
      </c>
      <c r="T25" s="12" t="str">
        <f t="shared" si="135"/>
        <v>-</v>
      </c>
      <c r="U25" s="12" t="str">
        <f t="shared" si="135"/>
        <v>-</v>
      </c>
      <c r="V25" s="12" t="str">
        <f t="shared" si="135"/>
        <v>-</v>
      </c>
      <c r="W25" s="12" t="str">
        <f t="shared" si="135"/>
        <v>-</v>
      </c>
      <c r="X25" s="12" t="str">
        <f t="shared" si="135"/>
        <v>-</v>
      </c>
      <c r="Y25" s="12" t="str">
        <f t="shared" si="135"/>
        <v>-</v>
      </c>
      <c r="Z25" s="12" t="str">
        <f t="shared" si="135"/>
        <v>-</v>
      </c>
      <c r="AA25" s="12" t="str">
        <f t="shared" si="135"/>
        <v>-</v>
      </c>
      <c r="AB25" s="12" t="str">
        <f t="shared" si="135"/>
        <v>-</v>
      </c>
      <c r="AC25" s="12" t="str">
        <f t="shared" si="135"/>
        <v>-</v>
      </c>
      <c r="AD25" s="12" t="str">
        <f t="shared" si="135"/>
        <v>-</v>
      </c>
      <c r="AE25" s="12" t="str">
        <f t="shared" si="135"/>
        <v>-</v>
      </c>
      <c r="AF25" s="12" t="str">
        <f t="shared" si="135"/>
        <v>-</v>
      </c>
      <c r="AG25" s="12" t="str">
        <f t="shared" si="135"/>
        <v>-</v>
      </c>
      <c r="AH25" s="12" t="str">
        <f t="shared" si="135"/>
        <v>-</v>
      </c>
      <c r="AI25" s="12" t="str">
        <f t="shared" si="135"/>
        <v>-</v>
      </c>
      <c r="AJ25" s="12" t="str">
        <f t="shared" si="135"/>
        <v>-</v>
      </c>
      <c r="AK25" s="12" t="str">
        <f t="shared" si="135"/>
        <v>-</v>
      </c>
      <c r="AL25" s="12" t="str">
        <f t="shared" si="135"/>
        <v>-</v>
      </c>
      <c r="AM25" s="12" t="str">
        <f t="shared" si="135"/>
        <v>-</v>
      </c>
      <c r="AN25" s="12" t="str">
        <f t="shared" si="135"/>
        <v>-</v>
      </c>
      <c r="AO25" s="12" t="str">
        <f t="shared" si="135"/>
        <v>-</v>
      </c>
      <c r="AP25" s="12" t="str">
        <f t="shared" si="135"/>
        <v>-</v>
      </c>
      <c r="AQ25" s="12" t="str">
        <f t="shared" ref="AQ25:BV25" si="136">IF(ISNUMBER(MATCH(AQ59,$H$35:$H$49,0)),$D$2,IF(ISNUMBER(MATCH(AQ59,$H$55:$H$62,0)),$E$2,IF(ISNUMBER(MATCH(AQ59,$H$6:$H$34,0)),$C$2,$B$2)))</f>
        <v>-</v>
      </c>
      <c r="AR25" s="12" t="str">
        <f t="shared" si="136"/>
        <v>-</v>
      </c>
      <c r="AS25" s="12" t="str">
        <f t="shared" si="136"/>
        <v>-</v>
      </c>
      <c r="AT25" s="12" t="str">
        <f t="shared" si="136"/>
        <v>-</v>
      </c>
      <c r="AU25" s="12" t="str">
        <f t="shared" si="136"/>
        <v>-</v>
      </c>
      <c r="AV25" s="12" t="str">
        <f t="shared" si="136"/>
        <v>-</v>
      </c>
      <c r="AW25" s="12" t="str">
        <f t="shared" si="136"/>
        <v>-</v>
      </c>
      <c r="AX25" s="12" t="str">
        <f t="shared" si="136"/>
        <v>-</v>
      </c>
      <c r="AY25" s="12" t="str">
        <f t="shared" si="136"/>
        <v>-</v>
      </c>
      <c r="AZ25" s="12" t="str">
        <f t="shared" si="136"/>
        <v>-</v>
      </c>
      <c r="BA25" s="12" t="str">
        <f t="shared" si="136"/>
        <v>-</v>
      </c>
      <c r="BB25" s="12" t="str">
        <f t="shared" si="136"/>
        <v>-</v>
      </c>
      <c r="BC25" s="12" t="str">
        <f t="shared" si="136"/>
        <v>-</v>
      </c>
      <c r="BD25" s="12" t="str">
        <f t="shared" si="136"/>
        <v>-</v>
      </c>
      <c r="BE25" s="12" t="str">
        <f t="shared" si="136"/>
        <v>-</v>
      </c>
      <c r="BF25" s="12" t="str">
        <f t="shared" si="136"/>
        <v>-</v>
      </c>
      <c r="BG25" s="12" t="str">
        <f t="shared" si="136"/>
        <v>-</v>
      </c>
      <c r="BH25" s="12" t="str">
        <f t="shared" si="136"/>
        <v>-</v>
      </c>
      <c r="BI25" s="12" t="str">
        <f t="shared" si="136"/>
        <v>-</v>
      </c>
      <c r="BJ25" s="12" t="str">
        <f t="shared" si="136"/>
        <v>-</v>
      </c>
      <c r="BK25" s="12" t="str">
        <f t="shared" si="136"/>
        <v>-</v>
      </c>
      <c r="BL25" s="12" t="str">
        <f t="shared" si="136"/>
        <v>-</v>
      </c>
      <c r="BM25" s="12" t="str">
        <f t="shared" si="136"/>
        <v>-</v>
      </c>
      <c r="BN25" s="12" t="str">
        <f t="shared" si="136"/>
        <v>-</v>
      </c>
      <c r="BO25" s="12" t="str">
        <f t="shared" si="136"/>
        <v>-</v>
      </c>
      <c r="BP25" s="12" t="str">
        <f t="shared" si="136"/>
        <v>-</v>
      </c>
      <c r="BQ25" s="12" t="str">
        <f t="shared" si="136"/>
        <v>-</v>
      </c>
      <c r="BR25" s="12" t="str">
        <f t="shared" si="136"/>
        <v>-</v>
      </c>
      <c r="BS25" s="12" t="str">
        <f t="shared" si="136"/>
        <v>-</v>
      </c>
      <c r="BT25" s="12" t="str">
        <f t="shared" si="136"/>
        <v>-</v>
      </c>
      <c r="BU25" s="12" t="str">
        <f t="shared" si="136"/>
        <v>-</v>
      </c>
      <c r="BV25" s="12" t="str">
        <f t="shared" si="136"/>
        <v>-</v>
      </c>
      <c r="BW25" s="12" t="str">
        <f t="shared" ref="BW25:DF25" si="137">IF(ISNUMBER(MATCH(BW59,$H$35:$H$49,0)),$D$2,IF(ISNUMBER(MATCH(BW59,$H$55:$H$62,0)),$E$2,IF(ISNUMBER(MATCH(BW59,$H$6:$H$34,0)),$C$2,$B$2)))</f>
        <v>-</v>
      </c>
      <c r="BX25" s="12" t="str">
        <f t="shared" si="137"/>
        <v>-</v>
      </c>
      <c r="BY25" s="12" t="str">
        <f t="shared" si="137"/>
        <v>-</v>
      </c>
      <c r="BZ25" s="12" t="str">
        <f t="shared" si="137"/>
        <v>-</v>
      </c>
      <c r="CA25" s="12" t="str">
        <f t="shared" si="137"/>
        <v>-</v>
      </c>
      <c r="CB25" s="12" t="str">
        <f t="shared" si="137"/>
        <v>-</v>
      </c>
      <c r="CC25" s="12" t="str">
        <f t="shared" si="137"/>
        <v>-</v>
      </c>
      <c r="CD25" s="12" t="str">
        <f t="shared" si="137"/>
        <v>-</v>
      </c>
      <c r="CE25" s="12" t="str">
        <f t="shared" si="137"/>
        <v>-</v>
      </c>
      <c r="CF25" s="12" t="str">
        <f t="shared" si="137"/>
        <v>-</v>
      </c>
      <c r="CG25" s="12" t="str">
        <f t="shared" si="137"/>
        <v>-</v>
      </c>
      <c r="CH25" s="12" t="str">
        <f t="shared" si="137"/>
        <v>-</v>
      </c>
      <c r="CI25" s="12" t="str">
        <f t="shared" si="137"/>
        <v>-</v>
      </c>
      <c r="CJ25" s="12" t="str">
        <f t="shared" si="137"/>
        <v>-</v>
      </c>
      <c r="CK25" s="12" t="str">
        <f t="shared" si="137"/>
        <v>-</v>
      </c>
      <c r="CL25" s="12" t="str">
        <f t="shared" si="137"/>
        <v>-</v>
      </c>
      <c r="CM25" s="12" t="str">
        <f t="shared" si="137"/>
        <v>-</v>
      </c>
      <c r="CN25" s="12" t="str">
        <f t="shared" si="137"/>
        <v>-</v>
      </c>
      <c r="CO25" s="12" t="str">
        <f t="shared" si="137"/>
        <v>-</v>
      </c>
      <c r="CP25" s="12" t="str">
        <f t="shared" si="137"/>
        <v>-</v>
      </c>
      <c r="CQ25" s="12" t="str">
        <f t="shared" si="137"/>
        <v>-</v>
      </c>
      <c r="CR25" s="12" t="str">
        <f t="shared" si="137"/>
        <v>-</v>
      </c>
      <c r="CS25" s="12" t="str">
        <f t="shared" si="137"/>
        <v>-</v>
      </c>
      <c r="CT25" s="12" t="str">
        <f t="shared" si="137"/>
        <v>-</v>
      </c>
      <c r="CU25" s="12" t="str">
        <f t="shared" si="137"/>
        <v>-</v>
      </c>
      <c r="CV25" s="12" t="str">
        <f t="shared" si="137"/>
        <v>-</v>
      </c>
      <c r="CW25" s="12" t="str">
        <f t="shared" si="137"/>
        <v>-</v>
      </c>
      <c r="CX25" s="12" t="str">
        <f t="shared" si="137"/>
        <v>-</v>
      </c>
      <c r="CY25" s="12" t="str">
        <f t="shared" si="137"/>
        <v>-</v>
      </c>
      <c r="CZ25" s="12" t="str">
        <f t="shared" si="137"/>
        <v>-</v>
      </c>
      <c r="DA25" s="12" t="str">
        <f t="shared" si="137"/>
        <v>-</v>
      </c>
      <c r="DB25" s="12" t="str">
        <f t="shared" si="137"/>
        <v>-</v>
      </c>
      <c r="DC25" s="12" t="str">
        <f t="shared" si="137"/>
        <v>-</v>
      </c>
      <c r="DD25" s="12" t="str">
        <f t="shared" si="137"/>
        <v>-</v>
      </c>
      <c r="DE25" s="12" t="str">
        <f t="shared" si="137"/>
        <v>-</v>
      </c>
      <c r="DF25" s="12">
        <f t="shared" si="137"/>
        <v>-1</v>
      </c>
      <c r="DG25" s="16">
        <f t="shared" si="78"/>
        <v>20</v>
      </c>
      <c r="DH25" s="1"/>
      <c r="DI25" s="63">
        <v>6.6666600000000003</v>
      </c>
      <c r="DJ25" s="63">
        <v>6.6662999999999997</v>
      </c>
      <c r="DK25" s="63">
        <v>6.6655899999999999</v>
      </c>
      <c r="DL25" s="63">
        <v>6.6645300000000001</v>
      </c>
      <c r="DM25" s="63">
        <v>6.6631099999999996</v>
      </c>
      <c r="DN25" s="63">
        <v>6.6613300000000004</v>
      </c>
      <c r="DO25" s="63">
        <v>6.6592000000000002</v>
      </c>
      <c r="DP25" s="63">
        <v>6.6567100000000003</v>
      </c>
      <c r="DQ25" s="63">
        <v>6.6538700000000004</v>
      </c>
      <c r="DR25" s="63">
        <v>6.6506699999999999</v>
      </c>
      <c r="DS25" s="63">
        <v>6.6471099999999996</v>
      </c>
      <c r="DT25" s="63">
        <v>6.6432000000000002</v>
      </c>
      <c r="DU25" s="63">
        <v>6.6389300000000002</v>
      </c>
      <c r="DV25" s="63">
        <v>6.6343100000000002</v>
      </c>
      <c r="DW25" s="63">
        <v>6.6293300000000004</v>
      </c>
      <c r="DX25" s="63">
        <v>6.62399</v>
      </c>
      <c r="DY25" s="63">
        <v>6.61829</v>
      </c>
      <c r="DZ25" s="63">
        <v>6.6122399999999999</v>
      </c>
      <c r="EA25" s="63">
        <v>6.6058300000000001</v>
      </c>
      <c r="EB25" s="63">
        <v>6.5990700000000002</v>
      </c>
      <c r="EC25" s="63">
        <v>6.5919400000000001</v>
      </c>
      <c r="ED25" s="63">
        <v>6.58446</v>
      </c>
      <c r="EE25" s="63">
        <v>6.5766400000000003</v>
      </c>
      <c r="EF25" s="63">
        <v>6.5686799999999996</v>
      </c>
      <c r="EG25" s="63">
        <v>6.5220399999999996</v>
      </c>
      <c r="EH25" s="63">
        <v>6.4597800000000003</v>
      </c>
      <c r="EI25" s="63">
        <v>6.3953100000000003</v>
      </c>
      <c r="EJ25" s="63">
        <v>6.3277000000000001</v>
      </c>
      <c r="EK25" s="63">
        <v>6.25671</v>
      </c>
      <c r="EL25" s="63">
        <v>6.1824700000000004</v>
      </c>
      <c r="EM25" s="63">
        <v>6.1047000000000002</v>
      </c>
      <c r="EN25" s="63">
        <v>6.0231599999999998</v>
      </c>
      <c r="EO25" s="63">
        <v>5.9378799999999998</v>
      </c>
      <c r="EP25" s="63">
        <v>5.8486399999999996</v>
      </c>
      <c r="EQ25" s="63">
        <v>5.75495</v>
      </c>
      <c r="ER25" s="63">
        <v>5.6565599999999998</v>
      </c>
      <c r="ES25" s="63">
        <v>5.5790199999999999</v>
      </c>
      <c r="ET25" s="63">
        <v>5.5656999999999996</v>
      </c>
      <c r="EU25" s="63">
        <v>5.55185</v>
      </c>
      <c r="EV25" s="63">
        <v>5.5376200000000004</v>
      </c>
      <c r="EW25" s="63">
        <v>5.5230300000000003</v>
      </c>
      <c r="EX25" s="63">
        <v>5.5080600000000004</v>
      </c>
      <c r="EY25" s="63">
        <v>5.4927200000000003</v>
      </c>
      <c r="EZ25" s="63">
        <v>5.4770099999999999</v>
      </c>
      <c r="FA25" s="63">
        <v>5.4609300000000003</v>
      </c>
      <c r="FB25" s="63">
        <v>5.4444800000000004</v>
      </c>
      <c r="FC25" s="63">
        <v>5.4276600000000004</v>
      </c>
      <c r="FD25" s="63">
        <v>5.4104700000000001</v>
      </c>
      <c r="FE25" s="63">
        <v>5.3929099999999996</v>
      </c>
      <c r="FF25" s="63">
        <v>5.375</v>
      </c>
      <c r="FG25" s="64">
        <f t="shared" si="72"/>
        <v>20</v>
      </c>
      <c r="FH25" s="1"/>
      <c r="FI25" s="75">
        <f>IF(ISNUMBER(MATCH(FJ25,$FP$8:$FP$13,0)),MAX(FI$7:FI24)+1,0)</f>
        <v>0</v>
      </c>
      <c r="FJ25" s="79">
        <f t="shared" si="84"/>
        <v>657</v>
      </c>
      <c r="FK25" s="82">
        <f t="shared" si="85"/>
        <v>665</v>
      </c>
      <c r="FL25" s="73">
        <f t="shared" si="94"/>
        <v>36.5</v>
      </c>
      <c r="FM25" s="1"/>
      <c r="FN25" s="16" t="str">
        <f t="shared" si="86"/>
        <v/>
      </c>
      <c r="FO25" s="30" t="str">
        <f t="shared" si="79"/>
        <v/>
      </c>
      <c r="FP25" s="73" t="str">
        <f t="shared" si="87"/>
        <v/>
      </c>
      <c r="FQ25" s="75" t="str">
        <f t="shared" si="80"/>
        <v/>
      </c>
      <c r="FR25" s="2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ht="5.45" customHeight="1" x14ac:dyDescent="0.25">
      <c r="A26" s="3">
        <f t="shared" si="73"/>
        <v>21</v>
      </c>
      <c r="B26" s="10">
        <f t="shared" si="128"/>
        <v>21</v>
      </c>
      <c r="C26" s="10">
        <v>0</v>
      </c>
      <c r="D26" s="10">
        <f t="shared" si="67"/>
        <v>0</v>
      </c>
      <c r="E26" s="10">
        <f t="shared" si="74"/>
        <v>500</v>
      </c>
      <c r="F26" s="10">
        <v>0</v>
      </c>
      <c r="G26" s="27" t="s">
        <v>45</v>
      </c>
      <c r="H26" s="11" t="str">
        <f t="shared" si="63"/>
        <v>1,22</v>
      </c>
      <c r="I26" s="1"/>
      <c r="J26" s="16">
        <f t="shared" si="68"/>
        <v>21</v>
      </c>
      <c r="K26" s="12">
        <f t="shared" ref="K26:AP26" si="138">IF(ISNUMBER(MATCH(K60,$H$35:$H$49,0)),$D$2,IF(ISNUMBER(MATCH(K60,$H$55:$H$62,0)),$E$2,IF(ISNUMBER(MATCH(K60,$H$6:$H$34,0)),$C$2,$B$2)))</f>
        <v>1</v>
      </c>
      <c r="L26" s="12" t="str">
        <f t="shared" si="138"/>
        <v>-</v>
      </c>
      <c r="M26" s="12" t="str">
        <f t="shared" si="138"/>
        <v>-</v>
      </c>
      <c r="N26" s="12" t="str">
        <f t="shared" si="138"/>
        <v>-</v>
      </c>
      <c r="O26" s="12" t="str">
        <f t="shared" si="138"/>
        <v>-</v>
      </c>
      <c r="P26" s="12" t="str">
        <f t="shared" si="138"/>
        <v>-</v>
      </c>
      <c r="Q26" s="12" t="str">
        <f t="shared" si="138"/>
        <v>-</v>
      </c>
      <c r="R26" s="12" t="str">
        <f t="shared" si="138"/>
        <v>-</v>
      </c>
      <c r="S26" s="12" t="str">
        <f t="shared" si="138"/>
        <v>-</v>
      </c>
      <c r="T26" s="12" t="str">
        <f t="shared" si="138"/>
        <v>-</v>
      </c>
      <c r="U26" s="12" t="str">
        <f t="shared" si="138"/>
        <v>-</v>
      </c>
      <c r="V26" s="12" t="str">
        <f t="shared" si="138"/>
        <v>-</v>
      </c>
      <c r="W26" s="12" t="str">
        <f t="shared" si="138"/>
        <v>-</v>
      </c>
      <c r="X26" s="12" t="str">
        <f t="shared" si="138"/>
        <v>-</v>
      </c>
      <c r="Y26" s="12" t="str">
        <f t="shared" si="138"/>
        <v>-</v>
      </c>
      <c r="Z26" s="12" t="str">
        <f t="shared" si="138"/>
        <v>-</v>
      </c>
      <c r="AA26" s="12" t="str">
        <f t="shared" si="138"/>
        <v>-</v>
      </c>
      <c r="AB26" s="12" t="str">
        <f t="shared" si="138"/>
        <v>-</v>
      </c>
      <c r="AC26" s="12" t="str">
        <f t="shared" si="138"/>
        <v>-</v>
      </c>
      <c r="AD26" s="12" t="str">
        <f t="shared" si="138"/>
        <v>-</v>
      </c>
      <c r="AE26" s="12" t="str">
        <f t="shared" si="138"/>
        <v>-</v>
      </c>
      <c r="AF26" s="12" t="str">
        <f t="shared" si="138"/>
        <v>-</v>
      </c>
      <c r="AG26" s="12" t="str">
        <f t="shared" si="138"/>
        <v>-</v>
      </c>
      <c r="AH26" s="12" t="str">
        <f t="shared" si="138"/>
        <v>-</v>
      </c>
      <c r="AI26" s="12" t="str">
        <f t="shared" si="138"/>
        <v>-</v>
      </c>
      <c r="AJ26" s="12" t="str">
        <f t="shared" si="138"/>
        <v>-</v>
      </c>
      <c r="AK26" s="12" t="str">
        <f t="shared" si="138"/>
        <v>-</v>
      </c>
      <c r="AL26" s="12" t="str">
        <f t="shared" si="138"/>
        <v>-</v>
      </c>
      <c r="AM26" s="12" t="str">
        <f t="shared" si="138"/>
        <v>-</v>
      </c>
      <c r="AN26" s="12" t="str">
        <f t="shared" si="138"/>
        <v>-</v>
      </c>
      <c r="AO26" s="12" t="str">
        <f t="shared" si="138"/>
        <v>-</v>
      </c>
      <c r="AP26" s="12" t="str">
        <f t="shared" si="138"/>
        <v>-</v>
      </c>
      <c r="AQ26" s="12" t="str">
        <f t="shared" ref="AQ26:BV26" si="139">IF(ISNUMBER(MATCH(AQ60,$H$35:$H$49,0)),$D$2,IF(ISNUMBER(MATCH(AQ60,$H$55:$H$62,0)),$E$2,IF(ISNUMBER(MATCH(AQ60,$H$6:$H$34,0)),$C$2,$B$2)))</f>
        <v>-</v>
      </c>
      <c r="AR26" s="12" t="str">
        <f t="shared" si="139"/>
        <v>-</v>
      </c>
      <c r="AS26" s="12" t="str">
        <f t="shared" si="139"/>
        <v>-</v>
      </c>
      <c r="AT26" s="12" t="str">
        <f t="shared" si="139"/>
        <v>-</v>
      </c>
      <c r="AU26" s="12" t="str">
        <f t="shared" si="139"/>
        <v>-</v>
      </c>
      <c r="AV26" s="12" t="str">
        <f t="shared" si="139"/>
        <v>-</v>
      </c>
      <c r="AW26" s="12" t="str">
        <f t="shared" si="139"/>
        <v>-</v>
      </c>
      <c r="AX26" s="12" t="str">
        <f t="shared" si="139"/>
        <v>-</v>
      </c>
      <c r="AY26" s="12" t="str">
        <f t="shared" si="139"/>
        <v>-</v>
      </c>
      <c r="AZ26" s="12" t="str">
        <f t="shared" si="139"/>
        <v>-</v>
      </c>
      <c r="BA26" s="12" t="str">
        <f t="shared" si="139"/>
        <v>-</v>
      </c>
      <c r="BB26" s="12" t="str">
        <f t="shared" si="139"/>
        <v>-</v>
      </c>
      <c r="BC26" s="12" t="str">
        <f t="shared" si="139"/>
        <v>-</v>
      </c>
      <c r="BD26" s="12" t="str">
        <f t="shared" si="139"/>
        <v>-</v>
      </c>
      <c r="BE26" s="12" t="str">
        <f t="shared" si="139"/>
        <v>-</v>
      </c>
      <c r="BF26" s="12" t="str">
        <f t="shared" si="139"/>
        <v>-</v>
      </c>
      <c r="BG26" s="12" t="str">
        <f t="shared" si="139"/>
        <v>-</v>
      </c>
      <c r="BH26" s="12" t="str">
        <f t="shared" si="139"/>
        <v>-</v>
      </c>
      <c r="BI26" s="12" t="str">
        <f t="shared" si="139"/>
        <v>-</v>
      </c>
      <c r="BJ26" s="12" t="str">
        <f t="shared" si="139"/>
        <v>-</v>
      </c>
      <c r="BK26" s="12" t="str">
        <f t="shared" si="139"/>
        <v>-</v>
      </c>
      <c r="BL26" s="12" t="str">
        <f t="shared" si="139"/>
        <v>-</v>
      </c>
      <c r="BM26" s="12" t="str">
        <f t="shared" si="139"/>
        <v>-</v>
      </c>
      <c r="BN26" s="12" t="str">
        <f t="shared" si="139"/>
        <v>-</v>
      </c>
      <c r="BO26" s="12" t="str">
        <f t="shared" si="139"/>
        <v>-</v>
      </c>
      <c r="BP26" s="12" t="str">
        <f t="shared" si="139"/>
        <v>-</v>
      </c>
      <c r="BQ26" s="12" t="str">
        <f t="shared" si="139"/>
        <v>-</v>
      </c>
      <c r="BR26" s="12" t="str">
        <f t="shared" si="139"/>
        <v>-</v>
      </c>
      <c r="BS26" s="12" t="str">
        <f t="shared" si="139"/>
        <v>-</v>
      </c>
      <c r="BT26" s="12" t="str">
        <f t="shared" si="139"/>
        <v>-</v>
      </c>
      <c r="BU26" s="12" t="str">
        <f t="shared" si="139"/>
        <v>-</v>
      </c>
      <c r="BV26" s="12" t="str">
        <f t="shared" si="139"/>
        <v>-</v>
      </c>
      <c r="BW26" s="12" t="str">
        <f t="shared" ref="BW26:DF26" si="140">IF(ISNUMBER(MATCH(BW60,$H$35:$H$49,0)),$D$2,IF(ISNUMBER(MATCH(BW60,$H$55:$H$62,0)),$E$2,IF(ISNUMBER(MATCH(BW60,$H$6:$H$34,0)),$C$2,$B$2)))</f>
        <v>-</v>
      </c>
      <c r="BX26" s="12" t="str">
        <f t="shared" si="140"/>
        <v>-</v>
      </c>
      <c r="BY26" s="12" t="str">
        <f t="shared" si="140"/>
        <v>-</v>
      </c>
      <c r="BZ26" s="12" t="str">
        <f t="shared" si="140"/>
        <v>-</v>
      </c>
      <c r="CA26" s="12" t="str">
        <f t="shared" si="140"/>
        <v>-</v>
      </c>
      <c r="CB26" s="12" t="str">
        <f t="shared" si="140"/>
        <v>-</v>
      </c>
      <c r="CC26" s="12" t="str">
        <f t="shared" si="140"/>
        <v>-</v>
      </c>
      <c r="CD26" s="12" t="str">
        <f t="shared" si="140"/>
        <v>-</v>
      </c>
      <c r="CE26" s="12" t="str">
        <f t="shared" si="140"/>
        <v>-</v>
      </c>
      <c r="CF26" s="12" t="str">
        <f t="shared" si="140"/>
        <v>-</v>
      </c>
      <c r="CG26" s="12" t="str">
        <f t="shared" si="140"/>
        <v>-</v>
      </c>
      <c r="CH26" s="12" t="str">
        <f t="shared" si="140"/>
        <v>-</v>
      </c>
      <c r="CI26" s="12" t="str">
        <f t="shared" si="140"/>
        <v>-</v>
      </c>
      <c r="CJ26" s="12" t="str">
        <f t="shared" si="140"/>
        <v>-</v>
      </c>
      <c r="CK26" s="12" t="str">
        <f t="shared" si="140"/>
        <v>-</v>
      </c>
      <c r="CL26" s="12" t="str">
        <f t="shared" si="140"/>
        <v>-</v>
      </c>
      <c r="CM26" s="12" t="str">
        <f t="shared" si="140"/>
        <v>-</v>
      </c>
      <c r="CN26" s="12" t="str">
        <f t="shared" si="140"/>
        <v>-</v>
      </c>
      <c r="CO26" s="12" t="str">
        <f t="shared" si="140"/>
        <v>-</v>
      </c>
      <c r="CP26" s="12" t="str">
        <f t="shared" si="140"/>
        <v>-</v>
      </c>
      <c r="CQ26" s="12" t="str">
        <f t="shared" si="140"/>
        <v>-</v>
      </c>
      <c r="CR26" s="12" t="str">
        <f t="shared" si="140"/>
        <v>-</v>
      </c>
      <c r="CS26" s="12" t="str">
        <f t="shared" si="140"/>
        <v>-</v>
      </c>
      <c r="CT26" s="12" t="str">
        <f t="shared" si="140"/>
        <v>-</v>
      </c>
      <c r="CU26" s="12" t="str">
        <f t="shared" si="140"/>
        <v>-</v>
      </c>
      <c r="CV26" s="12" t="str">
        <f t="shared" si="140"/>
        <v>-</v>
      </c>
      <c r="CW26" s="12" t="str">
        <f t="shared" si="140"/>
        <v>-</v>
      </c>
      <c r="CX26" s="12" t="str">
        <f t="shared" si="140"/>
        <v>-</v>
      </c>
      <c r="CY26" s="12" t="str">
        <f t="shared" si="140"/>
        <v>-</v>
      </c>
      <c r="CZ26" s="12" t="str">
        <f t="shared" si="140"/>
        <v>-</v>
      </c>
      <c r="DA26" s="12" t="str">
        <f t="shared" si="140"/>
        <v>-</v>
      </c>
      <c r="DB26" s="12" t="str">
        <f t="shared" si="140"/>
        <v>-</v>
      </c>
      <c r="DC26" s="12" t="str">
        <f t="shared" si="140"/>
        <v>-</v>
      </c>
      <c r="DD26" s="12" t="str">
        <f t="shared" si="140"/>
        <v>-</v>
      </c>
      <c r="DE26" s="12" t="str">
        <f t="shared" si="140"/>
        <v>-</v>
      </c>
      <c r="DF26" s="12">
        <f t="shared" si="140"/>
        <v>-1</v>
      </c>
      <c r="DG26" s="16">
        <f t="shared" si="78"/>
        <v>21</v>
      </c>
      <c r="DH26" s="1"/>
      <c r="DI26" s="63">
        <v>6.6666499999999997</v>
      </c>
      <c r="DJ26" s="63">
        <v>6.6662999999999997</v>
      </c>
      <c r="DK26" s="63">
        <v>6.6655899999999999</v>
      </c>
      <c r="DL26" s="63">
        <v>6.6645200000000004</v>
      </c>
      <c r="DM26" s="63">
        <v>6.6631</v>
      </c>
      <c r="DN26" s="63">
        <v>6.6613300000000004</v>
      </c>
      <c r="DO26" s="63">
        <v>6.6591899999999997</v>
      </c>
      <c r="DP26" s="63">
        <v>6.6567100000000003</v>
      </c>
      <c r="DQ26" s="63">
        <v>6.6538599999999999</v>
      </c>
      <c r="DR26" s="63">
        <v>6.6506600000000002</v>
      </c>
      <c r="DS26" s="63">
        <v>6.6471099999999996</v>
      </c>
      <c r="DT26" s="63">
        <v>6.6432000000000002</v>
      </c>
      <c r="DU26" s="63">
        <v>6.6389300000000002</v>
      </c>
      <c r="DV26" s="63">
        <v>6.6342999999999996</v>
      </c>
      <c r="DW26" s="63">
        <v>6.6293199999999999</v>
      </c>
      <c r="DX26" s="63">
        <v>6.62399</v>
      </c>
      <c r="DY26" s="63">
        <v>6.61829</v>
      </c>
      <c r="DZ26" s="63">
        <v>6.6122399999999999</v>
      </c>
      <c r="EA26" s="63">
        <v>6.6058300000000001</v>
      </c>
      <c r="EB26" s="63">
        <v>6.5990599999999997</v>
      </c>
      <c r="EC26" s="63">
        <v>6.5919400000000001</v>
      </c>
      <c r="ED26" s="63">
        <v>6.58446</v>
      </c>
      <c r="EE26" s="63">
        <v>6.5766299999999998</v>
      </c>
      <c r="EF26" s="63">
        <v>6.5683499999999997</v>
      </c>
      <c r="EG26" s="63">
        <v>6.5217599999999996</v>
      </c>
      <c r="EH26" s="63">
        <v>6.4597300000000004</v>
      </c>
      <c r="EI26" s="63">
        <v>6.3952499999999999</v>
      </c>
      <c r="EJ26" s="63">
        <v>6.3276399999999997</v>
      </c>
      <c r="EK26" s="63">
        <v>6.2566499999999996</v>
      </c>
      <c r="EL26" s="63">
        <v>6.1824000000000003</v>
      </c>
      <c r="EM26" s="63">
        <v>6.1046399999999998</v>
      </c>
      <c r="EN26" s="63">
        <v>6.0230899999999998</v>
      </c>
      <c r="EO26" s="63">
        <v>5.9378099999999998</v>
      </c>
      <c r="EP26" s="63">
        <v>5.8485699999999996</v>
      </c>
      <c r="EQ26" s="63">
        <v>5.7548899999999996</v>
      </c>
      <c r="ER26" s="63">
        <v>5.65693</v>
      </c>
      <c r="ES26" s="63">
        <v>5.5795700000000004</v>
      </c>
      <c r="ET26" s="63">
        <v>5.5657199999999998</v>
      </c>
      <c r="EU26" s="63">
        <v>5.55185</v>
      </c>
      <c r="EV26" s="63">
        <v>5.5376200000000004</v>
      </c>
      <c r="EW26" s="63">
        <v>5.5230199999999998</v>
      </c>
      <c r="EX26" s="63">
        <v>5.5080499999999999</v>
      </c>
      <c r="EY26" s="63">
        <v>5.4927099999999998</v>
      </c>
      <c r="EZ26" s="63">
        <v>5.4770099999999999</v>
      </c>
      <c r="FA26" s="63">
        <v>5.4609300000000003</v>
      </c>
      <c r="FB26" s="63">
        <v>5.4444800000000004</v>
      </c>
      <c r="FC26" s="63">
        <v>5.4276600000000004</v>
      </c>
      <c r="FD26" s="63">
        <v>5.4104700000000001</v>
      </c>
      <c r="FE26" s="63">
        <v>5.3929099999999996</v>
      </c>
      <c r="FF26" s="63">
        <v>5.375</v>
      </c>
      <c r="FG26" s="64">
        <f t="shared" si="72"/>
        <v>21</v>
      </c>
      <c r="FH26" s="1"/>
      <c r="FI26" s="75">
        <f>IF(ISNUMBER(MATCH(FJ26,$FP$8:$FP$13,0)),MAX(FI$7:FI25)+1,0)</f>
        <v>0</v>
      </c>
      <c r="FJ26" s="79">
        <f t="shared" si="84"/>
        <v>693.5</v>
      </c>
      <c r="FK26" s="82">
        <f t="shared" si="85"/>
        <v>702</v>
      </c>
      <c r="FL26" s="73">
        <f t="shared" si="94"/>
        <v>36.5</v>
      </c>
      <c r="FM26" s="1"/>
      <c r="FN26" s="16" t="str">
        <f t="shared" si="86"/>
        <v/>
      </c>
      <c r="FO26" s="30" t="str">
        <f t="shared" si="79"/>
        <v/>
      </c>
      <c r="FP26" s="73" t="str">
        <f t="shared" si="87"/>
        <v/>
      </c>
      <c r="FQ26" s="75" t="str">
        <f t="shared" si="80"/>
        <v/>
      </c>
      <c r="FR26" s="2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ht="5.45" customHeight="1" x14ac:dyDescent="0.25">
      <c r="A27" s="3">
        <f t="shared" si="73"/>
        <v>22</v>
      </c>
      <c r="B27" s="10">
        <f t="shared" si="128"/>
        <v>22</v>
      </c>
      <c r="C27" s="10">
        <v>0</v>
      </c>
      <c r="D27" s="10">
        <f t="shared" si="67"/>
        <v>0</v>
      </c>
      <c r="E27" s="10">
        <f t="shared" si="74"/>
        <v>500</v>
      </c>
      <c r="F27" s="10">
        <v>0</v>
      </c>
      <c r="G27" s="27" t="s">
        <v>45</v>
      </c>
      <c r="H27" s="11" t="str">
        <f t="shared" si="63"/>
        <v>1,23</v>
      </c>
      <c r="I27" s="1"/>
      <c r="J27" s="16">
        <f t="shared" si="68"/>
        <v>22</v>
      </c>
      <c r="K27" s="12">
        <f t="shared" ref="K27:AP27" si="141">IF(ISNUMBER(MATCH(K61,$H$35:$H$49,0)),$D$2,IF(ISNUMBER(MATCH(K61,$H$55:$H$62,0)),$E$2,IF(ISNUMBER(MATCH(K61,$H$6:$H$34,0)),$C$2,$B$2)))</f>
        <v>1</v>
      </c>
      <c r="L27" s="12" t="str">
        <f t="shared" si="141"/>
        <v>-</v>
      </c>
      <c r="M27" s="12" t="str">
        <f t="shared" si="141"/>
        <v>-</v>
      </c>
      <c r="N27" s="12" t="str">
        <f t="shared" si="141"/>
        <v>-</v>
      </c>
      <c r="O27" s="12" t="str">
        <f t="shared" si="141"/>
        <v>-</v>
      </c>
      <c r="P27" s="12" t="str">
        <f t="shared" si="141"/>
        <v>-</v>
      </c>
      <c r="Q27" s="12" t="str">
        <f t="shared" si="141"/>
        <v>-</v>
      </c>
      <c r="R27" s="12" t="str">
        <f t="shared" si="141"/>
        <v>-</v>
      </c>
      <c r="S27" s="12" t="str">
        <f t="shared" si="141"/>
        <v>-</v>
      </c>
      <c r="T27" s="12" t="str">
        <f t="shared" si="141"/>
        <v>-</v>
      </c>
      <c r="U27" s="12" t="str">
        <f t="shared" si="141"/>
        <v>-</v>
      </c>
      <c r="V27" s="12" t="str">
        <f t="shared" si="141"/>
        <v>-</v>
      </c>
      <c r="W27" s="12" t="str">
        <f t="shared" si="141"/>
        <v>-</v>
      </c>
      <c r="X27" s="12" t="str">
        <f t="shared" si="141"/>
        <v>-</v>
      </c>
      <c r="Y27" s="12" t="str">
        <f t="shared" si="141"/>
        <v>-</v>
      </c>
      <c r="Z27" s="12" t="str">
        <f t="shared" si="141"/>
        <v>-</v>
      </c>
      <c r="AA27" s="12" t="str">
        <f t="shared" si="141"/>
        <v>-</v>
      </c>
      <c r="AB27" s="12" t="str">
        <f t="shared" si="141"/>
        <v>-</v>
      </c>
      <c r="AC27" s="12" t="str">
        <f t="shared" si="141"/>
        <v>-</v>
      </c>
      <c r="AD27" s="12" t="str">
        <f t="shared" si="141"/>
        <v>-</v>
      </c>
      <c r="AE27" s="12" t="str">
        <f t="shared" si="141"/>
        <v>-</v>
      </c>
      <c r="AF27" s="12" t="str">
        <f t="shared" si="141"/>
        <v>-</v>
      </c>
      <c r="AG27" s="12" t="str">
        <f t="shared" si="141"/>
        <v>-</v>
      </c>
      <c r="AH27" s="12" t="str">
        <f t="shared" si="141"/>
        <v>-</v>
      </c>
      <c r="AI27" s="12" t="str">
        <f t="shared" si="141"/>
        <v>-</v>
      </c>
      <c r="AJ27" s="12" t="str">
        <f t="shared" si="141"/>
        <v>-</v>
      </c>
      <c r="AK27" s="12" t="str">
        <f t="shared" si="141"/>
        <v>-</v>
      </c>
      <c r="AL27" s="12" t="str">
        <f t="shared" si="141"/>
        <v>-</v>
      </c>
      <c r="AM27" s="12" t="str">
        <f t="shared" si="141"/>
        <v>-</v>
      </c>
      <c r="AN27" s="12" t="str">
        <f t="shared" si="141"/>
        <v>-</v>
      </c>
      <c r="AO27" s="12" t="str">
        <f t="shared" si="141"/>
        <v>-</v>
      </c>
      <c r="AP27" s="12" t="str">
        <f t="shared" si="141"/>
        <v>-</v>
      </c>
      <c r="AQ27" s="12" t="str">
        <f t="shared" ref="AQ27:BV27" si="142">IF(ISNUMBER(MATCH(AQ61,$H$35:$H$49,0)),$D$2,IF(ISNUMBER(MATCH(AQ61,$H$55:$H$62,0)),$E$2,IF(ISNUMBER(MATCH(AQ61,$H$6:$H$34,0)),$C$2,$B$2)))</f>
        <v>-</v>
      </c>
      <c r="AR27" s="12" t="str">
        <f t="shared" si="142"/>
        <v>-</v>
      </c>
      <c r="AS27" s="12" t="str">
        <f t="shared" si="142"/>
        <v>-</v>
      </c>
      <c r="AT27" s="12" t="str">
        <f t="shared" si="142"/>
        <v>-</v>
      </c>
      <c r="AU27" s="12" t="str">
        <f t="shared" si="142"/>
        <v>-</v>
      </c>
      <c r="AV27" s="12" t="str">
        <f t="shared" si="142"/>
        <v>-</v>
      </c>
      <c r="AW27" s="12" t="str">
        <f t="shared" si="142"/>
        <v>-</v>
      </c>
      <c r="AX27" s="12" t="str">
        <f t="shared" si="142"/>
        <v>-</v>
      </c>
      <c r="AY27" s="12" t="str">
        <f t="shared" si="142"/>
        <v>-</v>
      </c>
      <c r="AZ27" s="12" t="str">
        <f t="shared" si="142"/>
        <v>-</v>
      </c>
      <c r="BA27" s="12" t="str">
        <f t="shared" si="142"/>
        <v>-</v>
      </c>
      <c r="BB27" s="12" t="str">
        <f t="shared" si="142"/>
        <v>-</v>
      </c>
      <c r="BC27" s="12" t="str">
        <f t="shared" si="142"/>
        <v>-</v>
      </c>
      <c r="BD27" s="12" t="str">
        <f t="shared" si="142"/>
        <v>-</v>
      </c>
      <c r="BE27" s="12" t="str">
        <f t="shared" si="142"/>
        <v>-</v>
      </c>
      <c r="BF27" s="12" t="str">
        <f t="shared" si="142"/>
        <v>-</v>
      </c>
      <c r="BG27" s="12" t="str">
        <f t="shared" si="142"/>
        <v>-</v>
      </c>
      <c r="BH27" s="12" t="str">
        <f t="shared" si="142"/>
        <v>-</v>
      </c>
      <c r="BI27" s="12" t="str">
        <f t="shared" si="142"/>
        <v>-</v>
      </c>
      <c r="BJ27" s="12" t="str">
        <f t="shared" si="142"/>
        <v>-</v>
      </c>
      <c r="BK27" s="12" t="str">
        <f t="shared" si="142"/>
        <v>-</v>
      </c>
      <c r="BL27" s="12" t="str">
        <f t="shared" si="142"/>
        <v>-</v>
      </c>
      <c r="BM27" s="12" t="str">
        <f t="shared" si="142"/>
        <v>-</v>
      </c>
      <c r="BN27" s="12" t="str">
        <f t="shared" si="142"/>
        <v>-</v>
      </c>
      <c r="BO27" s="12" t="str">
        <f t="shared" si="142"/>
        <v>-</v>
      </c>
      <c r="BP27" s="12" t="str">
        <f t="shared" si="142"/>
        <v>-</v>
      </c>
      <c r="BQ27" s="12" t="str">
        <f t="shared" si="142"/>
        <v>-</v>
      </c>
      <c r="BR27" s="12" t="str">
        <f t="shared" si="142"/>
        <v>-</v>
      </c>
      <c r="BS27" s="12" t="str">
        <f t="shared" si="142"/>
        <v>-</v>
      </c>
      <c r="BT27" s="12" t="str">
        <f t="shared" si="142"/>
        <v>-</v>
      </c>
      <c r="BU27" s="12" t="str">
        <f t="shared" si="142"/>
        <v>-</v>
      </c>
      <c r="BV27" s="12" t="str">
        <f t="shared" si="142"/>
        <v>-</v>
      </c>
      <c r="BW27" s="12" t="str">
        <f t="shared" ref="BW27:DF27" si="143">IF(ISNUMBER(MATCH(BW61,$H$35:$H$49,0)),$D$2,IF(ISNUMBER(MATCH(BW61,$H$55:$H$62,0)),$E$2,IF(ISNUMBER(MATCH(BW61,$H$6:$H$34,0)),$C$2,$B$2)))</f>
        <v>-</v>
      </c>
      <c r="BX27" s="12" t="str">
        <f t="shared" si="143"/>
        <v>-</v>
      </c>
      <c r="BY27" s="12" t="str">
        <f t="shared" si="143"/>
        <v>-</v>
      </c>
      <c r="BZ27" s="12" t="str">
        <f t="shared" si="143"/>
        <v>-</v>
      </c>
      <c r="CA27" s="12" t="str">
        <f t="shared" si="143"/>
        <v>-</v>
      </c>
      <c r="CB27" s="12" t="str">
        <f t="shared" si="143"/>
        <v>-</v>
      </c>
      <c r="CC27" s="12" t="str">
        <f t="shared" si="143"/>
        <v>-</v>
      </c>
      <c r="CD27" s="12" t="str">
        <f t="shared" si="143"/>
        <v>-</v>
      </c>
      <c r="CE27" s="12" t="str">
        <f t="shared" si="143"/>
        <v>-</v>
      </c>
      <c r="CF27" s="12" t="str">
        <f t="shared" si="143"/>
        <v>-</v>
      </c>
      <c r="CG27" s="12" t="str">
        <f t="shared" si="143"/>
        <v>-</v>
      </c>
      <c r="CH27" s="12" t="str">
        <f t="shared" si="143"/>
        <v>-</v>
      </c>
      <c r="CI27" s="12" t="str">
        <f t="shared" si="143"/>
        <v>-</v>
      </c>
      <c r="CJ27" s="12" t="str">
        <f t="shared" si="143"/>
        <v>-</v>
      </c>
      <c r="CK27" s="12" t="str">
        <f t="shared" si="143"/>
        <v>-</v>
      </c>
      <c r="CL27" s="12" t="str">
        <f t="shared" si="143"/>
        <v>-</v>
      </c>
      <c r="CM27" s="12" t="str">
        <f t="shared" si="143"/>
        <v>-</v>
      </c>
      <c r="CN27" s="12" t="str">
        <f t="shared" si="143"/>
        <v>-</v>
      </c>
      <c r="CO27" s="12" t="str">
        <f t="shared" si="143"/>
        <v>-</v>
      </c>
      <c r="CP27" s="12" t="str">
        <f t="shared" si="143"/>
        <v>-</v>
      </c>
      <c r="CQ27" s="12" t="str">
        <f t="shared" si="143"/>
        <v>-</v>
      </c>
      <c r="CR27" s="12" t="str">
        <f t="shared" si="143"/>
        <v>-</v>
      </c>
      <c r="CS27" s="12" t="str">
        <f t="shared" si="143"/>
        <v>-</v>
      </c>
      <c r="CT27" s="12" t="str">
        <f t="shared" si="143"/>
        <v>-</v>
      </c>
      <c r="CU27" s="12" t="str">
        <f t="shared" si="143"/>
        <v>-</v>
      </c>
      <c r="CV27" s="12" t="str">
        <f t="shared" si="143"/>
        <v>-</v>
      </c>
      <c r="CW27" s="12" t="str">
        <f t="shared" si="143"/>
        <v>-</v>
      </c>
      <c r="CX27" s="12" t="str">
        <f t="shared" si="143"/>
        <v>-</v>
      </c>
      <c r="CY27" s="12" t="str">
        <f t="shared" si="143"/>
        <v>-</v>
      </c>
      <c r="CZ27" s="12" t="str">
        <f t="shared" si="143"/>
        <v>-</v>
      </c>
      <c r="DA27" s="12" t="str">
        <f t="shared" si="143"/>
        <v>-</v>
      </c>
      <c r="DB27" s="12" t="str">
        <f t="shared" si="143"/>
        <v>-</v>
      </c>
      <c r="DC27" s="12" t="str">
        <f t="shared" si="143"/>
        <v>-</v>
      </c>
      <c r="DD27" s="12" t="str">
        <f t="shared" si="143"/>
        <v>-</v>
      </c>
      <c r="DE27" s="12" t="str">
        <f t="shared" si="143"/>
        <v>-</v>
      </c>
      <c r="DF27" s="12">
        <f t="shared" si="143"/>
        <v>-1</v>
      </c>
      <c r="DG27" s="16">
        <f t="shared" si="78"/>
        <v>22</v>
      </c>
      <c r="DH27" s="1"/>
      <c r="DI27" s="63">
        <v>6.6666499999999997</v>
      </c>
      <c r="DJ27" s="63">
        <v>6.66629</v>
      </c>
      <c r="DK27" s="63">
        <v>6.6655800000000003</v>
      </c>
      <c r="DL27" s="63">
        <v>6.6645200000000004</v>
      </c>
      <c r="DM27" s="63">
        <v>6.6631</v>
      </c>
      <c r="DN27" s="63">
        <v>6.6613199999999999</v>
      </c>
      <c r="DO27" s="63">
        <v>6.6591899999999997</v>
      </c>
      <c r="DP27" s="63">
        <v>6.6566999999999998</v>
      </c>
      <c r="DQ27" s="63">
        <v>6.6538599999999999</v>
      </c>
      <c r="DR27" s="63">
        <v>6.6506600000000002</v>
      </c>
      <c r="DS27" s="63">
        <v>6.6471</v>
      </c>
      <c r="DT27" s="63">
        <v>6.6431899999999997</v>
      </c>
      <c r="DU27" s="63">
        <v>6.6389199999999997</v>
      </c>
      <c r="DV27" s="63">
        <v>6.6342999999999996</v>
      </c>
      <c r="DW27" s="63">
        <v>6.6293199999999999</v>
      </c>
      <c r="DX27" s="63">
        <v>6.6239800000000004</v>
      </c>
      <c r="DY27" s="63">
        <v>6.61829</v>
      </c>
      <c r="DZ27" s="63">
        <v>6.6122300000000003</v>
      </c>
      <c r="EA27" s="63">
        <v>6.6058199999999996</v>
      </c>
      <c r="EB27" s="63">
        <v>6.5990599999999997</v>
      </c>
      <c r="EC27" s="63">
        <v>6.5919299999999996</v>
      </c>
      <c r="ED27" s="63">
        <v>6.5844500000000004</v>
      </c>
      <c r="EE27" s="63">
        <v>6.5766</v>
      </c>
      <c r="EF27" s="63">
        <v>6.5678000000000001</v>
      </c>
      <c r="EG27" s="63">
        <v>6.5215300000000003</v>
      </c>
      <c r="EH27" s="63">
        <v>6.4596799999999996</v>
      </c>
      <c r="EI27" s="63">
        <v>6.3952099999999996</v>
      </c>
      <c r="EJ27" s="63">
        <v>6.3275899999999998</v>
      </c>
      <c r="EK27" s="63">
        <v>6.2565999999999997</v>
      </c>
      <c r="EL27" s="63">
        <v>6.1823499999999996</v>
      </c>
      <c r="EM27" s="63">
        <v>6.1045800000000003</v>
      </c>
      <c r="EN27" s="63">
        <v>6.0230399999999999</v>
      </c>
      <c r="EO27" s="63">
        <v>5.9377500000000003</v>
      </c>
      <c r="EP27" s="63">
        <v>5.8484999999999996</v>
      </c>
      <c r="EQ27" s="63">
        <v>5.7548399999999997</v>
      </c>
      <c r="ER27" s="63">
        <v>5.6572500000000003</v>
      </c>
      <c r="ES27" s="63">
        <v>5.58047</v>
      </c>
      <c r="ET27" s="63">
        <v>5.5657500000000004</v>
      </c>
      <c r="EU27" s="63">
        <v>5.55185</v>
      </c>
      <c r="EV27" s="63">
        <v>5.5376099999999999</v>
      </c>
      <c r="EW27" s="63">
        <v>5.5230199999999998</v>
      </c>
      <c r="EX27" s="63">
        <v>5.5080499999999999</v>
      </c>
      <c r="EY27" s="63">
        <v>5.4927099999999998</v>
      </c>
      <c r="EZ27" s="63">
        <v>5.4770000000000003</v>
      </c>
      <c r="FA27" s="63">
        <v>5.4609199999999998</v>
      </c>
      <c r="FB27" s="63">
        <v>5.4444699999999999</v>
      </c>
      <c r="FC27" s="63">
        <v>5.4276499999999999</v>
      </c>
      <c r="FD27" s="63">
        <v>5.4104599999999996</v>
      </c>
      <c r="FE27" s="63">
        <v>5.3929</v>
      </c>
      <c r="FF27" s="63">
        <v>5.375</v>
      </c>
      <c r="FG27" s="64">
        <f t="shared" si="72"/>
        <v>22</v>
      </c>
      <c r="FH27" s="1"/>
      <c r="FI27" s="75">
        <f>IF(ISNUMBER(MATCH(FJ27,$FP$8:$FP$13,0)),MAX(FI$7:FI26)+1,0)</f>
        <v>2</v>
      </c>
      <c r="FJ27" s="79">
        <f t="shared" si="84"/>
        <v>730</v>
      </c>
      <c r="FK27" s="83">
        <f t="shared" si="85"/>
        <v>739</v>
      </c>
      <c r="FL27" s="73">
        <f t="shared" si="94"/>
        <v>36.5</v>
      </c>
      <c r="FM27" s="1"/>
      <c r="FN27" s="16" t="str">
        <f t="shared" si="86"/>
        <v/>
      </c>
      <c r="FO27" s="30" t="str">
        <f t="shared" si="79"/>
        <v/>
      </c>
      <c r="FP27" s="73" t="str">
        <f t="shared" si="87"/>
        <v/>
      </c>
      <c r="FQ27" s="75" t="str">
        <f t="shared" si="80"/>
        <v/>
      </c>
      <c r="FR27" s="2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ht="5.45" customHeight="1" x14ac:dyDescent="0.25">
      <c r="A28" s="3">
        <f t="shared" si="73"/>
        <v>23</v>
      </c>
      <c r="B28" s="10">
        <f t="shared" si="128"/>
        <v>23</v>
      </c>
      <c r="C28" s="10">
        <v>0</v>
      </c>
      <c r="D28" s="10">
        <f t="shared" si="67"/>
        <v>0</v>
      </c>
      <c r="E28" s="10">
        <f t="shared" si="74"/>
        <v>500</v>
      </c>
      <c r="F28" s="10">
        <v>0</v>
      </c>
      <c r="G28" s="27" t="s">
        <v>45</v>
      </c>
      <c r="H28" s="11" t="str">
        <f t="shared" si="63"/>
        <v>1,24</v>
      </c>
      <c r="I28" s="1"/>
      <c r="J28" s="16">
        <f t="shared" si="68"/>
        <v>23</v>
      </c>
      <c r="K28" s="12">
        <f t="shared" ref="K28:AP28" si="144">IF(ISNUMBER(MATCH(K62,$H$35:$H$49,0)),$D$2,IF(ISNUMBER(MATCH(K62,$H$55:$H$62,0)),$E$2,IF(ISNUMBER(MATCH(K62,$H$6:$H$34,0)),$C$2,$B$2)))</f>
        <v>1</v>
      </c>
      <c r="L28" s="12" t="str">
        <f t="shared" si="144"/>
        <v>-</v>
      </c>
      <c r="M28" s="12" t="str">
        <f t="shared" si="144"/>
        <v>-</v>
      </c>
      <c r="N28" s="12" t="str">
        <f t="shared" si="144"/>
        <v>-</v>
      </c>
      <c r="O28" s="12" t="str">
        <f t="shared" si="144"/>
        <v>-</v>
      </c>
      <c r="P28" s="12" t="str">
        <f t="shared" si="144"/>
        <v>-</v>
      </c>
      <c r="Q28" s="12" t="str">
        <f t="shared" si="144"/>
        <v>-</v>
      </c>
      <c r="R28" s="12" t="str">
        <f t="shared" si="144"/>
        <v>-</v>
      </c>
      <c r="S28" s="12" t="str">
        <f t="shared" si="144"/>
        <v>-</v>
      </c>
      <c r="T28" s="12" t="str">
        <f t="shared" si="144"/>
        <v>-</v>
      </c>
      <c r="U28" s="12" t="str">
        <f t="shared" si="144"/>
        <v>-</v>
      </c>
      <c r="V28" s="12" t="str">
        <f t="shared" si="144"/>
        <v>-</v>
      </c>
      <c r="W28" s="12" t="str">
        <f t="shared" si="144"/>
        <v>-</v>
      </c>
      <c r="X28" s="12" t="str">
        <f t="shared" si="144"/>
        <v>-</v>
      </c>
      <c r="Y28" s="12" t="str">
        <f t="shared" si="144"/>
        <v>-</v>
      </c>
      <c r="Z28" s="12" t="str">
        <f t="shared" si="144"/>
        <v>-</v>
      </c>
      <c r="AA28" s="12" t="str">
        <f t="shared" si="144"/>
        <v>-</v>
      </c>
      <c r="AB28" s="12" t="str">
        <f t="shared" si="144"/>
        <v>-</v>
      </c>
      <c r="AC28" s="12" t="str">
        <f t="shared" si="144"/>
        <v>-</v>
      </c>
      <c r="AD28" s="12" t="str">
        <f t="shared" si="144"/>
        <v>-</v>
      </c>
      <c r="AE28" s="12" t="str">
        <f t="shared" si="144"/>
        <v>-</v>
      </c>
      <c r="AF28" s="12" t="str">
        <f t="shared" si="144"/>
        <v>-</v>
      </c>
      <c r="AG28" s="12" t="str">
        <f t="shared" si="144"/>
        <v>-</v>
      </c>
      <c r="AH28" s="12" t="str">
        <f t="shared" si="144"/>
        <v>-</v>
      </c>
      <c r="AI28" s="12" t="str">
        <f t="shared" si="144"/>
        <v>-</v>
      </c>
      <c r="AJ28" s="12" t="str">
        <f t="shared" si="144"/>
        <v>-</v>
      </c>
      <c r="AK28" s="12" t="str">
        <f t="shared" si="144"/>
        <v>-</v>
      </c>
      <c r="AL28" s="12" t="str">
        <f t="shared" si="144"/>
        <v>-</v>
      </c>
      <c r="AM28" s="12" t="str">
        <f t="shared" si="144"/>
        <v>-</v>
      </c>
      <c r="AN28" s="12" t="str">
        <f t="shared" si="144"/>
        <v>-</v>
      </c>
      <c r="AO28" s="12" t="str">
        <f t="shared" si="144"/>
        <v>-</v>
      </c>
      <c r="AP28" s="12" t="str">
        <f t="shared" si="144"/>
        <v>-</v>
      </c>
      <c r="AQ28" s="12" t="str">
        <f t="shared" ref="AQ28:BV28" si="145">IF(ISNUMBER(MATCH(AQ62,$H$35:$H$49,0)),$D$2,IF(ISNUMBER(MATCH(AQ62,$H$55:$H$62,0)),$E$2,IF(ISNUMBER(MATCH(AQ62,$H$6:$H$34,0)),$C$2,$B$2)))</f>
        <v>-</v>
      </c>
      <c r="AR28" s="12" t="str">
        <f t="shared" si="145"/>
        <v>-</v>
      </c>
      <c r="AS28" s="12" t="str">
        <f t="shared" si="145"/>
        <v>-</v>
      </c>
      <c r="AT28" s="12" t="str">
        <f t="shared" si="145"/>
        <v>-</v>
      </c>
      <c r="AU28" s="12" t="str">
        <f t="shared" si="145"/>
        <v>-</v>
      </c>
      <c r="AV28" s="12" t="str">
        <f t="shared" si="145"/>
        <v>-</v>
      </c>
      <c r="AW28" s="12" t="str">
        <f t="shared" si="145"/>
        <v>-</v>
      </c>
      <c r="AX28" s="12" t="str">
        <f t="shared" si="145"/>
        <v>-</v>
      </c>
      <c r="AY28" s="12" t="str">
        <f t="shared" si="145"/>
        <v>-</v>
      </c>
      <c r="AZ28" s="12" t="str">
        <f t="shared" si="145"/>
        <v>-</v>
      </c>
      <c r="BA28" s="12" t="str">
        <f t="shared" si="145"/>
        <v>-</v>
      </c>
      <c r="BB28" s="12" t="str">
        <f t="shared" si="145"/>
        <v>-</v>
      </c>
      <c r="BC28" s="12" t="str">
        <f t="shared" si="145"/>
        <v>-</v>
      </c>
      <c r="BD28" s="12" t="str">
        <f t="shared" si="145"/>
        <v>-</v>
      </c>
      <c r="BE28" s="12" t="str">
        <f t="shared" si="145"/>
        <v>-</v>
      </c>
      <c r="BF28" s="12" t="str">
        <f t="shared" si="145"/>
        <v>-</v>
      </c>
      <c r="BG28" s="12" t="str">
        <f t="shared" si="145"/>
        <v>-</v>
      </c>
      <c r="BH28" s="12" t="str">
        <f t="shared" si="145"/>
        <v>-</v>
      </c>
      <c r="BI28" s="12" t="str">
        <f t="shared" si="145"/>
        <v>-</v>
      </c>
      <c r="BJ28" s="12" t="str">
        <f t="shared" si="145"/>
        <v>-</v>
      </c>
      <c r="BK28" s="12" t="str">
        <f t="shared" si="145"/>
        <v>-</v>
      </c>
      <c r="BL28" s="12" t="str">
        <f t="shared" si="145"/>
        <v>-</v>
      </c>
      <c r="BM28" s="12" t="str">
        <f t="shared" si="145"/>
        <v>-</v>
      </c>
      <c r="BN28" s="12" t="str">
        <f t="shared" si="145"/>
        <v>-</v>
      </c>
      <c r="BO28" s="12" t="str">
        <f t="shared" si="145"/>
        <v>-</v>
      </c>
      <c r="BP28" s="12" t="str">
        <f t="shared" si="145"/>
        <v>-</v>
      </c>
      <c r="BQ28" s="12" t="str">
        <f t="shared" si="145"/>
        <v>-</v>
      </c>
      <c r="BR28" s="12" t="str">
        <f t="shared" si="145"/>
        <v>-</v>
      </c>
      <c r="BS28" s="12" t="str">
        <f t="shared" si="145"/>
        <v>-</v>
      </c>
      <c r="BT28" s="12" t="str">
        <f t="shared" si="145"/>
        <v>-</v>
      </c>
      <c r="BU28" s="12" t="str">
        <f t="shared" si="145"/>
        <v>-</v>
      </c>
      <c r="BV28" s="12" t="str">
        <f t="shared" si="145"/>
        <v>-</v>
      </c>
      <c r="BW28" s="12" t="str">
        <f t="shared" ref="BW28:DF28" si="146">IF(ISNUMBER(MATCH(BW62,$H$35:$H$49,0)),$D$2,IF(ISNUMBER(MATCH(BW62,$H$55:$H$62,0)),$E$2,IF(ISNUMBER(MATCH(BW62,$H$6:$H$34,0)),$C$2,$B$2)))</f>
        <v>-</v>
      </c>
      <c r="BX28" s="12" t="str">
        <f t="shared" si="146"/>
        <v>-</v>
      </c>
      <c r="BY28" s="12" t="str">
        <f t="shared" si="146"/>
        <v>-</v>
      </c>
      <c r="BZ28" s="12" t="str">
        <f t="shared" si="146"/>
        <v>-</v>
      </c>
      <c r="CA28" s="12" t="str">
        <f t="shared" si="146"/>
        <v>-</v>
      </c>
      <c r="CB28" s="12" t="str">
        <f t="shared" si="146"/>
        <v>-</v>
      </c>
      <c r="CC28" s="12" t="str">
        <f t="shared" si="146"/>
        <v>-</v>
      </c>
      <c r="CD28" s="12" t="str">
        <f t="shared" si="146"/>
        <v>-</v>
      </c>
      <c r="CE28" s="12" t="str">
        <f t="shared" si="146"/>
        <v>-</v>
      </c>
      <c r="CF28" s="12" t="str">
        <f t="shared" si="146"/>
        <v>-</v>
      </c>
      <c r="CG28" s="12" t="str">
        <f t="shared" si="146"/>
        <v>-</v>
      </c>
      <c r="CH28" s="12" t="str">
        <f t="shared" si="146"/>
        <v>-</v>
      </c>
      <c r="CI28" s="12" t="str">
        <f t="shared" si="146"/>
        <v>-</v>
      </c>
      <c r="CJ28" s="12" t="str">
        <f t="shared" si="146"/>
        <v>-</v>
      </c>
      <c r="CK28" s="12" t="str">
        <f t="shared" si="146"/>
        <v>-</v>
      </c>
      <c r="CL28" s="12" t="str">
        <f t="shared" si="146"/>
        <v>-</v>
      </c>
      <c r="CM28" s="12" t="str">
        <f t="shared" si="146"/>
        <v>-</v>
      </c>
      <c r="CN28" s="12" t="str">
        <f t="shared" si="146"/>
        <v>-</v>
      </c>
      <c r="CO28" s="12" t="str">
        <f t="shared" si="146"/>
        <v>-</v>
      </c>
      <c r="CP28" s="12" t="str">
        <f t="shared" si="146"/>
        <v>-</v>
      </c>
      <c r="CQ28" s="12" t="str">
        <f t="shared" si="146"/>
        <v>-</v>
      </c>
      <c r="CR28" s="12" t="str">
        <f t="shared" si="146"/>
        <v>-</v>
      </c>
      <c r="CS28" s="12" t="str">
        <f t="shared" si="146"/>
        <v>-</v>
      </c>
      <c r="CT28" s="12" t="str">
        <f t="shared" si="146"/>
        <v>-</v>
      </c>
      <c r="CU28" s="12" t="str">
        <f t="shared" si="146"/>
        <v>-</v>
      </c>
      <c r="CV28" s="12" t="str">
        <f t="shared" si="146"/>
        <v>-</v>
      </c>
      <c r="CW28" s="12" t="str">
        <f t="shared" si="146"/>
        <v>-</v>
      </c>
      <c r="CX28" s="12" t="str">
        <f t="shared" si="146"/>
        <v>-</v>
      </c>
      <c r="CY28" s="12" t="str">
        <f t="shared" si="146"/>
        <v>-</v>
      </c>
      <c r="CZ28" s="12" t="str">
        <f t="shared" si="146"/>
        <v>-</v>
      </c>
      <c r="DA28" s="12" t="str">
        <f t="shared" si="146"/>
        <v>-</v>
      </c>
      <c r="DB28" s="12" t="str">
        <f t="shared" si="146"/>
        <v>-</v>
      </c>
      <c r="DC28" s="12" t="str">
        <f t="shared" si="146"/>
        <v>-</v>
      </c>
      <c r="DD28" s="12" t="str">
        <f t="shared" si="146"/>
        <v>-</v>
      </c>
      <c r="DE28" s="12" t="str">
        <f t="shared" si="146"/>
        <v>-</v>
      </c>
      <c r="DF28" s="12">
        <f t="shared" si="146"/>
        <v>-1</v>
      </c>
      <c r="DG28" s="16">
        <f t="shared" si="78"/>
        <v>23</v>
      </c>
      <c r="DH28" s="1"/>
      <c r="DI28" s="63">
        <v>6.6666400000000001</v>
      </c>
      <c r="DJ28" s="63">
        <v>6.66629</v>
      </c>
      <c r="DK28" s="63">
        <v>6.6655800000000003</v>
      </c>
      <c r="DL28" s="63">
        <v>6.6645099999999999</v>
      </c>
      <c r="DM28" s="63">
        <v>6.6630900000000004</v>
      </c>
      <c r="DN28" s="63">
        <v>6.6613199999999999</v>
      </c>
      <c r="DO28" s="63">
        <v>6.6591800000000001</v>
      </c>
      <c r="DP28" s="63">
        <v>6.6566999999999998</v>
      </c>
      <c r="DQ28" s="63">
        <v>6.6538500000000003</v>
      </c>
      <c r="DR28" s="63">
        <v>6.6506499999999997</v>
      </c>
      <c r="DS28" s="63">
        <v>6.6471</v>
      </c>
      <c r="DT28" s="63">
        <v>6.6431899999999997</v>
      </c>
      <c r="DU28" s="63">
        <v>6.6389199999999997</v>
      </c>
      <c r="DV28" s="63">
        <v>6.63429</v>
      </c>
      <c r="DW28" s="63">
        <v>6.6293100000000003</v>
      </c>
      <c r="DX28" s="63">
        <v>6.6239800000000004</v>
      </c>
      <c r="DY28" s="63">
        <v>6.6182800000000004</v>
      </c>
      <c r="DZ28" s="63">
        <v>6.6122300000000003</v>
      </c>
      <c r="EA28" s="63">
        <v>6.6058199999999996</v>
      </c>
      <c r="EB28" s="63">
        <v>6.5990500000000001</v>
      </c>
      <c r="EC28" s="63">
        <v>6.5919299999999996</v>
      </c>
      <c r="ED28" s="63">
        <v>6.5844500000000004</v>
      </c>
      <c r="EE28" s="63">
        <v>6.5765799999999999</v>
      </c>
      <c r="EF28" s="63">
        <v>6.5673500000000002</v>
      </c>
      <c r="EG28" s="63">
        <v>6.5213299999999998</v>
      </c>
      <c r="EH28" s="63">
        <v>6.4596499999999999</v>
      </c>
      <c r="EI28" s="63">
        <v>6.3951700000000002</v>
      </c>
      <c r="EJ28" s="63">
        <v>6.3275499999999996</v>
      </c>
      <c r="EK28" s="63">
        <v>6.2565600000000003</v>
      </c>
      <c r="EL28" s="63">
        <v>6.1823100000000002</v>
      </c>
      <c r="EM28" s="63">
        <v>6.1045299999999996</v>
      </c>
      <c r="EN28" s="63">
        <v>6.0229900000000001</v>
      </c>
      <c r="EO28" s="63">
        <v>5.9377000000000004</v>
      </c>
      <c r="EP28" s="63">
        <v>5.8484499999999997</v>
      </c>
      <c r="EQ28" s="63">
        <v>5.7547899999999998</v>
      </c>
      <c r="ER28" s="63">
        <v>5.6575100000000003</v>
      </c>
      <c r="ES28" s="63">
        <v>5.5812200000000001</v>
      </c>
      <c r="ET28" s="63">
        <v>5.5657800000000002</v>
      </c>
      <c r="EU28" s="63">
        <v>5.5518400000000003</v>
      </c>
      <c r="EV28" s="63">
        <v>5.5376099999999999</v>
      </c>
      <c r="EW28" s="63">
        <v>5.5230100000000002</v>
      </c>
      <c r="EX28" s="63">
        <v>5.5080400000000003</v>
      </c>
      <c r="EY28" s="63">
        <v>5.4927000000000001</v>
      </c>
      <c r="EZ28" s="63">
        <v>5.4770000000000003</v>
      </c>
      <c r="FA28" s="63">
        <v>5.4609199999999998</v>
      </c>
      <c r="FB28" s="63">
        <v>5.4444699999999999</v>
      </c>
      <c r="FC28" s="63">
        <v>5.4276499999999999</v>
      </c>
      <c r="FD28" s="63">
        <v>5.4104599999999996</v>
      </c>
      <c r="FE28" s="63">
        <v>5.3929</v>
      </c>
      <c r="FF28" s="63">
        <v>5.375</v>
      </c>
      <c r="FG28" s="64">
        <f t="shared" si="72"/>
        <v>23</v>
      </c>
      <c r="FH28" s="1"/>
      <c r="FI28" s="1"/>
      <c r="FJ28" s="2"/>
      <c r="FK28" s="2"/>
      <c r="FL28" s="1"/>
      <c r="FM28" s="1"/>
      <c r="FN28" s="16" t="str">
        <f t="shared" si="86"/>
        <v/>
      </c>
      <c r="FO28" s="30" t="str">
        <f t="shared" si="79"/>
        <v/>
      </c>
      <c r="FP28" s="73" t="str">
        <f t="shared" si="87"/>
        <v/>
      </c>
      <c r="FQ28" s="75" t="str">
        <f t="shared" si="80"/>
        <v/>
      </c>
      <c r="FR28" s="2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ht="5.45" customHeight="1" x14ac:dyDescent="0.25">
      <c r="A29" s="3">
        <f t="shared" si="73"/>
        <v>24</v>
      </c>
      <c r="B29" s="10">
        <f t="shared" si="128"/>
        <v>24</v>
      </c>
      <c r="C29" s="10">
        <v>0</v>
      </c>
      <c r="D29" s="10">
        <f t="shared" si="67"/>
        <v>0</v>
      </c>
      <c r="E29" s="10">
        <f t="shared" si="74"/>
        <v>500</v>
      </c>
      <c r="F29" s="10">
        <v>0</v>
      </c>
      <c r="G29" s="27" t="s">
        <v>45</v>
      </c>
      <c r="H29" s="11" t="str">
        <f t="shared" si="63"/>
        <v>1,25</v>
      </c>
      <c r="I29" s="1"/>
      <c r="J29" s="16">
        <f t="shared" si="68"/>
        <v>24</v>
      </c>
      <c r="K29" s="12">
        <f t="shared" ref="K29:AP29" si="147">IF(ISNUMBER(MATCH(K63,$H$35:$H$49,0)),$D$2,IF(ISNUMBER(MATCH(K63,$H$55:$H$62,0)),$E$2,IF(ISNUMBER(MATCH(K63,$H$6:$H$34,0)),$C$2,$B$2)))</f>
        <v>1</v>
      </c>
      <c r="L29" s="12" t="str">
        <f t="shared" si="147"/>
        <v>-</v>
      </c>
      <c r="M29" s="12" t="str">
        <f t="shared" si="147"/>
        <v>-</v>
      </c>
      <c r="N29" s="12" t="str">
        <f t="shared" si="147"/>
        <v>-</v>
      </c>
      <c r="O29" s="12" t="str">
        <f t="shared" si="147"/>
        <v>-</v>
      </c>
      <c r="P29" s="12" t="str">
        <f t="shared" si="147"/>
        <v>-</v>
      </c>
      <c r="Q29" s="12" t="str">
        <f t="shared" si="147"/>
        <v>-</v>
      </c>
      <c r="R29" s="12" t="str">
        <f t="shared" si="147"/>
        <v>-</v>
      </c>
      <c r="S29" s="12" t="str">
        <f t="shared" si="147"/>
        <v>-</v>
      </c>
      <c r="T29" s="12" t="str">
        <f t="shared" si="147"/>
        <v>-</v>
      </c>
      <c r="U29" s="12" t="str">
        <f t="shared" si="147"/>
        <v>-</v>
      </c>
      <c r="V29" s="12" t="str">
        <f t="shared" si="147"/>
        <v>-</v>
      </c>
      <c r="W29" s="12" t="str">
        <f t="shared" si="147"/>
        <v>-</v>
      </c>
      <c r="X29" s="12" t="str">
        <f t="shared" si="147"/>
        <v>-</v>
      </c>
      <c r="Y29" s="12" t="str">
        <f t="shared" si="147"/>
        <v>-</v>
      </c>
      <c r="Z29" s="12" t="str">
        <f t="shared" si="147"/>
        <v>-</v>
      </c>
      <c r="AA29" s="12" t="str">
        <f t="shared" si="147"/>
        <v>-</v>
      </c>
      <c r="AB29" s="12" t="str">
        <f t="shared" si="147"/>
        <v>-</v>
      </c>
      <c r="AC29" s="12" t="str">
        <f t="shared" si="147"/>
        <v>-</v>
      </c>
      <c r="AD29" s="12" t="str">
        <f t="shared" si="147"/>
        <v>-</v>
      </c>
      <c r="AE29" s="12" t="str">
        <f t="shared" si="147"/>
        <v>-</v>
      </c>
      <c r="AF29" s="12" t="str">
        <f t="shared" si="147"/>
        <v>-</v>
      </c>
      <c r="AG29" s="12" t="str">
        <f t="shared" si="147"/>
        <v>-</v>
      </c>
      <c r="AH29" s="12" t="str">
        <f t="shared" si="147"/>
        <v>-</v>
      </c>
      <c r="AI29" s="12" t="str">
        <f t="shared" si="147"/>
        <v>-</v>
      </c>
      <c r="AJ29" s="12" t="str">
        <f t="shared" si="147"/>
        <v>-</v>
      </c>
      <c r="AK29" s="12" t="str">
        <f t="shared" si="147"/>
        <v>-</v>
      </c>
      <c r="AL29" s="12" t="str">
        <f t="shared" si="147"/>
        <v>-</v>
      </c>
      <c r="AM29" s="12" t="str">
        <f t="shared" si="147"/>
        <v>-</v>
      </c>
      <c r="AN29" s="12" t="str">
        <f t="shared" si="147"/>
        <v>-</v>
      </c>
      <c r="AO29" s="12" t="str">
        <f t="shared" si="147"/>
        <v>-</v>
      </c>
      <c r="AP29" s="12" t="str">
        <f t="shared" si="147"/>
        <v>-</v>
      </c>
      <c r="AQ29" s="12" t="str">
        <f t="shared" ref="AQ29:BV29" si="148">IF(ISNUMBER(MATCH(AQ63,$H$35:$H$49,0)),$D$2,IF(ISNUMBER(MATCH(AQ63,$H$55:$H$62,0)),$E$2,IF(ISNUMBER(MATCH(AQ63,$H$6:$H$34,0)),$C$2,$B$2)))</f>
        <v>-</v>
      </c>
      <c r="AR29" s="12" t="str">
        <f t="shared" si="148"/>
        <v>-</v>
      </c>
      <c r="AS29" s="12" t="str">
        <f t="shared" si="148"/>
        <v>-</v>
      </c>
      <c r="AT29" s="12" t="str">
        <f t="shared" si="148"/>
        <v>-</v>
      </c>
      <c r="AU29" s="12" t="str">
        <f t="shared" si="148"/>
        <v>-</v>
      </c>
      <c r="AV29" s="12" t="str">
        <f t="shared" si="148"/>
        <v>-</v>
      </c>
      <c r="AW29" s="12" t="str">
        <f t="shared" si="148"/>
        <v>-</v>
      </c>
      <c r="AX29" s="12" t="str">
        <f t="shared" si="148"/>
        <v>-</v>
      </c>
      <c r="AY29" s="12" t="str">
        <f t="shared" si="148"/>
        <v>-</v>
      </c>
      <c r="AZ29" s="12" t="str">
        <f t="shared" si="148"/>
        <v>-</v>
      </c>
      <c r="BA29" s="12" t="str">
        <f t="shared" si="148"/>
        <v>-</v>
      </c>
      <c r="BB29" s="12" t="str">
        <f t="shared" si="148"/>
        <v>-</v>
      </c>
      <c r="BC29" s="12" t="str">
        <f t="shared" si="148"/>
        <v>-</v>
      </c>
      <c r="BD29" s="12" t="str">
        <f t="shared" si="148"/>
        <v>-</v>
      </c>
      <c r="BE29" s="12" t="str">
        <f t="shared" si="148"/>
        <v>-</v>
      </c>
      <c r="BF29" s="12" t="str">
        <f t="shared" si="148"/>
        <v>-</v>
      </c>
      <c r="BG29" s="12" t="str">
        <f t="shared" si="148"/>
        <v>-</v>
      </c>
      <c r="BH29" s="12" t="str">
        <f t="shared" si="148"/>
        <v>-</v>
      </c>
      <c r="BI29" s="12" t="str">
        <f t="shared" si="148"/>
        <v>-</v>
      </c>
      <c r="BJ29" s="12" t="str">
        <f t="shared" si="148"/>
        <v>-</v>
      </c>
      <c r="BK29" s="12" t="str">
        <f t="shared" si="148"/>
        <v>-</v>
      </c>
      <c r="BL29" s="12" t="str">
        <f t="shared" si="148"/>
        <v>-</v>
      </c>
      <c r="BM29" s="12" t="str">
        <f t="shared" si="148"/>
        <v>-</v>
      </c>
      <c r="BN29" s="12" t="str">
        <f t="shared" si="148"/>
        <v>-</v>
      </c>
      <c r="BO29" s="12" t="str">
        <f t="shared" si="148"/>
        <v>-</v>
      </c>
      <c r="BP29" s="12" t="str">
        <f t="shared" si="148"/>
        <v>-</v>
      </c>
      <c r="BQ29" s="12" t="str">
        <f t="shared" si="148"/>
        <v>-</v>
      </c>
      <c r="BR29" s="12" t="str">
        <f t="shared" si="148"/>
        <v>-</v>
      </c>
      <c r="BS29" s="12" t="str">
        <f t="shared" si="148"/>
        <v>-</v>
      </c>
      <c r="BT29" s="12" t="str">
        <f t="shared" si="148"/>
        <v>-</v>
      </c>
      <c r="BU29" s="12" t="str">
        <f t="shared" si="148"/>
        <v>-</v>
      </c>
      <c r="BV29" s="12" t="str">
        <f t="shared" si="148"/>
        <v>-</v>
      </c>
      <c r="BW29" s="12" t="str">
        <f t="shared" ref="BW29:DF29" si="149">IF(ISNUMBER(MATCH(BW63,$H$35:$H$49,0)),$D$2,IF(ISNUMBER(MATCH(BW63,$H$55:$H$62,0)),$E$2,IF(ISNUMBER(MATCH(BW63,$H$6:$H$34,0)),$C$2,$B$2)))</f>
        <v>-</v>
      </c>
      <c r="BX29" s="12" t="str">
        <f t="shared" si="149"/>
        <v>-</v>
      </c>
      <c r="BY29" s="12" t="str">
        <f t="shared" si="149"/>
        <v>-</v>
      </c>
      <c r="BZ29" s="12" t="str">
        <f t="shared" si="149"/>
        <v>-</v>
      </c>
      <c r="CA29" s="12" t="str">
        <f t="shared" si="149"/>
        <v>-</v>
      </c>
      <c r="CB29" s="12" t="str">
        <f t="shared" si="149"/>
        <v>-</v>
      </c>
      <c r="CC29" s="12" t="str">
        <f t="shared" si="149"/>
        <v>-</v>
      </c>
      <c r="CD29" s="12" t="str">
        <f t="shared" si="149"/>
        <v>-</v>
      </c>
      <c r="CE29" s="12" t="str">
        <f t="shared" si="149"/>
        <v>-</v>
      </c>
      <c r="CF29" s="12" t="str">
        <f t="shared" si="149"/>
        <v>-</v>
      </c>
      <c r="CG29" s="12" t="str">
        <f t="shared" si="149"/>
        <v>-</v>
      </c>
      <c r="CH29" s="12" t="str">
        <f t="shared" si="149"/>
        <v>-</v>
      </c>
      <c r="CI29" s="12" t="str">
        <f t="shared" si="149"/>
        <v>-</v>
      </c>
      <c r="CJ29" s="12" t="str">
        <f t="shared" si="149"/>
        <v>-</v>
      </c>
      <c r="CK29" s="12" t="str">
        <f t="shared" si="149"/>
        <v>-</v>
      </c>
      <c r="CL29" s="12" t="str">
        <f t="shared" si="149"/>
        <v>-</v>
      </c>
      <c r="CM29" s="12" t="str">
        <f t="shared" si="149"/>
        <v>-</v>
      </c>
      <c r="CN29" s="12" t="str">
        <f t="shared" si="149"/>
        <v>-</v>
      </c>
      <c r="CO29" s="12" t="str">
        <f t="shared" si="149"/>
        <v>-</v>
      </c>
      <c r="CP29" s="12" t="str">
        <f t="shared" si="149"/>
        <v>-</v>
      </c>
      <c r="CQ29" s="12" t="str">
        <f t="shared" si="149"/>
        <v>-</v>
      </c>
      <c r="CR29" s="12" t="str">
        <f t="shared" si="149"/>
        <v>-</v>
      </c>
      <c r="CS29" s="12" t="str">
        <f t="shared" si="149"/>
        <v>-</v>
      </c>
      <c r="CT29" s="12" t="str">
        <f t="shared" si="149"/>
        <v>-</v>
      </c>
      <c r="CU29" s="12" t="str">
        <f t="shared" si="149"/>
        <v>-</v>
      </c>
      <c r="CV29" s="12" t="str">
        <f t="shared" si="149"/>
        <v>-</v>
      </c>
      <c r="CW29" s="12" t="str">
        <f t="shared" si="149"/>
        <v>-</v>
      </c>
      <c r="CX29" s="12" t="str">
        <f t="shared" si="149"/>
        <v>-</v>
      </c>
      <c r="CY29" s="12" t="str">
        <f t="shared" si="149"/>
        <v>-</v>
      </c>
      <c r="CZ29" s="12" t="str">
        <f t="shared" si="149"/>
        <v>-</v>
      </c>
      <c r="DA29" s="12" t="str">
        <f t="shared" si="149"/>
        <v>-</v>
      </c>
      <c r="DB29" s="12" t="str">
        <f t="shared" si="149"/>
        <v>-</v>
      </c>
      <c r="DC29" s="12" t="str">
        <f t="shared" si="149"/>
        <v>-</v>
      </c>
      <c r="DD29" s="12" t="str">
        <f t="shared" si="149"/>
        <v>-</v>
      </c>
      <c r="DE29" s="12" t="str">
        <f t="shared" si="149"/>
        <v>-</v>
      </c>
      <c r="DF29" s="12">
        <f t="shared" si="149"/>
        <v>-1</v>
      </c>
      <c r="DG29" s="16">
        <f t="shared" si="78"/>
        <v>24</v>
      </c>
      <c r="DH29" s="1"/>
      <c r="DI29" s="63">
        <v>6.6666400000000001</v>
      </c>
      <c r="DJ29" s="63">
        <v>6.66629</v>
      </c>
      <c r="DK29" s="63">
        <v>6.6655800000000003</v>
      </c>
      <c r="DL29" s="63">
        <v>6.6645099999999999</v>
      </c>
      <c r="DM29" s="63">
        <v>6.6630900000000004</v>
      </c>
      <c r="DN29" s="63">
        <v>6.6613100000000003</v>
      </c>
      <c r="DO29" s="63">
        <v>6.6591800000000001</v>
      </c>
      <c r="DP29" s="63">
        <v>6.6566900000000002</v>
      </c>
      <c r="DQ29" s="63">
        <v>6.6538500000000003</v>
      </c>
      <c r="DR29" s="63">
        <v>6.6506499999999997</v>
      </c>
      <c r="DS29" s="63">
        <v>6.6471</v>
      </c>
      <c r="DT29" s="63">
        <v>6.6431800000000001</v>
      </c>
      <c r="DU29" s="63">
        <v>6.6389199999999997</v>
      </c>
      <c r="DV29" s="63">
        <v>6.63429</v>
      </c>
      <c r="DW29" s="63">
        <v>6.6293100000000003</v>
      </c>
      <c r="DX29" s="63">
        <v>6.6239699999999999</v>
      </c>
      <c r="DY29" s="63">
        <v>6.6182800000000004</v>
      </c>
      <c r="DZ29" s="63">
        <v>6.6122300000000003</v>
      </c>
      <c r="EA29" s="63">
        <v>6.6058199999999996</v>
      </c>
      <c r="EB29" s="63">
        <v>6.5990500000000001</v>
      </c>
      <c r="EC29" s="63">
        <v>6.59192</v>
      </c>
      <c r="ED29" s="63">
        <v>6.5844399999999998</v>
      </c>
      <c r="EE29" s="63">
        <v>6.5765599999999997</v>
      </c>
      <c r="EF29" s="63">
        <v>6.5670000000000002</v>
      </c>
      <c r="EG29" s="63">
        <v>6.5211699999999997</v>
      </c>
      <c r="EH29" s="63">
        <v>6.4596200000000001</v>
      </c>
      <c r="EI29" s="63">
        <v>6.39513</v>
      </c>
      <c r="EJ29" s="63">
        <v>6.3275199999999998</v>
      </c>
      <c r="EK29" s="63">
        <v>6.2565299999999997</v>
      </c>
      <c r="EL29" s="63">
        <v>6.1822699999999999</v>
      </c>
      <c r="EM29" s="63">
        <v>6.1044999999999998</v>
      </c>
      <c r="EN29" s="63">
        <v>6.0229499999999998</v>
      </c>
      <c r="EO29" s="63">
        <v>5.9376600000000002</v>
      </c>
      <c r="EP29" s="63">
        <v>5.8483999999999998</v>
      </c>
      <c r="EQ29" s="63">
        <v>5.7547600000000001</v>
      </c>
      <c r="ER29" s="63">
        <v>5.6577299999999999</v>
      </c>
      <c r="ES29" s="63">
        <v>5.5818099999999999</v>
      </c>
      <c r="ET29" s="63">
        <v>5.5658000000000003</v>
      </c>
      <c r="EU29" s="63">
        <v>5.5518400000000003</v>
      </c>
      <c r="EV29" s="63">
        <v>5.5376099999999999</v>
      </c>
      <c r="EW29" s="63">
        <v>5.5230100000000002</v>
      </c>
      <c r="EX29" s="63">
        <v>5.5080400000000003</v>
      </c>
      <c r="EY29" s="63">
        <v>5.4927000000000001</v>
      </c>
      <c r="EZ29" s="63">
        <v>5.4769899999999998</v>
      </c>
      <c r="FA29" s="63">
        <v>5.4609199999999998</v>
      </c>
      <c r="FB29" s="63">
        <v>5.4444699999999999</v>
      </c>
      <c r="FC29" s="63">
        <v>5.4276499999999999</v>
      </c>
      <c r="FD29" s="63">
        <v>5.41045</v>
      </c>
      <c r="FE29" s="63">
        <v>5.3928900000000004</v>
      </c>
      <c r="FF29" s="63">
        <v>5.375</v>
      </c>
      <c r="FG29" s="64">
        <f t="shared" si="72"/>
        <v>24</v>
      </c>
      <c r="FH29" s="1"/>
      <c r="FI29" s="1"/>
      <c r="FJ29" s="1"/>
      <c r="FK29" s="1"/>
      <c r="FL29" s="1"/>
      <c r="FM29" s="1"/>
      <c r="FN29" s="16" t="str">
        <f t="shared" si="86"/>
        <v/>
      </c>
      <c r="FO29" s="30" t="str">
        <f t="shared" si="79"/>
        <v/>
      </c>
      <c r="FP29" s="73" t="str">
        <f t="shared" si="87"/>
        <v/>
      </c>
      <c r="FQ29" s="75" t="str">
        <f t="shared" si="80"/>
        <v/>
      </c>
      <c r="FR29" s="2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ht="5.45" customHeight="1" x14ac:dyDescent="0.25">
      <c r="A30" s="3">
        <f t="shared" si="73"/>
        <v>25</v>
      </c>
      <c r="B30" s="10">
        <f t="shared" si="128"/>
        <v>25</v>
      </c>
      <c r="C30" s="10">
        <v>0</v>
      </c>
      <c r="D30" s="10">
        <f t="shared" si="67"/>
        <v>0</v>
      </c>
      <c r="E30" s="10">
        <f t="shared" si="74"/>
        <v>500</v>
      </c>
      <c r="F30" s="10">
        <v>0</v>
      </c>
      <c r="G30" s="27" t="s">
        <v>45</v>
      </c>
      <c r="H30" s="11" t="str">
        <f t="shared" si="63"/>
        <v>1,26</v>
      </c>
      <c r="I30" s="1"/>
      <c r="J30" s="16">
        <f t="shared" si="68"/>
        <v>25</v>
      </c>
      <c r="K30" s="12">
        <f t="shared" ref="K30:AP30" si="150">IF(ISNUMBER(MATCH(K64,$H$35:$H$49,0)),$D$2,IF(ISNUMBER(MATCH(K64,$H$55:$H$62,0)),$E$2,IF(ISNUMBER(MATCH(K64,$H$6:$H$34,0)),$C$2,$B$2)))</f>
        <v>1</v>
      </c>
      <c r="L30" s="12" t="str">
        <f t="shared" si="150"/>
        <v>-</v>
      </c>
      <c r="M30" s="12" t="str">
        <f t="shared" si="150"/>
        <v>-</v>
      </c>
      <c r="N30" s="12" t="str">
        <f t="shared" si="150"/>
        <v>-</v>
      </c>
      <c r="O30" s="12" t="str">
        <f t="shared" si="150"/>
        <v>-</v>
      </c>
      <c r="P30" s="12" t="str">
        <f t="shared" si="150"/>
        <v>-</v>
      </c>
      <c r="Q30" s="12" t="str">
        <f t="shared" si="150"/>
        <v>-</v>
      </c>
      <c r="R30" s="12" t="str">
        <f t="shared" si="150"/>
        <v>-</v>
      </c>
      <c r="S30" s="12" t="str">
        <f t="shared" si="150"/>
        <v>-</v>
      </c>
      <c r="T30" s="12" t="str">
        <f t="shared" si="150"/>
        <v>-</v>
      </c>
      <c r="U30" s="12" t="str">
        <f t="shared" si="150"/>
        <v>-</v>
      </c>
      <c r="V30" s="12" t="str">
        <f t="shared" si="150"/>
        <v>-</v>
      </c>
      <c r="W30" s="12" t="str">
        <f t="shared" si="150"/>
        <v>-</v>
      </c>
      <c r="X30" s="12" t="str">
        <f t="shared" si="150"/>
        <v>-</v>
      </c>
      <c r="Y30" s="12" t="str">
        <f t="shared" si="150"/>
        <v>-</v>
      </c>
      <c r="Z30" s="12" t="str">
        <f t="shared" si="150"/>
        <v>-</v>
      </c>
      <c r="AA30" s="12" t="str">
        <f t="shared" si="150"/>
        <v>-</v>
      </c>
      <c r="AB30" s="12" t="str">
        <f t="shared" si="150"/>
        <v>-</v>
      </c>
      <c r="AC30" s="12" t="str">
        <f t="shared" si="150"/>
        <v>-</v>
      </c>
      <c r="AD30" s="12" t="str">
        <f t="shared" si="150"/>
        <v>-</v>
      </c>
      <c r="AE30" s="12" t="str">
        <f t="shared" si="150"/>
        <v>-</v>
      </c>
      <c r="AF30" s="12" t="str">
        <f t="shared" si="150"/>
        <v>-</v>
      </c>
      <c r="AG30" s="12" t="str">
        <f t="shared" si="150"/>
        <v>-</v>
      </c>
      <c r="AH30" s="12" t="str">
        <f t="shared" si="150"/>
        <v>-</v>
      </c>
      <c r="AI30" s="12" t="str">
        <f t="shared" si="150"/>
        <v>-</v>
      </c>
      <c r="AJ30" s="12" t="str">
        <f t="shared" si="150"/>
        <v>-</v>
      </c>
      <c r="AK30" s="12" t="str">
        <f t="shared" si="150"/>
        <v>-</v>
      </c>
      <c r="AL30" s="12" t="str">
        <f t="shared" si="150"/>
        <v>-</v>
      </c>
      <c r="AM30" s="12" t="str">
        <f t="shared" si="150"/>
        <v>-</v>
      </c>
      <c r="AN30" s="12" t="str">
        <f t="shared" si="150"/>
        <v>-</v>
      </c>
      <c r="AO30" s="12" t="str">
        <f t="shared" si="150"/>
        <v>-</v>
      </c>
      <c r="AP30" s="12" t="str">
        <f t="shared" si="150"/>
        <v>-</v>
      </c>
      <c r="AQ30" s="12" t="str">
        <f t="shared" ref="AQ30:BV30" si="151">IF(ISNUMBER(MATCH(AQ64,$H$35:$H$49,0)),$D$2,IF(ISNUMBER(MATCH(AQ64,$H$55:$H$62,0)),$E$2,IF(ISNUMBER(MATCH(AQ64,$H$6:$H$34,0)),$C$2,$B$2)))</f>
        <v>-</v>
      </c>
      <c r="AR30" s="12" t="str">
        <f t="shared" si="151"/>
        <v>-</v>
      </c>
      <c r="AS30" s="12" t="str">
        <f t="shared" si="151"/>
        <v>-</v>
      </c>
      <c r="AT30" s="12" t="str">
        <f t="shared" si="151"/>
        <v>-</v>
      </c>
      <c r="AU30" s="12" t="str">
        <f t="shared" si="151"/>
        <v>-</v>
      </c>
      <c r="AV30" s="12" t="str">
        <f t="shared" si="151"/>
        <v>-</v>
      </c>
      <c r="AW30" s="12" t="str">
        <f t="shared" si="151"/>
        <v>-</v>
      </c>
      <c r="AX30" s="12" t="str">
        <f t="shared" si="151"/>
        <v>-</v>
      </c>
      <c r="AY30" s="12" t="str">
        <f t="shared" si="151"/>
        <v>-</v>
      </c>
      <c r="AZ30" s="12" t="str">
        <f t="shared" si="151"/>
        <v>-</v>
      </c>
      <c r="BA30" s="12" t="str">
        <f t="shared" si="151"/>
        <v>-</v>
      </c>
      <c r="BB30" s="12" t="str">
        <f t="shared" si="151"/>
        <v>-</v>
      </c>
      <c r="BC30" s="12" t="str">
        <f t="shared" si="151"/>
        <v>-</v>
      </c>
      <c r="BD30" s="12" t="str">
        <f t="shared" si="151"/>
        <v>-</v>
      </c>
      <c r="BE30" s="12" t="str">
        <f t="shared" si="151"/>
        <v>-</v>
      </c>
      <c r="BF30" s="12" t="str">
        <f t="shared" si="151"/>
        <v>-</v>
      </c>
      <c r="BG30" s="12" t="str">
        <f t="shared" si="151"/>
        <v>-</v>
      </c>
      <c r="BH30" s="12" t="str">
        <f t="shared" si="151"/>
        <v>-</v>
      </c>
      <c r="BI30" s="12" t="str">
        <f t="shared" si="151"/>
        <v>-</v>
      </c>
      <c r="BJ30" s="12" t="str">
        <f t="shared" si="151"/>
        <v>-</v>
      </c>
      <c r="BK30" s="12" t="str">
        <f t="shared" si="151"/>
        <v>-</v>
      </c>
      <c r="BL30" s="12" t="str">
        <f t="shared" si="151"/>
        <v>-</v>
      </c>
      <c r="BM30" s="12" t="str">
        <f t="shared" si="151"/>
        <v>-</v>
      </c>
      <c r="BN30" s="12" t="str">
        <f t="shared" si="151"/>
        <v>-</v>
      </c>
      <c r="BO30" s="12" t="str">
        <f t="shared" si="151"/>
        <v>-</v>
      </c>
      <c r="BP30" s="12" t="str">
        <f t="shared" si="151"/>
        <v>-</v>
      </c>
      <c r="BQ30" s="12" t="str">
        <f t="shared" si="151"/>
        <v>-</v>
      </c>
      <c r="BR30" s="12" t="str">
        <f t="shared" si="151"/>
        <v>-</v>
      </c>
      <c r="BS30" s="12" t="str">
        <f t="shared" si="151"/>
        <v>-</v>
      </c>
      <c r="BT30" s="12" t="str">
        <f t="shared" si="151"/>
        <v>-</v>
      </c>
      <c r="BU30" s="12" t="str">
        <f t="shared" si="151"/>
        <v>-</v>
      </c>
      <c r="BV30" s="12" t="str">
        <f t="shared" si="151"/>
        <v>-</v>
      </c>
      <c r="BW30" s="12" t="str">
        <f t="shared" ref="BW30:DF30" si="152">IF(ISNUMBER(MATCH(BW64,$H$35:$H$49,0)),$D$2,IF(ISNUMBER(MATCH(BW64,$H$55:$H$62,0)),$E$2,IF(ISNUMBER(MATCH(BW64,$H$6:$H$34,0)),$C$2,$B$2)))</f>
        <v>-</v>
      </c>
      <c r="BX30" s="12" t="str">
        <f t="shared" si="152"/>
        <v>-</v>
      </c>
      <c r="BY30" s="12" t="str">
        <f t="shared" si="152"/>
        <v>-</v>
      </c>
      <c r="BZ30" s="12" t="str">
        <f t="shared" si="152"/>
        <v>-</v>
      </c>
      <c r="CA30" s="12" t="str">
        <f t="shared" si="152"/>
        <v>-</v>
      </c>
      <c r="CB30" s="12" t="str">
        <f t="shared" si="152"/>
        <v>-</v>
      </c>
      <c r="CC30" s="12" t="str">
        <f t="shared" si="152"/>
        <v>-</v>
      </c>
      <c r="CD30" s="12" t="str">
        <f t="shared" si="152"/>
        <v>-</v>
      </c>
      <c r="CE30" s="12" t="str">
        <f t="shared" si="152"/>
        <v>-</v>
      </c>
      <c r="CF30" s="12" t="str">
        <f t="shared" si="152"/>
        <v>-</v>
      </c>
      <c r="CG30" s="12" t="str">
        <f t="shared" si="152"/>
        <v>-</v>
      </c>
      <c r="CH30" s="12" t="str">
        <f t="shared" si="152"/>
        <v>-</v>
      </c>
      <c r="CI30" s="12" t="str">
        <f t="shared" si="152"/>
        <v>-</v>
      </c>
      <c r="CJ30" s="12" t="str">
        <f t="shared" si="152"/>
        <v>-</v>
      </c>
      <c r="CK30" s="12" t="str">
        <f t="shared" si="152"/>
        <v>-</v>
      </c>
      <c r="CL30" s="12" t="str">
        <f t="shared" si="152"/>
        <v>-</v>
      </c>
      <c r="CM30" s="12" t="str">
        <f t="shared" si="152"/>
        <v>-</v>
      </c>
      <c r="CN30" s="12" t="str">
        <f t="shared" si="152"/>
        <v>-</v>
      </c>
      <c r="CO30" s="12" t="str">
        <f t="shared" si="152"/>
        <v>-</v>
      </c>
      <c r="CP30" s="12" t="str">
        <f t="shared" si="152"/>
        <v>-</v>
      </c>
      <c r="CQ30" s="12" t="str">
        <f t="shared" si="152"/>
        <v>-</v>
      </c>
      <c r="CR30" s="12" t="str">
        <f t="shared" si="152"/>
        <v>-</v>
      </c>
      <c r="CS30" s="12" t="str">
        <f t="shared" si="152"/>
        <v>-</v>
      </c>
      <c r="CT30" s="12" t="str">
        <f t="shared" si="152"/>
        <v>-</v>
      </c>
      <c r="CU30" s="12" t="str">
        <f t="shared" si="152"/>
        <v>-</v>
      </c>
      <c r="CV30" s="12" t="str">
        <f t="shared" si="152"/>
        <v>-</v>
      </c>
      <c r="CW30" s="12" t="str">
        <f t="shared" si="152"/>
        <v>-</v>
      </c>
      <c r="CX30" s="12" t="str">
        <f t="shared" si="152"/>
        <v>-</v>
      </c>
      <c r="CY30" s="12" t="str">
        <f t="shared" si="152"/>
        <v>-</v>
      </c>
      <c r="CZ30" s="12" t="str">
        <f t="shared" si="152"/>
        <v>-</v>
      </c>
      <c r="DA30" s="12" t="str">
        <f t="shared" si="152"/>
        <v>-</v>
      </c>
      <c r="DB30" s="12" t="str">
        <f t="shared" si="152"/>
        <v>-</v>
      </c>
      <c r="DC30" s="12" t="str">
        <f t="shared" si="152"/>
        <v>-</v>
      </c>
      <c r="DD30" s="12" t="str">
        <f t="shared" si="152"/>
        <v>-</v>
      </c>
      <c r="DE30" s="12" t="str">
        <f t="shared" si="152"/>
        <v>-</v>
      </c>
      <c r="DF30" s="12">
        <f t="shared" si="152"/>
        <v>-1</v>
      </c>
      <c r="DG30" s="16">
        <f t="shared" si="78"/>
        <v>25</v>
      </c>
      <c r="DH30" s="1"/>
      <c r="DI30" s="63">
        <v>6.6666400000000001</v>
      </c>
      <c r="DJ30" s="63">
        <v>6.6662800000000004</v>
      </c>
      <c r="DK30" s="63">
        <v>6.6655699999999998</v>
      </c>
      <c r="DL30" s="63">
        <v>6.6645099999999999</v>
      </c>
      <c r="DM30" s="63">
        <v>6.6630900000000004</v>
      </c>
      <c r="DN30" s="63">
        <v>6.6613100000000003</v>
      </c>
      <c r="DO30" s="63">
        <v>6.6591800000000001</v>
      </c>
      <c r="DP30" s="63">
        <v>6.6566900000000002</v>
      </c>
      <c r="DQ30" s="63">
        <v>6.6538500000000003</v>
      </c>
      <c r="DR30" s="63">
        <v>6.6506499999999997</v>
      </c>
      <c r="DS30" s="63">
        <v>6.6470900000000004</v>
      </c>
      <c r="DT30" s="63">
        <v>6.6431800000000001</v>
      </c>
      <c r="DU30" s="63">
        <v>6.6389100000000001</v>
      </c>
      <c r="DV30" s="63">
        <v>6.63429</v>
      </c>
      <c r="DW30" s="63">
        <v>6.6293100000000003</v>
      </c>
      <c r="DX30" s="63">
        <v>6.6239699999999999</v>
      </c>
      <c r="DY30" s="63">
        <v>6.6182699999999999</v>
      </c>
      <c r="DZ30" s="63">
        <v>6.6122199999999998</v>
      </c>
      <c r="EA30" s="63">
        <v>6.60581</v>
      </c>
      <c r="EB30" s="63">
        <v>6.5990500000000001</v>
      </c>
      <c r="EC30" s="63">
        <v>6.59192</v>
      </c>
      <c r="ED30" s="63">
        <v>6.5844399999999998</v>
      </c>
      <c r="EE30" s="63">
        <v>6.5765500000000001</v>
      </c>
      <c r="EF30" s="63">
        <v>6.5667299999999997</v>
      </c>
      <c r="EG30" s="63">
        <v>6.5210499999999998</v>
      </c>
      <c r="EH30" s="63">
        <v>6.4595900000000004</v>
      </c>
      <c r="EI30" s="63">
        <v>6.3951099999999999</v>
      </c>
      <c r="EJ30" s="63">
        <v>6.3274900000000001</v>
      </c>
      <c r="EK30" s="63">
        <v>6.2565</v>
      </c>
      <c r="EL30" s="63">
        <v>6.1822499999999998</v>
      </c>
      <c r="EM30" s="63">
        <v>6.1044700000000001</v>
      </c>
      <c r="EN30" s="63">
        <v>6.0229200000000001</v>
      </c>
      <c r="EO30" s="63">
        <v>5.9376300000000004</v>
      </c>
      <c r="EP30" s="63">
        <v>5.8483700000000001</v>
      </c>
      <c r="EQ30" s="63">
        <v>5.75474</v>
      </c>
      <c r="ER30" s="63">
        <v>5.6578900000000001</v>
      </c>
      <c r="ES30" s="63">
        <v>5.5822500000000002</v>
      </c>
      <c r="ET30" s="63">
        <v>5.5658200000000004</v>
      </c>
      <c r="EU30" s="63">
        <v>5.5518400000000003</v>
      </c>
      <c r="EV30" s="63">
        <v>5.5376000000000003</v>
      </c>
      <c r="EW30" s="63">
        <v>5.5230100000000002</v>
      </c>
      <c r="EX30" s="63">
        <v>5.5080400000000003</v>
      </c>
      <c r="EY30" s="63">
        <v>5.4927000000000001</v>
      </c>
      <c r="EZ30" s="63">
        <v>5.4769899999999998</v>
      </c>
      <c r="FA30" s="63">
        <v>5.4609100000000002</v>
      </c>
      <c r="FB30" s="63">
        <v>5.4444600000000003</v>
      </c>
      <c r="FC30" s="63">
        <v>5.4276400000000002</v>
      </c>
      <c r="FD30" s="63">
        <v>5.41045</v>
      </c>
      <c r="FE30" s="63">
        <v>5.3928900000000004</v>
      </c>
      <c r="FF30" s="63">
        <v>5.375</v>
      </c>
      <c r="FG30" s="64">
        <f t="shared" si="72"/>
        <v>25</v>
      </c>
      <c r="FH30" s="1"/>
      <c r="FI30" s="1"/>
      <c r="FJ30" s="47"/>
      <c r="FK30" s="1"/>
      <c r="FL30" s="1"/>
      <c r="FM30" s="1"/>
      <c r="FN30" s="16" t="str">
        <f t="shared" si="86"/>
        <v/>
      </c>
      <c r="FO30" s="30" t="str">
        <f t="shared" si="79"/>
        <v/>
      </c>
      <c r="FP30" s="73" t="str">
        <f t="shared" si="87"/>
        <v/>
      </c>
      <c r="FQ30" s="75" t="str">
        <f t="shared" si="80"/>
        <v/>
      </c>
      <c r="FR30" s="2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ht="5.45" customHeight="1" x14ac:dyDescent="0.25">
      <c r="A31" s="3">
        <f t="shared" si="73"/>
        <v>26</v>
      </c>
      <c r="B31" s="10">
        <f t="shared" si="128"/>
        <v>26</v>
      </c>
      <c r="C31" s="10">
        <v>0</v>
      </c>
      <c r="D31" s="10">
        <f t="shared" si="67"/>
        <v>0</v>
      </c>
      <c r="E31" s="10">
        <f t="shared" si="74"/>
        <v>500</v>
      </c>
      <c r="F31" s="10">
        <v>0</v>
      </c>
      <c r="G31" s="27" t="s">
        <v>45</v>
      </c>
      <c r="H31" s="11" t="str">
        <f t="shared" ref="H31:H34" si="153">_xlfn.CONCAT(D31+1,",",B31+1)</f>
        <v>1,27</v>
      </c>
      <c r="I31" s="1"/>
      <c r="J31" s="16">
        <f t="shared" si="68"/>
        <v>26</v>
      </c>
      <c r="K31" s="12">
        <f t="shared" ref="K31:AP31" si="154">IF(ISNUMBER(MATCH(K65,$H$35:$H$49,0)),$D$2,IF(ISNUMBER(MATCH(K65,$H$55:$H$62,0)),$E$2,IF(ISNUMBER(MATCH(K65,$H$6:$H$34,0)),$C$2,$B$2)))</f>
        <v>1</v>
      </c>
      <c r="L31" s="12" t="str">
        <f t="shared" si="154"/>
        <v>-</v>
      </c>
      <c r="M31" s="12" t="str">
        <f t="shared" si="154"/>
        <v>-</v>
      </c>
      <c r="N31" s="12" t="str">
        <f t="shared" si="154"/>
        <v>-</v>
      </c>
      <c r="O31" s="12" t="str">
        <f t="shared" si="154"/>
        <v>-</v>
      </c>
      <c r="P31" s="12" t="str">
        <f t="shared" si="154"/>
        <v>-</v>
      </c>
      <c r="Q31" s="12" t="str">
        <f t="shared" si="154"/>
        <v>-</v>
      </c>
      <c r="R31" s="12" t="str">
        <f t="shared" si="154"/>
        <v>-</v>
      </c>
      <c r="S31" s="12" t="str">
        <f t="shared" si="154"/>
        <v>-</v>
      </c>
      <c r="T31" s="12" t="str">
        <f t="shared" si="154"/>
        <v>-</v>
      </c>
      <c r="U31" s="12" t="str">
        <f t="shared" si="154"/>
        <v>-</v>
      </c>
      <c r="V31" s="12" t="str">
        <f t="shared" si="154"/>
        <v>-</v>
      </c>
      <c r="W31" s="12" t="str">
        <f t="shared" si="154"/>
        <v>-</v>
      </c>
      <c r="X31" s="12" t="str">
        <f t="shared" si="154"/>
        <v>-</v>
      </c>
      <c r="Y31" s="12" t="str">
        <f t="shared" si="154"/>
        <v>-</v>
      </c>
      <c r="Z31" s="12" t="str">
        <f t="shared" si="154"/>
        <v>-</v>
      </c>
      <c r="AA31" s="12" t="str">
        <f t="shared" si="154"/>
        <v>-</v>
      </c>
      <c r="AB31" s="12" t="str">
        <f t="shared" si="154"/>
        <v>-</v>
      </c>
      <c r="AC31" s="12" t="str">
        <f t="shared" si="154"/>
        <v>-</v>
      </c>
      <c r="AD31" s="12" t="str">
        <f t="shared" si="154"/>
        <v>-</v>
      </c>
      <c r="AE31" s="12" t="str">
        <f t="shared" si="154"/>
        <v>-</v>
      </c>
      <c r="AF31" s="12" t="str">
        <f t="shared" si="154"/>
        <v>-</v>
      </c>
      <c r="AG31" s="12" t="str">
        <f t="shared" si="154"/>
        <v>-</v>
      </c>
      <c r="AH31" s="12" t="str">
        <f t="shared" si="154"/>
        <v>-</v>
      </c>
      <c r="AI31" s="12" t="str">
        <f t="shared" si="154"/>
        <v>-</v>
      </c>
      <c r="AJ31" s="12" t="str">
        <f t="shared" si="154"/>
        <v>-</v>
      </c>
      <c r="AK31" s="12" t="str">
        <f t="shared" si="154"/>
        <v>-</v>
      </c>
      <c r="AL31" s="12" t="str">
        <f t="shared" si="154"/>
        <v>-</v>
      </c>
      <c r="AM31" s="12" t="str">
        <f t="shared" si="154"/>
        <v>-</v>
      </c>
      <c r="AN31" s="12" t="str">
        <f t="shared" si="154"/>
        <v>-</v>
      </c>
      <c r="AO31" s="12" t="str">
        <f t="shared" si="154"/>
        <v>-</v>
      </c>
      <c r="AP31" s="12" t="str">
        <f t="shared" si="154"/>
        <v>-</v>
      </c>
      <c r="AQ31" s="12" t="str">
        <f t="shared" ref="AQ31:BV31" si="155">IF(ISNUMBER(MATCH(AQ65,$H$35:$H$49,0)),$D$2,IF(ISNUMBER(MATCH(AQ65,$H$55:$H$62,0)),$E$2,IF(ISNUMBER(MATCH(AQ65,$H$6:$H$34,0)),$C$2,$B$2)))</f>
        <v>-</v>
      </c>
      <c r="AR31" s="12" t="str">
        <f t="shared" si="155"/>
        <v>-</v>
      </c>
      <c r="AS31" s="12" t="str">
        <f t="shared" si="155"/>
        <v>-</v>
      </c>
      <c r="AT31" s="12" t="str">
        <f t="shared" si="155"/>
        <v>-</v>
      </c>
      <c r="AU31" s="12" t="str">
        <f t="shared" si="155"/>
        <v>-</v>
      </c>
      <c r="AV31" s="12" t="str">
        <f t="shared" si="155"/>
        <v>-</v>
      </c>
      <c r="AW31" s="12" t="str">
        <f t="shared" si="155"/>
        <v>-</v>
      </c>
      <c r="AX31" s="12" t="str">
        <f t="shared" si="155"/>
        <v>-</v>
      </c>
      <c r="AY31" s="12" t="str">
        <f t="shared" si="155"/>
        <v>-</v>
      </c>
      <c r="AZ31" s="12" t="str">
        <f t="shared" si="155"/>
        <v>-</v>
      </c>
      <c r="BA31" s="12" t="str">
        <f t="shared" si="155"/>
        <v>-</v>
      </c>
      <c r="BB31" s="12" t="str">
        <f t="shared" si="155"/>
        <v>-</v>
      </c>
      <c r="BC31" s="12" t="str">
        <f t="shared" si="155"/>
        <v>-</v>
      </c>
      <c r="BD31" s="12" t="str">
        <f t="shared" si="155"/>
        <v>-</v>
      </c>
      <c r="BE31" s="12" t="str">
        <f t="shared" si="155"/>
        <v>-</v>
      </c>
      <c r="BF31" s="12" t="str">
        <f t="shared" si="155"/>
        <v>-</v>
      </c>
      <c r="BG31" s="12" t="str">
        <f t="shared" si="155"/>
        <v>-</v>
      </c>
      <c r="BH31" s="12" t="str">
        <f t="shared" si="155"/>
        <v>-</v>
      </c>
      <c r="BI31" s="12" t="str">
        <f t="shared" si="155"/>
        <v>-</v>
      </c>
      <c r="BJ31" s="12" t="str">
        <f t="shared" si="155"/>
        <v>-</v>
      </c>
      <c r="BK31" s="12" t="str">
        <f t="shared" si="155"/>
        <v>-</v>
      </c>
      <c r="BL31" s="12" t="str">
        <f t="shared" si="155"/>
        <v>-</v>
      </c>
      <c r="BM31" s="12" t="str">
        <f t="shared" si="155"/>
        <v>-</v>
      </c>
      <c r="BN31" s="12" t="str">
        <f t="shared" si="155"/>
        <v>-</v>
      </c>
      <c r="BO31" s="12" t="str">
        <f t="shared" si="155"/>
        <v>-</v>
      </c>
      <c r="BP31" s="12" t="str">
        <f t="shared" si="155"/>
        <v>-</v>
      </c>
      <c r="BQ31" s="12" t="str">
        <f t="shared" si="155"/>
        <v>-</v>
      </c>
      <c r="BR31" s="12" t="str">
        <f t="shared" si="155"/>
        <v>-</v>
      </c>
      <c r="BS31" s="12" t="str">
        <f t="shared" si="155"/>
        <v>-</v>
      </c>
      <c r="BT31" s="12" t="str">
        <f t="shared" si="155"/>
        <v>-</v>
      </c>
      <c r="BU31" s="12" t="str">
        <f t="shared" si="155"/>
        <v>-</v>
      </c>
      <c r="BV31" s="12" t="str">
        <f t="shared" si="155"/>
        <v>-</v>
      </c>
      <c r="BW31" s="12" t="str">
        <f t="shared" ref="BW31:DF31" si="156">IF(ISNUMBER(MATCH(BW65,$H$35:$H$49,0)),$D$2,IF(ISNUMBER(MATCH(BW65,$H$55:$H$62,0)),$E$2,IF(ISNUMBER(MATCH(BW65,$H$6:$H$34,0)),$C$2,$B$2)))</f>
        <v>-</v>
      </c>
      <c r="BX31" s="12" t="str">
        <f t="shared" si="156"/>
        <v>-</v>
      </c>
      <c r="BY31" s="12" t="str">
        <f t="shared" si="156"/>
        <v>-</v>
      </c>
      <c r="BZ31" s="12" t="str">
        <f t="shared" si="156"/>
        <v>-</v>
      </c>
      <c r="CA31" s="12" t="str">
        <f t="shared" si="156"/>
        <v>-</v>
      </c>
      <c r="CB31" s="12" t="str">
        <f t="shared" si="156"/>
        <v>-</v>
      </c>
      <c r="CC31" s="12" t="str">
        <f t="shared" si="156"/>
        <v>-</v>
      </c>
      <c r="CD31" s="12" t="str">
        <f t="shared" si="156"/>
        <v>-</v>
      </c>
      <c r="CE31" s="12" t="str">
        <f t="shared" si="156"/>
        <v>-</v>
      </c>
      <c r="CF31" s="12" t="str">
        <f t="shared" si="156"/>
        <v>-</v>
      </c>
      <c r="CG31" s="12" t="str">
        <f t="shared" si="156"/>
        <v>-</v>
      </c>
      <c r="CH31" s="12" t="str">
        <f t="shared" si="156"/>
        <v>-</v>
      </c>
      <c r="CI31" s="12" t="str">
        <f t="shared" si="156"/>
        <v>-</v>
      </c>
      <c r="CJ31" s="12" t="str">
        <f t="shared" si="156"/>
        <v>-</v>
      </c>
      <c r="CK31" s="12" t="str">
        <f t="shared" si="156"/>
        <v>-</v>
      </c>
      <c r="CL31" s="12" t="str">
        <f t="shared" si="156"/>
        <v>-</v>
      </c>
      <c r="CM31" s="12" t="str">
        <f t="shared" si="156"/>
        <v>-</v>
      </c>
      <c r="CN31" s="12" t="str">
        <f t="shared" si="156"/>
        <v>-</v>
      </c>
      <c r="CO31" s="12" t="str">
        <f t="shared" si="156"/>
        <v>-</v>
      </c>
      <c r="CP31" s="12" t="str">
        <f t="shared" si="156"/>
        <v>-</v>
      </c>
      <c r="CQ31" s="12" t="str">
        <f t="shared" si="156"/>
        <v>-</v>
      </c>
      <c r="CR31" s="12" t="str">
        <f t="shared" si="156"/>
        <v>-</v>
      </c>
      <c r="CS31" s="12" t="str">
        <f t="shared" si="156"/>
        <v>-</v>
      </c>
      <c r="CT31" s="12" t="str">
        <f t="shared" si="156"/>
        <v>-</v>
      </c>
      <c r="CU31" s="12" t="str">
        <f t="shared" si="156"/>
        <v>-</v>
      </c>
      <c r="CV31" s="12" t="str">
        <f t="shared" si="156"/>
        <v>-</v>
      </c>
      <c r="CW31" s="12" t="str">
        <f t="shared" si="156"/>
        <v>-</v>
      </c>
      <c r="CX31" s="12" t="str">
        <f t="shared" si="156"/>
        <v>-</v>
      </c>
      <c r="CY31" s="12" t="str">
        <f t="shared" si="156"/>
        <v>-</v>
      </c>
      <c r="CZ31" s="12" t="str">
        <f t="shared" si="156"/>
        <v>-</v>
      </c>
      <c r="DA31" s="12" t="str">
        <f t="shared" si="156"/>
        <v>-</v>
      </c>
      <c r="DB31" s="12" t="str">
        <f t="shared" si="156"/>
        <v>-</v>
      </c>
      <c r="DC31" s="12" t="str">
        <f t="shared" si="156"/>
        <v>-</v>
      </c>
      <c r="DD31" s="12" t="str">
        <f t="shared" si="156"/>
        <v>-</v>
      </c>
      <c r="DE31" s="12" t="str">
        <f t="shared" si="156"/>
        <v>-</v>
      </c>
      <c r="DF31" s="12">
        <f t="shared" si="156"/>
        <v>-1</v>
      </c>
      <c r="DG31" s="16">
        <f t="shared" si="78"/>
        <v>26</v>
      </c>
      <c r="DH31" s="1"/>
      <c r="DI31" s="63">
        <v>6.6666400000000001</v>
      </c>
      <c r="DJ31" s="63">
        <v>6.6662800000000004</v>
      </c>
      <c r="DK31" s="63">
        <v>6.6655699999999998</v>
      </c>
      <c r="DL31" s="63">
        <v>6.6645099999999999</v>
      </c>
      <c r="DM31" s="63">
        <v>6.6630799999999999</v>
      </c>
      <c r="DN31" s="63">
        <v>6.6613100000000003</v>
      </c>
      <c r="DO31" s="63">
        <v>6.6591800000000001</v>
      </c>
      <c r="DP31" s="63">
        <v>6.6566900000000002</v>
      </c>
      <c r="DQ31" s="63">
        <v>6.6538500000000003</v>
      </c>
      <c r="DR31" s="63">
        <v>6.6506499999999997</v>
      </c>
      <c r="DS31" s="63">
        <v>6.6470900000000004</v>
      </c>
      <c r="DT31" s="63">
        <v>6.6431800000000001</v>
      </c>
      <c r="DU31" s="63">
        <v>6.6389100000000001</v>
      </c>
      <c r="DV31" s="63">
        <v>6.63429</v>
      </c>
      <c r="DW31" s="63">
        <v>6.6293100000000003</v>
      </c>
      <c r="DX31" s="63">
        <v>6.6239699999999999</v>
      </c>
      <c r="DY31" s="63">
        <v>6.6182699999999999</v>
      </c>
      <c r="DZ31" s="63">
        <v>6.6122199999999998</v>
      </c>
      <c r="EA31" s="63">
        <v>6.60581</v>
      </c>
      <c r="EB31" s="63">
        <v>6.5990399999999996</v>
      </c>
      <c r="EC31" s="63">
        <v>6.59192</v>
      </c>
      <c r="ED31" s="63">
        <v>6.5844399999999998</v>
      </c>
      <c r="EE31" s="63">
        <v>6.57653</v>
      </c>
      <c r="EF31" s="63">
        <v>6.5665500000000003</v>
      </c>
      <c r="EG31" s="63">
        <v>6.5209700000000002</v>
      </c>
      <c r="EH31" s="63">
        <v>6.4595799999999999</v>
      </c>
      <c r="EI31" s="63">
        <v>6.3951000000000002</v>
      </c>
      <c r="EJ31" s="63">
        <v>6.3274699999999999</v>
      </c>
      <c r="EK31" s="63">
        <v>6.2564900000000003</v>
      </c>
      <c r="EL31" s="63">
        <v>6.1822299999999997</v>
      </c>
      <c r="EM31" s="63">
        <v>6.1044499999999999</v>
      </c>
      <c r="EN31" s="63">
        <v>6.0228999999999999</v>
      </c>
      <c r="EO31" s="63">
        <v>5.9376100000000003</v>
      </c>
      <c r="EP31" s="63">
        <v>5.8483499999999999</v>
      </c>
      <c r="EQ31" s="63">
        <v>5.7547199999999998</v>
      </c>
      <c r="ER31" s="63">
        <v>5.6579899999999999</v>
      </c>
      <c r="ES31" s="63">
        <v>5.5825399999999998</v>
      </c>
      <c r="ET31" s="63">
        <v>5.5658399999999997</v>
      </c>
      <c r="EU31" s="63">
        <v>5.5518400000000003</v>
      </c>
      <c r="EV31" s="63">
        <v>5.5376000000000003</v>
      </c>
      <c r="EW31" s="63">
        <v>5.5229999999999997</v>
      </c>
      <c r="EX31" s="63">
        <v>5.5080299999999998</v>
      </c>
      <c r="EY31" s="63">
        <v>5.4927000000000001</v>
      </c>
      <c r="EZ31" s="63">
        <v>5.4769899999999998</v>
      </c>
      <c r="FA31" s="63">
        <v>5.4609100000000002</v>
      </c>
      <c r="FB31" s="63">
        <v>5.4444600000000003</v>
      </c>
      <c r="FC31" s="63">
        <v>5.4276400000000002</v>
      </c>
      <c r="FD31" s="63">
        <v>5.41045</v>
      </c>
      <c r="FE31" s="63">
        <v>5.3928900000000004</v>
      </c>
      <c r="FF31" s="63">
        <v>5.375</v>
      </c>
      <c r="FG31" s="64">
        <f t="shared" si="72"/>
        <v>26</v>
      </c>
      <c r="FH31" s="1"/>
      <c r="FI31" s="1"/>
      <c r="FJ31" s="47" t="str">
        <f>V6</f>
        <v>-</v>
      </c>
      <c r="FK31" s="1"/>
      <c r="FL31" s="1"/>
      <c r="FM31" s="1"/>
      <c r="FN31" s="16" t="str">
        <f t="shared" si="86"/>
        <v/>
      </c>
      <c r="FO31" s="30" t="str">
        <f t="shared" si="79"/>
        <v/>
      </c>
      <c r="FP31" s="73" t="str">
        <f t="shared" si="87"/>
        <v/>
      </c>
      <c r="FQ31" s="75" t="str">
        <f t="shared" si="80"/>
        <v/>
      </c>
      <c r="FR31" s="2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ht="5.45" customHeight="1" x14ac:dyDescent="0.25">
      <c r="A32" s="3">
        <v>1</v>
      </c>
      <c r="B32" s="10">
        <f t="shared" si="128"/>
        <v>27</v>
      </c>
      <c r="C32" s="10">
        <v>0</v>
      </c>
      <c r="D32" s="10">
        <f t="shared" si="67"/>
        <v>0</v>
      </c>
      <c r="E32" s="10">
        <f t="shared" si="74"/>
        <v>500</v>
      </c>
      <c r="F32" s="10">
        <v>0</v>
      </c>
      <c r="G32" s="27" t="s">
        <v>45</v>
      </c>
      <c r="H32" s="11" t="str">
        <f t="shared" si="153"/>
        <v>1,28</v>
      </c>
      <c r="I32" s="1"/>
      <c r="J32" s="16">
        <f t="shared" si="68"/>
        <v>27</v>
      </c>
      <c r="K32" s="12">
        <f t="shared" ref="K32:AP32" si="157">IF(ISNUMBER(MATCH(K66,$H$35:$H$49,0)),$D$2,IF(ISNUMBER(MATCH(K66,$H$55:$H$62,0)),$E$2,IF(ISNUMBER(MATCH(K66,$H$6:$H$34,0)),$C$2,$B$2)))</f>
        <v>1</v>
      </c>
      <c r="L32" s="12" t="str">
        <f t="shared" si="157"/>
        <v>-</v>
      </c>
      <c r="M32" s="12" t="str">
        <f t="shared" si="157"/>
        <v>-</v>
      </c>
      <c r="N32" s="12" t="str">
        <f t="shared" si="157"/>
        <v>-</v>
      </c>
      <c r="O32" s="12" t="str">
        <f t="shared" si="157"/>
        <v>-</v>
      </c>
      <c r="P32" s="12" t="str">
        <f t="shared" si="157"/>
        <v>-</v>
      </c>
      <c r="Q32" s="12" t="str">
        <f t="shared" si="157"/>
        <v>-</v>
      </c>
      <c r="R32" s="12" t="str">
        <f t="shared" si="157"/>
        <v>-</v>
      </c>
      <c r="S32" s="12" t="str">
        <f t="shared" si="157"/>
        <v>-</v>
      </c>
      <c r="T32" s="12" t="str">
        <f t="shared" si="157"/>
        <v>-</v>
      </c>
      <c r="U32" s="12" t="str">
        <f t="shared" si="157"/>
        <v>-</v>
      </c>
      <c r="V32" s="12" t="str">
        <f t="shared" si="157"/>
        <v>-</v>
      </c>
      <c r="W32" s="12" t="str">
        <f t="shared" si="157"/>
        <v>-</v>
      </c>
      <c r="X32" s="12" t="str">
        <f t="shared" si="157"/>
        <v>-</v>
      </c>
      <c r="Y32" s="12" t="str">
        <f t="shared" si="157"/>
        <v>-</v>
      </c>
      <c r="Z32" s="12" t="str">
        <f t="shared" si="157"/>
        <v>-</v>
      </c>
      <c r="AA32" s="12" t="str">
        <f t="shared" si="157"/>
        <v>-</v>
      </c>
      <c r="AB32" s="12" t="str">
        <f t="shared" si="157"/>
        <v>-</v>
      </c>
      <c r="AC32" s="12" t="str">
        <f t="shared" si="157"/>
        <v>-</v>
      </c>
      <c r="AD32" s="12" t="str">
        <f t="shared" si="157"/>
        <v>-</v>
      </c>
      <c r="AE32" s="12" t="str">
        <f t="shared" si="157"/>
        <v>-</v>
      </c>
      <c r="AF32" s="12" t="str">
        <f t="shared" si="157"/>
        <v>-</v>
      </c>
      <c r="AG32" s="12" t="str">
        <f t="shared" si="157"/>
        <v>-</v>
      </c>
      <c r="AH32" s="12" t="str">
        <f t="shared" si="157"/>
        <v>-</v>
      </c>
      <c r="AI32" s="12" t="str">
        <f t="shared" si="157"/>
        <v>-</v>
      </c>
      <c r="AJ32" s="12" t="str">
        <f t="shared" si="157"/>
        <v>-</v>
      </c>
      <c r="AK32" s="12" t="str">
        <f t="shared" si="157"/>
        <v>-</v>
      </c>
      <c r="AL32" s="12" t="str">
        <f t="shared" si="157"/>
        <v>-</v>
      </c>
      <c r="AM32" s="12" t="str">
        <f t="shared" si="157"/>
        <v>-</v>
      </c>
      <c r="AN32" s="12" t="str">
        <f t="shared" si="157"/>
        <v>-</v>
      </c>
      <c r="AO32" s="12" t="str">
        <f t="shared" si="157"/>
        <v>-</v>
      </c>
      <c r="AP32" s="12" t="str">
        <f t="shared" si="157"/>
        <v>-</v>
      </c>
      <c r="AQ32" s="12" t="str">
        <f t="shared" ref="AQ32:BV32" si="158">IF(ISNUMBER(MATCH(AQ66,$H$35:$H$49,0)),$D$2,IF(ISNUMBER(MATCH(AQ66,$H$55:$H$62,0)),$E$2,IF(ISNUMBER(MATCH(AQ66,$H$6:$H$34,0)),$C$2,$B$2)))</f>
        <v>-</v>
      </c>
      <c r="AR32" s="12" t="str">
        <f t="shared" si="158"/>
        <v>-</v>
      </c>
      <c r="AS32" s="12" t="str">
        <f t="shared" si="158"/>
        <v>-</v>
      </c>
      <c r="AT32" s="12" t="str">
        <f t="shared" si="158"/>
        <v>-</v>
      </c>
      <c r="AU32" s="12" t="str">
        <f t="shared" si="158"/>
        <v>-</v>
      </c>
      <c r="AV32" s="12" t="str">
        <f t="shared" si="158"/>
        <v>-</v>
      </c>
      <c r="AW32" s="12" t="str">
        <f t="shared" si="158"/>
        <v>-</v>
      </c>
      <c r="AX32" s="12" t="str">
        <f t="shared" si="158"/>
        <v>-</v>
      </c>
      <c r="AY32" s="12" t="str">
        <f t="shared" si="158"/>
        <v>-</v>
      </c>
      <c r="AZ32" s="12" t="str">
        <f t="shared" si="158"/>
        <v>-</v>
      </c>
      <c r="BA32" s="12" t="str">
        <f t="shared" si="158"/>
        <v>-</v>
      </c>
      <c r="BB32" s="12" t="str">
        <f t="shared" si="158"/>
        <v>-</v>
      </c>
      <c r="BC32" s="12" t="str">
        <f t="shared" si="158"/>
        <v>-</v>
      </c>
      <c r="BD32" s="12" t="str">
        <f t="shared" si="158"/>
        <v>-</v>
      </c>
      <c r="BE32" s="12" t="str">
        <f t="shared" si="158"/>
        <v>-</v>
      </c>
      <c r="BF32" s="12" t="str">
        <f t="shared" si="158"/>
        <v>-</v>
      </c>
      <c r="BG32" s="12" t="str">
        <f t="shared" si="158"/>
        <v>-</v>
      </c>
      <c r="BH32" s="12" t="str">
        <f t="shared" si="158"/>
        <v>-</v>
      </c>
      <c r="BI32" s="12" t="str">
        <f t="shared" si="158"/>
        <v>-</v>
      </c>
      <c r="BJ32" s="12" t="str">
        <f t="shared" si="158"/>
        <v>-</v>
      </c>
      <c r="BK32" s="12" t="str">
        <f t="shared" si="158"/>
        <v>-</v>
      </c>
      <c r="BL32" s="12" t="str">
        <f t="shared" si="158"/>
        <v>-</v>
      </c>
      <c r="BM32" s="12" t="str">
        <f t="shared" si="158"/>
        <v>-</v>
      </c>
      <c r="BN32" s="12" t="str">
        <f t="shared" si="158"/>
        <v>-</v>
      </c>
      <c r="BO32" s="12" t="str">
        <f t="shared" si="158"/>
        <v>-</v>
      </c>
      <c r="BP32" s="12" t="str">
        <f t="shared" si="158"/>
        <v>-</v>
      </c>
      <c r="BQ32" s="12" t="str">
        <f t="shared" si="158"/>
        <v>-</v>
      </c>
      <c r="BR32" s="12" t="str">
        <f t="shared" si="158"/>
        <v>-</v>
      </c>
      <c r="BS32" s="12" t="str">
        <f t="shared" si="158"/>
        <v>-</v>
      </c>
      <c r="BT32" s="12" t="str">
        <f t="shared" si="158"/>
        <v>-</v>
      </c>
      <c r="BU32" s="12" t="str">
        <f t="shared" si="158"/>
        <v>-</v>
      </c>
      <c r="BV32" s="12" t="str">
        <f t="shared" si="158"/>
        <v>-</v>
      </c>
      <c r="BW32" s="12" t="str">
        <f t="shared" ref="BW32:DF32" si="159">IF(ISNUMBER(MATCH(BW66,$H$35:$H$49,0)),$D$2,IF(ISNUMBER(MATCH(BW66,$H$55:$H$62,0)),$E$2,IF(ISNUMBER(MATCH(BW66,$H$6:$H$34,0)),$C$2,$B$2)))</f>
        <v>-</v>
      </c>
      <c r="BX32" s="12" t="str">
        <f t="shared" si="159"/>
        <v>-</v>
      </c>
      <c r="BY32" s="12" t="str">
        <f t="shared" si="159"/>
        <v>-</v>
      </c>
      <c r="BZ32" s="12" t="str">
        <f t="shared" si="159"/>
        <v>-</v>
      </c>
      <c r="CA32" s="12" t="str">
        <f t="shared" si="159"/>
        <v>-</v>
      </c>
      <c r="CB32" s="12" t="str">
        <f t="shared" si="159"/>
        <v>-</v>
      </c>
      <c r="CC32" s="12" t="str">
        <f t="shared" si="159"/>
        <v>-</v>
      </c>
      <c r="CD32" s="12" t="str">
        <f t="shared" si="159"/>
        <v>-</v>
      </c>
      <c r="CE32" s="12" t="str">
        <f t="shared" si="159"/>
        <v>-</v>
      </c>
      <c r="CF32" s="12" t="str">
        <f t="shared" si="159"/>
        <v>-</v>
      </c>
      <c r="CG32" s="12" t="str">
        <f t="shared" si="159"/>
        <v>-</v>
      </c>
      <c r="CH32" s="12" t="str">
        <f t="shared" si="159"/>
        <v>-</v>
      </c>
      <c r="CI32" s="12" t="str">
        <f t="shared" si="159"/>
        <v>-</v>
      </c>
      <c r="CJ32" s="12" t="str">
        <f t="shared" si="159"/>
        <v>-</v>
      </c>
      <c r="CK32" s="12" t="str">
        <f t="shared" si="159"/>
        <v>-</v>
      </c>
      <c r="CL32" s="12" t="str">
        <f t="shared" si="159"/>
        <v>-</v>
      </c>
      <c r="CM32" s="12" t="str">
        <f t="shared" si="159"/>
        <v>-</v>
      </c>
      <c r="CN32" s="12" t="str">
        <f t="shared" si="159"/>
        <v>-</v>
      </c>
      <c r="CO32" s="12" t="str">
        <f t="shared" si="159"/>
        <v>-</v>
      </c>
      <c r="CP32" s="12" t="str">
        <f t="shared" si="159"/>
        <v>-</v>
      </c>
      <c r="CQ32" s="12" t="str">
        <f t="shared" si="159"/>
        <v>-</v>
      </c>
      <c r="CR32" s="12" t="str">
        <f t="shared" si="159"/>
        <v>-</v>
      </c>
      <c r="CS32" s="12" t="str">
        <f t="shared" si="159"/>
        <v>-</v>
      </c>
      <c r="CT32" s="12" t="str">
        <f t="shared" si="159"/>
        <v>-</v>
      </c>
      <c r="CU32" s="12" t="str">
        <f t="shared" si="159"/>
        <v>-</v>
      </c>
      <c r="CV32" s="12" t="str">
        <f t="shared" si="159"/>
        <v>-</v>
      </c>
      <c r="CW32" s="12" t="str">
        <f t="shared" si="159"/>
        <v>-</v>
      </c>
      <c r="CX32" s="12" t="str">
        <f t="shared" si="159"/>
        <v>-</v>
      </c>
      <c r="CY32" s="12" t="str">
        <f t="shared" si="159"/>
        <v>-</v>
      </c>
      <c r="CZ32" s="12" t="str">
        <f t="shared" si="159"/>
        <v>-</v>
      </c>
      <c r="DA32" s="12" t="str">
        <f t="shared" si="159"/>
        <v>-</v>
      </c>
      <c r="DB32" s="12" t="str">
        <f t="shared" si="159"/>
        <v>-</v>
      </c>
      <c r="DC32" s="12" t="str">
        <f t="shared" si="159"/>
        <v>-</v>
      </c>
      <c r="DD32" s="12" t="str">
        <f t="shared" si="159"/>
        <v>-</v>
      </c>
      <c r="DE32" s="12" t="str">
        <f t="shared" si="159"/>
        <v>-</v>
      </c>
      <c r="DF32" s="12">
        <f t="shared" si="159"/>
        <v>-1</v>
      </c>
      <c r="DG32" s="16">
        <f t="shared" si="78"/>
        <v>27</v>
      </c>
      <c r="DH32" s="1"/>
      <c r="DI32" s="63">
        <v>6.6666400000000001</v>
      </c>
      <c r="DJ32" s="63">
        <v>6.6662800000000004</v>
      </c>
      <c r="DK32" s="63">
        <v>6.6655699999999998</v>
      </c>
      <c r="DL32" s="63">
        <v>6.6645000000000003</v>
      </c>
      <c r="DM32" s="63">
        <v>6.6630799999999999</v>
      </c>
      <c r="DN32" s="63">
        <v>6.6613100000000003</v>
      </c>
      <c r="DO32" s="63">
        <v>6.6591800000000001</v>
      </c>
      <c r="DP32" s="63">
        <v>6.6566900000000002</v>
      </c>
      <c r="DQ32" s="63">
        <v>6.6538399999999998</v>
      </c>
      <c r="DR32" s="63">
        <v>6.6506499999999997</v>
      </c>
      <c r="DS32" s="63">
        <v>6.6470900000000004</v>
      </c>
      <c r="DT32" s="63">
        <v>6.6431800000000001</v>
      </c>
      <c r="DU32" s="63">
        <v>6.6389100000000001</v>
      </c>
      <c r="DV32" s="63">
        <v>6.63429</v>
      </c>
      <c r="DW32" s="63">
        <v>6.6292999999999997</v>
      </c>
      <c r="DX32" s="63">
        <v>6.6239699999999999</v>
      </c>
      <c r="DY32" s="63">
        <v>6.6182699999999999</v>
      </c>
      <c r="DZ32" s="63">
        <v>6.6122199999999998</v>
      </c>
      <c r="EA32" s="63">
        <v>6.60581</v>
      </c>
      <c r="EB32" s="63">
        <v>6.5990399999999996</v>
      </c>
      <c r="EC32" s="63">
        <v>6.59192</v>
      </c>
      <c r="ED32" s="63">
        <v>6.5844399999999998</v>
      </c>
      <c r="EE32" s="63">
        <v>6.57653</v>
      </c>
      <c r="EF32" s="63">
        <v>6.5664600000000002</v>
      </c>
      <c r="EG32" s="63">
        <v>6.5209400000000004</v>
      </c>
      <c r="EH32" s="63">
        <v>6.4595700000000003</v>
      </c>
      <c r="EI32" s="63">
        <v>6.3950899999999997</v>
      </c>
      <c r="EJ32" s="63">
        <v>6.3274699999999999</v>
      </c>
      <c r="EK32" s="63">
        <v>6.2564799999999998</v>
      </c>
      <c r="EL32" s="63">
        <v>6.18222</v>
      </c>
      <c r="EM32" s="63">
        <v>6.1044400000000003</v>
      </c>
      <c r="EN32" s="63">
        <v>6.0228900000000003</v>
      </c>
      <c r="EO32" s="63">
        <v>5.9375999999999998</v>
      </c>
      <c r="EP32" s="63">
        <v>5.8483400000000003</v>
      </c>
      <c r="EQ32" s="63">
        <v>5.7547199999999998</v>
      </c>
      <c r="ER32" s="63">
        <v>5.6580500000000002</v>
      </c>
      <c r="ES32" s="63">
        <v>5.5826900000000004</v>
      </c>
      <c r="ET32" s="63">
        <v>5.5658500000000002</v>
      </c>
      <c r="EU32" s="63">
        <v>5.5518400000000003</v>
      </c>
      <c r="EV32" s="63">
        <v>5.5376000000000003</v>
      </c>
      <c r="EW32" s="63">
        <v>5.5229999999999997</v>
      </c>
      <c r="EX32" s="63">
        <v>5.5080299999999998</v>
      </c>
      <c r="EY32" s="63">
        <v>5.4927000000000001</v>
      </c>
      <c r="EZ32" s="63">
        <v>5.4769899999999998</v>
      </c>
      <c r="FA32" s="63">
        <v>5.4609100000000002</v>
      </c>
      <c r="FB32" s="63">
        <v>5.4444600000000003</v>
      </c>
      <c r="FC32" s="63">
        <v>5.4276400000000002</v>
      </c>
      <c r="FD32" s="63">
        <v>5.41045</v>
      </c>
      <c r="FE32" s="63">
        <v>5.3928900000000004</v>
      </c>
      <c r="FF32" s="63">
        <v>5.375</v>
      </c>
      <c r="FG32" s="64">
        <f t="shared" si="72"/>
        <v>27</v>
      </c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ht="5.45" customHeight="1" x14ac:dyDescent="0.25">
      <c r="A33" s="3">
        <f>A32+1</f>
        <v>2</v>
      </c>
      <c r="B33" s="10">
        <f t="shared" si="128"/>
        <v>28</v>
      </c>
      <c r="C33" s="10">
        <v>0</v>
      </c>
      <c r="D33" s="10">
        <f t="shared" si="67"/>
        <v>0</v>
      </c>
      <c r="E33" s="10">
        <f t="shared" si="74"/>
        <v>500</v>
      </c>
      <c r="F33" s="10">
        <v>0</v>
      </c>
      <c r="G33" s="27" t="s">
        <v>45</v>
      </c>
      <c r="H33" s="11" t="str">
        <f t="shared" si="153"/>
        <v>1,29</v>
      </c>
      <c r="I33" s="1"/>
      <c r="J33" s="16">
        <f t="shared" si="68"/>
        <v>28</v>
      </c>
      <c r="K33" s="12">
        <f t="shared" ref="K33:AP33" si="160">IF(ISNUMBER(MATCH(K67,$H$35:$H$49,0)),$D$2,IF(ISNUMBER(MATCH(K67,$H$55:$H$62,0)),$E$2,IF(ISNUMBER(MATCH(K67,$H$6:$H$34,0)),$C$2,$B$2)))</f>
        <v>1</v>
      </c>
      <c r="L33" s="12" t="str">
        <f t="shared" si="160"/>
        <v>-</v>
      </c>
      <c r="M33" s="12" t="str">
        <f t="shared" si="160"/>
        <v>-</v>
      </c>
      <c r="N33" s="12" t="str">
        <f t="shared" si="160"/>
        <v>-</v>
      </c>
      <c r="O33" s="12" t="str">
        <f t="shared" si="160"/>
        <v>-</v>
      </c>
      <c r="P33" s="12" t="str">
        <f t="shared" si="160"/>
        <v>-</v>
      </c>
      <c r="Q33" s="12" t="str">
        <f t="shared" si="160"/>
        <v>-</v>
      </c>
      <c r="R33" s="12" t="str">
        <f t="shared" si="160"/>
        <v>-</v>
      </c>
      <c r="S33" s="12" t="str">
        <f t="shared" si="160"/>
        <v>-</v>
      </c>
      <c r="T33" s="12" t="str">
        <f t="shared" si="160"/>
        <v>-</v>
      </c>
      <c r="U33" s="12" t="str">
        <f t="shared" si="160"/>
        <v>-</v>
      </c>
      <c r="V33" s="12" t="str">
        <f t="shared" si="160"/>
        <v>-</v>
      </c>
      <c r="W33" s="12" t="str">
        <f t="shared" si="160"/>
        <v>-</v>
      </c>
      <c r="X33" s="12" t="str">
        <f t="shared" si="160"/>
        <v>-</v>
      </c>
      <c r="Y33" s="12" t="str">
        <f t="shared" si="160"/>
        <v>-</v>
      </c>
      <c r="Z33" s="12" t="str">
        <f t="shared" si="160"/>
        <v>-</v>
      </c>
      <c r="AA33" s="12" t="str">
        <f t="shared" si="160"/>
        <v>-</v>
      </c>
      <c r="AB33" s="12" t="str">
        <f t="shared" si="160"/>
        <v>-</v>
      </c>
      <c r="AC33" s="12" t="str">
        <f t="shared" si="160"/>
        <v>-</v>
      </c>
      <c r="AD33" s="12" t="str">
        <f t="shared" si="160"/>
        <v>-</v>
      </c>
      <c r="AE33" s="12" t="str">
        <f t="shared" si="160"/>
        <v>-</v>
      </c>
      <c r="AF33" s="12" t="str">
        <f t="shared" si="160"/>
        <v>-</v>
      </c>
      <c r="AG33" s="12" t="str">
        <f t="shared" si="160"/>
        <v>-</v>
      </c>
      <c r="AH33" s="12" t="str">
        <f t="shared" si="160"/>
        <v>-</v>
      </c>
      <c r="AI33" s="12" t="str">
        <f t="shared" si="160"/>
        <v>-</v>
      </c>
      <c r="AJ33" s="12" t="str">
        <f t="shared" si="160"/>
        <v>-</v>
      </c>
      <c r="AK33" s="12" t="str">
        <f t="shared" si="160"/>
        <v>-</v>
      </c>
      <c r="AL33" s="12" t="str">
        <f t="shared" si="160"/>
        <v>-</v>
      </c>
      <c r="AM33" s="12" t="str">
        <f t="shared" si="160"/>
        <v>-</v>
      </c>
      <c r="AN33" s="12" t="str">
        <f t="shared" si="160"/>
        <v>-</v>
      </c>
      <c r="AO33" s="12" t="str">
        <f t="shared" si="160"/>
        <v>-</v>
      </c>
      <c r="AP33" s="12" t="str">
        <f t="shared" si="160"/>
        <v>-</v>
      </c>
      <c r="AQ33" s="12" t="str">
        <f t="shared" ref="AQ33:BV33" si="161">IF(ISNUMBER(MATCH(AQ67,$H$35:$H$49,0)),$D$2,IF(ISNUMBER(MATCH(AQ67,$H$55:$H$62,0)),$E$2,IF(ISNUMBER(MATCH(AQ67,$H$6:$H$34,0)),$C$2,$B$2)))</f>
        <v>-</v>
      </c>
      <c r="AR33" s="12" t="str">
        <f t="shared" si="161"/>
        <v>-</v>
      </c>
      <c r="AS33" s="12" t="str">
        <f t="shared" si="161"/>
        <v>-</v>
      </c>
      <c r="AT33" s="12" t="str">
        <f t="shared" si="161"/>
        <v>-</v>
      </c>
      <c r="AU33" s="12" t="str">
        <f t="shared" si="161"/>
        <v>-</v>
      </c>
      <c r="AV33" s="12" t="str">
        <f t="shared" si="161"/>
        <v>-</v>
      </c>
      <c r="AW33" s="12" t="str">
        <f t="shared" si="161"/>
        <v>-</v>
      </c>
      <c r="AX33" s="12" t="str">
        <f t="shared" si="161"/>
        <v>-</v>
      </c>
      <c r="AY33" s="12" t="str">
        <f t="shared" si="161"/>
        <v>-</v>
      </c>
      <c r="AZ33" s="12" t="str">
        <f t="shared" si="161"/>
        <v>-</v>
      </c>
      <c r="BA33" s="12" t="str">
        <f t="shared" si="161"/>
        <v>-</v>
      </c>
      <c r="BB33" s="12" t="str">
        <f t="shared" si="161"/>
        <v>-</v>
      </c>
      <c r="BC33" s="12" t="str">
        <f t="shared" si="161"/>
        <v>-</v>
      </c>
      <c r="BD33" s="12" t="str">
        <f t="shared" si="161"/>
        <v>-</v>
      </c>
      <c r="BE33" s="12" t="str">
        <f t="shared" si="161"/>
        <v>-</v>
      </c>
      <c r="BF33" s="12" t="str">
        <f t="shared" si="161"/>
        <v>-</v>
      </c>
      <c r="BG33" s="12" t="str">
        <f t="shared" si="161"/>
        <v>-</v>
      </c>
      <c r="BH33" s="12" t="str">
        <f t="shared" si="161"/>
        <v>-</v>
      </c>
      <c r="BI33" s="12" t="str">
        <f t="shared" si="161"/>
        <v>-</v>
      </c>
      <c r="BJ33" s="12" t="str">
        <f t="shared" si="161"/>
        <v>-</v>
      </c>
      <c r="BK33" s="12" t="str">
        <f t="shared" si="161"/>
        <v>-</v>
      </c>
      <c r="BL33" s="12" t="str">
        <f t="shared" si="161"/>
        <v>-</v>
      </c>
      <c r="BM33" s="12" t="str">
        <f t="shared" si="161"/>
        <v>-</v>
      </c>
      <c r="BN33" s="12" t="str">
        <f t="shared" si="161"/>
        <v>-</v>
      </c>
      <c r="BO33" s="12" t="str">
        <f t="shared" si="161"/>
        <v>-</v>
      </c>
      <c r="BP33" s="12" t="str">
        <f t="shared" si="161"/>
        <v>-</v>
      </c>
      <c r="BQ33" s="12" t="str">
        <f t="shared" si="161"/>
        <v>-</v>
      </c>
      <c r="BR33" s="12" t="str">
        <f t="shared" si="161"/>
        <v>-</v>
      </c>
      <c r="BS33" s="12" t="str">
        <f t="shared" si="161"/>
        <v>-</v>
      </c>
      <c r="BT33" s="12" t="str">
        <f t="shared" si="161"/>
        <v>-</v>
      </c>
      <c r="BU33" s="12" t="str">
        <f t="shared" si="161"/>
        <v>-</v>
      </c>
      <c r="BV33" s="12" t="str">
        <f t="shared" si="161"/>
        <v>-</v>
      </c>
      <c r="BW33" s="12" t="str">
        <f t="shared" ref="BW33:DF33" si="162">IF(ISNUMBER(MATCH(BW67,$H$35:$H$49,0)),$D$2,IF(ISNUMBER(MATCH(BW67,$H$55:$H$62,0)),$E$2,IF(ISNUMBER(MATCH(BW67,$H$6:$H$34,0)),$C$2,$B$2)))</f>
        <v>-</v>
      </c>
      <c r="BX33" s="12" t="str">
        <f t="shared" si="162"/>
        <v>-</v>
      </c>
      <c r="BY33" s="12" t="str">
        <f t="shared" si="162"/>
        <v>-</v>
      </c>
      <c r="BZ33" s="12" t="str">
        <f t="shared" si="162"/>
        <v>-</v>
      </c>
      <c r="CA33" s="12" t="str">
        <f t="shared" si="162"/>
        <v>-</v>
      </c>
      <c r="CB33" s="12" t="str">
        <f t="shared" si="162"/>
        <v>-</v>
      </c>
      <c r="CC33" s="12" t="str">
        <f t="shared" si="162"/>
        <v>-</v>
      </c>
      <c r="CD33" s="12" t="str">
        <f t="shared" si="162"/>
        <v>-</v>
      </c>
      <c r="CE33" s="12" t="str">
        <f t="shared" si="162"/>
        <v>-</v>
      </c>
      <c r="CF33" s="12" t="str">
        <f t="shared" si="162"/>
        <v>-</v>
      </c>
      <c r="CG33" s="12" t="str">
        <f t="shared" si="162"/>
        <v>-</v>
      </c>
      <c r="CH33" s="12" t="str">
        <f t="shared" si="162"/>
        <v>-</v>
      </c>
      <c r="CI33" s="12" t="str">
        <f t="shared" si="162"/>
        <v>-</v>
      </c>
      <c r="CJ33" s="12" t="str">
        <f t="shared" si="162"/>
        <v>-</v>
      </c>
      <c r="CK33" s="12" t="str">
        <f t="shared" si="162"/>
        <v>-</v>
      </c>
      <c r="CL33" s="12" t="str">
        <f t="shared" si="162"/>
        <v>-</v>
      </c>
      <c r="CM33" s="12" t="str">
        <f t="shared" si="162"/>
        <v>-</v>
      </c>
      <c r="CN33" s="12" t="str">
        <f t="shared" si="162"/>
        <v>-</v>
      </c>
      <c r="CO33" s="12" t="str">
        <f t="shared" si="162"/>
        <v>-</v>
      </c>
      <c r="CP33" s="12" t="str">
        <f t="shared" si="162"/>
        <v>-</v>
      </c>
      <c r="CQ33" s="12" t="str">
        <f t="shared" si="162"/>
        <v>-</v>
      </c>
      <c r="CR33" s="12" t="str">
        <f t="shared" si="162"/>
        <v>-</v>
      </c>
      <c r="CS33" s="12" t="str">
        <f t="shared" si="162"/>
        <v>-</v>
      </c>
      <c r="CT33" s="12" t="str">
        <f t="shared" si="162"/>
        <v>-</v>
      </c>
      <c r="CU33" s="12" t="str">
        <f t="shared" si="162"/>
        <v>-</v>
      </c>
      <c r="CV33" s="12" t="str">
        <f t="shared" si="162"/>
        <v>-</v>
      </c>
      <c r="CW33" s="12" t="str">
        <f t="shared" si="162"/>
        <v>-</v>
      </c>
      <c r="CX33" s="12" t="str">
        <f t="shared" si="162"/>
        <v>-</v>
      </c>
      <c r="CY33" s="12" t="str">
        <f t="shared" si="162"/>
        <v>-</v>
      </c>
      <c r="CZ33" s="12" t="str">
        <f t="shared" si="162"/>
        <v>-</v>
      </c>
      <c r="DA33" s="12" t="str">
        <f t="shared" si="162"/>
        <v>-</v>
      </c>
      <c r="DB33" s="12" t="str">
        <f t="shared" si="162"/>
        <v>-</v>
      </c>
      <c r="DC33" s="12" t="str">
        <f t="shared" si="162"/>
        <v>-</v>
      </c>
      <c r="DD33" s="12" t="str">
        <f t="shared" si="162"/>
        <v>-</v>
      </c>
      <c r="DE33" s="12" t="str">
        <f t="shared" si="162"/>
        <v>-</v>
      </c>
      <c r="DF33" s="12">
        <f t="shared" si="162"/>
        <v>-1</v>
      </c>
      <c r="DG33" s="16">
        <f t="shared" si="78"/>
        <v>28</v>
      </c>
      <c r="DH33" s="1"/>
      <c r="DI33" s="63"/>
      <c r="DJ33" s="63"/>
      <c r="DK33" s="63"/>
      <c r="DL33" s="63"/>
      <c r="DM33" s="63"/>
      <c r="DN33" s="63"/>
      <c r="DO33" s="63"/>
      <c r="DP33" s="63"/>
      <c r="DQ33" s="63"/>
      <c r="DR33" s="63"/>
      <c r="DS33" s="63"/>
      <c r="DT33" s="63"/>
      <c r="DU33" s="63"/>
      <c r="DV33" s="63"/>
      <c r="DW33" s="63"/>
      <c r="DX33" s="63"/>
      <c r="DY33" s="63"/>
      <c r="DZ33" s="63"/>
      <c r="EA33" s="63"/>
      <c r="EB33" s="63"/>
      <c r="EC33" s="63"/>
      <c r="ED33" s="63"/>
      <c r="EE33" s="63"/>
      <c r="EF33" s="63"/>
      <c r="EG33" s="63"/>
      <c r="EH33" s="63"/>
      <c r="EI33" s="63"/>
      <c r="EJ33" s="63"/>
      <c r="EK33" s="63"/>
      <c r="EL33" s="63"/>
      <c r="EM33" s="63"/>
      <c r="EN33" s="63"/>
      <c r="EO33" s="63"/>
      <c r="EP33" s="63"/>
      <c r="EQ33" s="63"/>
      <c r="ER33" s="63"/>
      <c r="ES33" s="63"/>
      <c r="ET33" s="63"/>
      <c r="EU33" s="63"/>
      <c r="EV33" s="63"/>
      <c r="EW33" s="63"/>
      <c r="EX33" s="63"/>
      <c r="EY33" s="63"/>
      <c r="EZ33" s="63"/>
      <c r="FA33" s="63"/>
      <c r="FB33" s="63"/>
      <c r="FC33" s="63"/>
      <c r="FD33" s="63"/>
      <c r="FE33" s="63"/>
      <c r="FF33" s="63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ht="5.45" customHeight="1" x14ac:dyDescent="0.25">
      <c r="A34" s="3">
        <f t="shared" ref="A34:A47" si="163">A33+1</f>
        <v>3</v>
      </c>
      <c r="B34" s="10">
        <f t="shared" si="128"/>
        <v>29</v>
      </c>
      <c r="C34" s="10">
        <v>0</v>
      </c>
      <c r="D34" s="10">
        <f t="shared" si="67"/>
        <v>0</v>
      </c>
      <c r="E34" s="10">
        <f t="shared" si="74"/>
        <v>500</v>
      </c>
      <c r="F34" s="10">
        <v>0</v>
      </c>
      <c r="G34" s="27" t="s">
        <v>45</v>
      </c>
      <c r="H34" s="11" t="str">
        <f t="shared" si="153"/>
        <v>1,30</v>
      </c>
      <c r="I34" s="1"/>
      <c r="J34" s="16">
        <f t="shared" si="68"/>
        <v>29</v>
      </c>
      <c r="K34" s="12">
        <f t="shared" ref="K34:AP34" si="164">IF(ISNUMBER(MATCH(K68,$H$35:$H$49,0)),$D$2,IF(ISNUMBER(MATCH(K68,$H$55:$H$62,0)),$E$2,IF(ISNUMBER(MATCH(K68,$H$6:$H$34,0)),$C$2,$B$2)))</f>
        <v>1</v>
      </c>
      <c r="L34" s="12" t="str">
        <f t="shared" si="164"/>
        <v>-</v>
      </c>
      <c r="M34" s="12" t="str">
        <f t="shared" si="164"/>
        <v>-</v>
      </c>
      <c r="N34" s="12" t="str">
        <f t="shared" si="164"/>
        <v>-</v>
      </c>
      <c r="O34" s="12" t="str">
        <f t="shared" si="164"/>
        <v>-</v>
      </c>
      <c r="P34" s="12" t="str">
        <f t="shared" si="164"/>
        <v>-</v>
      </c>
      <c r="Q34" s="12" t="str">
        <f t="shared" si="164"/>
        <v>-</v>
      </c>
      <c r="R34" s="12" t="str">
        <f t="shared" si="164"/>
        <v>-</v>
      </c>
      <c r="S34" s="12" t="str">
        <f t="shared" si="164"/>
        <v>-</v>
      </c>
      <c r="T34" s="12" t="str">
        <f t="shared" si="164"/>
        <v>-</v>
      </c>
      <c r="U34" s="12" t="str">
        <f t="shared" si="164"/>
        <v>-</v>
      </c>
      <c r="V34" s="12" t="str">
        <f t="shared" si="164"/>
        <v>-</v>
      </c>
      <c r="W34" s="12" t="str">
        <f t="shared" si="164"/>
        <v>-</v>
      </c>
      <c r="X34" s="12" t="str">
        <f t="shared" si="164"/>
        <v>-</v>
      </c>
      <c r="Y34" s="12" t="str">
        <f t="shared" si="164"/>
        <v>-</v>
      </c>
      <c r="Z34" s="12" t="str">
        <f t="shared" si="164"/>
        <v>-</v>
      </c>
      <c r="AA34" s="12" t="str">
        <f t="shared" si="164"/>
        <v>-</v>
      </c>
      <c r="AB34" s="12" t="str">
        <f t="shared" si="164"/>
        <v>-</v>
      </c>
      <c r="AC34" s="12" t="str">
        <f t="shared" si="164"/>
        <v>-</v>
      </c>
      <c r="AD34" s="12" t="str">
        <f t="shared" si="164"/>
        <v>-</v>
      </c>
      <c r="AE34" s="12" t="str">
        <f t="shared" si="164"/>
        <v>-</v>
      </c>
      <c r="AF34" s="12" t="str">
        <f t="shared" si="164"/>
        <v>-</v>
      </c>
      <c r="AG34" s="12" t="str">
        <f t="shared" si="164"/>
        <v>-</v>
      </c>
      <c r="AH34" s="12" t="str">
        <f t="shared" si="164"/>
        <v>-</v>
      </c>
      <c r="AI34" s="12" t="str">
        <f t="shared" si="164"/>
        <v>-</v>
      </c>
      <c r="AJ34" s="12" t="str">
        <f t="shared" si="164"/>
        <v>-</v>
      </c>
      <c r="AK34" s="12" t="str">
        <f t="shared" si="164"/>
        <v>-</v>
      </c>
      <c r="AL34" s="12" t="str">
        <f t="shared" si="164"/>
        <v>-</v>
      </c>
      <c r="AM34" s="12" t="str">
        <f t="shared" si="164"/>
        <v>-</v>
      </c>
      <c r="AN34" s="12" t="str">
        <f t="shared" si="164"/>
        <v>-</v>
      </c>
      <c r="AO34" s="12" t="str">
        <f t="shared" si="164"/>
        <v>-</v>
      </c>
      <c r="AP34" s="12" t="str">
        <f t="shared" si="164"/>
        <v>-</v>
      </c>
      <c r="AQ34" s="12" t="str">
        <f t="shared" ref="AQ34:BV34" si="165">IF(ISNUMBER(MATCH(AQ68,$H$35:$H$49,0)),$D$2,IF(ISNUMBER(MATCH(AQ68,$H$55:$H$62,0)),$E$2,IF(ISNUMBER(MATCH(AQ68,$H$6:$H$34,0)),$C$2,$B$2)))</f>
        <v>-</v>
      </c>
      <c r="AR34" s="12" t="str">
        <f t="shared" si="165"/>
        <v>-</v>
      </c>
      <c r="AS34" s="12" t="str">
        <f t="shared" si="165"/>
        <v>-</v>
      </c>
      <c r="AT34" s="12" t="str">
        <f t="shared" si="165"/>
        <v>-</v>
      </c>
      <c r="AU34" s="12" t="str">
        <f t="shared" si="165"/>
        <v>-</v>
      </c>
      <c r="AV34" s="12" t="str">
        <f t="shared" si="165"/>
        <v>-</v>
      </c>
      <c r="AW34" s="12" t="str">
        <f t="shared" si="165"/>
        <v>-</v>
      </c>
      <c r="AX34" s="12" t="str">
        <f t="shared" si="165"/>
        <v>-</v>
      </c>
      <c r="AY34" s="12" t="str">
        <f t="shared" si="165"/>
        <v>-</v>
      </c>
      <c r="AZ34" s="12" t="str">
        <f t="shared" si="165"/>
        <v>-</v>
      </c>
      <c r="BA34" s="12" t="str">
        <f t="shared" si="165"/>
        <v>-</v>
      </c>
      <c r="BB34" s="12" t="str">
        <f t="shared" si="165"/>
        <v>-</v>
      </c>
      <c r="BC34" s="12" t="str">
        <f t="shared" si="165"/>
        <v>-</v>
      </c>
      <c r="BD34" s="12" t="str">
        <f t="shared" si="165"/>
        <v>-</v>
      </c>
      <c r="BE34" s="12" t="str">
        <f t="shared" si="165"/>
        <v>-</v>
      </c>
      <c r="BF34" s="12" t="str">
        <f t="shared" si="165"/>
        <v>-</v>
      </c>
      <c r="BG34" s="12" t="str">
        <f t="shared" si="165"/>
        <v>-</v>
      </c>
      <c r="BH34" s="12" t="str">
        <f t="shared" si="165"/>
        <v>-</v>
      </c>
      <c r="BI34" s="12" t="str">
        <f t="shared" si="165"/>
        <v>-</v>
      </c>
      <c r="BJ34" s="12" t="str">
        <f t="shared" si="165"/>
        <v>-</v>
      </c>
      <c r="BK34" s="12" t="str">
        <f t="shared" si="165"/>
        <v>-</v>
      </c>
      <c r="BL34" s="12" t="str">
        <f t="shared" si="165"/>
        <v>-</v>
      </c>
      <c r="BM34" s="12" t="str">
        <f t="shared" si="165"/>
        <v>-</v>
      </c>
      <c r="BN34" s="12" t="str">
        <f t="shared" si="165"/>
        <v>-</v>
      </c>
      <c r="BO34" s="12" t="str">
        <f t="shared" si="165"/>
        <v>-</v>
      </c>
      <c r="BP34" s="12" t="str">
        <f t="shared" si="165"/>
        <v>-</v>
      </c>
      <c r="BQ34" s="12" t="str">
        <f t="shared" si="165"/>
        <v>-</v>
      </c>
      <c r="BR34" s="12" t="str">
        <f t="shared" si="165"/>
        <v>-</v>
      </c>
      <c r="BS34" s="12" t="str">
        <f t="shared" si="165"/>
        <v>-</v>
      </c>
      <c r="BT34" s="12" t="str">
        <f t="shared" si="165"/>
        <v>-</v>
      </c>
      <c r="BU34" s="12" t="str">
        <f t="shared" si="165"/>
        <v>-</v>
      </c>
      <c r="BV34" s="12" t="str">
        <f t="shared" si="165"/>
        <v>-</v>
      </c>
      <c r="BW34" s="12" t="str">
        <f t="shared" ref="BW34:DF34" si="166">IF(ISNUMBER(MATCH(BW68,$H$35:$H$49,0)),$D$2,IF(ISNUMBER(MATCH(BW68,$H$55:$H$62,0)),$E$2,IF(ISNUMBER(MATCH(BW68,$H$6:$H$34,0)),$C$2,$B$2)))</f>
        <v>-</v>
      </c>
      <c r="BX34" s="12" t="str">
        <f t="shared" si="166"/>
        <v>-</v>
      </c>
      <c r="BY34" s="12" t="str">
        <f t="shared" si="166"/>
        <v>-</v>
      </c>
      <c r="BZ34" s="12" t="str">
        <f t="shared" si="166"/>
        <v>-</v>
      </c>
      <c r="CA34" s="12" t="str">
        <f t="shared" si="166"/>
        <v>-</v>
      </c>
      <c r="CB34" s="12" t="str">
        <f t="shared" si="166"/>
        <v>-</v>
      </c>
      <c r="CC34" s="12" t="str">
        <f t="shared" si="166"/>
        <v>-</v>
      </c>
      <c r="CD34" s="12" t="str">
        <f t="shared" si="166"/>
        <v>-</v>
      </c>
      <c r="CE34" s="12" t="str">
        <f t="shared" si="166"/>
        <v>-</v>
      </c>
      <c r="CF34" s="12" t="str">
        <f t="shared" si="166"/>
        <v>-</v>
      </c>
      <c r="CG34" s="12" t="str">
        <f t="shared" si="166"/>
        <v>-</v>
      </c>
      <c r="CH34" s="12" t="str">
        <f t="shared" si="166"/>
        <v>-</v>
      </c>
      <c r="CI34" s="12" t="str">
        <f t="shared" si="166"/>
        <v>-</v>
      </c>
      <c r="CJ34" s="12" t="str">
        <f t="shared" si="166"/>
        <v>-</v>
      </c>
      <c r="CK34" s="12" t="str">
        <f t="shared" si="166"/>
        <v>-</v>
      </c>
      <c r="CL34" s="12" t="str">
        <f t="shared" si="166"/>
        <v>-</v>
      </c>
      <c r="CM34" s="12" t="str">
        <f t="shared" si="166"/>
        <v>-</v>
      </c>
      <c r="CN34" s="12" t="str">
        <f t="shared" si="166"/>
        <v>-</v>
      </c>
      <c r="CO34" s="12" t="str">
        <f t="shared" si="166"/>
        <v>-</v>
      </c>
      <c r="CP34" s="12" t="str">
        <f t="shared" si="166"/>
        <v>-</v>
      </c>
      <c r="CQ34" s="12" t="str">
        <f t="shared" si="166"/>
        <v>-</v>
      </c>
      <c r="CR34" s="12" t="str">
        <f t="shared" si="166"/>
        <v>-</v>
      </c>
      <c r="CS34" s="12" t="str">
        <f t="shared" si="166"/>
        <v>-</v>
      </c>
      <c r="CT34" s="12" t="str">
        <f t="shared" si="166"/>
        <v>-</v>
      </c>
      <c r="CU34" s="12" t="str">
        <f t="shared" si="166"/>
        <v>-</v>
      </c>
      <c r="CV34" s="12" t="str">
        <f t="shared" si="166"/>
        <v>-</v>
      </c>
      <c r="CW34" s="12" t="str">
        <f t="shared" si="166"/>
        <v>-</v>
      </c>
      <c r="CX34" s="12" t="str">
        <f t="shared" si="166"/>
        <v>-</v>
      </c>
      <c r="CY34" s="12" t="str">
        <f t="shared" si="166"/>
        <v>-</v>
      </c>
      <c r="CZ34" s="12" t="str">
        <f t="shared" si="166"/>
        <v>-</v>
      </c>
      <c r="DA34" s="12" t="str">
        <f t="shared" si="166"/>
        <v>-</v>
      </c>
      <c r="DB34" s="12" t="str">
        <f t="shared" si="166"/>
        <v>-</v>
      </c>
      <c r="DC34" s="12" t="str">
        <f t="shared" si="166"/>
        <v>-</v>
      </c>
      <c r="DD34" s="12" t="str">
        <f t="shared" si="166"/>
        <v>-</v>
      </c>
      <c r="DE34" s="12" t="str">
        <f t="shared" si="166"/>
        <v>-</v>
      </c>
      <c r="DF34" s="12">
        <f t="shared" si="166"/>
        <v>-1</v>
      </c>
      <c r="DG34" s="16">
        <f t="shared" si="78"/>
        <v>29</v>
      </c>
      <c r="DH34" s="1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ht="5.45" customHeight="1" x14ac:dyDescent="0.25">
      <c r="A35" s="3">
        <f t="shared" si="163"/>
        <v>4</v>
      </c>
      <c r="B35" s="10">
        <f t="shared" ref="B35:B44" si="167">B36-1</f>
        <v>17</v>
      </c>
      <c r="C35" s="10">
        <v>0</v>
      </c>
      <c r="D35" s="41">
        <v>99</v>
      </c>
      <c r="E35" s="41">
        <v>300</v>
      </c>
      <c r="F35" s="10">
        <v>0</v>
      </c>
      <c r="G35" s="27" t="s">
        <v>45</v>
      </c>
      <c r="H35" s="15" t="str">
        <f t="shared" ref="H35:H47" si="168">_xlfn.CONCAT(D35+1,",",B35+1)</f>
        <v>100,18</v>
      </c>
      <c r="I35" s="1"/>
      <c r="J35" s="16">
        <f t="shared" si="68"/>
        <v>30</v>
      </c>
      <c r="K35" s="12">
        <f t="shared" ref="K35:AP35" si="169">IF(ISNUMBER(MATCH(K69,$H$35:$H$49,0)),$D$2,IF(ISNUMBER(MATCH(K69,$H$55:$H$62,0)),$E$2,IF(ISNUMBER(MATCH(K69,$H$6:$H$34,0)),$C$2,$B$2)))</f>
        <v>1</v>
      </c>
      <c r="L35" s="12" t="str">
        <f t="shared" si="169"/>
        <v>-</v>
      </c>
      <c r="M35" s="12" t="str">
        <f t="shared" si="169"/>
        <v>-</v>
      </c>
      <c r="N35" s="12" t="str">
        <f t="shared" si="169"/>
        <v>-</v>
      </c>
      <c r="O35" s="12" t="str">
        <f t="shared" si="169"/>
        <v>-</v>
      </c>
      <c r="P35" s="12" t="str">
        <f t="shared" si="169"/>
        <v>-</v>
      </c>
      <c r="Q35" s="12" t="str">
        <f t="shared" si="169"/>
        <v>-</v>
      </c>
      <c r="R35" s="12" t="str">
        <f t="shared" si="169"/>
        <v>-</v>
      </c>
      <c r="S35" s="12" t="str">
        <f t="shared" si="169"/>
        <v>-</v>
      </c>
      <c r="T35" s="12" t="str">
        <f t="shared" si="169"/>
        <v>-</v>
      </c>
      <c r="U35" s="12" t="str">
        <f t="shared" si="169"/>
        <v>-</v>
      </c>
      <c r="V35" s="12" t="str">
        <f t="shared" si="169"/>
        <v>-</v>
      </c>
      <c r="W35" s="12" t="str">
        <f t="shared" si="169"/>
        <v>-</v>
      </c>
      <c r="X35" s="12" t="str">
        <f t="shared" si="169"/>
        <v>-</v>
      </c>
      <c r="Y35" s="12" t="str">
        <f t="shared" si="169"/>
        <v>-</v>
      </c>
      <c r="Z35" s="12" t="str">
        <f t="shared" si="169"/>
        <v>-</v>
      </c>
      <c r="AA35" s="12" t="str">
        <f t="shared" si="169"/>
        <v>-</v>
      </c>
      <c r="AB35" s="12" t="str">
        <f t="shared" si="169"/>
        <v>-</v>
      </c>
      <c r="AC35" s="12" t="str">
        <f t="shared" si="169"/>
        <v>-</v>
      </c>
      <c r="AD35" s="12" t="str">
        <f t="shared" si="169"/>
        <v>-</v>
      </c>
      <c r="AE35" s="12" t="str">
        <f t="shared" si="169"/>
        <v>-</v>
      </c>
      <c r="AF35" s="12" t="str">
        <f t="shared" si="169"/>
        <v>-</v>
      </c>
      <c r="AG35" s="12" t="str">
        <f t="shared" si="169"/>
        <v>-</v>
      </c>
      <c r="AH35" s="12" t="str">
        <f t="shared" si="169"/>
        <v>-</v>
      </c>
      <c r="AI35" s="12" t="str">
        <f t="shared" si="169"/>
        <v>-</v>
      </c>
      <c r="AJ35" s="12" t="str">
        <f t="shared" si="169"/>
        <v>-</v>
      </c>
      <c r="AK35" s="12" t="str">
        <f t="shared" si="169"/>
        <v>-</v>
      </c>
      <c r="AL35" s="12" t="str">
        <f t="shared" si="169"/>
        <v>-</v>
      </c>
      <c r="AM35" s="12" t="str">
        <f t="shared" si="169"/>
        <v>-</v>
      </c>
      <c r="AN35" s="12" t="str">
        <f t="shared" si="169"/>
        <v>-</v>
      </c>
      <c r="AO35" s="12" t="str">
        <f t="shared" si="169"/>
        <v>-</v>
      </c>
      <c r="AP35" s="12" t="str">
        <f t="shared" si="169"/>
        <v>-</v>
      </c>
      <c r="AQ35" s="12" t="str">
        <f t="shared" ref="AQ35:BV35" si="170">IF(ISNUMBER(MATCH(AQ69,$H$35:$H$49,0)),$D$2,IF(ISNUMBER(MATCH(AQ69,$H$55:$H$62,0)),$E$2,IF(ISNUMBER(MATCH(AQ69,$H$6:$H$34,0)),$C$2,$B$2)))</f>
        <v>-</v>
      </c>
      <c r="AR35" s="12" t="str">
        <f t="shared" si="170"/>
        <v>-</v>
      </c>
      <c r="AS35" s="12" t="str">
        <f t="shared" si="170"/>
        <v>-</v>
      </c>
      <c r="AT35" s="12" t="str">
        <f t="shared" si="170"/>
        <v>-</v>
      </c>
      <c r="AU35" s="12" t="str">
        <f t="shared" si="170"/>
        <v>-</v>
      </c>
      <c r="AV35" s="12" t="str">
        <f t="shared" si="170"/>
        <v>-</v>
      </c>
      <c r="AW35" s="12" t="str">
        <f t="shared" si="170"/>
        <v>-</v>
      </c>
      <c r="AX35" s="12" t="str">
        <f t="shared" si="170"/>
        <v>-</v>
      </c>
      <c r="AY35" s="12" t="str">
        <f t="shared" si="170"/>
        <v>-</v>
      </c>
      <c r="AZ35" s="12" t="str">
        <f t="shared" si="170"/>
        <v>-</v>
      </c>
      <c r="BA35" s="12" t="str">
        <f t="shared" si="170"/>
        <v>-</v>
      </c>
      <c r="BB35" s="12" t="str">
        <f t="shared" si="170"/>
        <v>-</v>
      </c>
      <c r="BC35" s="12" t="str">
        <f t="shared" si="170"/>
        <v>-</v>
      </c>
      <c r="BD35" s="12" t="str">
        <f t="shared" si="170"/>
        <v>-</v>
      </c>
      <c r="BE35" s="12" t="str">
        <f t="shared" si="170"/>
        <v>-</v>
      </c>
      <c r="BF35" s="12" t="str">
        <f t="shared" si="170"/>
        <v>-</v>
      </c>
      <c r="BG35" s="12" t="str">
        <f t="shared" si="170"/>
        <v>-</v>
      </c>
      <c r="BH35" s="12" t="str">
        <f t="shared" si="170"/>
        <v>-</v>
      </c>
      <c r="BI35" s="12" t="str">
        <f t="shared" si="170"/>
        <v>-</v>
      </c>
      <c r="BJ35" s="12" t="str">
        <f t="shared" si="170"/>
        <v>-</v>
      </c>
      <c r="BK35" s="12" t="str">
        <f t="shared" si="170"/>
        <v>-</v>
      </c>
      <c r="BL35" s="12" t="str">
        <f t="shared" si="170"/>
        <v>-</v>
      </c>
      <c r="BM35" s="12" t="str">
        <f t="shared" si="170"/>
        <v>-</v>
      </c>
      <c r="BN35" s="12" t="str">
        <f t="shared" si="170"/>
        <v>-</v>
      </c>
      <c r="BO35" s="12" t="str">
        <f t="shared" si="170"/>
        <v>-</v>
      </c>
      <c r="BP35" s="12" t="str">
        <f t="shared" si="170"/>
        <v>-</v>
      </c>
      <c r="BQ35" s="12" t="str">
        <f t="shared" si="170"/>
        <v>-</v>
      </c>
      <c r="BR35" s="12" t="str">
        <f t="shared" si="170"/>
        <v>-</v>
      </c>
      <c r="BS35" s="12" t="str">
        <f t="shared" si="170"/>
        <v>-</v>
      </c>
      <c r="BT35" s="12" t="str">
        <f t="shared" si="170"/>
        <v>-</v>
      </c>
      <c r="BU35" s="12" t="str">
        <f t="shared" si="170"/>
        <v>-</v>
      </c>
      <c r="BV35" s="12" t="str">
        <f t="shared" si="170"/>
        <v>-</v>
      </c>
      <c r="BW35" s="12" t="str">
        <f t="shared" ref="BW35:DF35" si="171">IF(ISNUMBER(MATCH(BW69,$H$35:$H$49,0)),$D$2,IF(ISNUMBER(MATCH(BW69,$H$55:$H$62,0)),$E$2,IF(ISNUMBER(MATCH(BW69,$H$6:$H$34,0)),$C$2,$B$2)))</f>
        <v>-</v>
      </c>
      <c r="BX35" s="12" t="str">
        <f t="shared" si="171"/>
        <v>-</v>
      </c>
      <c r="BY35" s="12" t="str">
        <f t="shared" si="171"/>
        <v>-</v>
      </c>
      <c r="BZ35" s="12" t="str">
        <f t="shared" si="171"/>
        <v>-</v>
      </c>
      <c r="CA35" s="12" t="str">
        <f t="shared" si="171"/>
        <v>-</v>
      </c>
      <c r="CB35" s="12" t="str">
        <f t="shared" si="171"/>
        <v>-</v>
      </c>
      <c r="CC35" s="12" t="str">
        <f t="shared" si="171"/>
        <v>-</v>
      </c>
      <c r="CD35" s="12" t="str">
        <f t="shared" si="171"/>
        <v>-</v>
      </c>
      <c r="CE35" s="12" t="str">
        <f t="shared" si="171"/>
        <v>-</v>
      </c>
      <c r="CF35" s="12" t="str">
        <f t="shared" si="171"/>
        <v>-</v>
      </c>
      <c r="CG35" s="12" t="str">
        <f t="shared" si="171"/>
        <v>-</v>
      </c>
      <c r="CH35" s="12" t="str">
        <f t="shared" si="171"/>
        <v>-</v>
      </c>
      <c r="CI35" s="12" t="str">
        <f t="shared" si="171"/>
        <v>-</v>
      </c>
      <c r="CJ35" s="12" t="str">
        <f t="shared" si="171"/>
        <v>-</v>
      </c>
      <c r="CK35" s="12" t="str">
        <f t="shared" si="171"/>
        <v>-</v>
      </c>
      <c r="CL35" s="12" t="str">
        <f t="shared" si="171"/>
        <v>-</v>
      </c>
      <c r="CM35" s="12" t="str">
        <f t="shared" si="171"/>
        <v>-</v>
      </c>
      <c r="CN35" s="12" t="str">
        <f t="shared" si="171"/>
        <v>-</v>
      </c>
      <c r="CO35" s="12" t="str">
        <f t="shared" si="171"/>
        <v>-</v>
      </c>
      <c r="CP35" s="12" t="str">
        <f t="shared" si="171"/>
        <v>-</v>
      </c>
      <c r="CQ35" s="12" t="str">
        <f t="shared" si="171"/>
        <v>-</v>
      </c>
      <c r="CR35" s="12" t="str">
        <f t="shared" si="171"/>
        <v>-</v>
      </c>
      <c r="CS35" s="12" t="str">
        <f t="shared" si="171"/>
        <v>-</v>
      </c>
      <c r="CT35" s="12" t="str">
        <f t="shared" si="171"/>
        <v>-</v>
      </c>
      <c r="CU35" s="12" t="str">
        <f t="shared" si="171"/>
        <v>-</v>
      </c>
      <c r="CV35" s="12" t="str">
        <f t="shared" si="171"/>
        <v>-</v>
      </c>
      <c r="CW35" s="12" t="str">
        <f t="shared" si="171"/>
        <v>-</v>
      </c>
      <c r="CX35" s="12" t="str">
        <f t="shared" si="171"/>
        <v>-</v>
      </c>
      <c r="CY35" s="12" t="str">
        <f t="shared" si="171"/>
        <v>-</v>
      </c>
      <c r="CZ35" s="12" t="str">
        <f t="shared" si="171"/>
        <v>-</v>
      </c>
      <c r="DA35" s="12" t="str">
        <f t="shared" si="171"/>
        <v>-</v>
      </c>
      <c r="DB35" s="12" t="str">
        <f t="shared" si="171"/>
        <v>-</v>
      </c>
      <c r="DC35" s="12" t="str">
        <f t="shared" si="171"/>
        <v>-</v>
      </c>
      <c r="DD35" s="12" t="str">
        <f t="shared" si="171"/>
        <v>-</v>
      </c>
      <c r="DE35" s="12" t="str">
        <f t="shared" si="171"/>
        <v>-</v>
      </c>
      <c r="DF35" s="12">
        <f t="shared" si="171"/>
        <v>-1</v>
      </c>
      <c r="DG35" s="16">
        <f t="shared" si="78"/>
        <v>30</v>
      </c>
      <c r="DH35" s="1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  <c r="EE35" s="63"/>
      <c r="EF35" s="63"/>
      <c r="EG35" s="63"/>
      <c r="EH35" s="63"/>
      <c r="EI35" s="63"/>
      <c r="EJ35" s="63"/>
      <c r="EK35" s="63"/>
      <c r="EL35" s="63"/>
      <c r="EM35" s="63"/>
      <c r="EN35" s="63"/>
      <c r="EO35" s="63"/>
      <c r="EP35" s="63"/>
      <c r="EQ35" s="63"/>
      <c r="ER35" s="63"/>
      <c r="ES35" s="63"/>
      <c r="ET35" s="63"/>
      <c r="EU35" s="63"/>
      <c r="EV35" s="63"/>
      <c r="EW35" s="63"/>
      <c r="EX35" s="63"/>
      <c r="EY35" s="63"/>
      <c r="EZ35" s="63"/>
      <c r="FA35" s="63"/>
      <c r="FB35" s="63"/>
      <c r="FC35" s="63"/>
      <c r="FD35" s="63"/>
      <c r="FE35" s="63"/>
      <c r="FF35" s="63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ht="5.45" customHeight="1" x14ac:dyDescent="0.25">
      <c r="A36" s="3">
        <f t="shared" si="163"/>
        <v>5</v>
      </c>
      <c r="B36" s="10">
        <f t="shared" si="167"/>
        <v>18</v>
      </c>
      <c r="C36" s="10">
        <v>0</v>
      </c>
      <c r="D36" s="10">
        <f>D35</f>
        <v>99</v>
      </c>
      <c r="E36" s="10">
        <f>E35</f>
        <v>300</v>
      </c>
      <c r="F36" s="10">
        <v>0</v>
      </c>
      <c r="G36" s="27" t="s">
        <v>45</v>
      </c>
      <c r="H36" s="15" t="str">
        <f t="shared" si="168"/>
        <v>100,19</v>
      </c>
      <c r="I36" s="1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1"/>
      <c r="DI36" s="63"/>
      <c r="DJ36" s="63"/>
      <c r="DK36" s="63"/>
      <c r="DL36" s="63"/>
      <c r="DM36" s="63"/>
      <c r="DN36" s="63"/>
      <c r="DO36" s="63"/>
      <c r="DP36" s="63"/>
      <c r="DQ36" s="63"/>
      <c r="DR36" s="63"/>
      <c r="DS36" s="63"/>
      <c r="DT36" s="63"/>
      <c r="DU36" s="63"/>
      <c r="DV36" s="63"/>
      <c r="DW36" s="63"/>
      <c r="DX36" s="63"/>
      <c r="DY36" s="63"/>
      <c r="DZ36" s="63"/>
      <c r="EA36" s="63"/>
      <c r="EB36" s="63"/>
      <c r="EC36" s="63"/>
      <c r="ED36" s="63"/>
      <c r="EE36" s="63"/>
      <c r="EF36" s="63"/>
      <c r="EG36" s="63"/>
      <c r="EH36" s="63"/>
      <c r="EI36" s="63"/>
      <c r="EJ36" s="63"/>
      <c r="EK36" s="63"/>
      <c r="EL36" s="63"/>
      <c r="EM36" s="63"/>
      <c r="EN36" s="63"/>
      <c r="EO36" s="63"/>
      <c r="EP36" s="63"/>
      <c r="EQ36" s="63"/>
      <c r="ER36" s="63"/>
      <c r="ES36" s="63"/>
      <c r="ET36" s="63"/>
      <c r="EU36" s="63"/>
      <c r="EV36" s="63"/>
      <c r="EW36" s="63"/>
      <c r="EX36" s="63"/>
      <c r="EY36" s="63"/>
      <c r="EZ36" s="63"/>
      <c r="FA36" s="63"/>
      <c r="FB36" s="63"/>
      <c r="FC36" s="63"/>
      <c r="FD36" s="63"/>
      <c r="FE36" s="63"/>
      <c r="FF36" s="63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ht="5.45" customHeight="1" x14ac:dyDescent="0.25">
      <c r="A37" s="3">
        <f t="shared" si="163"/>
        <v>6</v>
      </c>
      <c r="B37" s="10">
        <f t="shared" si="167"/>
        <v>19</v>
      </c>
      <c r="C37" s="10">
        <v>0</v>
      </c>
      <c r="D37" s="10">
        <f t="shared" ref="D37" si="172">D36</f>
        <v>99</v>
      </c>
      <c r="E37" s="10">
        <f t="shared" ref="E37" si="173">E36</f>
        <v>300</v>
      </c>
      <c r="F37" s="10">
        <v>0</v>
      </c>
      <c r="G37" s="27" t="s">
        <v>45</v>
      </c>
      <c r="H37" s="15" t="str">
        <f t="shared" si="168"/>
        <v>100,20</v>
      </c>
      <c r="I37" s="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1"/>
      <c r="DI37" s="63"/>
      <c r="DJ37" s="63"/>
      <c r="DK37" s="63"/>
      <c r="DL37" s="63"/>
      <c r="DM37" s="63"/>
      <c r="DN37" s="63"/>
      <c r="DO37" s="63"/>
      <c r="DP37" s="63"/>
      <c r="DQ37" s="63"/>
      <c r="DR37" s="63"/>
      <c r="DS37" s="63"/>
      <c r="DT37" s="63"/>
      <c r="DU37" s="63"/>
      <c r="DV37" s="63"/>
      <c r="DW37" s="63"/>
      <c r="DX37" s="63"/>
      <c r="DY37" s="63"/>
      <c r="DZ37" s="63"/>
      <c r="EA37" s="63"/>
      <c r="EB37" s="63"/>
      <c r="EC37" s="63"/>
      <c r="ED37" s="63"/>
      <c r="EE37" s="63"/>
      <c r="EF37" s="63"/>
      <c r="EG37" s="63"/>
      <c r="EH37" s="63"/>
      <c r="EI37" s="63"/>
      <c r="EJ37" s="63"/>
      <c r="EK37" s="63"/>
      <c r="EL37" s="63"/>
      <c r="EM37" s="63"/>
      <c r="EN37" s="63"/>
      <c r="EO37" s="63"/>
      <c r="EP37" s="63"/>
      <c r="EQ37" s="63"/>
      <c r="ER37" s="63"/>
      <c r="ES37" s="63"/>
      <c r="ET37" s="63"/>
      <c r="EU37" s="63"/>
      <c r="EV37" s="63"/>
      <c r="EW37" s="63"/>
      <c r="EX37" s="63"/>
      <c r="EY37" s="63"/>
      <c r="EZ37" s="63"/>
      <c r="FA37" s="63"/>
      <c r="FB37" s="63"/>
      <c r="FC37" s="63"/>
      <c r="FD37" s="63"/>
      <c r="FE37" s="63"/>
      <c r="FF37" s="63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ht="5.45" customHeight="1" x14ac:dyDescent="0.25">
      <c r="A38" s="3">
        <f t="shared" si="163"/>
        <v>7</v>
      </c>
      <c r="B38" s="10">
        <f t="shared" si="167"/>
        <v>20</v>
      </c>
      <c r="C38" s="10">
        <v>0</v>
      </c>
      <c r="D38" s="10">
        <f t="shared" ref="D38:D47" si="174">D37</f>
        <v>99</v>
      </c>
      <c r="E38" s="10">
        <f t="shared" ref="E38:E47" si="175">E37</f>
        <v>300</v>
      </c>
      <c r="F38" s="10">
        <v>0</v>
      </c>
      <c r="G38" s="27" t="s">
        <v>45</v>
      </c>
      <c r="H38" s="15" t="str">
        <f t="shared" si="168"/>
        <v>100,21</v>
      </c>
      <c r="I38" s="1"/>
      <c r="J38" s="20">
        <f>COUNT(K5:BG5)</f>
        <v>49</v>
      </c>
      <c r="K38" s="16">
        <v>1</v>
      </c>
      <c r="L38" s="16">
        <f t="shared" ref="L38:AV38" si="176">IF(ISNUMBER(L39),K38+1,"")</f>
        <v>2</v>
      </c>
      <c r="M38" s="16">
        <f t="shared" si="176"/>
        <v>3</v>
      </c>
      <c r="N38" s="16">
        <f t="shared" si="176"/>
        <v>4</v>
      </c>
      <c r="O38" s="16">
        <f t="shared" si="176"/>
        <v>5</v>
      </c>
      <c r="P38" s="16">
        <f t="shared" si="176"/>
        <v>6</v>
      </c>
      <c r="Q38" s="16">
        <f t="shared" si="176"/>
        <v>7</v>
      </c>
      <c r="R38" s="16">
        <f t="shared" si="176"/>
        <v>8</v>
      </c>
      <c r="S38" s="16">
        <f t="shared" si="176"/>
        <v>9</v>
      </c>
      <c r="T38" s="16">
        <f t="shared" si="176"/>
        <v>10</v>
      </c>
      <c r="U38" s="16">
        <f t="shared" si="176"/>
        <v>11</v>
      </c>
      <c r="V38" s="16">
        <f t="shared" si="176"/>
        <v>12</v>
      </c>
      <c r="W38" s="16">
        <f t="shared" si="176"/>
        <v>13</v>
      </c>
      <c r="X38" s="16">
        <f t="shared" si="176"/>
        <v>14</v>
      </c>
      <c r="Y38" s="16">
        <f t="shared" si="176"/>
        <v>15</v>
      </c>
      <c r="Z38" s="16">
        <f t="shared" si="176"/>
        <v>16</v>
      </c>
      <c r="AA38" s="16">
        <f t="shared" si="176"/>
        <v>17</v>
      </c>
      <c r="AB38" s="16">
        <f t="shared" si="176"/>
        <v>18</v>
      </c>
      <c r="AC38" s="16">
        <f t="shared" si="176"/>
        <v>19</v>
      </c>
      <c r="AD38" s="16">
        <f t="shared" si="176"/>
        <v>20</v>
      </c>
      <c r="AE38" s="16">
        <f t="shared" si="176"/>
        <v>21</v>
      </c>
      <c r="AF38" s="16">
        <f t="shared" si="176"/>
        <v>22</v>
      </c>
      <c r="AG38" s="16">
        <f t="shared" si="176"/>
        <v>23</v>
      </c>
      <c r="AH38" s="16">
        <f t="shared" si="176"/>
        <v>24</v>
      </c>
      <c r="AI38" s="16">
        <f t="shared" si="176"/>
        <v>25</v>
      </c>
      <c r="AJ38" s="16">
        <f t="shared" si="176"/>
        <v>26</v>
      </c>
      <c r="AK38" s="16">
        <f t="shared" si="176"/>
        <v>27</v>
      </c>
      <c r="AL38" s="16">
        <f t="shared" si="176"/>
        <v>28</v>
      </c>
      <c r="AM38" s="16">
        <f t="shared" si="176"/>
        <v>29</v>
      </c>
      <c r="AN38" s="16">
        <f t="shared" si="176"/>
        <v>30</v>
      </c>
      <c r="AO38" s="16">
        <f t="shared" si="176"/>
        <v>31</v>
      </c>
      <c r="AP38" s="16">
        <f t="shared" si="176"/>
        <v>32</v>
      </c>
      <c r="AQ38" s="16">
        <f t="shared" si="176"/>
        <v>33</v>
      </c>
      <c r="AR38" s="16">
        <f t="shared" si="176"/>
        <v>34</v>
      </c>
      <c r="AS38" s="16">
        <f t="shared" si="176"/>
        <v>35</v>
      </c>
      <c r="AT38" s="16">
        <f t="shared" si="176"/>
        <v>36</v>
      </c>
      <c r="AU38" s="16">
        <f t="shared" si="176"/>
        <v>37</v>
      </c>
      <c r="AV38" s="16">
        <f t="shared" si="176"/>
        <v>38</v>
      </c>
      <c r="AW38" s="16">
        <f t="shared" ref="AW38" si="177">IF(ISNUMBER(AW39),AV38+1,"")</f>
        <v>39</v>
      </c>
      <c r="AX38" s="16">
        <f t="shared" ref="AX38" si="178">IF(ISNUMBER(AX39),AW38+1,"")</f>
        <v>40</v>
      </c>
      <c r="AY38" s="16">
        <f t="shared" ref="AY38" si="179">IF(ISNUMBER(AY39),AX38+1,"")</f>
        <v>41</v>
      </c>
      <c r="AZ38" s="16">
        <f t="shared" ref="AZ38" si="180">IF(ISNUMBER(AZ39),AY38+1,"")</f>
        <v>42</v>
      </c>
      <c r="BA38" s="16">
        <f t="shared" ref="BA38" si="181">IF(ISNUMBER(BA39),AZ38+1,"")</f>
        <v>43</v>
      </c>
      <c r="BB38" s="16">
        <f t="shared" ref="BB38" si="182">IF(ISNUMBER(BB39),BA38+1,"")</f>
        <v>44</v>
      </c>
      <c r="BC38" s="16">
        <f t="shared" ref="BC38" si="183">IF(ISNUMBER(BC39),BB38+1,"")</f>
        <v>45</v>
      </c>
      <c r="BD38" s="16">
        <f t="shared" ref="BD38" si="184">IF(ISNUMBER(BD39),BC38+1,"")</f>
        <v>46</v>
      </c>
      <c r="BE38" s="16">
        <f t="shared" ref="BE38" si="185">IF(ISNUMBER(BE39),BD38+1,"")</f>
        <v>47</v>
      </c>
      <c r="BF38" s="16">
        <f t="shared" ref="BF38" si="186">IF(ISNUMBER(BF39),BE38+1,"")</f>
        <v>48</v>
      </c>
      <c r="BG38" s="16">
        <f t="shared" ref="BG38" si="187">IF(ISNUMBER(BG39),BF38+1,"")</f>
        <v>49</v>
      </c>
      <c r="BH38" s="16">
        <f t="shared" ref="BH38" si="188">IF(ISNUMBER(BH39),BG38+1,"")</f>
        <v>50</v>
      </c>
      <c r="BI38" s="16">
        <f t="shared" ref="BI38" si="189">IF(ISNUMBER(BI39),BH38+1,"")</f>
        <v>51</v>
      </c>
      <c r="BJ38" s="16">
        <f t="shared" ref="BJ38" si="190">IF(ISNUMBER(BJ39),BI38+1,"")</f>
        <v>52</v>
      </c>
      <c r="BK38" s="16">
        <f t="shared" ref="BK38" si="191">IF(ISNUMBER(BK39),BJ38+1,"")</f>
        <v>53</v>
      </c>
      <c r="BL38" s="16">
        <f t="shared" ref="BL38" si="192">IF(ISNUMBER(BL39),BK38+1,"")</f>
        <v>54</v>
      </c>
      <c r="BM38" s="16">
        <f t="shared" ref="BM38" si="193">IF(ISNUMBER(BM39),BL38+1,"")</f>
        <v>55</v>
      </c>
      <c r="BN38" s="16">
        <f t="shared" ref="BN38" si="194">IF(ISNUMBER(BN39),BM38+1,"")</f>
        <v>56</v>
      </c>
      <c r="BO38" s="16">
        <f t="shared" ref="BO38" si="195">IF(ISNUMBER(BO39),BN38+1,"")</f>
        <v>57</v>
      </c>
      <c r="BP38" s="16">
        <f t="shared" ref="BP38" si="196">IF(ISNUMBER(BP39),BO38+1,"")</f>
        <v>58</v>
      </c>
      <c r="BQ38" s="16">
        <f t="shared" ref="BQ38" si="197">IF(ISNUMBER(BQ39),BP38+1,"")</f>
        <v>59</v>
      </c>
      <c r="BR38" s="16">
        <f t="shared" ref="BR38" si="198">IF(ISNUMBER(BR39),BQ38+1,"")</f>
        <v>60</v>
      </c>
      <c r="BS38" s="16">
        <f t="shared" ref="BS38" si="199">IF(ISNUMBER(BS39),BR38+1,"")</f>
        <v>61</v>
      </c>
      <c r="BT38" s="16">
        <f t="shared" ref="BT38" si="200">IF(ISNUMBER(BT39),BS38+1,"")</f>
        <v>62</v>
      </c>
      <c r="BU38" s="16">
        <f t="shared" ref="BU38" si="201">IF(ISNUMBER(BU39),BT38+1,"")</f>
        <v>63</v>
      </c>
      <c r="BV38" s="16">
        <f t="shared" ref="BV38" si="202">IF(ISNUMBER(BV39),BU38+1,"")</f>
        <v>64</v>
      </c>
      <c r="BW38" s="16">
        <f t="shared" ref="BW38" si="203">IF(ISNUMBER(BW39),BV38+1,"")</f>
        <v>65</v>
      </c>
      <c r="BX38" s="16">
        <f t="shared" ref="BX38" si="204">IF(ISNUMBER(BX39),BW38+1,"")</f>
        <v>66</v>
      </c>
      <c r="BY38" s="16">
        <f t="shared" ref="BY38" si="205">IF(ISNUMBER(BY39),BX38+1,"")</f>
        <v>67</v>
      </c>
      <c r="BZ38" s="16">
        <f t="shared" ref="BZ38" si="206">IF(ISNUMBER(BZ39),BY38+1,"")</f>
        <v>68</v>
      </c>
      <c r="CA38" s="16">
        <f t="shared" ref="CA38" si="207">IF(ISNUMBER(CA39),BZ38+1,"")</f>
        <v>69</v>
      </c>
      <c r="CB38" s="16">
        <f t="shared" ref="CB38" si="208">IF(ISNUMBER(CB39),CA38+1,"")</f>
        <v>70</v>
      </c>
      <c r="CC38" s="16">
        <f t="shared" ref="CC38" si="209">IF(ISNUMBER(CC39),CB38+1,"")</f>
        <v>71</v>
      </c>
      <c r="CD38" s="16">
        <f t="shared" ref="CD38" si="210">IF(ISNUMBER(CD39),CC38+1,"")</f>
        <v>72</v>
      </c>
      <c r="CE38" s="16">
        <f t="shared" ref="CE38" si="211">IF(ISNUMBER(CE39),CD38+1,"")</f>
        <v>73</v>
      </c>
      <c r="CF38" s="16">
        <f t="shared" ref="CF38" si="212">IF(ISNUMBER(CF39),CE38+1,"")</f>
        <v>74</v>
      </c>
      <c r="CG38" s="16">
        <f t="shared" ref="CG38" si="213">IF(ISNUMBER(CG39),CF38+1,"")</f>
        <v>75</v>
      </c>
      <c r="CH38" s="16">
        <f t="shared" ref="CH38" si="214">IF(ISNUMBER(CH39),CG38+1,"")</f>
        <v>76</v>
      </c>
      <c r="CI38" s="16">
        <f t="shared" ref="CI38" si="215">IF(ISNUMBER(CI39),CH38+1,"")</f>
        <v>77</v>
      </c>
      <c r="CJ38" s="16">
        <f t="shared" ref="CJ38" si="216">IF(ISNUMBER(CJ39),CI38+1,"")</f>
        <v>78</v>
      </c>
      <c r="CK38" s="16">
        <f t="shared" ref="CK38" si="217">IF(ISNUMBER(CK39),CJ38+1,"")</f>
        <v>79</v>
      </c>
      <c r="CL38" s="16">
        <f t="shared" ref="CL38" si="218">IF(ISNUMBER(CL39),CK38+1,"")</f>
        <v>80</v>
      </c>
      <c r="CM38" s="16">
        <f t="shared" ref="CM38" si="219">IF(ISNUMBER(CM39),CL38+1,"")</f>
        <v>81</v>
      </c>
      <c r="CN38" s="16">
        <f t="shared" ref="CN38" si="220">IF(ISNUMBER(CN39),CM38+1,"")</f>
        <v>82</v>
      </c>
      <c r="CO38" s="16">
        <f t="shared" ref="CO38" si="221">IF(ISNUMBER(CO39),CN38+1,"")</f>
        <v>83</v>
      </c>
      <c r="CP38" s="16">
        <f t="shared" ref="CP38" si="222">IF(ISNUMBER(CP39),CO38+1,"")</f>
        <v>84</v>
      </c>
      <c r="CQ38" s="16">
        <f t="shared" ref="CQ38" si="223">IF(ISNUMBER(CQ39),CP38+1,"")</f>
        <v>85</v>
      </c>
      <c r="CR38" s="16">
        <f t="shared" ref="CR38" si="224">IF(ISNUMBER(CR39),CQ38+1,"")</f>
        <v>86</v>
      </c>
      <c r="CS38" s="16">
        <f t="shared" ref="CS38" si="225">IF(ISNUMBER(CS39),CR38+1,"")</f>
        <v>87</v>
      </c>
      <c r="CT38" s="16">
        <f t="shared" ref="CT38" si="226">IF(ISNUMBER(CT39),CS38+1,"")</f>
        <v>88</v>
      </c>
      <c r="CU38" s="16">
        <f t="shared" ref="CU38" si="227">IF(ISNUMBER(CU39),CT38+1,"")</f>
        <v>89</v>
      </c>
      <c r="CV38" s="16">
        <f t="shared" ref="CV38" si="228">IF(ISNUMBER(CV39),CU38+1,"")</f>
        <v>90</v>
      </c>
      <c r="CW38" s="16">
        <f t="shared" ref="CW38" si="229">IF(ISNUMBER(CW39),CV38+1,"")</f>
        <v>91</v>
      </c>
      <c r="CX38" s="16">
        <f t="shared" ref="CX38" si="230">IF(ISNUMBER(CX39),CW38+1,"")</f>
        <v>92</v>
      </c>
      <c r="CY38" s="16">
        <f t="shared" ref="CY38" si="231">IF(ISNUMBER(CY39),CX38+1,"")</f>
        <v>93</v>
      </c>
      <c r="CZ38" s="16">
        <f t="shared" ref="CZ38" si="232">IF(ISNUMBER(CZ39),CY38+1,"")</f>
        <v>94</v>
      </c>
      <c r="DA38" s="16">
        <f t="shared" ref="DA38" si="233">IF(ISNUMBER(DA39),CZ38+1,"")</f>
        <v>95</v>
      </c>
      <c r="DB38" s="16">
        <f t="shared" ref="DB38" si="234">IF(ISNUMBER(DB39),DA38+1,"")</f>
        <v>96</v>
      </c>
      <c r="DC38" s="16">
        <f t="shared" ref="DC38" si="235">IF(ISNUMBER(DC39),DB38+1,"")</f>
        <v>97</v>
      </c>
      <c r="DD38" s="16">
        <f t="shared" ref="DD38" si="236">IF(ISNUMBER(DD39),DC38+1,"")</f>
        <v>98</v>
      </c>
      <c r="DE38" s="16">
        <f t="shared" ref="DE38" si="237">IF(ISNUMBER(DE39),DD38+1,"")</f>
        <v>99</v>
      </c>
      <c r="DF38" s="16">
        <f t="shared" ref="DF38" si="238">IF(ISNUMBER(DF39),DE38+1,"")</f>
        <v>100</v>
      </c>
      <c r="DG38" s="16"/>
      <c r="DH38" s="1"/>
      <c r="DI38" s="63"/>
      <c r="DJ38" s="63"/>
      <c r="DK38" s="63"/>
      <c r="DL38" s="63"/>
      <c r="DM38" s="63"/>
      <c r="DN38" s="63"/>
      <c r="DO38" s="63"/>
      <c r="DP38" s="63"/>
      <c r="DQ38" s="63"/>
      <c r="DR38" s="63"/>
      <c r="DS38" s="63"/>
      <c r="DT38" s="63"/>
      <c r="DU38" s="63"/>
      <c r="DV38" s="63"/>
      <c r="DW38" s="63"/>
      <c r="DX38" s="63"/>
      <c r="DY38" s="63"/>
      <c r="DZ38" s="63"/>
      <c r="EA38" s="63"/>
      <c r="EB38" s="63"/>
      <c r="EC38" s="63"/>
      <c r="ED38" s="63"/>
      <c r="EE38" s="63"/>
      <c r="EF38" s="63"/>
      <c r="EG38" s="63"/>
      <c r="EH38" s="63"/>
      <c r="EI38" s="63"/>
      <c r="EJ38" s="63"/>
      <c r="EK38" s="63"/>
      <c r="EL38" s="63"/>
      <c r="EM38" s="63"/>
      <c r="EN38" s="63"/>
      <c r="EO38" s="63"/>
      <c r="EP38" s="63"/>
      <c r="EQ38" s="63"/>
      <c r="ER38" s="63"/>
      <c r="ES38" s="63"/>
      <c r="ET38" s="63"/>
      <c r="EU38" s="63"/>
      <c r="EV38" s="63"/>
      <c r="EW38" s="63"/>
      <c r="EX38" s="63"/>
      <c r="EY38" s="63"/>
      <c r="EZ38" s="63"/>
      <c r="FA38" s="63"/>
      <c r="FB38" s="63"/>
      <c r="FC38" s="63"/>
      <c r="FD38" s="63"/>
      <c r="FE38" s="63"/>
      <c r="FF38" s="63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ht="5.45" customHeight="1" x14ac:dyDescent="0.25">
      <c r="A39" s="3">
        <f t="shared" si="163"/>
        <v>8</v>
      </c>
      <c r="B39" s="10">
        <f t="shared" si="167"/>
        <v>21</v>
      </c>
      <c r="C39" s="10">
        <v>0</v>
      </c>
      <c r="D39" s="10">
        <f t="shared" si="174"/>
        <v>99</v>
      </c>
      <c r="E39" s="10">
        <f t="shared" si="175"/>
        <v>300</v>
      </c>
      <c r="F39" s="10">
        <v>0</v>
      </c>
      <c r="G39" s="27" t="s">
        <v>45</v>
      </c>
      <c r="H39" s="15" t="str">
        <f t="shared" si="168"/>
        <v>100,22</v>
      </c>
      <c r="I39" s="1"/>
      <c r="J39" s="20">
        <f>COUNT(J6:J25)</f>
        <v>20</v>
      </c>
      <c r="K39" s="16">
        <f>ROW()</f>
        <v>39</v>
      </c>
      <c r="L39" s="16">
        <f>ROW()</f>
        <v>39</v>
      </c>
      <c r="M39" s="16">
        <f>ROW()</f>
        <v>39</v>
      </c>
      <c r="N39" s="16">
        <f>ROW()</f>
        <v>39</v>
      </c>
      <c r="O39" s="16">
        <f>ROW()</f>
        <v>39</v>
      </c>
      <c r="P39" s="16">
        <f>ROW()</f>
        <v>39</v>
      </c>
      <c r="Q39" s="16">
        <f>ROW()</f>
        <v>39</v>
      </c>
      <c r="R39" s="16">
        <f>ROW()</f>
        <v>39</v>
      </c>
      <c r="S39" s="16">
        <f>ROW()</f>
        <v>39</v>
      </c>
      <c r="T39" s="16">
        <f>ROW()</f>
        <v>39</v>
      </c>
      <c r="U39" s="16">
        <f>ROW()</f>
        <v>39</v>
      </c>
      <c r="V39" s="16">
        <f>ROW()</f>
        <v>39</v>
      </c>
      <c r="W39" s="16">
        <f>ROW()</f>
        <v>39</v>
      </c>
      <c r="X39" s="16">
        <f>ROW()</f>
        <v>39</v>
      </c>
      <c r="Y39" s="16">
        <f>ROW()</f>
        <v>39</v>
      </c>
      <c r="Z39" s="16">
        <f>ROW()</f>
        <v>39</v>
      </c>
      <c r="AA39" s="16">
        <f>ROW()</f>
        <v>39</v>
      </c>
      <c r="AB39" s="16">
        <f>ROW()</f>
        <v>39</v>
      </c>
      <c r="AC39" s="16">
        <f>ROW()</f>
        <v>39</v>
      </c>
      <c r="AD39" s="16">
        <f>ROW()</f>
        <v>39</v>
      </c>
      <c r="AE39" s="16">
        <f>ROW()</f>
        <v>39</v>
      </c>
      <c r="AF39" s="16">
        <f>ROW()</f>
        <v>39</v>
      </c>
      <c r="AG39" s="16">
        <f>ROW()</f>
        <v>39</v>
      </c>
      <c r="AH39" s="16">
        <f>ROW()</f>
        <v>39</v>
      </c>
      <c r="AI39" s="16">
        <f>ROW()</f>
        <v>39</v>
      </c>
      <c r="AJ39" s="16">
        <f>ROW()</f>
        <v>39</v>
      </c>
      <c r="AK39" s="16">
        <f>ROW()</f>
        <v>39</v>
      </c>
      <c r="AL39" s="16">
        <f>ROW()</f>
        <v>39</v>
      </c>
      <c r="AM39" s="16">
        <f>ROW()</f>
        <v>39</v>
      </c>
      <c r="AN39" s="16">
        <f>ROW()</f>
        <v>39</v>
      </c>
      <c r="AO39" s="16">
        <f>ROW()</f>
        <v>39</v>
      </c>
      <c r="AP39" s="16">
        <f>ROW()</f>
        <v>39</v>
      </c>
      <c r="AQ39" s="16">
        <f>ROW()</f>
        <v>39</v>
      </c>
      <c r="AR39" s="16">
        <f>ROW()</f>
        <v>39</v>
      </c>
      <c r="AS39" s="16">
        <f>ROW()</f>
        <v>39</v>
      </c>
      <c r="AT39" s="16">
        <f>ROW()</f>
        <v>39</v>
      </c>
      <c r="AU39" s="16">
        <f>ROW()</f>
        <v>39</v>
      </c>
      <c r="AV39" s="16">
        <f>ROW()</f>
        <v>39</v>
      </c>
      <c r="AW39" s="16">
        <f>ROW()</f>
        <v>39</v>
      </c>
      <c r="AX39" s="16">
        <f>ROW()</f>
        <v>39</v>
      </c>
      <c r="AY39" s="16">
        <f>ROW()</f>
        <v>39</v>
      </c>
      <c r="AZ39" s="16">
        <f>ROW()</f>
        <v>39</v>
      </c>
      <c r="BA39" s="16">
        <f>ROW()</f>
        <v>39</v>
      </c>
      <c r="BB39" s="16">
        <f>ROW()</f>
        <v>39</v>
      </c>
      <c r="BC39" s="16">
        <f>ROW()</f>
        <v>39</v>
      </c>
      <c r="BD39" s="16">
        <f>ROW()</f>
        <v>39</v>
      </c>
      <c r="BE39" s="16">
        <f>ROW()</f>
        <v>39</v>
      </c>
      <c r="BF39" s="16">
        <f>ROW()</f>
        <v>39</v>
      </c>
      <c r="BG39" s="16">
        <f>ROW()</f>
        <v>39</v>
      </c>
      <c r="BH39" s="16">
        <f>ROW()</f>
        <v>39</v>
      </c>
      <c r="BI39" s="16">
        <f>ROW()</f>
        <v>39</v>
      </c>
      <c r="BJ39" s="16">
        <f>ROW()</f>
        <v>39</v>
      </c>
      <c r="BK39" s="16">
        <f>ROW()</f>
        <v>39</v>
      </c>
      <c r="BL39" s="16">
        <f>ROW()</f>
        <v>39</v>
      </c>
      <c r="BM39" s="16">
        <f>ROW()</f>
        <v>39</v>
      </c>
      <c r="BN39" s="16">
        <f>ROW()</f>
        <v>39</v>
      </c>
      <c r="BO39" s="16">
        <f>ROW()</f>
        <v>39</v>
      </c>
      <c r="BP39" s="16">
        <f>ROW()</f>
        <v>39</v>
      </c>
      <c r="BQ39" s="16">
        <f>ROW()</f>
        <v>39</v>
      </c>
      <c r="BR39" s="16">
        <f>ROW()</f>
        <v>39</v>
      </c>
      <c r="BS39" s="16">
        <f>ROW()</f>
        <v>39</v>
      </c>
      <c r="BT39" s="16">
        <f>ROW()</f>
        <v>39</v>
      </c>
      <c r="BU39" s="16">
        <f>ROW()</f>
        <v>39</v>
      </c>
      <c r="BV39" s="16">
        <f>ROW()</f>
        <v>39</v>
      </c>
      <c r="BW39" s="16">
        <f>ROW()</f>
        <v>39</v>
      </c>
      <c r="BX39" s="16">
        <f>ROW()</f>
        <v>39</v>
      </c>
      <c r="BY39" s="16">
        <f>ROW()</f>
        <v>39</v>
      </c>
      <c r="BZ39" s="16">
        <f>ROW()</f>
        <v>39</v>
      </c>
      <c r="CA39" s="16">
        <f>ROW()</f>
        <v>39</v>
      </c>
      <c r="CB39" s="16">
        <f>ROW()</f>
        <v>39</v>
      </c>
      <c r="CC39" s="16">
        <f>ROW()</f>
        <v>39</v>
      </c>
      <c r="CD39" s="16">
        <f>ROW()</f>
        <v>39</v>
      </c>
      <c r="CE39" s="16">
        <f>ROW()</f>
        <v>39</v>
      </c>
      <c r="CF39" s="16">
        <f>ROW()</f>
        <v>39</v>
      </c>
      <c r="CG39" s="16">
        <f>ROW()</f>
        <v>39</v>
      </c>
      <c r="CH39" s="16">
        <f>ROW()</f>
        <v>39</v>
      </c>
      <c r="CI39" s="16">
        <f>ROW()</f>
        <v>39</v>
      </c>
      <c r="CJ39" s="16">
        <f>ROW()</f>
        <v>39</v>
      </c>
      <c r="CK39" s="16">
        <f>ROW()</f>
        <v>39</v>
      </c>
      <c r="CL39" s="16">
        <f>ROW()</f>
        <v>39</v>
      </c>
      <c r="CM39" s="16">
        <f>ROW()</f>
        <v>39</v>
      </c>
      <c r="CN39" s="16">
        <f>ROW()</f>
        <v>39</v>
      </c>
      <c r="CO39" s="16">
        <f>ROW()</f>
        <v>39</v>
      </c>
      <c r="CP39" s="16">
        <f>ROW()</f>
        <v>39</v>
      </c>
      <c r="CQ39" s="16">
        <f>ROW()</f>
        <v>39</v>
      </c>
      <c r="CR39" s="16">
        <f>ROW()</f>
        <v>39</v>
      </c>
      <c r="CS39" s="16">
        <f>ROW()</f>
        <v>39</v>
      </c>
      <c r="CT39" s="16">
        <f>ROW()</f>
        <v>39</v>
      </c>
      <c r="CU39" s="16">
        <f>ROW()</f>
        <v>39</v>
      </c>
      <c r="CV39" s="16">
        <f>ROW()</f>
        <v>39</v>
      </c>
      <c r="CW39" s="16">
        <f>ROW()</f>
        <v>39</v>
      </c>
      <c r="CX39" s="16">
        <f>ROW()</f>
        <v>39</v>
      </c>
      <c r="CY39" s="16">
        <f>ROW()</f>
        <v>39</v>
      </c>
      <c r="CZ39" s="16">
        <f>ROW()</f>
        <v>39</v>
      </c>
      <c r="DA39" s="16">
        <f>ROW()</f>
        <v>39</v>
      </c>
      <c r="DB39" s="16">
        <f>ROW()</f>
        <v>39</v>
      </c>
      <c r="DC39" s="16">
        <f>ROW()</f>
        <v>39</v>
      </c>
      <c r="DD39" s="16">
        <f>ROW()</f>
        <v>39</v>
      </c>
      <c r="DE39" s="16">
        <f>ROW()</f>
        <v>39</v>
      </c>
      <c r="DF39" s="16">
        <f>ROW()</f>
        <v>39</v>
      </c>
      <c r="DG39" s="16"/>
      <c r="DH39" s="1"/>
      <c r="DI39" s="22" t="s">
        <v>55</v>
      </c>
      <c r="DJ39" s="22"/>
      <c r="DK39" s="22"/>
      <c r="DL39" s="22"/>
      <c r="DM39" s="22"/>
      <c r="DN39" s="1"/>
      <c r="DO39" s="1"/>
      <c r="DP39" s="1"/>
      <c r="DQ39" s="1"/>
      <c r="DR39" s="1"/>
      <c r="DS39" s="1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  <c r="EE39" s="63"/>
      <c r="EF39" s="63"/>
      <c r="EG39" s="63"/>
      <c r="EH39" s="63"/>
      <c r="EI39" s="63"/>
      <c r="EJ39" s="63"/>
      <c r="EK39" s="63"/>
      <c r="EL39" s="63"/>
      <c r="EM39" s="63"/>
      <c r="EN39" s="63"/>
      <c r="EO39" s="63"/>
      <c r="EP39" s="63"/>
      <c r="EQ39" s="63"/>
      <c r="ER39" s="63"/>
      <c r="ES39" s="63"/>
      <c r="ET39" s="63"/>
      <c r="EU39" s="63"/>
      <c r="EV39" s="63"/>
      <c r="EW39" s="63"/>
      <c r="EX39" s="63"/>
      <c r="EY39" s="63"/>
      <c r="EZ39" s="63"/>
      <c r="FA39" s="63"/>
      <c r="FB39" s="63"/>
      <c r="FC39" s="63"/>
      <c r="FD39" s="63"/>
      <c r="FE39" s="63"/>
      <c r="FF39" s="63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ht="5.45" customHeight="1" x14ac:dyDescent="0.25">
      <c r="A40" s="3">
        <f t="shared" si="163"/>
        <v>9</v>
      </c>
      <c r="B40" s="10">
        <f t="shared" si="167"/>
        <v>22</v>
      </c>
      <c r="C40" s="10">
        <v>0</v>
      </c>
      <c r="D40" s="10">
        <f t="shared" si="174"/>
        <v>99</v>
      </c>
      <c r="E40" s="10">
        <f t="shared" si="175"/>
        <v>300</v>
      </c>
      <c r="F40" s="10">
        <v>0</v>
      </c>
      <c r="G40" s="27" t="s">
        <v>45</v>
      </c>
      <c r="H40" s="15" t="str">
        <f t="shared" si="168"/>
        <v>100,23</v>
      </c>
      <c r="I40" s="1"/>
      <c r="J40" s="16">
        <f>COLUMN()</f>
        <v>10</v>
      </c>
      <c r="K40" s="19" t="str">
        <f t="shared" ref="K40:T42" si="239">_xlfn.CONCAT(COLUMN()-$J40,",",ROW()-K$39)</f>
        <v>1,1</v>
      </c>
      <c r="L40" s="19" t="str">
        <f t="shared" si="239"/>
        <v>2,1</v>
      </c>
      <c r="M40" s="19" t="str">
        <f t="shared" si="239"/>
        <v>3,1</v>
      </c>
      <c r="N40" s="19" t="str">
        <f t="shared" si="239"/>
        <v>4,1</v>
      </c>
      <c r="O40" s="19" t="str">
        <f t="shared" si="239"/>
        <v>5,1</v>
      </c>
      <c r="P40" s="19" t="str">
        <f t="shared" si="239"/>
        <v>6,1</v>
      </c>
      <c r="Q40" s="19" t="str">
        <f t="shared" si="239"/>
        <v>7,1</v>
      </c>
      <c r="R40" s="19" t="str">
        <f t="shared" si="239"/>
        <v>8,1</v>
      </c>
      <c r="S40" s="19" t="str">
        <f t="shared" si="239"/>
        <v>9,1</v>
      </c>
      <c r="T40" s="19" t="str">
        <f t="shared" si="239"/>
        <v>10,1</v>
      </c>
      <c r="U40" s="19" t="str">
        <f t="shared" ref="U40:AD42" si="240">_xlfn.CONCAT(COLUMN()-$J40,",",ROW()-U$39)</f>
        <v>11,1</v>
      </c>
      <c r="V40" s="19" t="str">
        <f t="shared" si="240"/>
        <v>12,1</v>
      </c>
      <c r="W40" s="19" t="str">
        <f t="shared" si="240"/>
        <v>13,1</v>
      </c>
      <c r="X40" s="19" t="str">
        <f t="shared" si="240"/>
        <v>14,1</v>
      </c>
      <c r="Y40" s="19" t="str">
        <f t="shared" si="240"/>
        <v>15,1</v>
      </c>
      <c r="Z40" s="19" t="str">
        <f t="shared" si="240"/>
        <v>16,1</v>
      </c>
      <c r="AA40" s="19" t="str">
        <f t="shared" si="240"/>
        <v>17,1</v>
      </c>
      <c r="AB40" s="19" t="str">
        <f t="shared" si="240"/>
        <v>18,1</v>
      </c>
      <c r="AC40" s="19" t="str">
        <f t="shared" si="240"/>
        <v>19,1</v>
      </c>
      <c r="AD40" s="19" t="str">
        <f t="shared" si="240"/>
        <v>20,1</v>
      </c>
      <c r="AE40" s="19" t="str">
        <f t="shared" ref="AE40:AN42" si="241">_xlfn.CONCAT(COLUMN()-$J40,",",ROW()-AE$39)</f>
        <v>21,1</v>
      </c>
      <c r="AF40" s="19" t="str">
        <f t="shared" si="241"/>
        <v>22,1</v>
      </c>
      <c r="AG40" s="19" t="str">
        <f t="shared" si="241"/>
        <v>23,1</v>
      </c>
      <c r="AH40" s="19" t="str">
        <f t="shared" si="241"/>
        <v>24,1</v>
      </c>
      <c r="AI40" s="19" t="str">
        <f t="shared" si="241"/>
        <v>25,1</v>
      </c>
      <c r="AJ40" s="19" t="str">
        <f t="shared" si="241"/>
        <v>26,1</v>
      </c>
      <c r="AK40" s="19" t="str">
        <f t="shared" si="241"/>
        <v>27,1</v>
      </c>
      <c r="AL40" s="19" t="str">
        <f t="shared" si="241"/>
        <v>28,1</v>
      </c>
      <c r="AM40" s="19" t="str">
        <f t="shared" si="241"/>
        <v>29,1</v>
      </c>
      <c r="AN40" s="19" t="str">
        <f t="shared" si="241"/>
        <v>30,1</v>
      </c>
      <c r="AO40" s="19" t="str">
        <f t="shared" ref="AO40:AX42" si="242">_xlfn.CONCAT(COLUMN()-$J40,",",ROW()-AO$39)</f>
        <v>31,1</v>
      </c>
      <c r="AP40" s="19" t="str">
        <f t="shared" si="242"/>
        <v>32,1</v>
      </c>
      <c r="AQ40" s="19" t="str">
        <f t="shared" si="242"/>
        <v>33,1</v>
      </c>
      <c r="AR40" s="19" t="str">
        <f t="shared" si="242"/>
        <v>34,1</v>
      </c>
      <c r="AS40" s="19" t="str">
        <f t="shared" si="242"/>
        <v>35,1</v>
      </c>
      <c r="AT40" s="19" t="str">
        <f t="shared" si="242"/>
        <v>36,1</v>
      </c>
      <c r="AU40" s="19" t="str">
        <f t="shared" si="242"/>
        <v>37,1</v>
      </c>
      <c r="AV40" s="19" t="str">
        <f t="shared" si="242"/>
        <v>38,1</v>
      </c>
      <c r="AW40" s="19" t="str">
        <f t="shared" si="242"/>
        <v>39,1</v>
      </c>
      <c r="AX40" s="19" t="str">
        <f t="shared" si="242"/>
        <v>40,1</v>
      </c>
      <c r="AY40" s="19" t="str">
        <f t="shared" ref="AY40:BH42" si="243">_xlfn.CONCAT(COLUMN()-$J40,",",ROW()-AY$39)</f>
        <v>41,1</v>
      </c>
      <c r="AZ40" s="19" t="str">
        <f t="shared" si="243"/>
        <v>42,1</v>
      </c>
      <c r="BA40" s="19" t="str">
        <f t="shared" si="243"/>
        <v>43,1</v>
      </c>
      <c r="BB40" s="19" t="str">
        <f t="shared" si="243"/>
        <v>44,1</v>
      </c>
      <c r="BC40" s="19" t="str">
        <f t="shared" si="243"/>
        <v>45,1</v>
      </c>
      <c r="BD40" s="19" t="str">
        <f t="shared" si="243"/>
        <v>46,1</v>
      </c>
      <c r="BE40" s="19" t="str">
        <f t="shared" si="243"/>
        <v>47,1</v>
      </c>
      <c r="BF40" s="19" t="str">
        <f t="shared" si="243"/>
        <v>48,1</v>
      </c>
      <c r="BG40" s="19" t="str">
        <f t="shared" si="243"/>
        <v>49,1</v>
      </c>
      <c r="BH40" s="19" t="str">
        <f t="shared" si="243"/>
        <v>50,1</v>
      </c>
      <c r="BI40" s="19" t="str">
        <f t="shared" ref="BI40:BR42" si="244">_xlfn.CONCAT(COLUMN()-$J40,",",ROW()-BI$39)</f>
        <v>51,1</v>
      </c>
      <c r="BJ40" s="19" t="str">
        <f t="shared" si="244"/>
        <v>52,1</v>
      </c>
      <c r="BK40" s="19" t="str">
        <f t="shared" si="244"/>
        <v>53,1</v>
      </c>
      <c r="BL40" s="19" t="str">
        <f t="shared" si="244"/>
        <v>54,1</v>
      </c>
      <c r="BM40" s="19" t="str">
        <f t="shared" si="244"/>
        <v>55,1</v>
      </c>
      <c r="BN40" s="19" t="str">
        <f t="shared" si="244"/>
        <v>56,1</v>
      </c>
      <c r="BO40" s="19" t="str">
        <f t="shared" si="244"/>
        <v>57,1</v>
      </c>
      <c r="BP40" s="19" t="str">
        <f t="shared" si="244"/>
        <v>58,1</v>
      </c>
      <c r="BQ40" s="19" t="str">
        <f t="shared" si="244"/>
        <v>59,1</v>
      </c>
      <c r="BR40" s="19" t="str">
        <f t="shared" si="244"/>
        <v>60,1</v>
      </c>
      <c r="BS40" s="19" t="str">
        <f t="shared" ref="BS40:CB42" si="245">_xlfn.CONCAT(COLUMN()-$J40,",",ROW()-BS$39)</f>
        <v>61,1</v>
      </c>
      <c r="BT40" s="19" t="str">
        <f t="shared" si="245"/>
        <v>62,1</v>
      </c>
      <c r="BU40" s="19" t="str">
        <f t="shared" si="245"/>
        <v>63,1</v>
      </c>
      <c r="BV40" s="19" t="str">
        <f t="shared" si="245"/>
        <v>64,1</v>
      </c>
      <c r="BW40" s="19" t="str">
        <f t="shared" si="245"/>
        <v>65,1</v>
      </c>
      <c r="BX40" s="19" t="str">
        <f t="shared" si="245"/>
        <v>66,1</v>
      </c>
      <c r="BY40" s="19" t="str">
        <f t="shared" si="245"/>
        <v>67,1</v>
      </c>
      <c r="BZ40" s="19" t="str">
        <f t="shared" si="245"/>
        <v>68,1</v>
      </c>
      <c r="CA40" s="19" t="str">
        <f t="shared" si="245"/>
        <v>69,1</v>
      </c>
      <c r="CB40" s="19" t="str">
        <f t="shared" si="245"/>
        <v>70,1</v>
      </c>
      <c r="CC40" s="19" t="str">
        <f t="shared" ref="CC40:CL42" si="246">_xlfn.CONCAT(COLUMN()-$J40,",",ROW()-CC$39)</f>
        <v>71,1</v>
      </c>
      <c r="CD40" s="19" t="str">
        <f t="shared" si="246"/>
        <v>72,1</v>
      </c>
      <c r="CE40" s="19" t="str">
        <f t="shared" si="246"/>
        <v>73,1</v>
      </c>
      <c r="CF40" s="19" t="str">
        <f t="shared" si="246"/>
        <v>74,1</v>
      </c>
      <c r="CG40" s="19" t="str">
        <f t="shared" si="246"/>
        <v>75,1</v>
      </c>
      <c r="CH40" s="19" t="str">
        <f t="shared" si="246"/>
        <v>76,1</v>
      </c>
      <c r="CI40" s="19" t="str">
        <f t="shared" si="246"/>
        <v>77,1</v>
      </c>
      <c r="CJ40" s="19" t="str">
        <f t="shared" si="246"/>
        <v>78,1</v>
      </c>
      <c r="CK40" s="19" t="str">
        <f t="shared" si="246"/>
        <v>79,1</v>
      </c>
      <c r="CL40" s="19" t="str">
        <f t="shared" si="246"/>
        <v>80,1</v>
      </c>
      <c r="CM40" s="19" t="str">
        <f t="shared" ref="CM40:CV42" si="247">_xlfn.CONCAT(COLUMN()-$J40,",",ROW()-CM$39)</f>
        <v>81,1</v>
      </c>
      <c r="CN40" s="19" t="str">
        <f t="shared" si="247"/>
        <v>82,1</v>
      </c>
      <c r="CO40" s="19" t="str">
        <f t="shared" si="247"/>
        <v>83,1</v>
      </c>
      <c r="CP40" s="19" t="str">
        <f t="shared" si="247"/>
        <v>84,1</v>
      </c>
      <c r="CQ40" s="19" t="str">
        <f t="shared" si="247"/>
        <v>85,1</v>
      </c>
      <c r="CR40" s="19" t="str">
        <f t="shared" si="247"/>
        <v>86,1</v>
      </c>
      <c r="CS40" s="19" t="str">
        <f t="shared" si="247"/>
        <v>87,1</v>
      </c>
      <c r="CT40" s="19" t="str">
        <f t="shared" si="247"/>
        <v>88,1</v>
      </c>
      <c r="CU40" s="19" t="str">
        <f t="shared" si="247"/>
        <v>89,1</v>
      </c>
      <c r="CV40" s="19" t="str">
        <f t="shared" si="247"/>
        <v>90,1</v>
      </c>
      <c r="CW40" s="19" t="str">
        <f t="shared" ref="CW40:DF42" si="248">_xlfn.CONCAT(COLUMN()-$J40,",",ROW()-CW$39)</f>
        <v>91,1</v>
      </c>
      <c r="CX40" s="19" t="str">
        <f t="shared" si="248"/>
        <v>92,1</v>
      </c>
      <c r="CY40" s="19" t="str">
        <f t="shared" si="248"/>
        <v>93,1</v>
      </c>
      <c r="CZ40" s="19" t="str">
        <f t="shared" si="248"/>
        <v>94,1</v>
      </c>
      <c r="DA40" s="19" t="str">
        <f t="shared" si="248"/>
        <v>95,1</v>
      </c>
      <c r="DB40" s="19" t="str">
        <f t="shared" si="248"/>
        <v>96,1</v>
      </c>
      <c r="DC40" s="19" t="str">
        <f t="shared" si="248"/>
        <v>97,1</v>
      </c>
      <c r="DD40" s="19" t="str">
        <f t="shared" si="248"/>
        <v>98,1</v>
      </c>
      <c r="DE40" s="19" t="str">
        <f t="shared" si="248"/>
        <v>99,1</v>
      </c>
      <c r="DF40" s="19" t="str">
        <f t="shared" si="248"/>
        <v>100,1</v>
      </c>
      <c r="DG40" s="16">
        <f>DG39+1</f>
        <v>1</v>
      </c>
      <c r="DH40" s="1"/>
      <c r="DI40" s="62">
        <v>1</v>
      </c>
      <c r="DJ40" s="62">
        <v>1</v>
      </c>
      <c r="DK40" s="62">
        <v>1</v>
      </c>
      <c r="DL40" s="62">
        <v>1</v>
      </c>
      <c r="DM40" s="62">
        <v>1</v>
      </c>
      <c r="DN40" s="62">
        <v>1</v>
      </c>
      <c r="DO40" s="62">
        <v>1</v>
      </c>
      <c r="DP40" s="62">
        <v>1</v>
      </c>
      <c r="DQ40" s="62">
        <v>1</v>
      </c>
      <c r="DR40" s="62">
        <v>1</v>
      </c>
      <c r="DS40" s="62">
        <v>1</v>
      </c>
      <c r="DT40" s="62">
        <v>1</v>
      </c>
      <c r="DU40" s="62">
        <v>1</v>
      </c>
      <c r="DV40" s="62">
        <v>1</v>
      </c>
      <c r="DW40" s="62">
        <v>1</v>
      </c>
      <c r="DX40" s="62">
        <v>1</v>
      </c>
      <c r="DY40" s="62">
        <v>1</v>
      </c>
      <c r="DZ40" s="62">
        <v>1</v>
      </c>
      <c r="EA40" s="62">
        <v>1</v>
      </c>
      <c r="EB40" s="62">
        <v>1</v>
      </c>
      <c r="EC40" s="62">
        <v>1</v>
      </c>
      <c r="ED40" s="62">
        <v>1</v>
      </c>
      <c r="EE40" s="62">
        <v>1</v>
      </c>
      <c r="EF40" s="62">
        <v>1</v>
      </c>
      <c r="EG40" s="62">
        <v>1</v>
      </c>
      <c r="EH40" s="62">
        <v>0</v>
      </c>
      <c r="EI40" s="62">
        <v>0</v>
      </c>
      <c r="EJ40" s="62">
        <v>0</v>
      </c>
      <c r="EK40" s="62">
        <v>0</v>
      </c>
      <c r="EL40" s="62">
        <v>0</v>
      </c>
      <c r="EM40" s="62">
        <v>0</v>
      </c>
      <c r="EN40" s="62">
        <v>0</v>
      </c>
      <c r="EO40" s="62">
        <v>0</v>
      </c>
      <c r="EP40" s="62">
        <v>0</v>
      </c>
      <c r="EQ40" s="62">
        <v>0</v>
      </c>
      <c r="ER40" s="62">
        <v>0</v>
      </c>
      <c r="ES40" s="62">
        <v>0</v>
      </c>
      <c r="ET40" s="62">
        <v>0</v>
      </c>
      <c r="EU40" s="62">
        <v>0</v>
      </c>
      <c r="EV40" s="62">
        <v>0</v>
      </c>
      <c r="EW40" s="62">
        <v>0</v>
      </c>
      <c r="EX40" s="62">
        <v>0</v>
      </c>
      <c r="EY40" s="62">
        <v>0</v>
      </c>
      <c r="EZ40" s="62">
        <v>0</v>
      </c>
      <c r="FA40" s="62">
        <v>0</v>
      </c>
      <c r="FB40" s="62">
        <v>0</v>
      </c>
      <c r="FC40" s="62">
        <v>0</v>
      </c>
      <c r="FD40" s="62">
        <v>0</v>
      </c>
      <c r="FE40" s="62">
        <v>0</v>
      </c>
      <c r="FF40" s="62">
        <v>0</v>
      </c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ht="5.45" customHeight="1" x14ac:dyDescent="0.25">
      <c r="A41" s="3">
        <f t="shared" si="163"/>
        <v>10</v>
      </c>
      <c r="B41" s="10">
        <f t="shared" si="167"/>
        <v>23</v>
      </c>
      <c r="C41" s="10">
        <v>0</v>
      </c>
      <c r="D41" s="10">
        <f t="shared" si="174"/>
        <v>99</v>
      </c>
      <c r="E41" s="10">
        <f t="shared" si="175"/>
        <v>300</v>
      </c>
      <c r="F41" s="10">
        <v>0</v>
      </c>
      <c r="G41" s="27" t="s">
        <v>45</v>
      </c>
      <c r="H41" s="15" t="str">
        <f t="shared" si="168"/>
        <v>100,24</v>
      </c>
      <c r="I41" s="1"/>
      <c r="J41" s="16">
        <f>COLUMN()</f>
        <v>10</v>
      </c>
      <c r="K41" s="19" t="str">
        <f t="shared" si="239"/>
        <v>1,2</v>
      </c>
      <c r="L41" s="19" t="str">
        <f t="shared" si="239"/>
        <v>2,2</v>
      </c>
      <c r="M41" s="19" t="str">
        <f t="shared" si="239"/>
        <v>3,2</v>
      </c>
      <c r="N41" s="19" t="str">
        <f t="shared" si="239"/>
        <v>4,2</v>
      </c>
      <c r="O41" s="19" t="str">
        <f t="shared" si="239"/>
        <v>5,2</v>
      </c>
      <c r="P41" s="19" t="str">
        <f t="shared" si="239"/>
        <v>6,2</v>
      </c>
      <c r="Q41" s="19" t="str">
        <f t="shared" si="239"/>
        <v>7,2</v>
      </c>
      <c r="R41" s="19" t="str">
        <f t="shared" si="239"/>
        <v>8,2</v>
      </c>
      <c r="S41" s="19" t="str">
        <f t="shared" si="239"/>
        <v>9,2</v>
      </c>
      <c r="T41" s="19" t="str">
        <f t="shared" si="239"/>
        <v>10,2</v>
      </c>
      <c r="U41" s="19" t="str">
        <f t="shared" si="240"/>
        <v>11,2</v>
      </c>
      <c r="V41" s="19" t="str">
        <f t="shared" si="240"/>
        <v>12,2</v>
      </c>
      <c r="W41" s="19" t="str">
        <f t="shared" si="240"/>
        <v>13,2</v>
      </c>
      <c r="X41" s="19" t="str">
        <f t="shared" si="240"/>
        <v>14,2</v>
      </c>
      <c r="Y41" s="19" t="str">
        <f t="shared" si="240"/>
        <v>15,2</v>
      </c>
      <c r="Z41" s="19" t="str">
        <f t="shared" si="240"/>
        <v>16,2</v>
      </c>
      <c r="AA41" s="19" t="str">
        <f t="shared" si="240"/>
        <v>17,2</v>
      </c>
      <c r="AB41" s="19" t="str">
        <f t="shared" si="240"/>
        <v>18,2</v>
      </c>
      <c r="AC41" s="19" t="str">
        <f t="shared" si="240"/>
        <v>19,2</v>
      </c>
      <c r="AD41" s="19" t="str">
        <f t="shared" si="240"/>
        <v>20,2</v>
      </c>
      <c r="AE41" s="19" t="str">
        <f t="shared" si="241"/>
        <v>21,2</v>
      </c>
      <c r="AF41" s="19" t="str">
        <f t="shared" si="241"/>
        <v>22,2</v>
      </c>
      <c r="AG41" s="19" t="str">
        <f t="shared" si="241"/>
        <v>23,2</v>
      </c>
      <c r="AH41" s="19" t="str">
        <f t="shared" si="241"/>
        <v>24,2</v>
      </c>
      <c r="AI41" s="19" t="str">
        <f t="shared" si="241"/>
        <v>25,2</v>
      </c>
      <c r="AJ41" s="19" t="str">
        <f t="shared" si="241"/>
        <v>26,2</v>
      </c>
      <c r="AK41" s="19" t="str">
        <f t="shared" si="241"/>
        <v>27,2</v>
      </c>
      <c r="AL41" s="19" t="str">
        <f t="shared" si="241"/>
        <v>28,2</v>
      </c>
      <c r="AM41" s="19" t="str">
        <f t="shared" si="241"/>
        <v>29,2</v>
      </c>
      <c r="AN41" s="19" t="str">
        <f t="shared" si="241"/>
        <v>30,2</v>
      </c>
      <c r="AO41" s="19" t="str">
        <f t="shared" si="242"/>
        <v>31,2</v>
      </c>
      <c r="AP41" s="19" t="str">
        <f t="shared" si="242"/>
        <v>32,2</v>
      </c>
      <c r="AQ41" s="19" t="str">
        <f t="shared" si="242"/>
        <v>33,2</v>
      </c>
      <c r="AR41" s="19" t="str">
        <f t="shared" si="242"/>
        <v>34,2</v>
      </c>
      <c r="AS41" s="19" t="str">
        <f t="shared" si="242"/>
        <v>35,2</v>
      </c>
      <c r="AT41" s="19" t="str">
        <f t="shared" si="242"/>
        <v>36,2</v>
      </c>
      <c r="AU41" s="19" t="str">
        <f t="shared" si="242"/>
        <v>37,2</v>
      </c>
      <c r="AV41" s="19" t="str">
        <f t="shared" si="242"/>
        <v>38,2</v>
      </c>
      <c r="AW41" s="19" t="str">
        <f t="shared" si="242"/>
        <v>39,2</v>
      </c>
      <c r="AX41" s="19" t="str">
        <f t="shared" si="242"/>
        <v>40,2</v>
      </c>
      <c r="AY41" s="19" t="str">
        <f t="shared" si="243"/>
        <v>41,2</v>
      </c>
      <c r="AZ41" s="19" t="str">
        <f t="shared" si="243"/>
        <v>42,2</v>
      </c>
      <c r="BA41" s="19" t="str">
        <f t="shared" si="243"/>
        <v>43,2</v>
      </c>
      <c r="BB41" s="19" t="str">
        <f t="shared" si="243"/>
        <v>44,2</v>
      </c>
      <c r="BC41" s="19" t="str">
        <f t="shared" si="243"/>
        <v>45,2</v>
      </c>
      <c r="BD41" s="19" t="str">
        <f t="shared" si="243"/>
        <v>46,2</v>
      </c>
      <c r="BE41" s="19" t="str">
        <f t="shared" si="243"/>
        <v>47,2</v>
      </c>
      <c r="BF41" s="19" t="str">
        <f t="shared" si="243"/>
        <v>48,2</v>
      </c>
      <c r="BG41" s="19" t="str">
        <f t="shared" si="243"/>
        <v>49,2</v>
      </c>
      <c r="BH41" s="19" t="str">
        <f t="shared" si="243"/>
        <v>50,2</v>
      </c>
      <c r="BI41" s="19" t="str">
        <f t="shared" si="244"/>
        <v>51,2</v>
      </c>
      <c r="BJ41" s="19" t="str">
        <f t="shared" si="244"/>
        <v>52,2</v>
      </c>
      <c r="BK41" s="19" t="str">
        <f t="shared" si="244"/>
        <v>53,2</v>
      </c>
      <c r="BL41" s="19" t="str">
        <f t="shared" si="244"/>
        <v>54,2</v>
      </c>
      <c r="BM41" s="19" t="str">
        <f t="shared" si="244"/>
        <v>55,2</v>
      </c>
      <c r="BN41" s="19" t="str">
        <f t="shared" si="244"/>
        <v>56,2</v>
      </c>
      <c r="BO41" s="19" t="str">
        <f t="shared" si="244"/>
        <v>57,2</v>
      </c>
      <c r="BP41" s="19" t="str">
        <f t="shared" si="244"/>
        <v>58,2</v>
      </c>
      <c r="BQ41" s="19" t="str">
        <f t="shared" si="244"/>
        <v>59,2</v>
      </c>
      <c r="BR41" s="19" t="str">
        <f t="shared" si="244"/>
        <v>60,2</v>
      </c>
      <c r="BS41" s="19" t="str">
        <f t="shared" si="245"/>
        <v>61,2</v>
      </c>
      <c r="BT41" s="19" t="str">
        <f t="shared" si="245"/>
        <v>62,2</v>
      </c>
      <c r="BU41" s="19" t="str">
        <f t="shared" si="245"/>
        <v>63,2</v>
      </c>
      <c r="BV41" s="19" t="str">
        <f t="shared" si="245"/>
        <v>64,2</v>
      </c>
      <c r="BW41" s="19" t="str">
        <f t="shared" si="245"/>
        <v>65,2</v>
      </c>
      <c r="BX41" s="19" t="str">
        <f t="shared" si="245"/>
        <v>66,2</v>
      </c>
      <c r="BY41" s="19" t="str">
        <f t="shared" si="245"/>
        <v>67,2</v>
      </c>
      <c r="BZ41" s="19" t="str">
        <f t="shared" si="245"/>
        <v>68,2</v>
      </c>
      <c r="CA41" s="19" t="str">
        <f t="shared" si="245"/>
        <v>69,2</v>
      </c>
      <c r="CB41" s="19" t="str">
        <f t="shared" si="245"/>
        <v>70,2</v>
      </c>
      <c r="CC41" s="19" t="str">
        <f t="shared" si="246"/>
        <v>71,2</v>
      </c>
      <c r="CD41" s="19" t="str">
        <f t="shared" si="246"/>
        <v>72,2</v>
      </c>
      <c r="CE41" s="19" t="str">
        <f t="shared" si="246"/>
        <v>73,2</v>
      </c>
      <c r="CF41" s="19" t="str">
        <f t="shared" si="246"/>
        <v>74,2</v>
      </c>
      <c r="CG41" s="19" t="str">
        <f t="shared" si="246"/>
        <v>75,2</v>
      </c>
      <c r="CH41" s="19" t="str">
        <f t="shared" si="246"/>
        <v>76,2</v>
      </c>
      <c r="CI41" s="19" t="str">
        <f t="shared" si="246"/>
        <v>77,2</v>
      </c>
      <c r="CJ41" s="19" t="str">
        <f t="shared" si="246"/>
        <v>78,2</v>
      </c>
      <c r="CK41" s="19" t="str">
        <f t="shared" si="246"/>
        <v>79,2</v>
      </c>
      <c r="CL41" s="19" t="str">
        <f t="shared" si="246"/>
        <v>80,2</v>
      </c>
      <c r="CM41" s="19" t="str">
        <f t="shared" si="247"/>
        <v>81,2</v>
      </c>
      <c r="CN41" s="19" t="str">
        <f t="shared" si="247"/>
        <v>82,2</v>
      </c>
      <c r="CO41" s="19" t="str">
        <f t="shared" si="247"/>
        <v>83,2</v>
      </c>
      <c r="CP41" s="19" t="str">
        <f t="shared" si="247"/>
        <v>84,2</v>
      </c>
      <c r="CQ41" s="19" t="str">
        <f t="shared" si="247"/>
        <v>85,2</v>
      </c>
      <c r="CR41" s="19" t="str">
        <f t="shared" si="247"/>
        <v>86,2</v>
      </c>
      <c r="CS41" s="19" t="str">
        <f t="shared" si="247"/>
        <v>87,2</v>
      </c>
      <c r="CT41" s="19" t="str">
        <f t="shared" si="247"/>
        <v>88,2</v>
      </c>
      <c r="CU41" s="19" t="str">
        <f t="shared" si="247"/>
        <v>89,2</v>
      </c>
      <c r="CV41" s="19" t="str">
        <f t="shared" si="247"/>
        <v>90,2</v>
      </c>
      <c r="CW41" s="19" t="str">
        <f t="shared" si="248"/>
        <v>91,2</v>
      </c>
      <c r="CX41" s="19" t="str">
        <f t="shared" si="248"/>
        <v>92,2</v>
      </c>
      <c r="CY41" s="19" t="str">
        <f t="shared" si="248"/>
        <v>93,2</v>
      </c>
      <c r="CZ41" s="19" t="str">
        <f t="shared" si="248"/>
        <v>94,2</v>
      </c>
      <c r="DA41" s="19" t="str">
        <f t="shared" si="248"/>
        <v>95,2</v>
      </c>
      <c r="DB41" s="19" t="str">
        <f t="shared" si="248"/>
        <v>96,2</v>
      </c>
      <c r="DC41" s="19" t="str">
        <f t="shared" si="248"/>
        <v>97,2</v>
      </c>
      <c r="DD41" s="19" t="str">
        <f t="shared" si="248"/>
        <v>98,2</v>
      </c>
      <c r="DE41" s="19" t="str">
        <f t="shared" si="248"/>
        <v>99,2</v>
      </c>
      <c r="DF41" s="19" t="str">
        <f t="shared" si="248"/>
        <v>100,2</v>
      </c>
      <c r="DG41" s="16">
        <f>DG40+1</f>
        <v>2</v>
      </c>
      <c r="DH41" s="1"/>
      <c r="DI41" s="62">
        <v>1</v>
      </c>
      <c r="DJ41" s="62">
        <v>1</v>
      </c>
      <c r="DK41" s="62">
        <v>1</v>
      </c>
      <c r="DL41" s="62">
        <v>1</v>
      </c>
      <c r="DM41" s="62">
        <v>1</v>
      </c>
      <c r="DN41" s="62">
        <v>1</v>
      </c>
      <c r="DO41" s="62">
        <v>1</v>
      </c>
      <c r="DP41" s="62">
        <v>1</v>
      </c>
      <c r="DQ41" s="62">
        <v>1</v>
      </c>
      <c r="DR41" s="62">
        <v>1</v>
      </c>
      <c r="DS41" s="62">
        <v>1</v>
      </c>
      <c r="DT41" s="62">
        <v>1</v>
      </c>
      <c r="DU41" s="62">
        <v>1</v>
      </c>
      <c r="DV41" s="62">
        <v>1</v>
      </c>
      <c r="DW41" s="62">
        <v>1</v>
      </c>
      <c r="DX41" s="62">
        <v>1</v>
      </c>
      <c r="DY41" s="62">
        <v>1</v>
      </c>
      <c r="DZ41" s="62">
        <v>1</v>
      </c>
      <c r="EA41" s="62">
        <v>1</v>
      </c>
      <c r="EB41" s="62">
        <v>1</v>
      </c>
      <c r="EC41" s="62">
        <v>1</v>
      </c>
      <c r="ED41" s="62">
        <v>1</v>
      </c>
      <c r="EE41" s="62">
        <v>1</v>
      </c>
      <c r="EF41" s="62">
        <v>1</v>
      </c>
      <c r="EG41" s="62">
        <v>1</v>
      </c>
      <c r="EH41" s="62">
        <v>1</v>
      </c>
      <c r="EI41" s="62">
        <v>1</v>
      </c>
      <c r="EJ41" s="62">
        <v>1</v>
      </c>
      <c r="EK41" s="62">
        <v>1</v>
      </c>
      <c r="EL41" s="62">
        <v>0</v>
      </c>
      <c r="EM41" s="62">
        <v>0</v>
      </c>
      <c r="EN41" s="62">
        <v>0</v>
      </c>
      <c r="EO41" s="62">
        <v>0</v>
      </c>
      <c r="EP41" s="62">
        <v>0</v>
      </c>
      <c r="EQ41" s="62">
        <v>0</v>
      </c>
      <c r="ER41" s="62">
        <v>0</v>
      </c>
      <c r="ES41" s="62">
        <v>0</v>
      </c>
      <c r="ET41" s="62">
        <v>0</v>
      </c>
      <c r="EU41" s="62">
        <v>0</v>
      </c>
      <c r="EV41" s="62">
        <v>0</v>
      </c>
      <c r="EW41" s="62">
        <v>0</v>
      </c>
      <c r="EX41" s="62">
        <v>0</v>
      </c>
      <c r="EY41" s="62">
        <v>0</v>
      </c>
      <c r="EZ41" s="62">
        <v>0</v>
      </c>
      <c r="FA41" s="62">
        <v>0</v>
      </c>
      <c r="FB41" s="62">
        <v>0</v>
      </c>
      <c r="FC41" s="62">
        <v>0</v>
      </c>
      <c r="FD41" s="62">
        <v>0</v>
      </c>
      <c r="FE41" s="62">
        <v>0</v>
      </c>
      <c r="FF41" s="62">
        <v>0</v>
      </c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ht="5.45" customHeight="1" x14ac:dyDescent="0.25">
      <c r="A42" s="3">
        <f t="shared" si="163"/>
        <v>11</v>
      </c>
      <c r="B42" s="10">
        <f t="shared" si="167"/>
        <v>24</v>
      </c>
      <c r="C42" s="10">
        <v>0</v>
      </c>
      <c r="D42" s="10">
        <f t="shared" si="174"/>
        <v>99</v>
      </c>
      <c r="E42" s="10">
        <f t="shared" si="175"/>
        <v>300</v>
      </c>
      <c r="F42" s="10">
        <v>0</v>
      </c>
      <c r="G42" s="27" t="s">
        <v>45</v>
      </c>
      <c r="H42" s="15" t="str">
        <f t="shared" si="168"/>
        <v>100,25</v>
      </c>
      <c r="I42" s="1"/>
      <c r="J42" s="16">
        <f>COLUMN()</f>
        <v>10</v>
      </c>
      <c r="K42" s="19" t="str">
        <f t="shared" si="239"/>
        <v>1,3</v>
      </c>
      <c r="L42" s="19" t="str">
        <f t="shared" si="239"/>
        <v>2,3</v>
      </c>
      <c r="M42" s="19" t="str">
        <f t="shared" si="239"/>
        <v>3,3</v>
      </c>
      <c r="N42" s="19" t="str">
        <f t="shared" si="239"/>
        <v>4,3</v>
      </c>
      <c r="O42" s="19" t="str">
        <f t="shared" si="239"/>
        <v>5,3</v>
      </c>
      <c r="P42" s="19" t="str">
        <f t="shared" si="239"/>
        <v>6,3</v>
      </c>
      <c r="Q42" s="19" t="str">
        <f t="shared" si="239"/>
        <v>7,3</v>
      </c>
      <c r="R42" s="19" t="str">
        <f t="shared" si="239"/>
        <v>8,3</v>
      </c>
      <c r="S42" s="19" t="str">
        <f t="shared" si="239"/>
        <v>9,3</v>
      </c>
      <c r="T42" s="19" t="str">
        <f t="shared" si="239"/>
        <v>10,3</v>
      </c>
      <c r="U42" s="19" t="str">
        <f t="shared" si="240"/>
        <v>11,3</v>
      </c>
      <c r="V42" s="19" t="str">
        <f t="shared" si="240"/>
        <v>12,3</v>
      </c>
      <c r="W42" s="19" t="str">
        <f t="shared" si="240"/>
        <v>13,3</v>
      </c>
      <c r="X42" s="19" t="str">
        <f t="shared" si="240"/>
        <v>14,3</v>
      </c>
      <c r="Y42" s="19" t="str">
        <f t="shared" si="240"/>
        <v>15,3</v>
      </c>
      <c r="Z42" s="19" t="str">
        <f t="shared" si="240"/>
        <v>16,3</v>
      </c>
      <c r="AA42" s="19" t="str">
        <f t="shared" si="240"/>
        <v>17,3</v>
      </c>
      <c r="AB42" s="19" t="str">
        <f t="shared" si="240"/>
        <v>18,3</v>
      </c>
      <c r="AC42" s="19" t="str">
        <f t="shared" si="240"/>
        <v>19,3</v>
      </c>
      <c r="AD42" s="19" t="str">
        <f t="shared" si="240"/>
        <v>20,3</v>
      </c>
      <c r="AE42" s="19" t="str">
        <f t="shared" si="241"/>
        <v>21,3</v>
      </c>
      <c r="AF42" s="19" t="str">
        <f t="shared" si="241"/>
        <v>22,3</v>
      </c>
      <c r="AG42" s="19" t="str">
        <f t="shared" si="241"/>
        <v>23,3</v>
      </c>
      <c r="AH42" s="19" t="str">
        <f t="shared" si="241"/>
        <v>24,3</v>
      </c>
      <c r="AI42" s="19" t="str">
        <f t="shared" si="241"/>
        <v>25,3</v>
      </c>
      <c r="AJ42" s="19" t="str">
        <f t="shared" si="241"/>
        <v>26,3</v>
      </c>
      <c r="AK42" s="19" t="str">
        <f t="shared" si="241"/>
        <v>27,3</v>
      </c>
      <c r="AL42" s="19" t="str">
        <f t="shared" si="241"/>
        <v>28,3</v>
      </c>
      <c r="AM42" s="19" t="str">
        <f t="shared" si="241"/>
        <v>29,3</v>
      </c>
      <c r="AN42" s="19" t="str">
        <f t="shared" si="241"/>
        <v>30,3</v>
      </c>
      <c r="AO42" s="19" t="str">
        <f t="shared" si="242"/>
        <v>31,3</v>
      </c>
      <c r="AP42" s="19" t="str">
        <f t="shared" si="242"/>
        <v>32,3</v>
      </c>
      <c r="AQ42" s="19" t="str">
        <f t="shared" si="242"/>
        <v>33,3</v>
      </c>
      <c r="AR42" s="19" t="str">
        <f t="shared" si="242"/>
        <v>34,3</v>
      </c>
      <c r="AS42" s="19" t="str">
        <f t="shared" si="242"/>
        <v>35,3</v>
      </c>
      <c r="AT42" s="19" t="str">
        <f t="shared" si="242"/>
        <v>36,3</v>
      </c>
      <c r="AU42" s="19" t="str">
        <f t="shared" si="242"/>
        <v>37,3</v>
      </c>
      <c r="AV42" s="19" t="str">
        <f t="shared" si="242"/>
        <v>38,3</v>
      </c>
      <c r="AW42" s="19" t="str">
        <f t="shared" si="242"/>
        <v>39,3</v>
      </c>
      <c r="AX42" s="19" t="str">
        <f t="shared" si="242"/>
        <v>40,3</v>
      </c>
      <c r="AY42" s="19" t="str">
        <f t="shared" si="243"/>
        <v>41,3</v>
      </c>
      <c r="AZ42" s="19" t="str">
        <f t="shared" si="243"/>
        <v>42,3</v>
      </c>
      <c r="BA42" s="19" t="str">
        <f t="shared" si="243"/>
        <v>43,3</v>
      </c>
      <c r="BB42" s="19" t="str">
        <f t="shared" si="243"/>
        <v>44,3</v>
      </c>
      <c r="BC42" s="19" t="str">
        <f t="shared" si="243"/>
        <v>45,3</v>
      </c>
      <c r="BD42" s="19" t="str">
        <f t="shared" si="243"/>
        <v>46,3</v>
      </c>
      <c r="BE42" s="19" t="str">
        <f t="shared" si="243"/>
        <v>47,3</v>
      </c>
      <c r="BF42" s="19" t="str">
        <f t="shared" si="243"/>
        <v>48,3</v>
      </c>
      <c r="BG42" s="19" t="str">
        <f t="shared" si="243"/>
        <v>49,3</v>
      </c>
      <c r="BH42" s="19" t="str">
        <f t="shared" si="243"/>
        <v>50,3</v>
      </c>
      <c r="BI42" s="19" t="str">
        <f t="shared" si="244"/>
        <v>51,3</v>
      </c>
      <c r="BJ42" s="19" t="str">
        <f t="shared" si="244"/>
        <v>52,3</v>
      </c>
      <c r="BK42" s="19" t="str">
        <f t="shared" si="244"/>
        <v>53,3</v>
      </c>
      <c r="BL42" s="19" t="str">
        <f t="shared" si="244"/>
        <v>54,3</v>
      </c>
      <c r="BM42" s="19" t="str">
        <f t="shared" si="244"/>
        <v>55,3</v>
      </c>
      <c r="BN42" s="19" t="str">
        <f t="shared" si="244"/>
        <v>56,3</v>
      </c>
      <c r="BO42" s="19" t="str">
        <f t="shared" si="244"/>
        <v>57,3</v>
      </c>
      <c r="BP42" s="19" t="str">
        <f t="shared" si="244"/>
        <v>58,3</v>
      </c>
      <c r="BQ42" s="19" t="str">
        <f t="shared" si="244"/>
        <v>59,3</v>
      </c>
      <c r="BR42" s="19" t="str">
        <f t="shared" si="244"/>
        <v>60,3</v>
      </c>
      <c r="BS42" s="19" t="str">
        <f t="shared" si="245"/>
        <v>61,3</v>
      </c>
      <c r="BT42" s="19" t="str">
        <f t="shared" si="245"/>
        <v>62,3</v>
      </c>
      <c r="BU42" s="19" t="str">
        <f t="shared" si="245"/>
        <v>63,3</v>
      </c>
      <c r="BV42" s="19" t="str">
        <f t="shared" si="245"/>
        <v>64,3</v>
      </c>
      <c r="BW42" s="19" t="str">
        <f t="shared" si="245"/>
        <v>65,3</v>
      </c>
      <c r="BX42" s="19" t="str">
        <f t="shared" si="245"/>
        <v>66,3</v>
      </c>
      <c r="BY42" s="19" t="str">
        <f t="shared" si="245"/>
        <v>67,3</v>
      </c>
      <c r="BZ42" s="19" t="str">
        <f t="shared" si="245"/>
        <v>68,3</v>
      </c>
      <c r="CA42" s="19" t="str">
        <f t="shared" si="245"/>
        <v>69,3</v>
      </c>
      <c r="CB42" s="19" t="str">
        <f t="shared" si="245"/>
        <v>70,3</v>
      </c>
      <c r="CC42" s="19" t="str">
        <f t="shared" si="246"/>
        <v>71,3</v>
      </c>
      <c r="CD42" s="19" t="str">
        <f t="shared" si="246"/>
        <v>72,3</v>
      </c>
      <c r="CE42" s="19" t="str">
        <f t="shared" si="246"/>
        <v>73,3</v>
      </c>
      <c r="CF42" s="19" t="str">
        <f t="shared" si="246"/>
        <v>74,3</v>
      </c>
      <c r="CG42" s="19" t="str">
        <f t="shared" si="246"/>
        <v>75,3</v>
      </c>
      <c r="CH42" s="19" t="str">
        <f t="shared" si="246"/>
        <v>76,3</v>
      </c>
      <c r="CI42" s="19" t="str">
        <f t="shared" si="246"/>
        <v>77,3</v>
      </c>
      <c r="CJ42" s="19" t="str">
        <f t="shared" si="246"/>
        <v>78,3</v>
      </c>
      <c r="CK42" s="19" t="str">
        <f t="shared" si="246"/>
        <v>79,3</v>
      </c>
      <c r="CL42" s="19" t="str">
        <f t="shared" si="246"/>
        <v>80,3</v>
      </c>
      <c r="CM42" s="19" t="str">
        <f t="shared" si="247"/>
        <v>81,3</v>
      </c>
      <c r="CN42" s="19" t="str">
        <f t="shared" si="247"/>
        <v>82,3</v>
      </c>
      <c r="CO42" s="19" t="str">
        <f t="shared" si="247"/>
        <v>83,3</v>
      </c>
      <c r="CP42" s="19" t="str">
        <f t="shared" si="247"/>
        <v>84,3</v>
      </c>
      <c r="CQ42" s="19" t="str">
        <f t="shared" si="247"/>
        <v>85,3</v>
      </c>
      <c r="CR42" s="19" t="str">
        <f t="shared" si="247"/>
        <v>86,3</v>
      </c>
      <c r="CS42" s="19" t="str">
        <f t="shared" si="247"/>
        <v>87,3</v>
      </c>
      <c r="CT42" s="19" t="str">
        <f t="shared" si="247"/>
        <v>88,3</v>
      </c>
      <c r="CU42" s="19" t="str">
        <f t="shared" si="247"/>
        <v>89,3</v>
      </c>
      <c r="CV42" s="19" t="str">
        <f t="shared" si="247"/>
        <v>90,3</v>
      </c>
      <c r="CW42" s="19" t="str">
        <f t="shared" si="248"/>
        <v>91,3</v>
      </c>
      <c r="CX42" s="19" t="str">
        <f t="shared" si="248"/>
        <v>92,3</v>
      </c>
      <c r="CY42" s="19" t="str">
        <f t="shared" si="248"/>
        <v>93,3</v>
      </c>
      <c r="CZ42" s="19" t="str">
        <f t="shared" si="248"/>
        <v>94,3</v>
      </c>
      <c r="DA42" s="19" t="str">
        <f t="shared" si="248"/>
        <v>95,3</v>
      </c>
      <c r="DB42" s="19" t="str">
        <f t="shared" si="248"/>
        <v>96,3</v>
      </c>
      <c r="DC42" s="19" t="str">
        <f t="shared" si="248"/>
        <v>97,3</v>
      </c>
      <c r="DD42" s="19" t="str">
        <f t="shared" si="248"/>
        <v>98,3</v>
      </c>
      <c r="DE42" s="19" t="str">
        <f t="shared" si="248"/>
        <v>99,3</v>
      </c>
      <c r="DF42" s="19" t="str">
        <f t="shared" si="248"/>
        <v>100,3</v>
      </c>
      <c r="DG42" s="16">
        <f t="shared" ref="DG42:DG69" si="249">DG41+1</f>
        <v>3</v>
      </c>
      <c r="DH42" s="1"/>
      <c r="DI42" s="62">
        <v>1</v>
      </c>
      <c r="DJ42" s="62">
        <v>1</v>
      </c>
      <c r="DK42" s="62">
        <v>1</v>
      </c>
      <c r="DL42" s="62">
        <v>1</v>
      </c>
      <c r="DM42" s="62">
        <v>1</v>
      </c>
      <c r="DN42" s="62">
        <v>1</v>
      </c>
      <c r="DO42" s="62">
        <v>1</v>
      </c>
      <c r="DP42" s="62">
        <v>1</v>
      </c>
      <c r="DQ42" s="62">
        <v>1</v>
      </c>
      <c r="DR42" s="62">
        <v>1</v>
      </c>
      <c r="DS42" s="62">
        <v>1</v>
      </c>
      <c r="DT42" s="62">
        <v>1</v>
      </c>
      <c r="DU42" s="62">
        <v>1</v>
      </c>
      <c r="DV42" s="62">
        <v>1</v>
      </c>
      <c r="DW42" s="62">
        <v>1</v>
      </c>
      <c r="DX42" s="62">
        <v>1</v>
      </c>
      <c r="DY42" s="62">
        <v>1</v>
      </c>
      <c r="DZ42" s="62">
        <v>1</v>
      </c>
      <c r="EA42" s="62">
        <v>1</v>
      </c>
      <c r="EB42" s="62">
        <v>1</v>
      </c>
      <c r="EC42" s="62">
        <v>1</v>
      </c>
      <c r="ED42" s="62">
        <v>1</v>
      </c>
      <c r="EE42" s="62">
        <v>1</v>
      </c>
      <c r="EF42" s="62">
        <v>1</v>
      </c>
      <c r="EG42" s="62">
        <v>1</v>
      </c>
      <c r="EH42" s="62">
        <v>1</v>
      </c>
      <c r="EI42" s="62">
        <v>1</v>
      </c>
      <c r="EJ42" s="62">
        <v>1</v>
      </c>
      <c r="EK42" s="62">
        <v>1</v>
      </c>
      <c r="EL42" s="62">
        <v>1</v>
      </c>
      <c r="EM42" s="62">
        <v>1</v>
      </c>
      <c r="EN42" s="62">
        <v>1</v>
      </c>
      <c r="EO42" s="62">
        <v>0</v>
      </c>
      <c r="EP42" s="62">
        <v>0</v>
      </c>
      <c r="EQ42" s="62">
        <v>0</v>
      </c>
      <c r="ER42" s="62">
        <v>0</v>
      </c>
      <c r="ES42" s="62">
        <v>0</v>
      </c>
      <c r="ET42" s="62">
        <v>0</v>
      </c>
      <c r="EU42" s="62">
        <v>0</v>
      </c>
      <c r="EV42" s="62">
        <v>0</v>
      </c>
      <c r="EW42" s="62">
        <v>0</v>
      </c>
      <c r="EX42" s="62">
        <v>0</v>
      </c>
      <c r="EY42" s="62">
        <v>0</v>
      </c>
      <c r="EZ42" s="62">
        <v>0</v>
      </c>
      <c r="FA42" s="62">
        <v>0</v>
      </c>
      <c r="FB42" s="62">
        <v>0</v>
      </c>
      <c r="FC42" s="62">
        <v>0</v>
      </c>
      <c r="FD42" s="62">
        <v>0</v>
      </c>
      <c r="FE42" s="62">
        <v>0</v>
      </c>
      <c r="FF42" s="62">
        <v>0</v>
      </c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2"/>
      <c r="FR42" s="2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ht="5.45" customHeight="1" x14ac:dyDescent="0.25">
      <c r="A43" s="3">
        <f t="shared" si="163"/>
        <v>12</v>
      </c>
      <c r="B43" s="10">
        <f t="shared" si="167"/>
        <v>25</v>
      </c>
      <c r="C43" s="10">
        <v>0</v>
      </c>
      <c r="D43" s="10">
        <f t="shared" si="174"/>
        <v>99</v>
      </c>
      <c r="E43" s="10">
        <f t="shared" si="175"/>
        <v>300</v>
      </c>
      <c r="F43" s="10">
        <v>0</v>
      </c>
      <c r="G43" s="27" t="s">
        <v>45</v>
      </c>
      <c r="H43" s="15" t="str">
        <f t="shared" si="168"/>
        <v>100,26</v>
      </c>
      <c r="I43" s="1"/>
      <c r="J43" s="16">
        <f>COLUMN()</f>
        <v>10</v>
      </c>
      <c r="K43" s="19" t="str">
        <f t="shared" ref="K43:T52" si="250">_xlfn.CONCAT(COLUMN()-$J43,",",ROW()-K$39)</f>
        <v>1,4</v>
      </c>
      <c r="L43" s="19" t="str">
        <f t="shared" si="250"/>
        <v>2,4</v>
      </c>
      <c r="M43" s="19" t="str">
        <f t="shared" si="250"/>
        <v>3,4</v>
      </c>
      <c r="N43" s="19" t="str">
        <f t="shared" si="250"/>
        <v>4,4</v>
      </c>
      <c r="O43" s="19" t="str">
        <f t="shared" si="250"/>
        <v>5,4</v>
      </c>
      <c r="P43" s="19" t="str">
        <f t="shared" si="250"/>
        <v>6,4</v>
      </c>
      <c r="Q43" s="19" t="str">
        <f t="shared" si="250"/>
        <v>7,4</v>
      </c>
      <c r="R43" s="19" t="str">
        <f t="shared" si="250"/>
        <v>8,4</v>
      </c>
      <c r="S43" s="19" t="str">
        <f t="shared" si="250"/>
        <v>9,4</v>
      </c>
      <c r="T43" s="19" t="str">
        <f t="shared" si="250"/>
        <v>10,4</v>
      </c>
      <c r="U43" s="19" t="str">
        <f t="shared" ref="U43:AD52" si="251">_xlfn.CONCAT(COLUMN()-$J43,",",ROW()-U$39)</f>
        <v>11,4</v>
      </c>
      <c r="V43" s="19" t="str">
        <f t="shared" si="251"/>
        <v>12,4</v>
      </c>
      <c r="W43" s="19" t="str">
        <f t="shared" si="251"/>
        <v>13,4</v>
      </c>
      <c r="X43" s="19" t="str">
        <f t="shared" si="251"/>
        <v>14,4</v>
      </c>
      <c r="Y43" s="19" t="str">
        <f t="shared" si="251"/>
        <v>15,4</v>
      </c>
      <c r="Z43" s="19" t="str">
        <f t="shared" si="251"/>
        <v>16,4</v>
      </c>
      <c r="AA43" s="19" t="str">
        <f t="shared" si="251"/>
        <v>17,4</v>
      </c>
      <c r="AB43" s="19" t="str">
        <f t="shared" si="251"/>
        <v>18,4</v>
      </c>
      <c r="AC43" s="19" t="str">
        <f t="shared" si="251"/>
        <v>19,4</v>
      </c>
      <c r="AD43" s="19" t="str">
        <f t="shared" si="251"/>
        <v>20,4</v>
      </c>
      <c r="AE43" s="19" t="str">
        <f t="shared" ref="AE43:AS52" si="252">_xlfn.CONCAT(COLUMN()-$J43,",",ROW()-AE$39)</f>
        <v>21,4</v>
      </c>
      <c r="AF43" s="19" t="str">
        <f t="shared" si="252"/>
        <v>22,4</v>
      </c>
      <c r="AG43" s="19" t="str">
        <f t="shared" si="252"/>
        <v>23,4</v>
      </c>
      <c r="AH43" s="19" t="str">
        <f t="shared" si="252"/>
        <v>24,4</v>
      </c>
      <c r="AI43" s="19" t="str">
        <f t="shared" si="252"/>
        <v>25,4</v>
      </c>
      <c r="AJ43" s="19" t="str">
        <f t="shared" si="252"/>
        <v>26,4</v>
      </c>
      <c r="AK43" s="19" t="str">
        <f t="shared" si="252"/>
        <v>27,4</v>
      </c>
      <c r="AL43" s="19" t="str">
        <f t="shared" si="252"/>
        <v>28,4</v>
      </c>
      <c r="AM43" s="19" t="str">
        <f t="shared" si="252"/>
        <v>29,4</v>
      </c>
      <c r="AN43" s="19" t="str">
        <f t="shared" si="252"/>
        <v>30,4</v>
      </c>
      <c r="AO43" s="19" t="str">
        <f t="shared" si="252"/>
        <v>31,4</v>
      </c>
      <c r="AP43" s="19" t="str">
        <f t="shared" si="252"/>
        <v>32,4</v>
      </c>
      <c r="AQ43" s="19" t="str">
        <f t="shared" si="252"/>
        <v>33,4</v>
      </c>
      <c r="AR43" s="19" t="str">
        <f t="shared" si="252"/>
        <v>34,4</v>
      </c>
      <c r="AS43" s="19" t="str">
        <f t="shared" si="252"/>
        <v>35,4</v>
      </c>
      <c r="AT43" s="19"/>
      <c r="AU43" s="19" t="str">
        <f t="shared" ref="AU43:BD52" si="253">_xlfn.CONCAT(COLUMN()-$J43,",",ROW()-AU$39)</f>
        <v>37,4</v>
      </c>
      <c r="AV43" s="19" t="str">
        <f t="shared" si="253"/>
        <v>38,4</v>
      </c>
      <c r="AW43" s="19" t="str">
        <f t="shared" si="253"/>
        <v>39,4</v>
      </c>
      <c r="AX43" s="19" t="str">
        <f t="shared" si="253"/>
        <v>40,4</v>
      </c>
      <c r="AY43" s="19" t="str">
        <f t="shared" si="253"/>
        <v>41,4</v>
      </c>
      <c r="AZ43" s="19" t="str">
        <f t="shared" si="253"/>
        <v>42,4</v>
      </c>
      <c r="BA43" s="19" t="str">
        <f t="shared" si="253"/>
        <v>43,4</v>
      </c>
      <c r="BB43" s="19" t="str">
        <f t="shared" si="253"/>
        <v>44,4</v>
      </c>
      <c r="BC43" s="19" t="str">
        <f t="shared" si="253"/>
        <v>45,4</v>
      </c>
      <c r="BD43" s="19" t="str">
        <f t="shared" si="253"/>
        <v>46,4</v>
      </c>
      <c r="BE43" s="19" t="str">
        <f t="shared" ref="BE43:BN52" si="254">_xlfn.CONCAT(COLUMN()-$J43,",",ROW()-BE$39)</f>
        <v>47,4</v>
      </c>
      <c r="BF43" s="19" t="str">
        <f t="shared" si="254"/>
        <v>48,4</v>
      </c>
      <c r="BG43" s="19" t="str">
        <f t="shared" si="254"/>
        <v>49,4</v>
      </c>
      <c r="BH43" s="19" t="str">
        <f t="shared" si="254"/>
        <v>50,4</v>
      </c>
      <c r="BI43" s="19" t="str">
        <f t="shared" si="254"/>
        <v>51,4</v>
      </c>
      <c r="BJ43" s="19" t="str">
        <f t="shared" si="254"/>
        <v>52,4</v>
      </c>
      <c r="BK43" s="19" t="str">
        <f t="shared" si="254"/>
        <v>53,4</v>
      </c>
      <c r="BL43" s="19" t="str">
        <f t="shared" si="254"/>
        <v>54,4</v>
      </c>
      <c r="BM43" s="19" t="str">
        <f t="shared" si="254"/>
        <v>55,4</v>
      </c>
      <c r="BN43" s="19" t="str">
        <f t="shared" si="254"/>
        <v>56,4</v>
      </c>
      <c r="BO43" s="19" t="str">
        <f t="shared" ref="BO43:BX52" si="255">_xlfn.CONCAT(COLUMN()-$J43,",",ROW()-BO$39)</f>
        <v>57,4</v>
      </c>
      <c r="BP43" s="19" t="str">
        <f t="shared" si="255"/>
        <v>58,4</v>
      </c>
      <c r="BQ43" s="19" t="str">
        <f t="shared" si="255"/>
        <v>59,4</v>
      </c>
      <c r="BR43" s="19" t="str">
        <f t="shared" si="255"/>
        <v>60,4</v>
      </c>
      <c r="BS43" s="19" t="str">
        <f t="shared" si="255"/>
        <v>61,4</v>
      </c>
      <c r="BT43" s="19" t="str">
        <f t="shared" si="255"/>
        <v>62,4</v>
      </c>
      <c r="BU43" s="19" t="str">
        <f t="shared" si="255"/>
        <v>63,4</v>
      </c>
      <c r="BV43" s="19" t="str">
        <f t="shared" si="255"/>
        <v>64,4</v>
      </c>
      <c r="BW43" s="19" t="str">
        <f t="shared" si="255"/>
        <v>65,4</v>
      </c>
      <c r="BX43" s="19" t="str">
        <f t="shared" si="255"/>
        <v>66,4</v>
      </c>
      <c r="BY43" s="19" t="str">
        <f t="shared" ref="BY43:CH52" si="256">_xlfn.CONCAT(COLUMN()-$J43,",",ROW()-BY$39)</f>
        <v>67,4</v>
      </c>
      <c r="BZ43" s="19" t="str">
        <f t="shared" si="256"/>
        <v>68,4</v>
      </c>
      <c r="CA43" s="19" t="str">
        <f t="shared" si="256"/>
        <v>69,4</v>
      </c>
      <c r="CB43" s="19" t="str">
        <f t="shared" si="256"/>
        <v>70,4</v>
      </c>
      <c r="CC43" s="19" t="str">
        <f t="shared" si="256"/>
        <v>71,4</v>
      </c>
      <c r="CD43" s="19" t="str">
        <f t="shared" si="256"/>
        <v>72,4</v>
      </c>
      <c r="CE43" s="19" t="str">
        <f t="shared" si="256"/>
        <v>73,4</v>
      </c>
      <c r="CF43" s="19" t="str">
        <f t="shared" si="256"/>
        <v>74,4</v>
      </c>
      <c r="CG43" s="19" t="str">
        <f t="shared" si="256"/>
        <v>75,4</v>
      </c>
      <c r="CH43" s="19" t="str">
        <f t="shared" si="256"/>
        <v>76,4</v>
      </c>
      <c r="CI43" s="19" t="str">
        <f t="shared" ref="CI43:CR52" si="257">_xlfn.CONCAT(COLUMN()-$J43,",",ROW()-CI$39)</f>
        <v>77,4</v>
      </c>
      <c r="CJ43" s="19" t="str">
        <f t="shared" si="257"/>
        <v>78,4</v>
      </c>
      <c r="CK43" s="19" t="str">
        <f t="shared" si="257"/>
        <v>79,4</v>
      </c>
      <c r="CL43" s="19" t="str">
        <f t="shared" si="257"/>
        <v>80,4</v>
      </c>
      <c r="CM43" s="19" t="str">
        <f t="shared" si="257"/>
        <v>81,4</v>
      </c>
      <c r="CN43" s="19" t="str">
        <f t="shared" si="257"/>
        <v>82,4</v>
      </c>
      <c r="CO43" s="19" t="str">
        <f t="shared" si="257"/>
        <v>83,4</v>
      </c>
      <c r="CP43" s="19" t="str">
        <f t="shared" si="257"/>
        <v>84,4</v>
      </c>
      <c r="CQ43" s="19" t="str">
        <f t="shared" si="257"/>
        <v>85,4</v>
      </c>
      <c r="CR43" s="19" t="str">
        <f t="shared" si="257"/>
        <v>86,4</v>
      </c>
      <c r="CS43" s="19" t="str">
        <f t="shared" ref="CS43:DF52" si="258">_xlfn.CONCAT(COLUMN()-$J43,",",ROW()-CS$39)</f>
        <v>87,4</v>
      </c>
      <c r="CT43" s="19" t="str">
        <f t="shared" si="258"/>
        <v>88,4</v>
      </c>
      <c r="CU43" s="19" t="str">
        <f t="shared" si="258"/>
        <v>89,4</v>
      </c>
      <c r="CV43" s="19" t="str">
        <f t="shared" si="258"/>
        <v>90,4</v>
      </c>
      <c r="CW43" s="19" t="str">
        <f t="shared" si="258"/>
        <v>91,4</v>
      </c>
      <c r="CX43" s="19" t="str">
        <f t="shared" si="258"/>
        <v>92,4</v>
      </c>
      <c r="CY43" s="19" t="str">
        <f t="shared" si="258"/>
        <v>93,4</v>
      </c>
      <c r="CZ43" s="19" t="str">
        <f t="shared" si="258"/>
        <v>94,4</v>
      </c>
      <c r="DA43" s="19" t="str">
        <f t="shared" si="258"/>
        <v>95,4</v>
      </c>
      <c r="DB43" s="19" t="str">
        <f t="shared" si="258"/>
        <v>96,4</v>
      </c>
      <c r="DC43" s="19" t="str">
        <f t="shared" si="258"/>
        <v>97,4</v>
      </c>
      <c r="DD43" s="19" t="str">
        <f t="shared" si="258"/>
        <v>98,4</v>
      </c>
      <c r="DE43" s="19" t="str">
        <f t="shared" si="258"/>
        <v>99,4</v>
      </c>
      <c r="DF43" s="19" t="str">
        <f t="shared" si="258"/>
        <v>100,4</v>
      </c>
      <c r="DG43" s="16">
        <f t="shared" si="249"/>
        <v>4</v>
      </c>
      <c r="DH43" s="1"/>
      <c r="DI43" s="62">
        <v>1</v>
      </c>
      <c r="DJ43" s="62">
        <v>1</v>
      </c>
      <c r="DK43" s="62">
        <v>1</v>
      </c>
      <c r="DL43" s="62">
        <v>1</v>
      </c>
      <c r="DM43" s="62">
        <v>1</v>
      </c>
      <c r="DN43" s="62">
        <v>1</v>
      </c>
      <c r="DO43" s="62">
        <v>1</v>
      </c>
      <c r="DP43" s="62">
        <v>1</v>
      </c>
      <c r="DQ43" s="62">
        <v>1</v>
      </c>
      <c r="DR43" s="62">
        <v>1</v>
      </c>
      <c r="DS43" s="62">
        <v>1</v>
      </c>
      <c r="DT43" s="62">
        <v>1</v>
      </c>
      <c r="DU43" s="62">
        <v>1</v>
      </c>
      <c r="DV43" s="62">
        <v>1</v>
      </c>
      <c r="DW43" s="62">
        <v>1</v>
      </c>
      <c r="DX43" s="62">
        <v>1</v>
      </c>
      <c r="DY43" s="62">
        <v>1</v>
      </c>
      <c r="DZ43" s="62">
        <v>1</v>
      </c>
      <c r="EA43" s="62">
        <v>1</v>
      </c>
      <c r="EB43" s="62">
        <v>1</v>
      </c>
      <c r="EC43" s="62">
        <v>1</v>
      </c>
      <c r="ED43" s="62">
        <v>1</v>
      </c>
      <c r="EE43" s="62">
        <v>1</v>
      </c>
      <c r="EF43" s="62">
        <v>1</v>
      </c>
      <c r="EG43" s="62">
        <v>1</v>
      </c>
      <c r="EH43" s="62">
        <v>1</v>
      </c>
      <c r="EI43" s="62">
        <v>1</v>
      </c>
      <c r="EJ43" s="62">
        <v>1</v>
      </c>
      <c r="EK43" s="62">
        <v>1</v>
      </c>
      <c r="EL43" s="62">
        <v>1</v>
      </c>
      <c r="EM43" s="62">
        <v>1</v>
      </c>
      <c r="EN43" s="62">
        <v>1</v>
      </c>
      <c r="EO43" s="62">
        <v>1</v>
      </c>
      <c r="EP43" s="62">
        <v>1</v>
      </c>
      <c r="EQ43" s="62">
        <v>1</v>
      </c>
      <c r="ER43" s="62">
        <v>0</v>
      </c>
      <c r="ES43" s="62">
        <v>0</v>
      </c>
      <c r="ET43" s="62">
        <v>0</v>
      </c>
      <c r="EU43" s="62">
        <v>0</v>
      </c>
      <c r="EV43" s="62">
        <v>0</v>
      </c>
      <c r="EW43" s="62">
        <v>0</v>
      </c>
      <c r="EX43" s="62">
        <v>0</v>
      </c>
      <c r="EY43" s="62">
        <v>0</v>
      </c>
      <c r="EZ43" s="62">
        <v>0</v>
      </c>
      <c r="FA43" s="62">
        <v>0</v>
      </c>
      <c r="FB43" s="62">
        <v>0</v>
      </c>
      <c r="FC43" s="62">
        <v>0</v>
      </c>
      <c r="FD43" s="62">
        <v>0</v>
      </c>
      <c r="FE43" s="62">
        <v>0</v>
      </c>
      <c r="FF43" s="62">
        <v>0</v>
      </c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2"/>
      <c r="FR43" s="2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ht="5.45" customHeight="1" x14ac:dyDescent="0.25">
      <c r="A44" s="3">
        <f t="shared" si="163"/>
        <v>13</v>
      </c>
      <c r="B44" s="10">
        <f t="shared" si="167"/>
        <v>26</v>
      </c>
      <c r="C44" s="10">
        <v>0</v>
      </c>
      <c r="D44" s="10">
        <f t="shared" si="174"/>
        <v>99</v>
      </c>
      <c r="E44" s="10">
        <f t="shared" si="175"/>
        <v>300</v>
      </c>
      <c r="F44" s="10">
        <v>0</v>
      </c>
      <c r="G44" s="27" t="s">
        <v>45</v>
      </c>
      <c r="H44" s="15" t="str">
        <f t="shared" si="168"/>
        <v>100,27</v>
      </c>
      <c r="I44" s="1"/>
      <c r="J44" s="16">
        <f>COLUMN()</f>
        <v>10</v>
      </c>
      <c r="K44" s="19" t="str">
        <f t="shared" si="250"/>
        <v>1,5</v>
      </c>
      <c r="L44" s="19" t="str">
        <f t="shared" si="250"/>
        <v>2,5</v>
      </c>
      <c r="M44" s="19" t="str">
        <f t="shared" si="250"/>
        <v>3,5</v>
      </c>
      <c r="N44" s="19" t="str">
        <f t="shared" si="250"/>
        <v>4,5</v>
      </c>
      <c r="O44" s="19" t="str">
        <f t="shared" si="250"/>
        <v>5,5</v>
      </c>
      <c r="P44" s="19" t="str">
        <f t="shared" si="250"/>
        <v>6,5</v>
      </c>
      <c r="Q44" s="19" t="str">
        <f t="shared" si="250"/>
        <v>7,5</v>
      </c>
      <c r="R44" s="19" t="str">
        <f t="shared" si="250"/>
        <v>8,5</v>
      </c>
      <c r="S44" s="19" t="str">
        <f t="shared" si="250"/>
        <v>9,5</v>
      </c>
      <c r="T44" s="19" t="str">
        <f t="shared" si="250"/>
        <v>10,5</v>
      </c>
      <c r="U44" s="19" t="str">
        <f t="shared" si="251"/>
        <v>11,5</v>
      </c>
      <c r="V44" s="19" t="str">
        <f t="shared" si="251"/>
        <v>12,5</v>
      </c>
      <c r="W44" s="19" t="str">
        <f t="shared" si="251"/>
        <v>13,5</v>
      </c>
      <c r="X44" s="19" t="str">
        <f t="shared" si="251"/>
        <v>14,5</v>
      </c>
      <c r="Y44" s="19" t="str">
        <f t="shared" si="251"/>
        <v>15,5</v>
      </c>
      <c r="Z44" s="19" t="str">
        <f t="shared" si="251"/>
        <v>16,5</v>
      </c>
      <c r="AA44" s="19" t="str">
        <f t="shared" si="251"/>
        <v>17,5</v>
      </c>
      <c r="AB44" s="19" t="str">
        <f t="shared" si="251"/>
        <v>18,5</v>
      </c>
      <c r="AC44" s="19" t="str">
        <f t="shared" si="251"/>
        <v>19,5</v>
      </c>
      <c r="AD44" s="19" t="str">
        <f t="shared" si="251"/>
        <v>20,5</v>
      </c>
      <c r="AE44" s="19" t="str">
        <f t="shared" si="252"/>
        <v>21,5</v>
      </c>
      <c r="AF44" s="19" t="str">
        <f t="shared" si="252"/>
        <v>22,5</v>
      </c>
      <c r="AG44" s="19" t="str">
        <f t="shared" si="252"/>
        <v>23,5</v>
      </c>
      <c r="AH44" s="19" t="str">
        <f t="shared" si="252"/>
        <v>24,5</v>
      </c>
      <c r="AI44" s="19" t="str">
        <f t="shared" si="252"/>
        <v>25,5</v>
      </c>
      <c r="AJ44" s="19" t="str">
        <f t="shared" si="252"/>
        <v>26,5</v>
      </c>
      <c r="AK44" s="19" t="str">
        <f t="shared" si="252"/>
        <v>27,5</v>
      </c>
      <c r="AL44" s="19" t="str">
        <f t="shared" si="252"/>
        <v>28,5</v>
      </c>
      <c r="AM44" s="19" t="str">
        <f t="shared" si="252"/>
        <v>29,5</v>
      </c>
      <c r="AN44" s="19" t="str">
        <f t="shared" si="252"/>
        <v>30,5</v>
      </c>
      <c r="AO44" s="19" t="str">
        <f t="shared" si="252"/>
        <v>31,5</v>
      </c>
      <c r="AP44" s="19" t="str">
        <f t="shared" si="252"/>
        <v>32,5</v>
      </c>
      <c r="AQ44" s="19" t="str">
        <f t="shared" si="252"/>
        <v>33,5</v>
      </c>
      <c r="AR44" s="19" t="str">
        <f t="shared" si="252"/>
        <v>34,5</v>
      </c>
      <c r="AS44" s="19" t="str">
        <f t="shared" si="252"/>
        <v>35,5</v>
      </c>
      <c r="AT44" s="19" t="str">
        <f t="shared" ref="AT44:AT69" si="259">_xlfn.CONCAT(COLUMN()-$J44,",",ROW()-AT$39)</f>
        <v>36,5</v>
      </c>
      <c r="AU44" s="19" t="str">
        <f t="shared" si="253"/>
        <v>37,5</v>
      </c>
      <c r="AV44" s="19" t="str">
        <f t="shared" si="253"/>
        <v>38,5</v>
      </c>
      <c r="AW44" s="19" t="str">
        <f t="shared" si="253"/>
        <v>39,5</v>
      </c>
      <c r="AX44" s="19" t="str">
        <f t="shared" si="253"/>
        <v>40,5</v>
      </c>
      <c r="AY44" s="19" t="str">
        <f t="shared" si="253"/>
        <v>41,5</v>
      </c>
      <c r="AZ44" s="19" t="str">
        <f t="shared" si="253"/>
        <v>42,5</v>
      </c>
      <c r="BA44" s="19" t="str">
        <f t="shared" si="253"/>
        <v>43,5</v>
      </c>
      <c r="BB44" s="19" t="str">
        <f t="shared" si="253"/>
        <v>44,5</v>
      </c>
      <c r="BC44" s="19" t="str">
        <f t="shared" si="253"/>
        <v>45,5</v>
      </c>
      <c r="BD44" s="19" t="str">
        <f t="shared" si="253"/>
        <v>46,5</v>
      </c>
      <c r="BE44" s="19" t="str">
        <f t="shared" si="254"/>
        <v>47,5</v>
      </c>
      <c r="BF44" s="19" t="str">
        <f t="shared" si="254"/>
        <v>48,5</v>
      </c>
      <c r="BG44" s="19" t="str">
        <f t="shared" si="254"/>
        <v>49,5</v>
      </c>
      <c r="BH44" s="19" t="str">
        <f t="shared" si="254"/>
        <v>50,5</v>
      </c>
      <c r="BI44" s="19" t="str">
        <f t="shared" si="254"/>
        <v>51,5</v>
      </c>
      <c r="BJ44" s="19" t="str">
        <f t="shared" si="254"/>
        <v>52,5</v>
      </c>
      <c r="BK44" s="19" t="str">
        <f t="shared" si="254"/>
        <v>53,5</v>
      </c>
      <c r="BL44" s="19" t="str">
        <f t="shared" si="254"/>
        <v>54,5</v>
      </c>
      <c r="BM44" s="19" t="str">
        <f t="shared" si="254"/>
        <v>55,5</v>
      </c>
      <c r="BN44" s="19" t="str">
        <f t="shared" si="254"/>
        <v>56,5</v>
      </c>
      <c r="BO44" s="19" t="str">
        <f t="shared" si="255"/>
        <v>57,5</v>
      </c>
      <c r="BP44" s="19" t="str">
        <f t="shared" si="255"/>
        <v>58,5</v>
      </c>
      <c r="BQ44" s="19" t="str">
        <f t="shared" si="255"/>
        <v>59,5</v>
      </c>
      <c r="BR44" s="19" t="str">
        <f t="shared" si="255"/>
        <v>60,5</v>
      </c>
      <c r="BS44" s="19" t="str">
        <f t="shared" si="255"/>
        <v>61,5</v>
      </c>
      <c r="BT44" s="19" t="str">
        <f t="shared" si="255"/>
        <v>62,5</v>
      </c>
      <c r="BU44" s="19" t="str">
        <f t="shared" si="255"/>
        <v>63,5</v>
      </c>
      <c r="BV44" s="19" t="str">
        <f t="shared" si="255"/>
        <v>64,5</v>
      </c>
      <c r="BW44" s="19" t="str">
        <f t="shared" si="255"/>
        <v>65,5</v>
      </c>
      <c r="BX44" s="19" t="str">
        <f t="shared" si="255"/>
        <v>66,5</v>
      </c>
      <c r="BY44" s="19" t="str">
        <f t="shared" si="256"/>
        <v>67,5</v>
      </c>
      <c r="BZ44" s="19" t="str">
        <f t="shared" si="256"/>
        <v>68,5</v>
      </c>
      <c r="CA44" s="19" t="str">
        <f t="shared" si="256"/>
        <v>69,5</v>
      </c>
      <c r="CB44" s="19" t="str">
        <f t="shared" si="256"/>
        <v>70,5</v>
      </c>
      <c r="CC44" s="19" t="str">
        <f t="shared" si="256"/>
        <v>71,5</v>
      </c>
      <c r="CD44" s="19" t="str">
        <f t="shared" si="256"/>
        <v>72,5</v>
      </c>
      <c r="CE44" s="19" t="str">
        <f t="shared" si="256"/>
        <v>73,5</v>
      </c>
      <c r="CF44" s="19" t="str">
        <f t="shared" si="256"/>
        <v>74,5</v>
      </c>
      <c r="CG44" s="19" t="str">
        <f t="shared" si="256"/>
        <v>75,5</v>
      </c>
      <c r="CH44" s="19" t="str">
        <f t="shared" si="256"/>
        <v>76,5</v>
      </c>
      <c r="CI44" s="19" t="str">
        <f t="shared" si="257"/>
        <v>77,5</v>
      </c>
      <c r="CJ44" s="19" t="str">
        <f t="shared" si="257"/>
        <v>78,5</v>
      </c>
      <c r="CK44" s="19" t="str">
        <f t="shared" si="257"/>
        <v>79,5</v>
      </c>
      <c r="CL44" s="19" t="str">
        <f t="shared" si="257"/>
        <v>80,5</v>
      </c>
      <c r="CM44" s="19" t="str">
        <f t="shared" si="257"/>
        <v>81,5</v>
      </c>
      <c r="CN44" s="19" t="str">
        <f t="shared" si="257"/>
        <v>82,5</v>
      </c>
      <c r="CO44" s="19" t="str">
        <f t="shared" si="257"/>
        <v>83,5</v>
      </c>
      <c r="CP44" s="19" t="str">
        <f t="shared" si="257"/>
        <v>84,5</v>
      </c>
      <c r="CQ44" s="19" t="str">
        <f t="shared" si="257"/>
        <v>85,5</v>
      </c>
      <c r="CR44" s="19" t="str">
        <f t="shared" si="257"/>
        <v>86,5</v>
      </c>
      <c r="CS44" s="19" t="str">
        <f t="shared" si="258"/>
        <v>87,5</v>
      </c>
      <c r="CT44" s="19" t="str">
        <f t="shared" si="258"/>
        <v>88,5</v>
      </c>
      <c r="CU44" s="19" t="str">
        <f t="shared" si="258"/>
        <v>89,5</v>
      </c>
      <c r="CV44" s="19" t="str">
        <f t="shared" si="258"/>
        <v>90,5</v>
      </c>
      <c r="CW44" s="19" t="str">
        <f t="shared" si="258"/>
        <v>91,5</v>
      </c>
      <c r="CX44" s="19" t="str">
        <f t="shared" si="258"/>
        <v>92,5</v>
      </c>
      <c r="CY44" s="19" t="str">
        <f t="shared" si="258"/>
        <v>93,5</v>
      </c>
      <c r="CZ44" s="19" t="str">
        <f t="shared" si="258"/>
        <v>94,5</v>
      </c>
      <c r="DA44" s="19" t="str">
        <f t="shared" si="258"/>
        <v>95,5</v>
      </c>
      <c r="DB44" s="19" t="str">
        <f t="shared" si="258"/>
        <v>96,5</v>
      </c>
      <c r="DC44" s="19" t="str">
        <f t="shared" si="258"/>
        <v>97,5</v>
      </c>
      <c r="DD44" s="19" t="str">
        <f t="shared" si="258"/>
        <v>98,5</v>
      </c>
      <c r="DE44" s="19" t="str">
        <f t="shared" si="258"/>
        <v>99,5</v>
      </c>
      <c r="DF44" s="19" t="str">
        <f t="shared" si="258"/>
        <v>100,5</v>
      </c>
      <c r="DG44" s="16">
        <f t="shared" si="249"/>
        <v>5</v>
      </c>
      <c r="DH44" s="1"/>
      <c r="DI44" s="62">
        <v>1</v>
      </c>
      <c r="DJ44" s="62">
        <v>1</v>
      </c>
      <c r="DK44" s="62">
        <v>1</v>
      </c>
      <c r="DL44" s="62">
        <v>1</v>
      </c>
      <c r="DM44" s="62">
        <v>1</v>
      </c>
      <c r="DN44" s="62">
        <v>1</v>
      </c>
      <c r="DO44" s="62">
        <v>1</v>
      </c>
      <c r="DP44" s="62">
        <v>1</v>
      </c>
      <c r="DQ44" s="62">
        <v>1</v>
      </c>
      <c r="DR44" s="62">
        <v>1</v>
      </c>
      <c r="DS44" s="62">
        <v>1</v>
      </c>
      <c r="DT44" s="62">
        <v>1</v>
      </c>
      <c r="DU44" s="62">
        <v>1</v>
      </c>
      <c r="DV44" s="62">
        <v>1</v>
      </c>
      <c r="DW44" s="62">
        <v>1</v>
      </c>
      <c r="DX44" s="62">
        <v>1</v>
      </c>
      <c r="DY44" s="62">
        <v>1</v>
      </c>
      <c r="DZ44" s="62">
        <v>1</v>
      </c>
      <c r="EA44" s="62">
        <v>1</v>
      </c>
      <c r="EB44" s="62">
        <v>1</v>
      </c>
      <c r="EC44" s="62">
        <v>1</v>
      </c>
      <c r="ED44" s="62">
        <v>1</v>
      </c>
      <c r="EE44" s="62">
        <v>1</v>
      </c>
      <c r="EF44" s="62">
        <v>1</v>
      </c>
      <c r="EG44" s="62">
        <v>1</v>
      </c>
      <c r="EH44" s="62">
        <v>1</v>
      </c>
      <c r="EI44" s="62">
        <v>1</v>
      </c>
      <c r="EJ44" s="62">
        <v>1</v>
      </c>
      <c r="EK44" s="62">
        <v>1</v>
      </c>
      <c r="EL44" s="62">
        <v>1</v>
      </c>
      <c r="EM44" s="62">
        <v>1</v>
      </c>
      <c r="EN44" s="62">
        <v>1</v>
      </c>
      <c r="EO44" s="62">
        <v>1</v>
      </c>
      <c r="EP44" s="62">
        <v>1</v>
      </c>
      <c r="EQ44" s="62">
        <v>1</v>
      </c>
      <c r="ER44" s="62">
        <v>1</v>
      </c>
      <c r="ES44" s="62">
        <v>1</v>
      </c>
      <c r="ET44" s="62">
        <v>1</v>
      </c>
      <c r="EU44" s="62">
        <v>1</v>
      </c>
      <c r="EV44" s="62">
        <v>1</v>
      </c>
      <c r="EW44" s="62">
        <v>1</v>
      </c>
      <c r="EX44" s="62">
        <v>1</v>
      </c>
      <c r="EY44" s="62">
        <v>0</v>
      </c>
      <c r="EZ44" s="62">
        <v>0</v>
      </c>
      <c r="FA44" s="62">
        <v>0</v>
      </c>
      <c r="FB44" s="62">
        <v>0</v>
      </c>
      <c r="FC44" s="62">
        <v>0</v>
      </c>
      <c r="FD44" s="62">
        <v>0</v>
      </c>
      <c r="FE44" s="62">
        <v>0</v>
      </c>
      <c r="FF44" s="62">
        <v>0</v>
      </c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2"/>
      <c r="FR44" s="2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ht="5.45" customHeight="1" x14ac:dyDescent="0.25">
      <c r="A45" s="3">
        <f t="shared" si="163"/>
        <v>14</v>
      </c>
      <c r="B45" s="10">
        <f t="shared" ref="B45:B46" si="260">B46-1</f>
        <v>27</v>
      </c>
      <c r="C45" s="10">
        <v>0</v>
      </c>
      <c r="D45" s="10">
        <f t="shared" si="174"/>
        <v>99</v>
      </c>
      <c r="E45" s="10">
        <f t="shared" si="175"/>
        <v>300</v>
      </c>
      <c r="F45" s="10">
        <v>0</v>
      </c>
      <c r="G45" s="27" t="s">
        <v>45</v>
      </c>
      <c r="H45" s="15" t="str">
        <f t="shared" si="168"/>
        <v>100,28</v>
      </c>
      <c r="I45" s="1"/>
      <c r="J45" s="16">
        <f>COLUMN()</f>
        <v>10</v>
      </c>
      <c r="K45" s="19" t="str">
        <f t="shared" si="250"/>
        <v>1,6</v>
      </c>
      <c r="L45" s="19" t="str">
        <f t="shared" si="250"/>
        <v>2,6</v>
      </c>
      <c r="M45" s="19" t="str">
        <f t="shared" si="250"/>
        <v>3,6</v>
      </c>
      <c r="N45" s="19" t="str">
        <f t="shared" si="250"/>
        <v>4,6</v>
      </c>
      <c r="O45" s="19" t="str">
        <f t="shared" si="250"/>
        <v>5,6</v>
      </c>
      <c r="P45" s="19" t="str">
        <f t="shared" si="250"/>
        <v>6,6</v>
      </c>
      <c r="Q45" s="19" t="str">
        <f t="shared" si="250"/>
        <v>7,6</v>
      </c>
      <c r="R45" s="19" t="str">
        <f t="shared" si="250"/>
        <v>8,6</v>
      </c>
      <c r="S45" s="19" t="str">
        <f t="shared" si="250"/>
        <v>9,6</v>
      </c>
      <c r="T45" s="19" t="str">
        <f t="shared" si="250"/>
        <v>10,6</v>
      </c>
      <c r="U45" s="19" t="str">
        <f t="shared" si="251"/>
        <v>11,6</v>
      </c>
      <c r="V45" s="19" t="str">
        <f t="shared" si="251"/>
        <v>12,6</v>
      </c>
      <c r="W45" s="19" t="str">
        <f t="shared" si="251"/>
        <v>13,6</v>
      </c>
      <c r="X45" s="19" t="str">
        <f t="shared" si="251"/>
        <v>14,6</v>
      </c>
      <c r="Y45" s="19" t="str">
        <f t="shared" si="251"/>
        <v>15,6</v>
      </c>
      <c r="Z45" s="19" t="str">
        <f t="shared" si="251"/>
        <v>16,6</v>
      </c>
      <c r="AA45" s="19" t="str">
        <f t="shared" si="251"/>
        <v>17,6</v>
      </c>
      <c r="AB45" s="19" t="str">
        <f t="shared" si="251"/>
        <v>18,6</v>
      </c>
      <c r="AC45" s="19" t="str">
        <f t="shared" si="251"/>
        <v>19,6</v>
      </c>
      <c r="AD45" s="19" t="str">
        <f t="shared" si="251"/>
        <v>20,6</v>
      </c>
      <c r="AE45" s="19" t="str">
        <f t="shared" si="252"/>
        <v>21,6</v>
      </c>
      <c r="AF45" s="19" t="str">
        <f t="shared" si="252"/>
        <v>22,6</v>
      </c>
      <c r="AG45" s="19" t="str">
        <f t="shared" si="252"/>
        <v>23,6</v>
      </c>
      <c r="AH45" s="19" t="str">
        <f t="shared" si="252"/>
        <v>24,6</v>
      </c>
      <c r="AI45" s="19" t="str">
        <f t="shared" si="252"/>
        <v>25,6</v>
      </c>
      <c r="AJ45" s="19" t="str">
        <f t="shared" si="252"/>
        <v>26,6</v>
      </c>
      <c r="AK45" s="19" t="str">
        <f t="shared" si="252"/>
        <v>27,6</v>
      </c>
      <c r="AL45" s="19" t="str">
        <f t="shared" si="252"/>
        <v>28,6</v>
      </c>
      <c r="AM45" s="19" t="str">
        <f t="shared" si="252"/>
        <v>29,6</v>
      </c>
      <c r="AN45" s="19" t="str">
        <f t="shared" si="252"/>
        <v>30,6</v>
      </c>
      <c r="AO45" s="19" t="str">
        <f t="shared" si="252"/>
        <v>31,6</v>
      </c>
      <c r="AP45" s="19" t="str">
        <f t="shared" si="252"/>
        <v>32,6</v>
      </c>
      <c r="AQ45" s="19" t="str">
        <f t="shared" si="252"/>
        <v>33,6</v>
      </c>
      <c r="AR45" s="19" t="str">
        <f t="shared" si="252"/>
        <v>34,6</v>
      </c>
      <c r="AS45" s="19" t="str">
        <f t="shared" si="252"/>
        <v>35,6</v>
      </c>
      <c r="AT45" s="19" t="str">
        <f t="shared" si="259"/>
        <v>36,6</v>
      </c>
      <c r="AU45" s="19" t="str">
        <f t="shared" si="253"/>
        <v>37,6</v>
      </c>
      <c r="AV45" s="19" t="str">
        <f t="shared" si="253"/>
        <v>38,6</v>
      </c>
      <c r="AW45" s="19" t="str">
        <f t="shared" si="253"/>
        <v>39,6</v>
      </c>
      <c r="AX45" s="19" t="str">
        <f t="shared" si="253"/>
        <v>40,6</v>
      </c>
      <c r="AY45" s="19" t="str">
        <f t="shared" si="253"/>
        <v>41,6</v>
      </c>
      <c r="AZ45" s="19" t="str">
        <f t="shared" si="253"/>
        <v>42,6</v>
      </c>
      <c r="BA45" s="19" t="str">
        <f t="shared" si="253"/>
        <v>43,6</v>
      </c>
      <c r="BB45" s="19" t="str">
        <f t="shared" si="253"/>
        <v>44,6</v>
      </c>
      <c r="BC45" s="19" t="str">
        <f t="shared" si="253"/>
        <v>45,6</v>
      </c>
      <c r="BD45" s="19" t="str">
        <f t="shared" si="253"/>
        <v>46,6</v>
      </c>
      <c r="BE45" s="19" t="str">
        <f t="shared" si="254"/>
        <v>47,6</v>
      </c>
      <c r="BF45" s="19" t="str">
        <f t="shared" si="254"/>
        <v>48,6</v>
      </c>
      <c r="BG45" s="19" t="str">
        <f t="shared" si="254"/>
        <v>49,6</v>
      </c>
      <c r="BH45" s="19" t="str">
        <f t="shared" si="254"/>
        <v>50,6</v>
      </c>
      <c r="BI45" s="19" t="str">
        <f t="shared" si="254"/>
        <v>51,6</v>
      </c>
      <c r="BJ45" s="19" t="str">
        <f t="shared" si="254"/>
        <v>52,6</v>
      </c>
      <c r="BK45" s="19" t="str">
        <f t="shared" si="254"/>
        <v>53,6</v>
      </c>
      <c r="BL45" s="19" t="str">
        <f t="shared" si="254"/>
        <v>54,6</v>
      </c>
      <c r="BM45" s="19" t="str">
        <f t="shared" si="254"/>
        <v>55,6</v>
      </c>
      <c r="BN45" s="19" t="str">
        <f t="shared" si="254"/>
        <v>56,6</v>
      </c>
      <c r="BO45" s="19" t="str">
        <f t="shared" si="255"/>
        <v>57,6</v>
      </c>
      <c r="BP45" s="19" t="str">
        <f t="shared" si="255"/>
        <v>58,6</v>
      </c>
      <c r="BQ45" s="19" t="str">
        <f t="shared" si="255"/>
        <v>59,6</v>
      </c>
      <c r="BR45" s="19" t="str">
        <f t="shared" si="255"/>
        <v>60,6</v>
      </c>
      <c r="BS45" s="19" t="str">
        <f t="shared" si="255"/>
        <v>61,6</v>
      </c>
      <c r="BT45" s="19" t="str">
        <f t="shared" si="255"/>
        <v>62,6</v>
      </c>
      <c r="BU45" s="19" t="str">
        <f t="shared" si="255"/>
        <v>63,6</v>
      </c>
      <c r="BV45" s="19" t="str">
        <f t="shared" si="255"/>
        <v>64,6</v>
      </c>
      <c r="BW45" s="19" t="str">
        <f t="shared" si="255"/>
        <v>65,6</v>
      </c>
      <c r="BX45" s="19" t="str">
        <f t="shared" si="255"/>
        <v>66,6</v>
      </c>
      <c r="BY45" s="19" t="str">
        <f t="shared" si="256"/>
        <v>67,6</v>
      </c>
      <c r="BZ45" s="19" t="str">
        <f t="shared" si="256"/>
        <v>68,6</v>
      </c>
      <c r="CA45" s="19" t="str">
        <f t="shared" si="256"/>
        <v>69,6</v>
      </c>
      <c r="CB45" s="19" t="str">
        <f t="shared" si="256"/>
        <v>70,6</v>
      </c>
      <c r="CC45" s="19" t="str">
        <f t="shared" si="256"/>
        <v>71,6</v>
      </c>
      <c r="CD45" s="19" t="str">
        <f t="shared" si="256"/>
        <v>72,6</v>
      </c>
      <c r="CE45" s="19" t="str">
        <f t="shared" si="256"/>
        <v>73,6</v>
      </c>
      <c r="CF45" s="19" t="str">
        <f t="shared" si="256"/>
        <v>74,6</v>
      </c>
      <c r="CG45" s="19" t="str">
        <f t="shared" si="256"/>
        <v>75,6</v>
      </c>
      <c r="CH45" s="19" t="str">
        <f t="shared" si="256"/>
        <v>76,6</v>
      </c>
      <c r="CI45" s="19" t="str">
        <f t="shared" si="257"/>
        <v>77,6</v>
      </c>
      <c r="CJ45" s="19" t="str">
        <f t="shared" si="257"/>
        <v>78,6</v>
      </c>
      <c r="CK45" s="19" t="str">
        <f t="shared" si="257"/>
        <v>79,6</v>
      </c>
      <c r="CL45" s="19" t="str">
        <f t="shared" si="257"/>
        <v>80,6</v>
      </c>
      <c r="CM45" s="19" t="str">
        <f t="shared" si="257"/>
        <v>81,6</v>
      </c>
      <c r="CN45" s="19" t="str">
        <f t="shared" si="257"/>
        <v>82,6</v>
      </c>
      <c r="CO45" s="19" t="str">
        <f t="shared" si="257"/>
        <v>83,6</v>
      </c>
      <c r="CP45" s="19" t="str">
        <f t="shared" si="257"/>
        <v>84,6</v>
      </c>
      <c r="CQ45" s="19" t="str">
        <f t="shared" si="257"/>
        <v>85,6</v>
      </c>
      <c r="CR45" s="19" t="str">
        <f t="shared" si="257"/>
        <v>86,6</v>
      </c>
      <c r="CS45" s="19" t="str">
        <f t="shared" si="258"/>
        <v>87,6</v>
      </c>
      <c r="CT45" s="19" t="str">
        <f t="shared" si="258"/>
        <v>88,6</v>
      </c>
      <c r="CU45" s="19" t="str">
        <f t="shared" si="258"/>
        <v>89,6</v>
      </c>
      <c r="CV45" s="19" t="str">
        <f t="shared" si="258"/>
        <v>90,6</v>
      </c>
      <c r="CW45" s="19" t="str">
        <f t="shared" si="258"/>
        <v>91,6</v>
      </c>
      <c r="CX45" s="19" t="str">
        <f t="shared" si="258"/>
        <v>92,6</v>
      </c>
      <c r="CY45" s="19" t="str">
        <f t="shared" si="258"/>
        <v>93,6</v>
      </c>
      <c r="CZ45" s="19" t="str">
        <f t="shared" si="258"/>
        <v>94,6</v>
      </c>
      <c r="DA45" s="19" t="str">
        <f t="shared" si="258"/>
        <v>95,6</v>
      </c>
      <c r="DB45" s="19" t="str">
        <f t="shared" si="258"/>
        <v>96,6</v>
      </c>
      <c r="DC45" s="19" t="str">
        <f t="shared" si="258"/>
        <v>97,6</v>
      </c>
      <c r="DD45" s="19" t="str">
        <f t="shared" si="258"/>
        <v>98,6</v>
      </c>
      <c r="DE45" s="19" t="str">
        <f t="shared" si="258"/>
        <v>99,6</v>
      </c>
      <c r="DF45" s="19" t="str">
        <f t="shared" si="258"/>
        <v>100,6</v>
      </c>
      <c r="DG45" s="16">
        <f t="shared" si="249"/>
        <v>6</v>
      </c>
      <c r="DH45" s="1"/>
      <c r="DI45" s="62">
        <v>1</v>
      </c>
      <c r="DJ45" s="62">
        <v>1</v>
      </c>
      <c r="DK45" s="62">
        <v>1</v>
      </c>
      <c r="DL45" s="62">
        <v>1</v>
      </c>
      <c r="DM45" s="62">
        <v>1</v>
      </c>
      <c r="DN45" s="62">
        <v>1</v>
      </c>
      <c r="DO45" s="62">
        <v>1</v>
      </c>
      <c r="DP45" s="62">
        <v>1</v>
      </c>
      <c r="DQ45" s="62">
        <v>1</v>
      </c>
      <c r="DR45" s="62">
        <v>1</v>
      </c>
      <c r="DS45" s="62">
        <v>1</v>
      </c>
      <c r="DT45" s="62">
        <v>1</v>
      </c>
      <c r="DU45" s="62">
        <v>1</v>
      </c>
      <c r="DV45" s="62">
        <v>1</v>
      </c>
      <c r="DW45" s="62">
        <v>1</v>
      </c>
      <c r="DX45" s="62">
        <v>1</v>
      </c>
      <c r="DY45" s="62">
        <v>1</v>
      </c>
      <c r="DZ45" s="62">
        <v>1</v>
      </c>
      <c r="EA45" s="62">
        <v>1</v>
      </c>
      <c r="EB45" s="62">
        <v>1</v>
      </c>
      <c r="EC45" s="62">
        <v>1</v>
      </c>
      <c r="ED45" s="62">
        <v>1</v>
      </c>
      <c r="EE45" s="62">
        <v>1</v>
      </c>
      <c r="EF45" s="62">
        <v>1</v>
      </c>
      <c r="EG45" s="62">
        <v>1</v>
      </c>
      <c r="EH45" s="62">
        <v>1</v>
      </c>
      <c r="EI45" s="62">
        <v>1</v>
      </c>
      <c r="EJ45" s="62">
        <v>1</v>
      </c>
      <c r="EK45" s="62">
        <v>1</v>
      </c>
      <c r="EL45" s="62">
        <v>1</v>
      </c>
      <c r="EM45" s="62">
        <v>1</v>
      </c>
      <c r="EN45" s="62">
        <v>1</v>
      </c>
      <c r="EO45" s="62">
        <v>1</v>
      </c>
      <c r="EP45" s="62">
        <v>1</v>
      </c>
      <c r="EQ45" s="62">
        <v>1</v>
      </c>
      <c r="ER45" s="62">
        <v>1</v>
      </c>
      <c r="ES45" s="62">
        <v>1</v>
      </c>
      <c r="ET45" s="62">
        <v>1</v>
      </c>
      <c r="EU45" s="62">
        <v>1</v>
      </c>
      <c r="EV45" s="62">
        <v>1</v>
      </c>
      <c r="EW45" s="62">
        <v>1</v>
      </c>
      <c r="EX45" s="62">
        <v>1</v>
      </c>
      <c r="EY45" s="62">
        <v>1</v>
      </c>
      <c r="EZ45" s="62">
        <v>1</v>
      </c>
      <c r="FA45" s="62">
        <v>1</v>
      </c>
      <c r="FB45" s="62">
        <v>1</v>
      </c>
      <c r="FC45" s="62">
        <v>1</v>
      </c>
      <c r="FD45" s="62">
        <v>1</v>
      </c>
      <c r="FE45" s="62">
        <v>1</v>
      </c>
      <c r="FF45" s="62">
        <v>-1</v>
      </c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2"/>
      <c r="FR45" s="2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ht="5.45" customHeight="1" x14ac:dyDescent="0.25">
      <c r="A46" s="3">
        <f t="shared" si="163"/>
        <v>15</v>
      </c>
      <c r="B46" s="10">
        <f t="shared" si="260"/>
        <v>28</v>
      </c>
      <c r="C46" s="10">
        <v>0</v>
      </c>
      <c r="D46" s="10">
        <f t="shared" si="174"/>
        <v>99</v>
      </c>
      <c r="E46" s="10">
        <f t="shared" si="175"/>
        <v>300</v>
      </c>
      <c r="F46" s="10">
        <v>0</v>
      </c>
      <c r="G46" s="27" t="s">
        <v>45</v>
      </c>
      <c r="H46" s="15" t="str">
        <f t="shared" si="168"/>
        <v>100,29</v>
      </c>
      <c r="I46" s="1"/>
      <c r="J46" s="16">
        <f>COLUMN()</f>
        <v>10</v>
      </c>
      <c r="K46" s="19" t="str">
        <f t="shared" si="250"/>
        <v>1,7</v>
      </c>
      <c r="L46" s="19" t="str">
        <f t="shared" si="250"/>
        <v>2,7</v>
      </c>
      <c r="M46" s="19" t="str">
        <f t="shared" si="250"/>
        <v>3,7</v>
      </c>
      <c r="N46" s="19" t="str">
        <f t="shared" si="250"/>
        <v>4,7</v>
      </c>
      <c r="O46" s="19" t="str">
        <f t="shared" si="250"/>
        <v>5,7</v>
      </c>
      <c r="P46" s="19" t="str">
        <f t="shared" si="250"/>
        <v>6,7</v>
      </c>
      <c r="Q46" s="19" t="str">
        <f t="shared" si="250"/>
        <v>7,7</v>
      </c>
      <c r="R46" s="19" t="str">
        <f t="shared" si="250"/>
        <v>8,7</v>
      </c>
      <c r="S46" s="19" t="str">
        <f t="shared" si="250"/>
        <v>9,7</v>
      </c>
      <c r="T46" s="19" t="str">
        <f t="shared" si="250"/>
        <v>10,7</v>
      </c>
      <c r="U46" s="19" t="str">
        <f t="shared" si="251"/>
        <v>11,7</v>
      </c>
      <c r="V46" s="19" t="str">
        <f t="shared" si="251"/>
        <v>12,7</v>
      </c>
      <c r="W46" s="19" t="str">
        <f t="shared" si="251"/>
        <v>13,7</v>
      </c>
      <c r="X46" s="19" t="str">
        <f t="shared" si="251"/>
        <v>14,7</v>
      </c>
      <c r="Y46" s="19" t="str">
        <f t="shared" si="251"/>
        <v>15,7</v>
      </c>
      <c r="Z46" s="19" t="str">
        <f t="shared" si="251"/>
        <v>16,7</v>
      </c>
      <c r="AA46" s="19" t="str">
        <f t="shared" si="251"/>
        <v>17,7</v>
      </c>
      <c r="AB46" s="19" t="str">
        <f t="shared" si="251"/>
        <v>18,7</v>
      </c>
      <c r="AC46" s="19" t="str">
        <f t="shared" si="251"/>
        <v>19,7</v>
      </c>
      <c r="AD46" s="19" t="str">
        <f t="shared" si="251"/>
        <v>20,7</v>
      </c>
      <c r="AE46" s="19" t="str">
        <f t="shared" si="252"/>
        <v>21,7</v>
      </c>
      <c r="AF46" s="19" t="str">
        <f t="shared" si="252"/>
        <v>22,7</v>
      </c>
      <c r="AG46" s="19" t="str">
        <f t="shared" si="252"/>
        <v>23,7</v>
      </c>
      <c r="AH46" s="19" t="str">
        <f t="shared" si="252"/>
        <v>24,7</v>
      </c>
      <c r="AI46" s="19" t="str">
        <f t="shared" si="252"/>
        <v>25,7</v>
      </c>
      <c r="AJ46" s="19" t="str">
        <f t="shared" si="252"/>
        <v>26,7</v>
      </c>
      <c r="AK46" s="19" t="str">
        <f t="shared" si="252"/>
        <v>27,7</v>
      </c>
      <c r="AL46" s="19" t="str">
        <f t="shared" si="252"/>
        <v>28,7</v>
      </c>
      <c r="AM46" s="19" t="str">
        <f t="shared" si="252"/>
        <v>29,7</v>
      </c>
      <c r="AN46" s="19" t="str">
        <f t="shared" si="252"/>
        <v>30,7</v>
      </c>
      <c r="AO46" s="19" t="str">
        <f t="shared" si="252"/>
        <v>31,7</v>
      </c>
      <c r="AP46" s="19" t="str">
        <f t="shared" si="252"/>
        <v>32,7</v>
      </c>
      <c r="AQ46" s="19" t="str">
        <f t="shared" si="252"/>
        <v>33,7</v>
      </c>
      <c r="AR46" s="19" t="str">
        <f t="shared" si="252"/>
        <v>34,7</v>
      </c>
      <c r="AS46" s="19" t="str">
        <f t="shared" si="252"/>
        <v>35,7</v>
      </c>
      <c r="AT46" s="19" t="str">
        <f t="shared" si="259"/>
        <v>36,7</v>
      </c>
      <c r="AU46" s="19" t="str">
        <f t="shared" si="253"/>
        <v>37,7</v>
      </c>
      <c r="AV46" s="19" t="str">
        <f t="shared" si="253"/>
        <v>38,7</v>
      </c>
      <c r="AW46" s="19" t="str">
        <f t="shared" si="253"/>
        <v>39,7</v>
      </c>
      <c r="AX46" s="19" t="str">
        <f t="shared" si="253"/>
        <v>40,7</v>
      </c>
      <c r="AY46" s="19" t="str">
        <f t="shared" si="253"/>
        <v>41,7</v>
      </c>
      <c r="AZ46" s="19" t="str">
        <f t="shared" si="253"/>
        <v>42,7</v>
      </c>
      <c r="BA46" s="19" t="str">
        <f t="shared" si="253"/>
        <v>43,7</v>
      </c>
      <c r="BB46" s="19" t="str">
        <f t="shared" si="253"/>
        <v>44,7</v>
      </c>
      <c r="BC46" s="19" t="str">
        <f t="shared" si="253"/>
        <v>45,7</v>
      </c>
      <c r="BD46" s="19" t="str">
        <f t="shared" si="253"/>
        <v>46,7</v>
      </c>
      <c r="BE46" s="19" t="str">
        <f t="shared" si="254"/>
        <v>47,7</v>
      </c>
      <c r="BF46" s="19" t="str">
        <f t="shared" si="254"/>
        <v>48,7</v>
      </c>
      <c r="BG46" s="19" t="str">
        <f t="shared" si="254"/>
        <v>49,7</v>
      </c>
      <c r="BH46" s="19" t="str">
        <f t="shared" si="254"/>
        <v>50,7</v>
      </c>
      <c r="BI46" s="19" t="str">
        <f t="shared" si="254"/>
        <v>51,7</v>
      </c>
      <c r="BJ46" s="19" t="str">
        <f t="shared" si="254"/>
        <v>52,7</v>
      </c>
      <c r="BK46" s="19" t="str">
        <f t="shared" si="254"/>
        <v>53,7</v>
      </c>
      <c r="BL46" s="19" t="str">
        <f t="shared" si="254"/>
        <v>54,7</v>
      </c>
      <c r="BM46" s="19" t="str">
        <f t="shared" si="254"/>
        <v>55,7</v>
      </c>
      <c r="BN46" s="19" t="str">
        <f t="shared" si="254"/>
        <v>56,7</v>
      </c>
      <c r="BO46" s="19" t="str">
        <f t="shared" si="255"/>
        <v>57,7</v>
      </c>
      <c r="BP46" s="19" t="str">
        <f t="shared" si="255"/>
        <v>58,7</v>
      </c>
      <c r="BQ46" s="19" t="str">
        <f t="shared" si="255"/>
        <v>59,7</v>
      </c>
      <c r="BR46" s="19" t="str">
        <f t="shared" si="255"/>
        <v>60,7</v>
      </c>
      <c r="BS46" s="19" t="str">
        <f t="shared" si="255"/>
        <v>61,7</v>
      </c>
      <c r="BT46" s="19" t="str">
        <f t="shared" si="255"/>
        <v>62,7</v>
      </c>
      <c r="BU46" s="19" t="str">
        <f t="shared" si="255"/>
        <v>63,7</v>
      </c>
      <c r="BV46" s="19" t="str">
        <f t="shared" si="255"/>
        <v>64,7</v>
      </c>
      <c r="BW46" s="19" t="str">
        <f t="shared" si="255"/>
        <v>65,7</v>
      </c>
      <c r="BX46" s="19" t="str">
        <f t="shared" si="255"/>
        <v>66,7</v>
      </c>
      <c r="BY46" s="19" t="str">
        <f t="shared" si="256"/>
        <v>67,7</v>
      </c>
      <c r="BZ46" s="19" t="str">
        <f t="shared" si="256"/>
        <v>68,7</v>
      </c>
      <c r="CA46" s="19" t="str">
        <f t="shared" si="256"/>
        <v>69,7</v>
      </c>
      <c r="CB46" s="19" t="str">
        <f t="shared" si="256"/>
        <v>70,7</v>
      </c>
      <c r="CC46" s="19" t="str">
        <f t="shared" si="256"/>
        <v>71,7</v>
      </c>
      <c r="CD46" s="19" t="str">
        <f t="shared" si="256"/>
        <v>72,7</v>
      </c>
      <c r="CE46" s="19" t="str">
        <f t="shared" si="256"/>
        <v>73,7</v>
      </c>
      <c r="CF46" s="19" t="str">
        <f t="shared" si="256"/>
        <v>74,7</v>
      </c>
      <c r="CG46" s="19" t="str">
        <f t="shared" si="256"/>
        <v>75,7</v>
      </c>
      <c r="CH46" s="19" t="str">
        <f t="shared" si="256"/>
        <v>76,7</v>
      </c>
      <c r="CI46" s="19" t="str">
        <f t="shared" si="257"/>
        <v>77,7</v>
      </c>
      <c r="CJ46" s="19" t="str">
        <f t="shared" si="257"/>
        <v>78,7</v>
      </c>
      <c r="CK46" s="19" t="str">
        <f t="shared" si="257"/>
        <v>79,7</v>
      </c>
      <c r="CL46" s="19" t="str">
        <f t="shared" si="257"/>
        <v>80,7</v>
      </c>
      <c r="CM46" s="19" t="str">
        <f t="shared" si="257"/>
        <v>81,7</v>
      </c>
      <c r="CN46" s="19" t="str">
        <f t="shared" si="257"/>
        <v>82,7</v>
      </c>
      <c r="CO46" s="19" t="str">
        <f t="shared" si="257"/>
        <v>83,7</v>
      </c>
      <c r="CP46" s="19" t="str">
        <f t="shared" si="257"/>
        <v>84,7</v>
      </c>
      <c r="CQ46" s="19" t="str">
        <f t="shared" si="257"/>
        <v>85,7</v>
      </c>
      <c r="CR46" s="19" t="str">
        <f t="shared" si="257"/>
        <v>86,7</v>
      </c>
      <c r="CS46" s="19" t="str">
        <f t="shared" si="258"/>
        <v>87,7</v>
      </c>
      <c r="CT46" s="19" t="str">
        <f t="shared" si="258"/>
        <v>88,7</v>
      </c>
      <c r="CU46" s="19" t="str">
        <f t="shared" si="258"/>
        <v>89,7</v>
      </c>
      <c r="CV46" s="19" t="str">
        <f t="shared" si="258"/>
        <v>90,7</v>
      </c>
      <c r="CW46" s="19" t="str">
        <f t="shared" si="258"/>
        <v>91,7</v>
      </c>
      <c r="CX46" s="19" t="str">
        <f t="shared" si="258"/>
        <v>92,7</v>
      </c>
      <c r="CY46" s="19" t="str">
        <f t="shared" si="258"/>
        <v>93,7</v>
      </c>
      <c r="CZ46" s="19" t="str">
        <f t="shared" si="258"/>
        <v>94,7</v>
      </c>
      <c r="DA46" s="19" t="str">
        <f t="shared" si="258"/>
        <v>95,7</v>
      </c>
      <c r="DB46" s="19" t="str">
        <f t="shared" si="258"/>
        <v>96,7</v>
      </c>
      <c r="DC46" s="19" t="str">
        <f t="shared" si="258"/>
        <v>97,7</v>
      </c>
      <c r="DD46" s="19" t="str">
        <f t="shared" si="258"/>
        <v>98,7</v>
      </c>
      <c r="DE46" s="19" t="str">
        <f t="shared" si="258"/>
        <v>99,7</v>
      </c>
      <c r="DF46" s="19" t="str">
        <f t="shared" si="258"/>
        <v>100,7</v>
      </c>
      <c r="DG46" s="16">
        <f t="shared" si="249"/>
        <v>7</v>
      </c>
      <c r="DH46" s="1"/>
      <c r="DI46" s="62">
        <v>1</v>
      </c>
      <c r="DJ46" s="62">
        <v>1</v>
      </c>
      <c r="DK46" s="62">
        <v>1</v>
      </c>
      <c r="DL46" s="62">
        <v>1</v>
      </c>
      <c r="DM46" s="62">
        <v>1</v>
      </c>
      <c r="DN46" s="62">
        <v>1</v>
      </c>
      <c r="DO46" s="62">
        <v>1</v>
      </c>
      <c r="DP46" s="62">
        <v>1</v>
      </c>
      <c r="DQ46" s="62">
        <v>1</v>
      </c>
      <c r="DR46" s="62">
        <v>1</v>
      </c>
      <c r="DS46" s="62">
        <v>1</v>
      </c>
      <c r="DT46" s="62">
        <v>1</v>
      </c>
      <c r="DU46" s="62">
        <v>1</v>
      </c>
      <c r="DV46" s="62">
        <v>1</v>
      </c>
      <c r="DW46" s="62">
        <v>1</v>
      </c>
      <c r="DX46" s="62">
        <v>1</v>
      </c>
      <c r="DY46" s="62">
        <v>1</v>
      </c>
      <c r="DZ46" s="62">
        <v>1</v>
      </c>
      <c r="EA46" s="62">
        <v>1</v>
      </c>
      <c r="EB46" s="62">
        <v>1</v>
      </c>
      <c r="EC46" s="62">
        <v>1</v>
      </c>
      <c r="ED46" s="62">
        <v>1</v>
      </c>
      <c r="EE46" s="62">
        <v>1</v>
      </c>
      <c r="EF46" s="62">
        <v>1</v>
      </c>
      <c r="EG46" s="62">
        <v>1</v>
      </c>
      <c r="EH46" s="62">
        <v>1</v>
      </c>
      <c r="EI46" s="62">
        <v>1</v>
      </c>
      <c r="EJ46" s="62">
        <v>1</v>
      </c>
      <c r="EK46" s="62">
        <v>1</v>
      </c>
      <c r="EL46" s="62">
        <v>1</v>
      </c>
      <c r="EM46" s="62">
        <v>1</v>
      </c>
      <c r="EN46" s="62">
        <v>1</v>
      </c>
      <c r="EO46" s="62">
        <v>1</v>
      </c>
      <c r="EP46" s="62">
        <v>1</v>
      </c>
      <c r="EQ46" s="62">
        <v>1</v>
      </c>
      <c r="ER46" s="62">
        <v>1</v>
      </c>
      <c r="ES46" s="62">
        <v>1</v>
      </c>
      <c r="ET46" s="62">
        <v>1</v>
      </c>
      <c r="EU46" s="62">
        <v>1</v>
      </c>
      <c r="EV46" s="62">
        <v>1</v>
      </c>
      <c r="EW46" s="62">
        <v>1</v>
      </c>
      <c r="EX46" s="62">
        <v>1</v>
      </c>
      <c r="EY46" s="62">
        <v>1</v>
      </c>
      <c r="EZ46" s="62">
        <v>1</v>
      </c>
      <c r="FA46" s="62">
        <v>1</v>
      </c>
      <c r="FB46" s="62">
        <v>1</v>
      </c>
      <c r="FC46" s="62">
        <v>1</v>
      </c>
      <c r="FD46" s="62">
        <v>1</v>
      </c>
      <c r="FE46" s="62">
        <v>1</v>
      </c>
      <c r="FF46" s="62">
        <v>-1</v>
      </c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2"/>
      <c r="FR46" s="2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ht="5.45" customHeight="1" x14ac:dyDescent="0.25">
      <c r="A47" s="3">
        <f t="shared" si="163"/>
        <v>16</v>
      </c>
      <c r="B47" s="22">
        <v>29</v>
      </c>
      <c r="C47" s="10">
        <v>0</v>
      </c>
      <c r="D47" s="10">
        <f t="shared" si="174"/>
        <v>99</v>
      </c>
      <c r="E47" s="10">
        <f t="shared" si="175"/>
        <v>300</v>
      </c>
      <c r="F47" s="10">
        <v>0</v>
      </c>
      <c r="G47" s="27" t="s">
        <v>45</v>
      </c>
      <c r="H47" s="15" t="str">
        <f t="shared" si="168"/>
        <v>100,30</v>
      </c>
      <c r="I47" s="1"/>
      <c r="J47" s="16">
        <f>COLUMN()</f>
        <v>10</v>
      </c>
      <c r="K47" s="19" t="str">
        <f t="shared" si="250"/>
        <v>1,8</v>
      </c>
      <c r="L47" s="19" t="str">
        <f t="shared" si="250"/>
        <v>2,8</v>
      </c>
      <c r="M47" s="19" t="str">
        <f t="shared" si="250"/>
        <v>3,8</v>
      </c>
      <c r="N47" s="19" t="str">
        <f t="shared" si="250"/>
        <v>4,8</v>
      </c>
      <c r="O47" s="19" t="str">
        <f t="shared" si="250"/>
        <v>5,8</v>
      </c>
      <c r="P47" s="19" t="str">
        <f t="shared" si="250"/>
        <v>6,8</v>
      </c>
      <c r="Q47" s="19" t="str">
        <f t="shared" si="250"/>
        <v>7,8</v>
      </c>
      <c r="R47" s="19" t="str">
        <f t="shared" si="250"/>
        <v>8,8</v>
      </c>
      <c r="S47" s="19" t="str">
        <f t="shared" si="250"/>
        <v>9,8</v>
      </c>
      <c r="T47" s="19" t="str">
        <f t="shared" si="250"/>
        <v>10,8</v>
      </c>
      <c r="U47" s="19" t="str">
        <f t="shared" si="251"/>
        <v>11,8</v>
      </c>
      <c r="V47" s="19" t="str">
        <f t="shared" si="251"/>
        <v>12,8</v>
      </c>
      <c r="W47" s="19" t="str">
        <f t="shared" si="251"/>
        <v>13,8</v>
      </c>
      <c r="X47" s="19" t="str">
        <f t="shared" si="251"/>
        <v>14,8</v>
      </c>
      <c r="Y47" s="19" t="str">
        <f t="shared" si="251"/>
        <v>15,8</v>
      </c>
      <c r="Z47" s="19" t="str">
        <f t="shared" si="251"/>
        <v>16,8</v>
      </c>
      <c r="AA47" s="19" t="str">
        <f t="shared" si="251"/>
        <v>17,8</v>
      </c>
      <c r="AB47" s="19" t="str">
        <f t="shared" si="251"/>
        <v>18,8</v>
      </c>
      <c r="AC47" s="19" t="str">
        <f t="shared" si="251"/>
        <v>19,8</v>
      </c>
      <c r="AD47" s="19" t="str">
        <f t="shared" si="251"/>
        <v>20,8</v>
      </c>
      <c r="AE47" s="19" t="str">
        <f t="shared" si="252"/>
        <v>21,8</v>
      </c>
      <c r="AF47" s="19" t="str">
        <f t="shared" si="252"/>
        <v>22,8</v>
      </c>
      <c r="AG47" s="19" t="str">
        <f t="shared" si="252"/>
        <v>23,8</v>
      </c>
      <c r="AH47" s="19" t="str">
        <f t="shared" si="252"/>
        <v>24,8</v>
      </c>
      <c r="AI47" s="19" t="str">
        <f t="shared" si="252"/>
        <v>25,8</v>
      </c>
      <c r="AJ47" s="19" t="str">
        <f t="shared" si="252"/>
        <v>26,8</v>
      </c>
      <c r="AK47" s="19" t="str">
        <f t="shared" si="252"/>
        <v>27,8</v>
      </c>
      <c r="AL47" s="19" t="str">
        <f t="shared" si="252"/>
        <v>28,8</v>
      </c>
      <c r="AM47" s="19" t="str">
        <f t="shared" si="252"/>
        <v>29,8</v>
      </c>
      <c r="AN47" s="19" t="str">
        <f t="shared" si="252"/>
        <v>30,8</v>
      </c>
      <c r="AO47" s="19" t="str">
        <f t="shared" si="252"/>
        <v>31,8</v>
      </c>
      <c r="AP47" s="19" t="str">
        <f t="shared" si="252"/>
        <v>32,8</v>
      </c>
      <c r="AQ47" s="19" t="str">
        <f t="shared" si="252"/>
        <v>33,8</v>
      </c>
      <c r="AR47" s="19" t="str">
        <f t="shared" si="252"/>
        <v>34,8</v>
      </c>
      <c r="AS47" s="19" t="str">
        <f t="shared" si="252"/>
        <v>35,8</v>
      </c>
      <c r="AT47" s="19" t="str">
        <f t="shared" si="259"/>
        <v>36,8</v>
      </c>
      <c r="AU47" s="19" t="str">
        <f t="shared" si="253"/>
        <v>37,8</v>
      </c>
      <c r="AV47" s="19" t="str">
        <f t="shared" si="253"/>
        <v>38,8</v>
      </c>
      <c r="AW47" s="19" t="str">
        <f t="shared" si="253"/>
        <v>39,8</v>
      </c>
      <c r="AX47" s="19" t="str">
        <f t="shared" si="253"/>
        <v>40,8</v>
      </c>
      <c r="AY47" s="19" t="str">
        <f t="shared" si="253"/>
        <v>41,8</v>
      </c>
      <c r="AZ47" s="19" t="str">
        <f t="shared" si="253"/>
        <v>42,8</v>
      </c>
      <c r="BA47" s="19" t="str">
        <f t="shared" si="253"/>
        <v>43,8</v>
      </c>
      <c r="BB47" s="19" t="str">
        <f t="shared" si="253"/>
        <v>44,8</v>
      </c>
      <c r="BC47" s="19" t="str">
        <f t="shared" si="253"/>
        <v>45,8</v>
      </c>
      <c r="BD47" s="19" t="str">
        <f t="shared" si="253"/>
        <v>46,8</v>
      </c>
      <c r="BE47" s="19" t="str">
        <f t="shared" si="254"/>
        <v>47,8</v>
      </c>
      <c r="BF47" s="19" t="str">
        <f t="shared" si="254"/>
        <v>48,8</v>
      </c>
      <c r="BG47" s="19" t="str">
        <f t="shared" si="254"/>
        <v>49,8</v>
      </c>
      <c r="BH47" s="19" t="str">
        <f t="shared" si="254"/>
        <v>50,8</v>
      </c>
      <c r="BI47" s="19" t="str">
        <f t="shared" si="254"/>
        <v>51,8</v>
      </c>
      <c r="BJ47" s="19" t="str">
        <f t="shared" si="254"/>
        <v>52,8</v>
      </c>
      <c r="BK47" s="19" t="str">
        <f t="shared" si="254"/>
        <v>53,8</v>
      </c>
      <c r="BL47" s="19" t="str">
        <f t="shared" si="254"/>
        <v>54,8</v>
      </c>
      <c r="BM47" s="19" t="str">
        <f t="shared" si="254"/>
        <v>55,8</v>
      </c>
      <c r="BN47" s="19" t="str">
        <f t="shared" si="254"/>
        <v>56,8</v>
      </c>
      <c r="BO47" s="19" t="str">
        <f t="shared" si="255"/>
        <v>57,8</v>
      </c>
      <c r="BP47" s="19" t="str">
        <f t="shared" si="255"/>
        <v>58,8</v>
      </c>
      <c r="BQ47" s="19" t="str">
        <f t="shared" si="255"/>
        <v>59,8</v>
      </c>
      <c r="BR47" s="19" t="str">
        <f t="shared" si="255"/>
        <v>60,8</v>
      </c>
      <c r="BS47" s="19" t="str">
        <f t="shared" si="255"/>
        <v>61,8</v>
      </c>
      <c r="BT47" s="19" t="str">
        <f t="shared" si="255"/>
        <v>62,8</v>
      </c>
      <c r="BU47" s="19" t="str">
        <f t="shared" si="255"/>
        <v>63,8</v>
      </c>
      <c r="BV47" s="19" t="str">
        <f t="shared" si="255"/>
        <v>64,8</v>
      </c>
      <c r="BW47" s="19" t="str">
        <f t="shared" si="255"/>
        <v>65,8</v>
      </c>
      <c r="BX47" s="19" t="str">
        <f t="shared" si="255"/>
        <v>66,8</v>
      </c>
      <c r="BY47" s="19" t="str">
        <f t="shared" si="256"/>
        <v>67,8</v>
      </c>
      <c r="BZ47" s="19" t="str">
        <f t="shared" si="256"/>
        <v>68,8</v>
      </c>
      <c r="CA47" s="19" t="str">
        <f t="shared" si="256"/>
        <v>69,8</v>
      </c>
      <c r="CB47" s="19" t="str">
        <f t="shared" si="256"/>
        <v>70,8</v>
      </c>
      <c r="CC47" s="19" t="str">
        <f t="shared" si="256"/>
        <v>71,8</v>
      </c>
      <c r="CD47" s="19" t="str">
        <f t="shared" si="256"/>
        <v>72,8</v>
      </c>
      <c r="CE47" s="19" t="str">
        <f t="shared" si="256"/>
        <v>73,8</v>
      </c>
      <c r="CF47" s="19" t="str">
        <f t="shared" si="256"/>
        <v>74,8</v>
      </c>
      <c r="CG47" s="19" t="str">
        <f t="shared" si="256"/>
        <v>75,8</v>
      </c>
      <c r="CH47" s="19" t="str">
        <f t="shared" si="256"/>
        <v>76,8</v>
      </c>
      <c r="CI47" s="19" t="str">
        <f t="shared" si="257"/>
        <v>77,8</v>
      </c>
      <c r="CJ47" s="19" t="str">
        <f t="shared" si="257"/>
        <v>78,8</v>
      </c>
      <c r="CK47" s="19" t="str">
        <f t="shared" si="257"/>
        <v>79,8</v>
      </c>
      <c r="CL47" s="19" t="str">
        <f t="shared" si="257"/>
        <v>80,8</v>
      </c>
      <c r="CM47" s="19" t="str">
        <f t="shared" si="257"/>
        <v>81,8</v>
      </c>
      <c r="CN47" s="19" t="str">
        <f t="shared" si="257"/>
        <v>82,8</v>
      </c>
      <c r="CO47" s="19" t="str">
        <f t="shared" si="257"/>
        <v>83,8</v>
      </c>
      <c r="CP47" s="19" t="str">
        <f t="shared" si="257"/>
        <v>84,8</v>
      </c>
      <c r="CQ47" s="19" t="str">
        <f t="shared" si="257"/>
        <v>85,8</v>
      </c>
      <c r="CR47" s="19" t="str">
        <f t="shared" si="257"/>
        <v>86,8</v>
      </c>
      <c r="CS47" s="19" t="str">
        <f t="shared" si="258"/>
        <v>87,8</v>
      </c>
      <c r="CT47" s="19" t="str">
        <f t="shared" si="258"/>
        <v>88,8</v>
      </c>
      <c r="CU47" s="19" t="str">
        <f t="shared" si="258"/>
        <v>89,8</v>
      </c>
      <c r="CV47" s="19" t="str">
        <f t="shared" si="258"/>
        <v>90,8</v>
      </c>
      <c r="CW47" s="19" t="str">
        <f t="shared" si="258"/>
        <v>91,8</v>
      </c>
      <c r="CX47" s="19" t="str">
        <f t="shared" si="258"/>
        <v>92,8</v>
      </c>
      <c r="CY47" s="19" t="str">
        <f t="shared" si="258"/>
        <v>93,8</v>
      </c>
      <c r="CZ47" s="19" t="str">
        <f t="shared" si="258"/>
        <v>94,8</v>
      </c>
      <c r="DA47" s="19" t="str">
        <f t="shared" si="258"/>
        <v>95,8</v>
      </c>
      <c r="DB47" s="19" t="str">
        <f t="shared" si="258"/>
        <v>96,8</v>
      </c>
      <c r="DC47" s="19" t="str">
        <f t="shared" si="258"/>
        <v>97,8</v>
      </c>
      <c r="DD47" s="19" t="str">
        <f t="shared" si="258"/>
        <v>98,8</v>
      </c>
      <c r="DE47" s="19" t="str">
        <f t="shared" si="258"/>
        <v>99,8</v>
      </c>
      <c r="DF47" s="19" t="str">
        <f t="shared" si="258"/>
        <v>100,8</v>
      </c>
      <c r="DG47" s="16">
        <f t="shared" si="249"/>
        <v>8</v>
      </c>
      <c r="DH47" s="1"/>
      <c r="DI47" s="62">
        <v>1</v>
      </c>
      <c r="DJ47" s="62">
        <v>1</v>
      </c>
      <c r="DK47" s="62">
        <v>1</v>
      </c>
      <c r="DL47" s="62">
        <v>1</v>
      </c>
      <c r="DM47" s="62">
        <v>1</v>
      </c>
      <c r="DN47" s="62">
        <v>1</v>
      </c>
      <c r="DO47" s="62">
        <v>1</v>
      </c>
      <c r="DP47" s="62">
        <v>1</v>
      </c>
      <c r="DQ47" s="62">
        <v>1</v>
      </c>
      <c r="DR47" s="62">
        <v>1</v>
      </c>
      <c r="DS47" s="62">
        <v>1</v>
      </c>
      <c r="DT47" s="62">
        <v>1</v>
      </c>
      <c r="DU47" s="62">
        <v>1</v>
      </c>
      <c r="DV47" s="62">
        <v>1</v>
      </c>
      <c r="DW47" s="62">
        <v>1</v>
      </c>
      <c r="DX47" s="62">
        <v>1</v>
      </c>
      <c r="DY47" s="62">
        <v>1</v>
      </c>
      <c r="DZ47" s="62">
        <v>1</v>
      </c>
      <c r="EA47" s="62">
        <v>1</v>
      </c>
      <c r="EB47" s="62">
        <v>1</v>
      </c>
      <c r="EC47" s="62">
        <v>1</v>
      </c>
      <c r="ED47" s="62">
        <v>1</v>
      </c>
      <c r="EE47" s="62">
        <v>1</v>
      </c>
      <c r="EF47" s="62">
        <v>1</v>
      </c>
      <c r="EG47" s="62">
        <v>1</v>
      </c>
      <c r="EH47" s="62">
        <v>1</v>
      </c>
      <c r="EI47" s="62">
        <v>1</v>
      </c>
      <c r="EJ47" s="62">
        <v>1</v>
      </c>
      <c r="EK47" s="62">
        <v>1</v>
      </c>
      <c r="EL47" s="62">
        <v>1</v>
      </c>
      <c r="EM47" s="62">
        <v>1</v>
      </c>
      <c r="EN47" s="62">
        <v>1</v>
      </c>
      <c r="EO47" s="62">
        <v>1</v>
      </c>
      <c r="EP47" s="62">
        <v>1</v>
      </c>
      <c r="EQ47" s="62">
        <v>1</v>
      </c>
      <c r="ER47" s="62">
        <v>1</v>
      </c>
      <c r="ES47" s="62">
        <v>1</v>
      </c>
      <c r="ET47" s="62">
        <v>1</v>
      </c>
      <c r="EU47" s="62">
        <v>1</v>
      </c>
      <c r="EV47" s="62">
        <v>1</v>
      </c>
      <c r="EW47" s="62">
        <v>1</v>
      </c>
      <c r="EX47" s="62">
        <v>1</v>
      </c>
      <c r="EY47" s="62">
        <v>1</v>
      </c>
      <c r="EZ47" s="62">
        <v>1</v>
      </c>
      <c r="FA47" s="62">
        <v>1</v>
      </c>
      <c r="FB47" s="62">
        <v>1</v>
      </c>
      <c r="FC47" s="62">
        <v>1</v>
      </c>
      <c r="FD47" s="62">
        <v>1</v>
      </c>
      <c r="FE47" s="62">
        <v>1</v>
      </c>
      <c r="FF47" s="62">
        <v>-1</v>
      </c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2"/>
      <c r="FR47" s="2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ht="5.4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6">
        <f>COLUMN()</f>
        <v>10</v>
      </c>
      <c r="K48" s="19" t="str">
        <f t="shared" si="250"/>
        <v>1,9</v>
      </c>
      <c r="L48" s="19" t="str">
        <f t="shared" si="250"/>
        <v>2,9</v>
      </c>
      <c r="M48" s="19" t="str">
        <f t="shared" si="250"/>
        <v>3,9</v>
      </c>
      <c r="N48" s="19" t="str">
        <f t="shared" si="250"/>
        <v>4,9</v>
      </c>
      <c r="O48" s="19" t="str">
        <f t="shared" si="250"/>
        <v>5,9</v>
      </c>
      <c r="P48" s="19" t="str">
        <f t="shared" si="250"/>
        <v>6,9</v>
      </c>
      <c r="Q48" s="19" t="str">
        <f t="shared" si="250"/>
        <v>7,9</v>
      </c>
      <c r="R48" s="19" t="str">
        <f t="shared" si="250"/>
        <v>8,9</v>
      </c>
      <c r="S48" s="19" t="str">
        <f t="shared" si="250"/>
        <v>9,9</v>
      </c>
      <c r="T48" s="19" t="str">
        <f t="shared" si="250"/>
        <v>10,9</v>
      </c>
      <c r="U48" s="19" t="str">
        <f t="shared" si="251"/>
        <v>11,9</v>
      </c>
      <c r="V48" s="19" t="str">
        <f t="shared" si="251"/>
        <v>12,9</v>
      </c>
      <c r="W48" s="19" t="str">
        <f t="shared" si="251"/>
        <v>13,9</v>
      </c>
      <c r="X48" s="19" t="str">
        <f t="shared" si="251"/>
        <v>14,9</v>
      </c>
      <c r="Y48" s="19" t="str">
        <f t="shared" si="251"/>
        <v>15,9</v>
      </c>
      <c r="Z48" s="19" t="str">
        <f t="shared" si="251"/>
        <v>16,9</v>
      </c>
      <c r="AA48" s="19" t="str">
        <f t="shared" si="251"/>
        <v>17,9</v>
      </c>
      <c r="AB48" s="19" t="str">
        <f t="shared" si="251"/>
        <v>18,9</v>
      </c>
      <c r="AC48" s="19" t="str">
        <f t="shared" si="251"/>
        <v>19,9</v>
      </c>
      <c r="AD48" s="19" t="str">
        <f t="shared" si="251"/>
        <v>20,9</v>
      </c>
      <c r="AE48" s="19" t="str">
        <f t="shared" si="252"/>
        <v>21,9</v>
      </c>
      <c r="AF48" s="19" t="str">
        <f t="shared" si="252"/>
        <v>22,9</v>
      </c>
      <c r="AG48" s="19" t="str">
        <f t="shared" si="252"/>
        <v>23,9</v>
      </c>
      <c r="AH48" s="19" t="str">
        <f t="shared" si="252"/>
        <v>24,9</v>
      </c>
      <c r="AI48" s="19" t="str">
        <f t="shared" si="252"/>
        <v>25,9</v>
      </c>
      <c r="AJ48" s="19" t="str">
        <f t="shared" si="252"/>
        <v>26,9</v>
      </c>
      <c r="AK48" s="19" t="str">
        <f t="shared" si="252"/>
        <v>27,9</v>
      </c>
      <c r="AL48" s="19" t="str">
        <f t="shared" si="252"/>
        <v>28,9</v>
      </c>
      <c r="AM48" s="19" t="str">
        <f t="shared" si="252"/>
        <v>29,9</v>
      </c>
      <c r="AN48" s="19" t="str">
        <f t="shared" si="252"/>
        <v>30,9</v>
      </c>
      <c r="AO48" s="19" t="str">
        <f t="shared" si="252"/>
        <v>31,9</v>
      </c>
      <c r="AP48" s="19" t="str">
        <f t="shared" si="252"/>
        <v>32,9</v>
      </c>
      <c r="AQ48" s="19" t="str">
        <f t="shared" si="252"/>
        <v>33,9</v>
      </c>
      <c r="AR48" s="19" t="str">
        <f t="shared" si="252"/>
        <v>34,9</v>
      </c>
      <c r="AS48" s="19" t="str">
        <f t="shared" si="252"/>
        <v>35,9</v>
      </c>
      <c r="AT48" s="19" t="str">
        <f t="shared" si="259"/>
        <v>36,9</v>
      </c>
      <c r="AU48" s="19" t="str">
        <f t="shared" si="253"/>
        <v>37,9</v>
      </c>
      <c r="AV48" s="19" t="str">
        <f t="shared" si="253"/>
        <v>38,9</v>
      </c>
      <c r="AW48" s="19" t="str">
        <f t="shared" si="253"/>
        <v>39,9</v>
      </c>
      <c r="AX48" s="19" t="str">
        <f t="shared" si="253"/>
        <v>40,9</v>
      </c>
      <c r="AY48" s="19" t="str">
        <f t="shared" si="253"/>
        <v>41,9</v>
      </c>
      <c r="AZ48" s="19" t="str">
        <f t="shared" si="253"/>
        <v>42,9</v>
      </c>
      <c r="BA48" s="19" t="str">
        <f t="shared" si="253"/>
        <v>43,9</v>
      </c>
      <c r="BB48" s="19" t="str">
        <f t="shared" si="253"/>
        <v>44,9</v>
      </c>
      <c r="BC48" s="19" t="str">
        <f t="shared" si="253"/>
        <v>45,9</v>
      </c>
      <c r="BD48" s="19" t="str">
        <f t="shared" si="253"/>
        <v>46,9</v>
      </c>
      <c r="BE48" s="19" t="str">
        <f t="shared" si="254"/>
        <v>47,9</v>
      </c>
      <c r="BF48" s="19" t="str">
        <f t="shared" si="254"/>
        <v>48,9</v>
      </c>
      <c r="BG48" s="19" t="str">
        <f t="shared" si="254"/>
        <v>49,9</v>
      </c>
      <c r="BH48" s="19" t="str">
        <f t="shared" si="254"/>
        <v>50,9</v>
      </c>
      <c r="BI48" s="19" t="str">
        <f t="shared" si="254"/>
        <v>51,9</v>
      </c>
      <c r="BJ48" s="19" t="str">
        <f t="shared" si="254"/>
        <v>52,9</v>
      </c>
      <c r="BK48" s="19" t="str">
        <f t="shared" si="254"/>
        <v>53,9</v>
      </c>
      <c r="BL48" s="19" t="str">
        <f t="shared" si="254"/>
        <v>54,9</v>
      </c>
      <c r="BM48" s="19" t="str">
        <f t="shared" si="254"/>
        <v>55,9</v>
      </c>
      <c r="BN48" s="19" t="str">
        <f t="shared" si="254"/>
        <v>56,9</v>
      </c>
      <c r="BO48" s="19" t="str">
        <f t="shared" si="255"/>
        <v>57,9</v>
      </c>
      <c r="BP48" s="19" t="str">
        <f t="shared" si="255"/>
        <v>58,9</v>
      </c>
      <c r="BQ48" s="19" t="str">
        <f t="shared" si="255"/>
        <v>59,9</v>
      </c>
      <c r="BR48" s="19" t="str">
        <f t="shared" si="255"/>
        <v>60,9</v>
      </c>
      <c r="BS48" s="19" t="str">
        <f t="shared" si="255"/>
        <v>61,9</v>
      </c>
      <c r="BT48" s="19" t="str">
        <f t="shared" si="255"/>
        <v>62,9</v>
      </c>
      <c r="BU48" s="19" t="str">
        <f t="shared" si="255"/>
        <v>63,9</v>
      </c>
      <c r="BV48" s="19" t="str">
        <f t="shared" si="255"/>
        <v>64,9</v>
      </c>
      <c r="BW48" s="19" t="str">
        <f t="shared" si="255"/>
        <v>65,9</v>
      </c>
      <c r="BX48" s="19" t="str">
        <f t="shared" si="255"/>
        <v>66,9</v>
      </c>
      <c r="BY48" s="19" t="str">
        <f t="shared" si="256"/>
        <v>67,9</v>
      </c>
      <c r="BZ48" s="19" t="str">
        <f t="shared" si="256"/>
        <v>68,9</v>
      </c>
      <c r="CA48" s="19" t="str">
        <f t="shared" si="256"/>
        <v>69,9</v>
      </c>
      <c r="CB48" s="19" t="str">
        <f t="shared" si="256"/>
        <v>70,9</v>
      </c>
      <c r="CC48" s="19" t="str">
        <f t="shared" si="256"/>
        <v>71,9</v>
      </c>
      <c r="CD48" s="19" t="str">
        <f t="shared" si="256"/>
        <v>72,9</v>
      </c>
      <c r="CE48" s="19" t="str">
        <f t="shared" si="256"/>
        <v>73,9</v>
      </c>
      <c r="CF48" s="19" t="str">
        <f t="shared" si="256"/>
        <v>74,9</v>
      </c>
      <c r="CG48" s="19" t="str">
        <f t="shared" si="256"/>
        <v>75,9</v>
      </c>
      <c r="CH48" s="19" t="str">
        <f t="shared" si="256"/>
        <v>76,9</v>
      </c>
      <c r="CI48" s="19" t="str">
        <f t="shared" si="257"/>
        <v>77,9</v>
      </c>
      <c r="CJ48" s="19" t="str">
        <f t="shared" si="257"/>
        <v>78,9</v>
      </c>
      <c r="CK48" s="19" t="str">
        <f t="shared" si="257"/>
        <v>79,9</v>
      </c>
      <c r="CL48" s="19" t="str">
        <f t="shared" si="257"/>
        <v>80,9</v>
      </c>
      <c r="CM48" s="19" t="str">
        <f t="shared" si="257"/>
        <v>81,9</v>
      </c>
      <c r="CN48" s="19" t="str">
        <f t="shared" si="257"/>
        <v>82,9</v>
      </c>
      <c r="CO48" s="19" t="str">
        <f t="shared" si="257"/>
        <v>83,9</v>
      </c>
      <c r="CP48" s="19" t="str">
        <f t="shared" si="257"/>
        <v>84,9</v>
      </c>
      <c r="CQ48" s="19" t="str">
        <f t="shared" si="257"/>
        <v>85,9</v>
      </c>
      <c r="CR48" s="19" t="str">
        <f t="shared" si="257"/>
        <v>86,9</v>
      </c>
      <c r="CS48" s="19" t="str">
        <f t="shared" si="258"/>
        <v>87,9</v>
      </c>
      <c r="CT48" s="19" t="str">
        <f t="shared" si="258"/>
        <v>88,9</v>
      </c>
      <c r="CU48" s="19" t="str">
        <f t="shared" si="258"/>
        <v>89,9</v>
      </c>
      <c r="CV48" s="19" t="str">
        <f t="shared" si="258"/>
        <v>90,9</v>
      </c>
      <c r="CW48" s="19" t="str">
        <f t="shared" si="258"/>
        <v>91,9</v>
      </c>
      <c r="CX48" s="19" t="str">
        <f t="shared" si="258"/>
        <v>92,9</v>
      </c>
      <c r="CY48" s="19" t="str">
        <f t="shared" si="258"/>
        <v>93,9</v>
      </c>
      <c r="CZ48" s="19" t="str">
        <f t="shared" si="258"/>
        <v>94,9</v>
      </c>
      <c r="DA48" s="19" t="str">
        <f t="shared" si="258"/>
        <v>95,9</v>
      </c>
      <c r="DB48" s="19" t="str">
        <f t="shared" si="258"/>
        <v>96,9</v>
      </c>
      <c r="DC48" s="19" t="str">
        <f t="shared" si="258"/>
        <v>97,9</v>
      </c>
      <c r="DD48" s="19" t="str">
        <f t="shared" si="258"/>
        <v>98,9</v>
      </c>
      <c r="DE48" s="19" t="str">
        <f t="shared" si="258"/>
        <v>99,9</v>
      </c>
      <c r="DF48" s="19" t="str">
        <f t="shared" si="258"/>
        <v>100,9</v>
      </c>
      <c r="DG48" s="16">
        <f t="shared" si="249"/>
        <v>9</v>
      </c>
      <c r="DH48" s="1"/>
      <c r="DI48" s="62">
        <v>1</v>
      </c>
      <c r="DJ48" s="62">
        <v>1</v>
      </c>
      <c r="DK48" s="62">
        <v>1</v>
      </c>
      <c r="DL48" s="62">
        <v>1</v>
      </c>
      <c r="DM48" s="62">
        <v>1</v>
      </c>
      <c r="DN48" s="62">
        <v>1</v>
      </c>
      <c r="DO48" s="62">
        <v>1</v>
      </c>
      <c r="DP48" s="62">
        <v>1</v>
      </c>
      <c r="DQ48" s="62">
        <v>1</v>
      </c>
      <c r="DR48" s="62">
        <v>1</v>
      </c>
      <c r="DS48" s="62">
        <v>1</v>
      </c>
      <c r="DT48" s="62">
        <v>1</v>
      </c>
      <c r="DU48" s="62">
        <v>1</v>
      </c>
      <c r="DV48" s="62">
        <v>1</v>
      </c>
      <c r="DW48" s="62">
        <v>1</v>
      </c>
      <c r="DX48" s="62">
        <v>1</v>
      </c>
      <c r="DY48" s="62">
        <v>1</v>
      </c>
      <c r="DZ48" s="62">
        <v>1</v>
      </c>
      <c r="EA48" s="62">
        <v>1</v>
      </c>
      <c r="EB48" s="62">
        <v>1</v>
      </c>
      <c r="EC48" s="62">
        <v>1</v>
      </c>
      <c r="ED48" s="62">
        <v>1</v>
      </c>
      <c r="EE48" s="62">
        <v>1</v>
      </c>
      <c r="EF48" s="62">
        <v>1</v>
      </c>
      <c r="EG48" s="62">
        <v>1</v>
      </c>
      <c r="EH48" s="62">
        <v>1</v>
      </c>
      <c r="EI48" s="62">
        <v>1</v>
      </c>
      <c r="EJ48" s="62">
        <v>1</v>
      </c>
      <c r="EK48" s="62">
        <v>1</v>
      </c>
      <c r="EL48" s="62">
        <v>1</v>
      </c>
      <c r="EM48" s="62">
        <v>1</v>
      </c>
      <c r="EN48" s="62">
        <v>1</v>
      </c>
      <c r="EO48" s="62">
        <v>1</v>
      </c>
      <c r="EP48" s="62">
        <v>1</v>
      </c>
      <c r="EQ48" s="62">
        <v>1</v>
      </c>
      <c r="ER48" s="62">
        <v>1</v>
      </c>
      <c r="ES48" s="62">
        <v>1</v>
      </c>
      <c r="ET48" s="62">
        <v>1</v>
      </c>
      <c r="EU48" s="62">
        <v>1</v>
      </c>
      <c r="EV48" s="62">
        <v>1</v>
      </c>
      <c r="EW48" s="62">
        <v>1</v>
      </c>
      <c r="EX48" s="62">
        <v>1</v>
      </c>
      <c r="EY48" s="62">
        <v>1</v>
      </c>
      <c r="EZ48" s="62">
        <v>1</v>
      </c>
      <c r="FA48" s="62">
        <v>1</v>
      </c>
      <c r="FB48" s="62">
        <v>1</v>
      </c>
      <c r="FC48" s="62">
        <v>1</v>
      </c>
      <c r="FD48" s="62">
        <v>1</v>
      </c>
      <c r="FE48" s="62">
        <v>1</v>
      </c>
      <c r="FF48" s="62">
        <v>-1</v>
      </c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2"/>
      <c r="FR48" s="2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ht="5.4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6">
        <f>COLUMN()</f>
        <v>10</v>
      </c>
      <c r="K49" s="19" t="str">
        <f t="shared" si="250"/>
        <v>1,10</v>
      </c>
      <c r="L49" s="19" t="str">
        <f t="shared" si="250"/>
        <v>2,10</v>
      </c>
      <c r="M49" s="19" t="str">
        <f t="shared" si="250"/>
        <v>3,10</v>
      </c>
      <c r="N49" s="19" t="str">
        <f t="shared" si="250"/>
        <v>4,10</v>
      </c>
      <c r="O49" s="19" t="str">
        <f t="shared" si="250"/>
        <v>5,10</v>
      </c>
      <c r="P49" s="19" t="str">
        <f t="shared" si="250"/>
        <v>6,10</v>
      </c>
      <c r="Q49" s="19" t="str">
        <f t="shared" si="250"/>
        <v>7,10</v>
      </c>
      <c r="R49" s="19" t="str">
        <f t="shared" si="250"/>
        <v>8,10</v>
      </c>
      <c r="S49" s="19" t="str">
        <f t="shared" si="250"/>
        <v>9,10</v>
      </c>
      <c r="T49" s="19" t="str">
        <f t="shared" si="250"/>
        <v>10,10</v>
      </c>
      <c r="U49" s="19" t="str">
        <f t="shared" si="251"/>
        <v>11,10</v>
      </c>
      <c r="V49" s="19" t="str">
        <f t="shared" si="251"/>
        <v>12,10</v>
      </c>
      <c r="W49" s="19" t="str">
        <f t="shared" si="251"/>
        <v>13,10</v>
      </c>
      <c r="X49" s="19" t="str">
        <f t="shared" si="251"/>
        <v>14,10</v>
      </c>
      <c r="Y49" s="19" t="str">
        <f t="shared" si="251"/>
        <v>15,10</v>
      </c>
      <c r="Z49" s="19" t="str">
        <f t="shared" si="251"/>
        <v>16,10</v>
      </c>
      <c r="AA49" s="19" t="str">
        <f t="shared" si="251"/>
        <v>17,10</v>
      </c>
      <c r="AB49" s="19" t="str">
        <f t="shared" si="251"/>
        <v>18,10</v>
      </c>
      <c r="AC49" s="19" t="str">
        <f t="shared" si="251"/>
        <v>19,10</v>
      </c>
      <c r="AD49" s="19" t="str">
        <f t="shared" si="251"/>
        <v>20,10</v>
      </c>
      <c r="AE49" s="19" t="str">
        <f t="shared" si="252"/>
        <v>21,10</v>
      </c>
      <c r="AF49" s="19" t="str">
        <f t="shared" si="252"/>
        <v>22,10</v>
      </c>
      <c r="AG49" s="19" t="str">
        <f t="shared" si="252"/>
        <v>23,10</v>
      </c>
      <c r="AH49" s="19" t="str">
        <f t="shared" si="252"/>
        <v>24,10</v>
      </c>
      <c r="AI49" s="19" t="str">
        <f t="shared" si="252"/>
        <v>25,10</v>
      </c>
      <c r="AJ49" s="19" t="str">
        <f t="shared" si="252"/>
        <v>26,10</v>
      </c>
      <c r="AK49" s="19" t="str">
        <f t="shared" si="252"/>
        <v>27,10</v>
      </c>
      <c r="AL49" s="19" t="str">
        <f t="shared" si="252"/>
        <v>28,10</v>
      </c>
      <c r="AM49" s="19" t="str">
        <f t="shared" si="252"/>
        <v>29,10</v>
      </c>
      <c r="AN49" s="19" t="str">
        <f t="shared" si="252"/>
        <v>30,10</v>
      </c>
      <c r="AO49" s="19" t="str">
        <f t="shared" si="252"/>
        <v>31,10</v>
      </c>
      <c r="AP49" s="19" t="str">
        <f t="shared" si="252"/>
        <v>32,10</v>
      </c>
      <c r="AQ49" s="19" t="str">
        <f t="shared" si="252"/>
        <v>33,10</v>
      </c>
      <c r="AR49" s="19" t="str">
        <f t="shared" si="252"/>
        <v>34,10</v>
      </c>
      <c r="AS49" s="19" t="str">
        <f t="shared" si="252"/>
        <v>35,10</v>
      </c>
      <c r="AT49" s="19" t="str">
        <f t="shared" si="259"/>
        <v>36,10</v>
      </c>
      <c r="AU49" s="19" t="str">
        <f t="shared" si="253"/>
        <v>37,10</v>
      </c>
      <c r="AV49" s="19" t="str">
        <f t="shared" si="253"/>
        <v>38,10</v>
      </c>
      <c r="AW49" s="19" t="str">
        <f t="shared" si="253"/>
        <v>39,10</v>
      </c>
      <c r="AX49" s="19" t="str">
        <f t="shared" si="253"/>
        <v>40,10</v>
      </c>
      <c r="AY49" s="19" t="str">
        <f t="shared" si="253"/>
        <v>41,10</v>
      </c>
      <c r="AZ49" s="19" t="str">
        <f t="shared" si="253"/>
        <v>42,10</v>
      </c>
      <c r="BA49" s="19" t="str">
        <f t="shared" si="253"/>
        <v>43,10</v>
      </c>
      <c r="BB49" s="19" t="str">
        <f t="shared" si="253"/>
        <v>44,10</v>
      </c>
      <c r="BC49" s="19" t="str">
        <f t="shared" si="253"/>
        <v>45,10</v>
      </c>
      <c r="BD49" s="19" t="str">
        <f t="shared" si="253"/>
        <v>46,10</v>
      </c>
      <c r="BE49" s="19" t="str">
        <f t="shared" si="254"/>
        <v>47,10</v>
      </c>
      <c r="BF49" s="19" t="str">
        <f t="shared" si="254"/>
        <v>48,10</v>
      </c>
      <c r="BG49" s="19" t="str">
        <f t="shared" si="254"/>
        <v>49,10</v>
      </c>
      <c r="BH49" s="19" t="str">
        <f t="shared" si="254"/>
        <v>50,10</v>
      </c>
      <c r="BI49" s="19" t="str">
        <f t="shared" si="254"/>
        <v>51,10</v>
      </c>
      <c r="BJ49" s="19" t="str">
        <f t="shared" si="254"/>
        <v>52,10</v>
      </c>
      <c r="BK49" s="19" t="str">
        <f t="shared" si="254"/>
        <v>53,10</v>
      </c>
      <c r="BL49" s="19" t="str">
        <f t="shared" si="254"/>
        <v>54,10</v>
      </c>
      <c r="BM49" s="19" t="str">
        <f t="shared" si="254"/>
        <v>55,10</v>
      </c>
      <c r="BN49" s="19" t="str">
        <f t="shared" si="254"/>
        <v>56,10</v>
      </c>
      <c r="BO49" s="19" t="str">
        <f t="shared" si="255"/>
        <v>57,10</v>
      </c>
      <c r="BP49" s="19" t="str">
        <f t="shared" si="255"/>
        <v>58,10</v>
      </c>
      <c r="BQ49" s="19" t="str">
        <f t="shared" si="255"/>
        <v>59,10</v>
      </c>
      <c r="BR49" s="19" t="str">
        <f t="shared" si="255"/>
        <v>60,10</v>
      </c>
      <c r="BS49" s="19" t="str">
        <f t="shared" si="255"/>
        <v>61,10</v>
      </c>
      <c r="BT49" s="19" t="str">
        <f t="shared" si="255"/>
        <v>62,10</v>
      </c>
      <c r="BU49" s="19" t="str">
        <f t="shared" si="255"/>
        <v>63,10</v>
      </c>
      <c r="BV49" s="19" t="str">
        <f t="shared" si="255"/>
        <v>64,10</v>
      </c>
      <c r="BW49" s="19" t="str">
        <f t="shared" si="255"/>
        <v>65,10</v>
      </c>
      <c r="BX49" s="19" t="str">
        <f t="shared" si="255"/>
        <v>66,10</v>
      </c>
      <c r="BY49" s="19" t="str">
        <f t="shared" si="256"/>
        <v>67,10</v>
      </c>
      <c r="BZ49" s="19" t="str">
        <f t="shared" si="256"/>
        <v>68,10</v>
      </c>
      <c r="CA49" s="19" t="str">
        <f t="shared" si="256"/>
        <v>69,10</v>
      </c>
      <c r="CB49" s="19" t="str">
        <f t="shared" si="256"/>
        <v>70,10</v>
      </c>
      <c r="CC49" s="19" t="str">
        <f t="shared" si="256"/>
        <v>71,10</v>
      </c>
      <c r="CD49" s="19" t="str">
        <f t="shared" si="256"/>
        <v>72,10</v>
      </c>
      <c r="CE49" s="19" t="str">
        <f t="shared" si="256"/>
        <v>73,10</v>
      </c>
      <c r="CF49" s="19" t="str">
        <f t="shared" si="256"/>
        <v>74,10</v>
      </c>
      <c r="CG49" s="19" t="str">
        <f t="shared" si="256"/>
        <v>75,10</v>
      </c>
      <c r="CH49" s="19" t="str">
        <f t="shared" si="256"/>
        <v>76,10</v>
      </c>
      <c r="CI49" s="19" t="str">
        <f t="shared" si="257"/>
        <v>77,10</v>
      </c>
      <c r="CJ49" s="19" t="str">
        <f t="shared" si="257"/>
        <v>78,10</v>
      </c>
      <c r="CK49" s="19" t="str">
        <f t="shared" si="257"/>
        <v>79,10</v>
      </c>
      <c r="CL49" s="19" t="str">
        <f t="shared" si="257"/>
        <v>80,10</v>
      </c>
      <c r="CM49" s="19" t="str">
        <f t="shared" si="257"/>
        <v>81,10</v>
      </c>
      <c r="CN49" s="19" t="str">
        <f t="shared" si="257"/>
        <v>82,10</v>
      </c>
      <c r="CO49" s="19" t="str">
        <f t="shared" si="257"/>
        <v>83,10</v>
      </c>
      <c r="CP49" s="19" t="str">
        <f t="shared" si="257"/>
        <v>84,10</v>
      </c>
      <c r="CQ49" s="19" t="str">
        <f t="shared" si="257"/>
        <v>85,10</v>
      </c>
      <c r="CR49" s="19" t="str">
        <f t="shared" si="257"/>
        <v>86,10</v>
      </c>
      <c r="CS49" s="19" t="str">
        <f t="shared" si="258"/>
        <v>87,10</v>
      </c>
      <c r="CT49" s="19" t="str">
        <f t="shared" si="258"/>
        <v>88,10</v>
      </c>
      <c r="CU49" s="19" t="str">
        <f t="shared" si="258"/>
        <v>89,10</v>
      </c>
      <c r="CV49" s="19" t="str">
        <f t="shared" si="258"/>
        <v>90,10</v>
      </c>
      <c r="CW49" s="19" t="str">
        <f t="shared" si="258"/>
        <v>91,10</v>
      </c>
      <c r="CX49" s="19" t="str">
        <f t="shared" si="258"/>
        <v>92,10</v>
      </c>
      <c r="CY49" s="19" t="str">
        <f t="shared" si="258"/>
        <v>93,10</v>
      </c>
      <c r="CZ49" s="19" t="str">
        <f t="shared" si="258"/>
        <v>94,10</v>
      </c>
      <c r="DA49" s="19" t="str">
        <f t="shared" si="258"/>
        <v>95,10</v>
      </c>
      <c r="DB49" s="19" t="str">
        <f t="shared" si="258"/>
        <v>96,10</v>
      </c>
      <c r="DC49" s="19" t="str">
        <f t="shared" si="258"/>
        <v>97,10</v>
      </c>
      <c r="DD49" s="19" t="str">
        <f t="shared" si="258"/>
        <v>98,10</v>
      </c>
      <c r="DE49" s="19" t="str">
        <f t="shared" si="258"/>
        <v>99,10</v>
      </c>
      <c r="DF49" s="19" t="str">
        <f t="shared" si="258"/>
        <v>100,10</v>
      </c>
      <c r="DG49" s="16">
        <f t="shared" si="249"/>
        <v>10</v>
      </c>
      <c r="DH49" s="1"/>
      <c r="DI49" s="62">
        <v>1</v>
      </c>
      <c r="DJ49" s="62">
        <v>1</v>
      </c>
      <c r="DK49" s="62">
        <v>1</v>
      </c>
      <c r="DL49" s="62">
        <v>1</v>
      </c>
      <c r="DM49" s="62">
        <v>1</v>
      </c>
      <c r="DN49" s="62">
        <v>1</v>
      </c>
      <c r="DO49" s="62">
        <v>1</v>
      </c>
      <c r="DP49" s="62">
        <v>1</v>
      </c>
      <c r="DQ49" s="62">
        <v>1</v>
      </c>
      <c r="DR49" s="62">
        <v>1</v>
      </c>
      <c r="DS49" s="62">
        <v>1</v>
      </c>
      <c r="DT49" s="62">
        <v>1</v>
      </c>
      <c r="DU49" s="62">
        <v>1</v>
      </c>
      <c r="DV49" s="62">
        <v>1</v>
      </c>
      <c r="DW49" s="62">
        <v>1</v>
      </c>
      <c r="DX49" s="62">
        <v>1</v>
      </c>
      <c r="DY49" s="62">
        <v>1</v>
      </c>
      <c r="DZ49" s="62">
        <v>1</v>
      </c>
      <c r="EA49" s="62">
        <v>1</v>
      </c>
      <c r="EB49" s="62">
        <v>1</v>
      </c>
      <c r="EC49" s="62">
        <v>1</v>
      </c>
      <c r="ED49" s="62">
        <v>1</v>
      </c>
      <c r="EE49" s="62">
        <v>1</v>
      </c>
      <c r="EF49" s="62">
        <v>1</v>
      </c>
      <c r="EG49" s="62">
        <v>1</v>
      </c>
      <c r="EH49" s="62">
        <v>1</v>
      </c>
      <c r="EI49" s="62">
        <v>1</v>
      </c>
      <c r="EJ49" s="62">
        <v>1</v>
      </c>
      <c r="EK49" s="62">
        <v>1</v>
      </c>
      <c r="EL49" s="62">
        <v>1</v>
      </c>
      <c r="EM49" s="62">
        <v>1</v>
      </c>
      <c r="EN49" s="62">
        <v>1</v>
      </c>
      <c r="EO49" s="62">
        <v>1</v>
      </c>
      <c r="EP49" s="62">
        <v>1</v>
      </c>
      <c r="EQ49" s="62">
        <v>1</v>
      </c>
      <c r="ER49" s="62">
        <v>1</v>
      </c>
      <c r="ES49" s="62">
        <v>1</v>
      </c>
      <c r="ET49" s="62">
        <v>1</v>
      </c>
      <c r="EU49" s="62">
        <v>1</v>
      </c>
      <c r="EV49" s="62">
        <v>1</v>
      </c>
      <c r="EW49" s="62">
        <v>1</v>
      </c>
      <c r="EX49" s="62">
        <v>1</v>
      </c>
      <c r="EY49" s="62">
        <v>1</v>
      </c>
      <c r="EZ49" s="62">
        <v>1</v>
      </c>
      <c r="FA49" s="62">
        <v>1</v>
      </c>
      <c r="FB49" s="62">
        <v>1</v>
      </c>
      <c r="FC49" s="62">
        <v>1</v>
      </c>
      <c r="FD49" s="62">
        <v>1</v>
      </c>
      <c r="FE49" s="62">
        <v>1</v>
      </c>
      <c r="FF49" s="62">
        <v>-1</v>
      </c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ht="5.45" customHeight="1" x14ac:dyDescent="0.25">
      <c r="A50" s="1"/>
      <c r="B50" s="22" t="s">
        <v>59</v>
      </c>
      <c r="C50" s="22"/>
      <c r="D50" s="22" t="s">
        <v>57</v>
      </c>
      <c r="E50" s="22"/>
      <c r="F50" s="1"/>
      <c r="G50" s="1"/>
      <c r="H50" s="1"/>
      <c r="I50" s="1"/>
      <c r="J50" s="16">
        <f>COLUMN()</f>
        <v>10</v>
      </c>
      <c r="K50" s="19" t="str">
        <f t="shared" si="250"/>
        <v>1,11</v>
      </c>
      <c r="L50" s="19" t="str">
        <f t="shared" si="250"/>
        <v>2,11</v>
      </c>
      <c r="M50" s="19" t="str">
        <f t="shared" si="250"/>
        <v>3,11</v>
      </c>
      <c r="N50" s="19" t="str">
        <f t="shared" si="250"/>
        <v>4,11</v>
      </c>
      <c r="O50" s="19" t="str">
        <f t="shared" si="250"/>
        <v>5,11</v>
      </c>
      <c r="P50" s="19" t="str">
        <f t="shared" si="250"/>
        <v>6,11</v>
      </c>
      <c r="Q50" s="19" t="str">
        <f t="shared" si="250"/>
        <v>7,11</v>
      </c>
      <c r="R50" s="19" t="str">
        <f t="shared" si="250"/>
        <v>8,11</v>
      </c>
      <c r="S50" s="19" t="str">
        <f t="shared" si="250"/>
        <v>9,11</v>
      </c>
      <c r="T50" s="19" t="str">
        <f t="shared" si="250"/>
        <v>10,11</v>
      </c>
      <c r="U50" s="19" t="str">
        <f t="shared" si="251"/>
        <v>11,11</v>
      </c>
      <c r="V50" s="19" t="str">
        <f t="shared" si="251"/>
        <v>12,11</v>
      </c>
      <c r="W50" s="19" t="str">
        <f t="shared" si="251"/>
        <v>13,11</v>
      </c>
      <c r="X50" s="19" t="str">
        <f t="shared" si="251"/>
        <v>14,11</v>
      </c>
      <c r="Y50" s="19" t="str">
        <f t="shared" si="251"/>
        <v>15,11</v>
      </c>
      <c r="Z50" s="19" t="str">
        <f t="shared" si="251"/>
        <v>16,11</v>
      </c>
      <c r="AA50" s="19" t="str">
        <f t="shared" si="251"/>
        <v>17,11</v>
      </c>
      <c r="AB50" s="19" t="str">
        <f t="shared" si="251"/>
        <v>18,11</v>
      </c>
      <c r="AC50" s="19" t="str">
        <f t="shared" si="251"/>
        <v>19,11</v>
      </c>
      <c r="AD50" s="19" t="str">
        <f t="shared" si="251"/>
        <v>20,11</v>
      </c>
      <c r="AE50" s="19" t="str">
        <f t="shared" si="252"/>
        <v>21,11</v>
      </c>
      <c r="AF50" s="19" t="str">
        <f t="shared" si="252"/>
        <v>22,11</v>
      </c>
      <c r="AG50" s="19" t="str">
        <f t="shared" si="252"/>
        <v>23,11</v>
      </c>
      <c r="AH50" s="19" t="str">
        <f t="shared" si="252"/>
        <v>24,11</v>
      </c>
      <c r="AI50" s="19" t="str">
        <f t="shared" si="252"/>
        <v>25,11</v>
      </c>
      <c r="AJ50" s="19" t="str">
        <f t="shared" si="252"/>
        <v>26,11</v>
      </c>
      <c r="AK50" s="19" t="str">
        <f t="shared" si="252"/>
        <v>27,11</v>
      </c>
      <c r="AL50" s="19" t="str">
        <f t="shared" si="252"/>
        <v>28,11</v>
      </c>
      <c r="AM50" s="19" t="str">
        <f t="shared" si="252"/>
        <v>29,11</v>
      </c>
      <c r="AN50" s="19" t="str">
        <f t="shared" si="252"/>
        <v>30,11</v>
      </c>
      <c r="AO50" s="19" t="str">
        <f t="shared" si="252"/>
        <v>31,11</v>
      </c>
      <c r="AP50" s="19" t="str">
        <f t="shared" si="252"/>
        <v>32,11</v>
      </c>
      <c r="AQ50" s="19" t="str">
        <f t="shared" si="252"/>
        <v>33,11</v>
      </c>
      <c r="AR50" s="19" t="str">
        <f t="shared" si="252"/>
        <v>34,11</v>
      </c>
      <c r="AS50" s="19" t="str">
        <f t="shared" si="252"/>
        <v>35,11</v>
      </c>
      <c r="AT50" s="19" t="str">
        <f t="shared" si="259"/>
        <v>36,11</v>
      </c>
      <c r="AU50" s="19" t="str">
        <f t="shared" si="253"/>
        <v>37,11</v>
      </c>
      <c r="AV50" s="19" t="str">
        <f t="shared" si="253"/>
        <v>38,11</v>
      </c>
      <c r="AW50" s="19" t="str">
        <f t="shared" si="253"/>
        <v>39,11</v>
      </c>
      <c r="AX50" s="19" t="str">
        <f t="shared" si="253"/>
        <v>40,11</v>
      </c>
      <c r="AY50" s="19" t="str">
        <f t="shared" si="253"/>
        <v>41,11</v>
      </c>
      <c r="AZ50" s="19" t="str">
        <f t="shared" si="253"/>
        <v>42,11</v>
      </c>
      <c r="BA50" s="19" t="str">
        <f t="shared" si="253"/>
        <v>43,11</v>
      </c>
      <c r="BB50" s="19" t="str">
        <f t="shared" si="253"/>
        <v>44,11</v>
      </c>
      <c r="BC50" s="19" t="str">
        <f t="shared" si="253"/>
        <v>45,11</v>
      </c>
      <c r="BD50" s="19" t="str">
        <f t="shared" si="253"/>
        <v>46,11</v>
      </c>
      <c r="BE50" s="19" t="str">
        <f t="shared" si="254"/>
        <v>47,11</v>
      </c>
      <c r="BF50" s="19" t="str">
        <f t="shared" si="254"/>
        <v>48,11</v>
      </c>
      <c r="BG50" s="19" t="str">
        <f t="shared" si="254"/>
        <v>49,11</v>
      </c>
      <c r="BH50" s="19" t="str">
        <f t="shared" si="254"/>
        <v>50,11</v>
      </c>
      <c r="BI50" s="19" t="str">
        <f t="shared" si="254"/>
        <v>51,11</v>
      </c>
      <c r="BJ50" s="19" t="str">
        <f t="shared" si="254"/>
        <v>52,11</v>
      </c>
      <c r="BK50" s="19" t="str">
        <f t="shared" si="254"/>
        <v>53,11</v>
      </c>
      <c r="BL50" s="19" t="str">
        <f t="shared" si="254"/>
        <v>54,11</v>
      </c>
      <c r="BM50" s="19" t="str">
        <f t="shared" si="254"/>
        <v>55,11</v>
      </c>
      <c r="BN50" s="19" t="str">
        <f t="shared" si="254"/>
        <v>56,11</v>
      </c>
      <c r="BO50" s="19" t="str">
        <f t="shared" si="255"/>
        <v>57,11</v>
      </c>
      <c r="BP50" s="19" t="str">
        <f t="shared" si="255"/>
        <v>58,11</v>
      </c>
      <c r="BQ50" s="19" t="str">
        <f t="shared" si="255"/>
        <v>59,11</v>
      </c>
      <c r="BR50" s="19" t="str">
        <f t="shared" si="255"/>
        <v>60,11</v>
      </c>
      <c r="BS50" s="19" t="str">
        <f t="shared" si="255"/>
        <v>61,11</v>
      </c>
      <c r="BT50" s="19" t="str">
        <f t="shared" si="255"/>
        <v>62,11</v>
      </c>
      <c r="BU50" s="19" t="str">
        <f t="shared" si="255"/>
        <v>63,11</v>
      </c>
      <c r="BV50" s="19" t="str">
        <f t="shared" si="255"/>
        <v>64,11</v>
      </c>
      <c r="BW50" s="19" t="str">
        <f t="shared" si="255"/>
        <v>65,11</v>
      </c>
      <c r="BX50" s="19" t="str">
        <f t="shared" si="255"/>
        <v>66,11</v>
      </c>
      <c r="BY50" s="19" t="str">
        <f t="shared" si="256"/>
        <v>67,11</v>
      </c>
      <c r="BZ50" s="19" t="str">
        <f t="shared" si="256"/>
        <v>68,11</v>
      </c>
      <c r="CA50" s="19" t="str">
        <f t="shared" si="256"/>
        <v>69,11</v>
      </c>
      <c r="CB50" s="19" t="str">
        <f t="shared" si="256"/>
        <v>70,11</v>
      </c>
      <c r="CC50" s="19" t="str">
        <f t="shared" si="256"/>
        <v>71,11</v>
      </c>
      <c r="CD50" s="19" t="str">
        <f t="shared" si="256"/>
        <v>72,11</v>
      </c>
      <c r="CE50" s="19" t="str">
        <f t="shared" si="256"/>
        <v>73,11</v>
      </c>
      <c r="CF50" s="19" t="str">
        <f t="shared" si="256"/>
        <v>74,11</v>
      </c>
      <c r="CG50" s="19" t="str">
        <f t="shared" si="256"/>
        <v>75,11</v>
      </c>
      <c r="CH50" s="19" t="str">
        <f t="shared" si="256"/>
        <v>76,11</v>
      </c>
      <c r="CI50" s="19" t="str">
        <f t="shared" si="257"/>
        <v>77,11</v>
      </c>
      <c r="CJ50" s="19" t="str">
        <f t="shared" si="257"/>
        <v>78,11</v>
      </c>
      <c r="CK50" s="19" t="str">
        <f t="shared" si="257"/>
        <v>79,11</v>
      </c>
      <c r="CL50" s="19" t="str">
        <f t="shared" si="257"/>
        <v>80,11</v>
      </c>
      <c r="CM50" s="19" t="str">
        <f t="shared" si="257"/>
        <v>81,11</v>
      </c>
      <c r="CN50" s="19" t="str">
        <f t="shared" si="257"/>
        <v>82,11</v>
      </c>
      <c r="CO50" s="19" t="str">
        <f t="shared" si="257"/>
        <v>83,11</v>
      </c>
      <c r="CP50" s="19" t="str">
        <f t="shared" si="257"/>
        <v>84,11</v>
      </c>
      <c r="CQ50" s="19" t="str">
        <f t="shared" si="257"/>
        <v>85,11</v>
      </c>
      <c r="CR50" s="19" t="str">
        <f t="shared" si="257"/>
        <v>86,11</v>
      </c>
      <c r="CS50" s="19" t="str">
        <f t="shared" si="258"/>
        <v>87,11</v>
      </c>
      <c r="CT50" s="19" t="str">
        <f t="shared" si="258"/>
        <v>88,11</v>
      </c>
      <c r="CU50" s="19" t="str">
        <f t="shared" si="258"/>
        <v>89,11</v>
      </c>
      <c r="CV50" s="19" t="str">
        <f t="shared" si="258"/>
        <v>90,11</v>
      </c>
      <c r="CW50" s="19" t="str">
        <f t="shared" si="258"/>
        <v>91,11</v>
      </c>
      <c r="CX50" s="19" t="str">
        <f t="shared" si="258"/>
        <v>92,11</v>
      </c>
      <c r="CY50" s="19" t="str">
        <f t="shared" si="258"/>
        <v>93,11</v>
      </c>
      <c r="CZ50" s="19" t="str">
        <f t="shared" si="258"/>
        <v>94,11</v>
      </c>
      <c r="DA50" s="19" t="str">
        <f t="shared" si="258"/>
        <v>95,11</v>
      </c>
      <c r="DB50" s="19" t="str">
        <f t="shared" si="258"/>
        <v>96,11</v>
      </c>
      <c r="DC50" s="19" t="str">
        <f t="shared" si="258"/>
        <v>97,11</v>
      </c>
      <c r="DD50" s="19" t="str">
        <f t="shared" si="258"/>
        <v>98,11</v>
      </c>
      <c r="DE50" s="19" t="str">
        <f t="shared" si="258"/>
        <v>99,11</v>
      </c>
      <c r="DF50" s="19" t="str">
        <f t="shared" si="258"/>
        <v>100,11</v>
      </c>
      <c r="DG50" s="16">
        <f t="shared" si="249"/>
        <v>11</v>
      </c>
      <c r="DH50" s="1"/>
      <c r="DI50" s="62">
        <v>1</v>
      </c>
      <c r="DJ50" s="62">
        <v>1</v>
      </c>
      <c r="DK50" s="62">
        <v>1</v>
      </c>
      <c r="DL50" s="62">
        <v>1</v>
      </c>
      <c r="DM50" s="62">
        <v>1</v>
      </c>
      <c r="DN50" s="62">
        <v>1</v>
      </c>
      <c r="DO50" s="62">
        <v>1</v>
      </c>
      <c r="DP50" s="62">
        <v>1</v>
      </c>
      <c r="DQ50" s="62">
        <v>1</v>
      </c>
      <c r="DR50" s="62">
        <v>1</v>
      </c>
      <c r="DS50" s="62">
        <v>1</v>
      </c>
      <c r="DT50" s="62">
        <v>1</v>
      </c>
      <c r="DU50" s="62">
        <v>1</v>
      </c>
      <c r="DV50" s="62">
        <v>1</v>
      </c>
      <c r="DW50" s="62">
        <v>1</v>
      </c>
      <c r="DX50" s="62">
        <v>1</v>
      </c>
      <c r="DY50" s="62">
        <v>1</v>
      </c>
      <c r="DZ50" s="62">
        <v>1</v>
      </c>
      <c r="EA50" s="62">
        <v>1</v>
      </c>
      <c r="EB50" s="62">
        <v>1</v>
      </c>
      <c r="EC50" s="62">
        <v>1</v>
      </c>
      <c r="ED50" s="62">
        <v>1</v>
      </c>
      <c r="EE50" s="62">
        <v>1</v>
      </c>
      <c r="EF50" s="62">
        <v>1</v>
      </c>
      <c r="EG50" s="62">
        <v>1</v>
      </c>
      <c r="EH50" s="62">
        <v>1</v>
      </c>
      <c r="EI50" s="62">
        <v>1</v>
      </c>
      <c r="EJ50" s="62">
        <v>1</v>
      </c>
      <c r="EK50" s="62">
        <v>1</v>
      </c>
      <c r="EL50" s="62">
        <v>1</v>
      </c>
      <c r="EM50" s="62">
        <v>1</v>
      </c>
      <c r="EN50" s="62">
        <v>1</v>
      </c>
      <c r="EO50" s="62">
        <v>1</v>
      </c>
      <c r="EP50" s="62">
        <v>1</v>
      </c>
      <c r="EQ50" s="62">
        <v>1</v>
      </c>
      <c r="ER50" s="62">
        <v>1</v>
      </c>
      <c r="ES50" s="62">
        <v>1</v>
      </c>
      <c r="ET50" s="62">
        <v>1</v>
      </c>
      <c r="EU50" s="62">
        <v>1</v>
      </c>
      <c r="EV50" s="62">
        <v>1</v>
      </c>
      <c r="EW50" s="62">
        <v>1</v>
      </c>
      <c r="EX50" s="62">
        <v>1</v>
      </c>
      <c r="EY50" s="62">
        <v>1</v>
      </c>
      <c r="EZ50" s="62">
        <v>1</v>
      </c>
      <c r="FA50" s="62">
        <v>1</v>
      </c>
      <c r="FB50" s="62">
        <v>1</v>
      </c>
      <c r="FC50" s="62">
        <v>1</v>
      </c>
      <c r="FD50" s="62">
        <v>1</v>
      </c>
      <c r="FE50" s="62">
        <v>1</v>
      </c>
      <c r="FF50" s="62">
        <v>-1</v>
      </c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ht="5.4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6">
        <f>COLUMN()</f>
        <v>10</v>
      </c>
      <c r="K51" s="19" t="str">
        <f t="shared" si="250"/>
        <v>1,12</v>
      </c>
      <c r="L51" s="19" t="str">
        <f t="shared" si="250"/>
        <v>2,12</v>
      </c>
      <c r="M51" s="19" t="str">
        <f t="shared" si="250"/>
        <v>3,12</v>
      </c>
      <c r="N51" s="19" t="str">
        <f t="shared" si="250"/>
        <v>4,12</v>
      </c>
      <c r="O51" s="19" t="str">
        <f t="shared" si="250"/>
        <v>5,12</v>
      </c>
      <c r="P51" s="19" t="str">
        <f t="shared" si="250"/>
        <v>6,12</v>
      </c>
      <c r="Q51" s="19" t="str">
        <f t="shared" si="250"/>
        <v>7,12</v>
      </c>
      <c r="R51" s="19" t="str">
        <f t="shared" si="250"/>
        <v>8,12</v>
      </c>
      <c r="S51" s="19" t="str">
        <f t="shared" si="250"/>
        <v>9,12</v>
      </c>
      <c r="T51" s="19" t="str">
        <f t="shared" si="250"/>
        <v>10,12</v>
      </c>
      <c r="U51" s="19" t="str">
        <f t="shared" si="251"/>
        <v>11,12</v>
      </c>
      <c r="V51" s="19" t="str">
        <f t="shared" si="251"/>
        <v>12,12</v>
      </c>
      <c r="W51" s="19" t="str">
        <f t="shared" si="251"/>
        <v>13,12</v>
      </c>
      <c r="X51" s="19" t="str">
        <f t="shared" si="251"/>
        <v>14,12</v>
      </c>
      <c r="Y51" s="19" t="str">
        <f t="shared" si="251"/>
        <v>15,12</v>
      </c>
      <c r="Z51" s="19" t="str">
        <f t="shared" si="251"/>
        <v>16,12</v>
      </c>
      <c r="AA51" s="19" t="str">
        <f t="shared" si="251"/>
        <v>17,12</v>
      </c>
      <c r="AB51" s="19" t="str">
        <f t="shared" si="251"/>
        <v>18,12</v>
      </c>
      <c r="AC51" s="19" t="str">
        <f t="shared" si="251"/>
        <v>19,12</v>
      </c>
      <c r="AD51" s="19" t="str">
        <f t="shared" si="251"/>
        <v>20,12</v>
      </c>
      <c r="AE51" s="19" t="str">
        <f t="shared" si="252"/>
        <v>21,12</v>
      </c>
      <c r="AF51" s="19" t="str">
        <f t="shared" si="252"/>
        <v>22,12</v>
      </c>
      <c r="AG51" s="19" t="str">
        <f t="shared" si="252"/>
        <v>23,12</v>
      </c>
      <c r="AH51" s="19" t="str">
        <f t="shared" si="252"/>
        <v>24,12</v>
      </c>
      <c r="AI51" s="19" t="str">
        <f t="shared" si="252"/>
        <v>25,12</v>
      </c>
      <c r="AJ51" s="19" t="str">
        <f t="shared" si="252"/>
        <v>26,12</v>
      </c>
      <c r="AK51" s="19" t="str">
        <f t="shared" si="252"/>
        <v>27,12</v>
      </c>
      <c r="AL51" s="19" t="str">
        <f t="shared" si="252"/>
        <v>28,12</v>
      </c>
      <c r="AM51" s="19" t="str">
        <f t="shared" si="252"/>
        <v>29,12</v>
      </c>
      <c r="AN51" s="19" t="str">
        <f t="shared" si="252"/>
        <v>30,12</v>
      </c>
      <c r="AO51" s="19" t="str">
        <f t="shared" si="252"/>
        <v>31,12</v>
      </c>
      <c r="AP51" s="19" t="str">
        <f t="shared" si="252"/>
        <v>32,12</v>
      </c>
      <c r="AQ51" s="19" t="str">
        <f t="shared" si="252"/>
        <v>33,12</v>
      </c>
      <c r="AR51" s="19" t="str">
        <f t="shared" si="252"/>
        <v>34,12</v>
      </c>
      <c r="AS51" s="19" t="str">
        <f t="shared" si="252"/>
        <v>35,12</v>
      </c>
      <c r="AT51" s="19" t="str">
        <f t="shared" si="259"/>
        <v>36,12</v>
      </c>
      <c r="AU51" s="19" t="str">
        <f t="shared" si="253"/>
        <v>37,12</v>
      </c>
      <c r="AV51" s="19" t="str">
        <f t="shared" si="253"/>
        <v>38,12</v>
      </c>
      <c r="AW51" s="19" t="str">
        <f t="shared" si="253"/>
        <v>39,12</v>
      </c>
      <c r="AX51" s="19" t="str">
        <f t="shared" si="253"/>
        <v>40,12</v>
      </c>
      <c r="AY51" s="19" t="str">
        <f t="shared" si="253"/>
        <v>41,12</v>
      </c>
      <c r="AZ51" s="19" t="str">
        <f t="shared" si="253"/>
        <v>42,12</v>
      </c>
      <c r="BA51" s="19" t="str">
        <f t="shared" si="253"/>
        <v>43,12</v>
      </c>
      <c r="BB51" s="19" t="str">
        <f t="shared" si="253"/>
        <v>44,12</v>
      </c>
      <c r="BC51" s="19" t="str">
        <f t="shared" si="253"/>
        <v>45,12</v>
      </c>
      <c r="BD51" s="19" t="str">
        <f t="shared" si="253"/>
        <v>46,12</v>
      </c>
      <c r="BE51" s="19" t="str">
        <f t="shared" si="254"/>
        <v>47,12</v>
      </c>
      <c r="BF51" s="19" t="str">
        <f t="shared" si="254"/>
        <v>48,12</v>
      </c>
      <c r="BG51" s="19" t="str">
        <f t="shared" si="254"/>
        <v>49,12</v>
      </c>
      <c r="BH51" s="19" t="str">
        <f t="shared" si="254"/>
        <v>50,12</v>
      </c>
      <c r="BI51" s="19" t="str">
        <f t="shared" si="254"/>
        <v>51,12</v>
      </c>
      <c r="BJ51" s="19" t="str">
        <f t="shared" si="254"/>
        <v>52,12</v>
      </c>
      <c r="BK51" s="19" t="str">
        <f t="shared" si="254"/>
        <v>53,12</v>
      </c>
      <c r="BL51" s="19" t="str">
        <f t="shared" si="254"/>
        <v>54,12</v>
      </c>
      <c r="BM51" s="19" t="str">
        <f t="shared" si="254"/>
        <v>55,12</v>
      </c>
      <c r="BN51" s="19" t="str">
        <f t="shared" si="254"/>
        <v>56,12</v>
      </c>
      <c r="BO51" s="19" t="str">
        <f t="shared" si="255"/>
        <v>57,12</v>
      </c>
      <c r="BP51" s="19" t="str">
        <f t="shared" si="255"/>
        <v>58,12</v>
      </c>
      <c r="BQ51" s="19" t="str">
        <f t="shared" si="255"/>
        <v>59,12</v>
      </c>
      <c r="BR51" s="19" t="str">
        <f t="shared" si="255"/>
        <v>60,12</v>
      </c>
      <c r="BS51" s="19" t="str">
        <f t="shared" si="255"/>
        <v>61,12</v>
      </c>
      <c r="BT51" s="19" t="str">
        <f t="shared" si="255"/>
        <v>62,12</v>
      </c>
      <c r="BU51" s="19" t="str">
        <f t="shared" si="255"/>
        <v>63,12</v>
      </c>
      <c r="BV51" s="19" t="str">
        <f t="shared" si="255"/>
        <v>64,12</v>
      </c>
      <c r="BW51" s="19" t="str">
        <f t="shared" si="255"/>
        <v>65,12</v>
      </c>
      <c r="BX51" s="19" t="str">
        <f t="shared" si="255"/>
        <v>66,12</v>
      </c>
      <c r="BY51" s="19" t="str">
        <f t="shared" si="256"/>
        <v>67,12</v>
      </c>
      <c r="BZ51" s="19" t="str">
        <f t="shared" si="256"/>
        <v>68,12</v>
      </c>
      <c r="CA51" s="19" t="str">
        <f t="shared" si="256"/>
        <v>69,12</v>
      </c>
      <c r="CB51" s="19" t="str">
        <f t="shared" si="256"/>
        <v>70,12</v>
      </c>
      <c r="CC51" s="19" t="str">
        <f t="shared" si="256"/>
        <v>71,12</v>
      </c>
      <c r="CD51" s="19" t="str">
        <f t="shared" si="256"/>
        <v>72,12</v>
      </c>
      <c r="CE51" s="19" t="str">
        <f t="shared" si="256"/>
        <v>73,12</v>
      </c>
      <c r="CF51" s="19" t="str">
        <f t="shared" si="256"/>
        <v>74,12</v>
      </c>
      <c r="CG51" s="19" t="str">
        <f t="shared" si="256"/>
        <v>75,12</v>
      </c>
      <c r="CH51" s="19" t="str">
        <f t="shared" si="256"/>
        <v>76,12</v>
      </c>
      <c r="CI51" s="19" t="str">
        <f t="shared" si="257"/>
        <v>77,12</v>
      </c>
      <c r="CJ51" s="19" t="str">
        <f t="shared" si="257"/>
        <v>78,12</v>
      </c>
      <c r="CK51" s="19" t="str">
        <f t="shared" si="257"/>
        <v>79,12</v>
      </c>
      <c r="CL51" s="19" t="str">
        <f t="shared" si="257"/>
        <v>80,12</v>
      </c>
      <c r="CM51" s="19" t="str">
        <f t="shared" si="257"/>
        <v>81,12</v>
      </c>
      <c r="CN51" s="19" t="str">
        <f t="shared" si="257"/>
        <v>82,12</v>
      </c>
      <c r="CO51" s="19" t="str">
        <f t="shared" si="257"/>
        <v>83,12</v>
      </c>
      <c r="CP51" s="19" t="str">
        <f t="shared" si="257"/>
        <v>84,12</v>
      </c>
      <c r="CQ51" s="19" t="str">
        <f t="shared" si="257"/>
        <v>85,12</v>
      </c>
      <c r="CR51" s="19" t="str">
        <f t="shared" si="257"/>
        <v>86,12</v>
      </c>
      <c r="CS51" s="19" t="str">
        <f t="shared" si="258"/>
        <v>87,12</v>
      </c>
      <c r="CT51" s="19" t="str">
        <f t="shared" si="258"/>
        <v>88,12</v>
      </c>
      <c r="CU51" s="19" t="str">
        <f t="shared" si="258"/>
        <v>89,12</v>
      </c>
      <c r="CV51" s="19" t="str">
        <f t="shared" si="258"/>
        <v>90,12</v>
      </c>
      <c r="CW51" s="19" t="str">
        <f t="shared" si="258"/>
        <v>91,12</v>
      </c>
      <c r="CX51" s="19" t="str">
        <f t="shared" si="258"/>
        <v>92,12</v>
      </c>
      <c r="CY51" s="19" t="str">
        <f t="shared" si="258"/>
        <v>93,12</v>
      </c>
      <c r="CZ51" s="19" t="str">
        <f t="shared" si="258"/>
        <v>94,12</v>
      </c>
      <c r="DA51" s="19" t="str">
        <f t="shared" si="258"/>
        <v>95,12</v>
      </c>
      <c r="DB51" s="19" t="str">
        <f t="shared" si="258"/>
        <v>96,12</v>
      </c>
      <c r="DC51" s="19" t="str">
        <f t="shared" si="258"/>
        <v>97,12</v>
      </c>
      <c r="DD51" s="19" t="str">
        <f t="shared" si="258"/>
        <v>98,12</v>
      </c>
      <c r="DE51" s="19" t="str">
        <f t="shared" si="258"/>
        <v>99,12</v>
      </c>
      <c r="DF51" s="19" t="str">
        <f t="shared" si="258"/>
        <v>100,12</v>
      </c>
      <c r="DG51" s="16">
        <f t="shared" si="249"/>
        <v>12</v>
      </c>
      <c r="DH51" s="1"/>
      <c r="DI51" s="62">
        <v>1</v>
      </c>
      <c r="DJ51" s="62">
        <v>1</v>
      </c>
      <c r="DK51" s="62">
        <v>1</v>
      </c>
      <c r="DL51" s="62">
        <v>1</v>
      </c>
      <c r="DM51" s="62">
        <v>1</v>
      </c>
      <c r="DN51" s="62">
        <v>1</v>
      </c>
      <c r="DO51" s="62">
        <v>1</v>
      </c>
      <c r="DP51" s="62">
        <v>1</v>
      </c>
      <c r="DQ51" s="62">
        <v>1</v>
      </c>
      <c r="DR51" s="62">
        <v>1</v>
      </c>
      <c r="DS51" s="62">
        <v>1</v>
      </c>
      <c r="DT51" s="62">
        <v>1</v>
      </c>
      <c r="DU51" s="62">
        <v>1</v>
      </c>
      <c r="DV51" s="62">
        <v>1</v>
      </c>
      <c r="DW51" s="62">
        <v>1</v>
      </c>
      <c r="DX51" s="62">
        <v>1</v>
      </c>
      <c r="DY51" s="62">
        <v>1</v>
      </c>
      <c r="DZ51" s="62">
        <v>1</v>
      </c>
      <c r="EA51" s="62">
        <v>1</v>
      </c>
      <c r="EB51" s="62">
        <v>1</v>
      </c>
      <c r="EC51" s="62">
        <v>1</v>
      </c>
      <c r="ED51" s="62">
        <v>1</v>
      </c>
      <c r="EE51" s="62">
        <v>1</v>
      </c>
      <c r="EF51" s="62">
        <v>1</v>
      </c>
      <c r="EG51" s="62">
        <v>1</v>
      </c>
      <c r="EH51" s="62">
        <v>1</v>
      </c>
      <c r="EI51" s="62">
        <v>1</v>
      </c>
      <c r="EJ51" s="62">
        <v>1</v>
      </c>
      <c r="EK51" s="62">
        <v>1</v>
      </c>
      <c r="EL51" s="62">
        <v>1</v>
      </c>
      <c r="EM51" s="62">
        <v>1</v>
      </c>
      <c r="EN51" s="62">
        <v>1</v>
      </c>
      <c r="EO51" s="62">
        <v>1</v>
      </c>
      <c r="EP51" s="62">
        <v>1</v>
      </c>
      <c r="EQ51" s="62">
        <v>1</v>
      </c>
      <c r="ER51" s="62">
        <v>1</v>
      </c>
      <c r="ES51" s="62">
        <v>1</v>
      </c>
      <c r="ET51" s="62">
        <v>1</v>
      </c>
      <c r="EU51" s="62">
        <v>1</v>
      </c>
      <c r="EV51" s="62">
        <v>1</v>
      </c>
      <c r="EW51" s="62">
        <v>1</v>
      </c>
      <c r="EX51" s="62">
        <v>1</v>
      </c>
      <c r="EY51" s="62">
        <v>1</v>
      </c>
      <c r="EZ51" s="62">
        <v>1</v>
      </c>
      <c r="FA51" s="62">
        <v>1</v>
      </c>
      <c r="FB51" s="62">
        <v>1</v>
      </c>
      <c r="FC51" s="62">
        <v>1</v>
      </c>
      <c r="FD51" s="62">
        <v>1</v>
      </c>
      <c r="FE51" s="62">
        <v>1</v>
      </c>
      <c r="FF51" s="62">
        <v>-1</v>
      </c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ht="5.4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6">
        <f>COLUMN()</f>
        <v>10</v>
      </c>
      <c r="K52" s="19" t="str">
        <f t="shared" si="250"/>
        <v>1,13</v>
      </c>
      <c r="L52" s="19" t="str">
        <f t="shared" si="250"/>
        <v>2,13</v>
      </c>
      <c r="M52" s="19" t="str">
        <f t="shared" si="250"/>
        <v>3,13</v>
      </c>
      <c r="N52" s="19" t="str">
        <f t="shared" si="250"/>
        <v>4,13</v>
      </c>
      <c r="O52" s="19" t="str">
        <f t="shared" si="250"/>
        <v>5,13</v>
      </c>
      <c r="P52" s="19" t="str">
        <f t="shared" si="250"/>
        <v>6,13</v>
      </c>
      <c r="Q52" s="19" t="str">
        <f t="shared" si="250"/>
        <v>7,13</v>
      </c>
      <c r="R52" s="19" t="str">
        <f t="shared" si="250"/>
        <v>8,13</v>
      </c>
      <c r="S52" s="19" t="str">
        <f t="shared" si="250"/>
        <v>9,13</v>
      </c>
      <c r="T52" s="19" t="str">
        <f t="shared" si="250"/>
        <v>10,13</v>
      </c>
      <c r="U52" s="19" t="str">
        <f t="shared" si="251"/>
        <v>11,13</v>
      </c>
      <c r="V52" s="19" t="str">
        <f t="shared" si="251"/>
        <v>12,13</v>
      </c>
      <c r="W52" s="19" t="str">
        <f t="shared" si="251"/>
        <v>13,13</v>
      </c>
      <c r="X52" s="19" t="str">
        <f t="shared" si="251"/>
        <v>14,13</v>
      </c>
      <c r="Y52" s="19" t="str">
        <f t="shared" si="251"/>
        <v>15,13</v>
      </c>
      <c r="Z52" s="19" t="str">
        <f t="shared" si="251"/>
        <v>16,13</v>
      </c>
      <c r="AA52" s="19" t="str">
        <f t="shared" si="251"/>
        <v>17,13</v>
      </c>
      <c r="AB52" s="19" t="str">
        <f t="shared" si="251"/>
        <v>18,13</v>
      </c>
      <c r="AC52" s="19" t="str">
        <f t="shared" si="251"/>
        <v>19,13</v>
      </c>
      <c r="AD52" s="19" t="str">
        <f t="shared" si="251"/>
        <v>20,13</v>
      </c>
      <c r="AE52" s="19" t="str">
        <f t="shared" si="252"/>
        <v>21,13</v>
      </c>
      <c r="AF52" s="19" t="str">
        <f t="shared" si="252"/>
        <v>22,13</v>
      </c>
      <c r="AG52" s="19" t="str">
        <f t="shared" si="252"/>
        <v>23,13</v>
      </c>
      <c r="AH52" s="19" t="str">
        <f t="shared" si="252"/>
        <v>24,13</v>
      </c>
      <c r="AI52" s="19" t="str">
        <f t="shared" si="252"/>
        <v>25,13</v>
      </c>
      <c r="AJ52" s="19" t="str">
        <f t="shared" si="252"/>
        <v>26,13</v>
      </c>
      <c r="AK52" s="19" t="str">
        <f t="shared" si="252"/>
        <v>27,13</v>
      </c>
      <c r="AL52" s="19" t="str">
        <f t="shared" si="252"/>
        <v>28,13</v>
      </c>
      <c r="AM52" s="19" t="str">
        <f t="shared" si="252"/>
        <v>29,13</v>
      </c>
      <c r="AN52" s="19" t="str">
        <f t="shared" si="252"/>
        <v>30,13</v>
      </c>
      <c r="AO52" s="19" t="str">
        <f t="shared" si="252"/>
        <v>31,13</v>
      </c>
      <c r="AP52" s="19" t="str">
        <f t="shared" si="252"/>
        <v>32,13</v>
      </c>
      <c r="AQ52" s="19" t="str">
        <f t="shared" si="252"/>
        <v>33,13</v>
      </c>
      <c r="AR52" s="19" t="str">
        <f t="shared" si="252"/>
        <v>34,13</v>
      </c>
      <c r="AS52" s="19" t="str">
        <f t="shared" si="252"/>
        <v>35,13</v>
      </c>
      <c r="AT52" s="19" t="str">
        <f t="shared" si="259"/>
        <v>36,13</v>
      </c>
      <c r="AU52" s="19" t="str">
        <f t="shared" si="253"/>
        <v>37,13</v>
      </c>
      <c r="AV52" s="19" t="str">
        <f t="shared" si="253"/>
        <v>38,13</v>
      </c>
      <c r="AW52" s="19" t="str">
        <f t="shared" si="253"/>
        <v>39,13</v>
      </c>
      <c r="AX52" s="19" t="str">
        <f t="shared" si="253"/>
        <v>40,13</v>
      </c>
      <c r="AY52" s="19" t="str">
        <f t="shared" si="253"/>
        <v>41,13</v>
      </c>
      <c r="AZ52" s="19" t="str">
        <f t="shared" si="253"/>
        <v>42,13</v>
      </c>
      <c r="BA52" s="19" t="str">
        <f t="shared" si="253"/>
        <v>43,13</v>
      </c>
      <c r="BB52" s="19" t="str">
        <f t="shared" si="253"/>
        <v>44,13</v>
      </c>
      <c r="BC52" s="19" t="str">
        <f t="shared" si="253"/>
        <v>45,13</v>
      </c>
      <c r="BD52" s="19" t="str">
        <f t="shared" si="253"/>
        <v>46,13</v>
      </c>
      <c r="BE52" s="19" t="str">
        <f t="shared" si="254"/>
        <v>47,13</v>
      </c>
      <c r="BF52" s="19" t="str">
        <f t="shared" si="254"/>
        <v>48,13</v>
      </c>
      <c r="BG52" s="19" t="str">
        <f t="shared" si="254"/>
        <v>49,13</v>
      </c>
      <c r="BH52" s="19" t="str">
        <f t="shared" si="254"/>
        <v>50,13</v>
      </c>
      <c r="BI52" s="19" t="str">
        <f t="shared" si="254"/>
        <v>51,13</v>
      </c>
      <c r="BJ52" s="19" t="str">
        <f t="shared" si="254"/>
        <v>52,13</v>
      </c>
      <c r="BK52" s="19" t="str">
        <f t="shared" si="254"/>
        <v>53,13</v>
      </c>
      <c r="BL52" s="19" t="str">
        <f t="shared" si="254"/>
        <v>54,13</v>
      </c>
      <c r="BM52" s="19" t="str">
        <f t="shared" si="254"/>
        <v>55,13</v>
      </c>
      <c r="BN52" s="19" t="str">
        <f t="shared" si="254"/>
        <v>56,13</v>
      </c>
      <c r="BO52" s="19" t="str">
        <f t="shared" si="255"/>
        <v>57,13</v>
      </c>
      <c r="BP52" s="19" t="str">
        <f t="shared" si="255"/>
        <v>58,13</v>
      </c>
      <c r="BQ52" s="19" t="str">
        <f t="shared" si="255"/>
        <v>59,13</v>
      </c>
      <c r="BR52" s="19" t="str">
        <f t="shared" si="255"/>
        <v>60,13</v>
      </c>
      <c r="BS52" s="19" t="str">
        <f t="shared" si="255"/>
        <v>61,13</v>
      </c>
      <c r="BT52" s="19" t="str">
        <f t="shared" si="255"/>
        <v>62,13</v>
      </c>
      <c r="BU52" s="19" t="str">
        <f t="shared" si="255"/>
        <v>63,13</v>
      </c>
      <c r="BV52" s="19" t="str">
        <f t="shared" si="255"/>
        <v>64,13</v>
      </c>
      <c r="BW52" s="19" t="str">
        <f t="shared" si="255"/>
        <v>65,13</v>
      </c>
      <c r="BX52" s="19" t="str">
        <f t="shared" si="255"/>
        <v>66,13</v>
      </c>
      <c r="BY52" s="19" t="str">
        <f t="shared" si="256"/>
        <v>67,13</v>
      </c>
      <c r="BZ52" s="19" t="str">
        <f t="shared" si="256"/>
        <v>68,13</v>
      </c>
      <c r="CA52" s="19" t="str">
        <f t="shared" si="256"/>
        <v>69,13</v>
      </c>
      <c r="CB52" s="19" t="str">
        <f t="shared" si="256"/>
        <v>70,13</v>
      </c>
      <c r="CC52" s="19" t="str">
        <f t="shared" si="256"/>
        <v>71,13</v>
      </c>
      <c r="CD52" s="19" t="str">
        <f t="shared" si="256"/>
        <v>72,13</v>
      </c>
      <c r="CE52" s="19" t="str">
        <f t="shared" si="256"/>
        <v>73,13</v>
      </c>
      <c r="CF52" s="19" t="str">
        <f t="shared" si="256"/>
        <v>74,13</v>
      </c>
      <c r="CG52" s="19" t="str">
        <f t="shared" si="256"/>
        <v>75,13</v>
      </c>
      <c r="CH52" s="19" t="str">
        <f t="shared" si="256"/>
        <v>76,13</v>
      </c>
      <c r="CI52" s="19" t="str">
        <f t="shared" si="257"/>
        <v>77,13</v>
      </c>
      <c r="CJ52" s="19" t="str">
        <f t="shared" si="257"/>
        <v>78,13</v>
      </c>
      <c r="CK52" s="19" t="str">
        <f t="shared" si="257"/>
        <v>79,13</v>
      </c>
      <c r="CL52" s="19" t="str">
        <f t="shared" si="257"/>
        <v>80,13</v>
      </c>
      <c r="CM52" s="19" t="str">
        <f t="shared" si="257"/>
        <v>81,13</v>
      </c>
      <c r="CN52" s="19" t="str">
        <f t="shared" si="257"/>
        <v>82,13</v>
      </c>
      <c r="CO52" s="19" t="str">
        <f t="shared" si="257"/>
        <v>83,13</v>
      </c>
      <c r="CP52" s="19" t="str">
        <f t="shared" si="257"/>
        <v>84,13</v>
      </c>
      <c r="CQ52" s="19" t="str">
        <f t="shared" si="257"/>
        <v>85,13</v>
      </c>
      <c r="CR52" s="19" t="str">
        <f t="shared" si="257"/>
        <v>86,13</v>
      </c>
      <c r="CS52" s="19" t="str">
        <f t="shared" si="258"/>
        <v>87,13</v>
      </c>
      <c r="CT52" s="19" t="str">
        <f t="shared" si="258"/>
        <v>88,13</v>
      </c>
      <c r="CU52" s="19" t="str">
        <f t="shared" si="258"/>
        <v>89,13</v>
      </c>
      <c r="CV52" s="19" t="str">
        <f t="shared" si="258"/>
        <v>90,13</v>
      </c>
      <c r="CW52" s="19" t="str">
        <f t="shared" si="258"/>
        <v>91,13</v>
      </c>
      <c r="CX52" s="19" t="str">
        <f t="shared" si="258"/>
        <v>92,13</v>
      </c>
      <c r="CY52" s="19" t="str">
        <f t="shared" si="258"/>
        <v>93,13</v>
      </c>
      <c r="CZ52" s="19" t="str">
        <f t="shared" si="258"/>
        <v>94,13</v>
      </c>
      <c r="DA52" s="19" t="str">
        <f t="shared" si="258"/>
        <v>95,13</v>
      </c>
      <c r="DB52" s="19" t="str">
        <f t="shared" si="258"/>
        <v>96,13</v>
      </c>
      <c r="DC52" s="19" t="str">
        <f t="shared" si="258"/>
        <v>97,13</v>
      </c>
      <c r="DD52" s="19" t="str">
        <f t="shared" si="258"/>
        <v>98,13</v>
      </c>
      <c r="DE52" s="19" t="str">
        <f t="shared" si="258"/>
        <v>99,13</v>
      </c>
      <c r="DF52" s="19" t="str">
        <f t="shared" si="258"/>
        <v>100,13</v>
      </c>
      <c r="DG52" s="16">
        <f t="shared" si="249"/>
        <v>13</v>
      </c>
      <c r="DH52" s="1"/>
      <c r="DI52" s="62">
        <v>1</v>
      </c>
      <c r="DJ52" s="62">
        <v>1</v>
      </c>
      <c r="DK52" s="62">
        <v>1</v>
      </c>
      <c r="DL52" s="62">
        <v>1</v>
      </c>
      <c r="DM52" s="62">
        <v>1</v>
      </c>
      <c r="DN52" s="62">
        <v>1</v>
      </c>
      <c r="DO52" s="62">
        <v>1</v>
      </c>
      <c r="DP52" s="62">
        <v>1</v>
      </c>
      <c r="DQ52" s="62">
        <v>1</v>
      </c>
      <c r="DR52" s="62">
        <v>1</v>
      </c>
      <c r="DS52" s="62">
        <v>1</v>
      </c>
      <c r="DT52" s="62">
        <v>1</v>
      </c>
      <c r="DU52" s="62">
        <v>1</v>
      </c>
      <c r="DV52" s="62">
        <v>1</v>
      </c>
      <c r="DW52" s="62">
        <v>1</v>
      </c>
      <c r="DX52" s="62">
        <v>1</v>
      </c>
      <c r="DY52" s="62">
        <v>1</v>
      </c>
      <c r="DZ52" s="62">
        <v>1</v>
      </c>
      <c r="EA52" s="62">
        <v>1</v>
      </c>
      <c r="EB52" s="62">
        <v>1</v>
      </c>
      <c r="EC52" s="62">
        <v>1</v>
      </c>
      <c r="ED52" s="62">
        <v>1</v>
      </c>
      <c r="EE52" s="62">
        <v>1</v>
      </c>
      <c r="EF52" s="62">
        <v>1</v>
      </c>
      <c r="EG52" s="62">
        <v>1</v>
      </c>
      <c r="EH52" s="62">
        <v>1</v>
      </c>
      <c r="EI52" s="62">
        <v>1</v>
      </c>
      <c r="EJ52" s="62">
        <v>1</v>
      </c>
      <c r="EK52" s="62">
        <v>1</v>
      </c>
      <c r="EL52" s="62">
        <v>1</v>
      </c>
      <c r="EM52" s="62">
        <v>1</v>
      </c>
      <c r="EN52" s="62">
        <v>1</v>
      </c>
      <c r="EO52" s="62">
        <v>1</v>
      </c>
      <c r="EP52" s="62">
        <v>1</v>
      </c>
      <c r="EQ52" s="62">
        <v>1</v>
      </c>
      <c r="ER52" s="62">
        <v>1</v>
      </c>
      <c r="ES52" s="62">
        <v>1</v>
      </c>
      <c r="ET52" s="62">
        <v>1</v>
      </c>
      <c r="EU52" s="62">
        <v>1</v>
      </c>
      <c r="EV52" s="62">
        <v>1</v>
      </c>
      <c r="EW52" s="62">
        <v>1</v>
      </c>
      <c r="EX52" s="62">
        <v>1</v>
      </c>
      <c r="EY52" s="62">
        <v>1</v>
      </c>
      <c r="EZ52" s="62">
        <v>1</v>
      </c>
      <c r="FA52" s="62">
        <v>1</v>
      </c>
      <c r="FB52" s="62">
        <v>1</v>
      </c>
      <c r="FC52" s="62">
        <v>1</v>
      </c>
      <c r="FD52" s="62">
        <v>1</v>
      </c>
      <c r="FE52" s="62">
        <v>1</v>
      </c>
      <c r="FF52" s="62">
        <v>-1</v>
      </c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ht="5.45" customHeight="1" x14ac:dyDescent="0.25">
      <c r="A53" s="1"/>
      <c r="B53" s="7" t="s">
        <v>31</v>
      </c>
      <c r="C53" s="2" t="s">
        <v>32</v>
      </c>
      <c r="D53" s="7" t="s">
        <v>1</v>
      </c>
      <c r="E53" s="2" t="s">
        <v>33</v>
      </c>
      <c r="F53" s="1"/>
      <c r="G53" s="1"/>
      <c r="H53" s="1"/>
      <c r="I53" s="1"/>
      <c r="J53" s="16">
        <f>COLUMN()</f>
        <v>10</v>
      </c>
      <c r="K53" s="19" t="str">
        <f t="shared" ref="K53:T62" si="261">_xlfn.CONCAT(COLUMN()-$J53,",",ROW()-K$39)</f>
        <v>1,14</v>
      </c>
      <c r="L53" s="19" t="str">
        <f t="shared" si="261"/>
        <v>2,14</v>
      </c>
      <c r="M53" s="19" t="str">
        <f t="shared" si="261"/>
        <v>3,14</v>
      </c>
      <c r="N53" s="19" t="str">
        <f t="shared" si="261"/>
        <v>4,14</v>
      </c>
      <c r="O53" s="19" t="str">
        <f t="shared" si="261"/>
        <v>5,14</v>
      </c>
      <c r="P53" s="19" t="str">
        <f t="shared" si="261"/>
        <v>6,14</v>
      </c>
      <c r="Q53" s="19" t="str">
        <f t="shared" si="261"/>
        <v>7,14</v>
      </c>
      <c r="R53" s="19" t="str">
        <f t="shared" si="261"/>
        <v>8,14</v>
      </c>
      <c r="S53" s="19" t="str">
        <f t="shared" si="261"/>
        <v>9,14</v>
      </c>
      <c r="T53" s="19" t="str">
        <f t="shared" si="261"/>
        <v>10,14</v>
      </c>
      <c r="U53" s="19" t="str">
        <f t="shared" ref="U53:AD62" si="262">_xlfn.CONCAT(COLUMN()-$J53,",",ROW()-U$39)</f>
        <v>11,14</v>
      </c>
      <c r="V53" s="19" t="str">
        <f t="shared" si="262"/>
        <v>12,14</v>
      </c>
      <c r="W53" s="19" t="str">
        <f t="shared" si="262"/>
        <v>13,14</v>
      </c>
      <c r="X53" s="19" t="str">
        <f t="shared" si="262"/>
        <v>14,14</v>
      </c>
      <c r="Y53" s="19" t="str">
        <f t="shared" si="262"/>
        <v>15,14</v>
      </c>
      <c r="Z53" s="19" t="str">
        <f t="shared" si="262"/>
        <v>16,14</v>
      </c>
      <c r="AA53" s="19" t="str">
        <f t="shared" si="262"/>
        <v>17,14</v>
      </c>
      <c r="AB53" s="19" t="str">
        <f t="shared" si="262"/>
        <v>18,14</v>
      </c>
      <c r="AC53" s="19" t="str">
        <f t="shared" si="262"/>
        <v>19,14</v>
      </c>
      <c r="AD53" s="19" t="str">
        <f t="shared" si="262"/>
        <v>20,14</v>
      </c>
      <c r="AE53" s="19" t="str">
        <f t="shared" ref="AE53:AS62" si="263">_xlfn.CONCAT(COLUMN()-$J53,",",ROW()-AE$39)</f>
        <v>21,14</v>
      </c>
      <c r="AF53" s="19" t="str">
        <f t="shared" si="263"/>
        <v>22,14</v>
      </c>
      <c r="AG53" s="19" t="str">
        <f t="shared" si="263"/>
        <v>23,14</v>
      </c>
      <c r="AH53" s="19" t="str">
        <f t="shared" si="263"/>
        <v>24,14</v>
      </c>
      <c r="AI53" s="19" t="str">
        <f t="shared" si="263"/>
        <v>25,14</v>
      </c>
      <c r="AJ53" s="19" t="str">
        <f t="shared" si="263"/>
        <v>26,14</v>
      </c>
      <c r="AK53" s="19" t="str">
        <f t="shared" si="263"/>
        <v>27,14</v>
      </c>
      <c r="AL53" s="19" t="str">
        <f t="shared" si="263"/>
        <v>28,14</v>
      </c>
      <c r="AM53" s="19" t="str">
        <f t="shared" si="263"/>
        <v>29,14</v>
      </c>
      <c r="AN53" s="19" t="str">
        <f t="shared" si="263"/>
        <v>30,14</v>
      </c>
      <c r="AO53" s="19" t="str">
        <f t="shared" si="263"/>
        <v>31,14</v>
      </c>
      <c r="AP53" s="19" t="str">
        <f t="shared" si="263"/>
        <v>32,14</v>
      </c>
      <c r="AQ53" s="19" t="str">
        <f t="shared" si="263"/>
        <v>33,14</v>
      </c>
      <c r="AR53" s="19" t="str">
        <f t="shared" si="263"/>
        <v>34,14</v>
      </c>
      <c r="AS53" s="19" t="str">
        <f t="shared" si="263"/>
        <v>35,14</v>
      </c>
      <c r="AT53" s="19" t="str">
        <f t="shared" si="259"/>
        <v>36,14</v>
      </c>
      <c r="AU53" s="19" t="str">
        <f t="shared" ref="AU53:BD62" si="264">_xlfn.CONCAT(COLUMN()-$J53,",",ROW()-AU$39)</f>
        <v>37,14</v>
      </c>
      <c r="AV53" s="19" t="str">
        <f t="shared" si="264"/>
        <v>38,14</v>
      </c>
      <c r="AW53" s="19" t="str">
        <f t="shared" si="264"/>
        <v>39,14</v>
      </c>
      <c r="AX53" s="19" t="str">
        <f t="shared" si="264"/>
        <v>40,14</v>
      </c>
      <c r="AY53" s="19" t="str">
        <f t="shared" si="264"/>
        <v>41,14</v>
      </c>
      <c r="AZ53" s="19" t="str">
        <f t="shared" si="264"/>
        <v>42,14</v>
      </c>
      <c r="BA53" s="19" t="str">
        <f t="shared" si="264"/>
        <v>43,14</v>
      </c>
      <c r="BB53" s="19" t="str">
        <f t="shared" si="264"/>
        <v>44,14</v>
      </c>
      <c r="BC53" s="19" t="str">
        <f t="shared" si="264"/>
        <v>45,14</v>
      </c>
      <c r="BD53" s="19" t="str">
        <f t="shared" si="264"/>
        <v>46,14</v>
      </c>
      <c r="BE53" s="19" t="str">
        <f t="shared" ref="BE53:BN62" si="265">_xlfn.CONCAT(COLUMN()-$J53,",",ROW()-BE$39)</f>
        <v>47,14</v>
      </c>
      <c r="BF53" s="19" t="str">
        <f t="shared" si="265"/>
        <v>48,14</v>
      </c>
      <c r="BG53" s="19" t="str">
        <f t="shared" si="265"/>
        <v>49,14</v>
      </c>
      <c r="BH53" s="19" t="str">
        <f t="shared" si="265"/>
        <v>50,14</v>
      </c>
      <c r="BI53" s="19" t="str">
        <f t="shared" si="265"/>
        <v>51,14</v>
      </c>
      <c r="BJ53" s="19" t="str">
        <f t="shared" si="265"/>
        <v>52,14</v>
      </c>
      <c r="BK53" s="19" t="str">
        <f t="shared" si="265"/>
        <v>53,14</v>
      </c>
      <c r="BL53" s="19" t="str">
        <f t="shared" si="265"/>
        <v>54,14</v>
      </c>
      <c r="BM53" s="19" t="str">
        <f t="shared" si="265"/>
        <v>55,14</v>
      </c>
      <c r="BN53" s="19" t="str">
        <f t="shared" si="265"/>
        <v>56,14</v>
      </c>
      <c r="BO53" s="19" t="str">
        <f t="shared" ref="BO53:BX62" si="266">_xlfn.CONCAT(COLUMN()-$J53,",",ROW()-BO$39)</f>
        <v>57,14</v>
      </c>
      <c r="BP53" s="19" t="str">
        <f t="shared" si="266"/>
        <v>58,14</v>
      </c>
      <c r="BQ53" s="19" t="str">
        <f t="shared" si="266"/>
        <v>59,14</v>
      </c>
      <c r="BR53" s="19" t="str">
        <f t="shared" si="266"/>
        <v>60,14</v>
      </c>
      <c r="BS53" s="19" t="str">
        <f t="shared" si="266"/>
        <v>61,14</v>
      </c>
      <c r="BT53" s="19" t="str">
        <f t="shared" si="266"/>
        <v>62,14</v>
      </c>
      <c r="BU53" s="19" t="str">
        <f t="shared" si="266"/>
        <v>63,14</v>
      </c>
      <c r="BV53" s="19" t="str">
        <f t="shared" si="266"/>
        <v>64,14</v>
      </c>
      <c r="BW53" s="19" t="str">
        <f t="shared" si="266"/>
        <v>65,14</v>
      </c>
      <c r="BX53" s="19" t="str">
        <f t="shared" si="266"/>
        <v>66,14</v>
      </c>
      <c r="BY53" s="19" t="str">
        <f t="shared" ref="BY53:CH62" si="267">_xlfn.CONCAT(COLUMN()-$J53,",",ROW()-BY$39)</f>
        <v>67,14</v>
      </c>
      <c r="BZ53" s="19" t="str">
        <f t="shared" si="267"/>
        <v>68,14</v>
      </c>
      <c r="CA53" s="19" t="str">
        <f t="shared" si="267"/>
        <v>69,14</v>
      </c>
      <c r="CB53" s="19" t="str">
        <f t="shared" si="267"/>
        <v>70,14</v>
      </c>
      <c r="CC53" s="19" t="str">
        <f t="shared" si="267"/>
        <v>71,14</v>
      </c>
      <c r="CD53" s="19" t="str">
        <f t="shared" si="267"/>
        <v>72,14</v>
      </c>
      <c r="CE53" s="19" t="str">
        <f t="shared" si="267"/>
        <v>73,14</v>
      </c>
      <c r="CF53" s="19" t="str">
        <f t="shared" si="267"/>
        <v>74,14</v>
      </c>
      <c r="CG53" s="19" t="str">
        <f t="shared" si="267"/>
        <v>75,14</v>
      </c>
      <c r="CH53" s="19" t="str">
        <f t="shared" si="267"/>
        <v>76,14</v>
      </c>
      <c r="CI53" s="19" t="str">
        <f t="shared" ref="CI53:CR62" si="268">_xlfn.CONCAT(COLUMN()-$J53,",",ROW()-CI$39)</f>
        <v>77,14</v>
      </c>
      <c r="CJ53" s="19" t="str">
        <f t="shared" si="268"/>
        <v>78,14</v>
      </c>
      <c r="CK53" s="19" t="str">
        <f t="shared" si="268"/>
        <v>79,14</v>
      </c>
      <c r="CL53" s="19" t="str">
        <f t="shared" si="268"/>
        <v>80,14</v>
      </c>
      <c r="CM53" s="19" t="str">
        <f t="shared" si="268"/>
        <v>81,14</v>
      </c>
      <c r="CN53" s="19" t="str">
        <f t="shared" si="268"/>
        <v>82,14</v>
      </c>
      <c r="CO53" s="19" t="str">
        <f t="shared" si="268"/>
        <v>83,14</v>
      </c>
      <c r="CP53" s="19" t="str">
        <f t="shared" si="268"/>
        <v>84,14</v>
      </c>
      <c r="CQ53" s="19" t="str">
        <f t="shared" si="268"/>
        <v>85,14</v>
      </c>
      <c r="CR53" s="19" t="str">
        <f t="shared" si="268"/>
        <v>86,14</v>
      </c>
      <c r="CS53" s="19" t="str">
        <f t="shared" ref="CS53:DF62" si="269">_xlfn.CONCAT(COLUMN()-$J53,",",ROW()-CS$39)</f>
        <v>87,14</v>
      </c>
      <c r="CT53" s="19" t="str">
        <f t="shared" si="269"/>
        <v>88,14</v>
      </c>
      <c r="CU53" s="19" t="str">
        <f t="shared" si="269"/>
        <v>89,14</v>
      </c>
      <c r="CV53" s="19" t="str">
        <f t="shared" si="269"/>
        <v>90,14</v>
      </c>
      <c r="CW53" s="19" t="str">
        <f t="shared" si="269"/>
        <v>91,14</v>
      </c>
      <c r="CX53" s="19" t="str">
        <f t="shared" si="269"/>
        <v>92,14</v>
      </c>
      <c r="CY53" s="19" t="str">
        <f t="shared" si="269"/>
        <v>93,14</v>
      </c>
      <c r="CZ53" s="19" t="str">
        <f t="shared" si="269"/>
        <v>94,14</v>
      </c>
      <c r="DA53" s="19" t="str">
        <f t="shared" si="269"/>
        <v>95,14</v>
      </c>
      <c r="DB53" s="19" t="str">
        <f t="shared" si="269"/>
        <v>96,14</v>
      </c>
      <c r="DC53" s="19" t="str">
        <f t="shared" si="269"/>
        <v>97,14</v>
      </c>
      <c r="DD53" s="19" t="str">
        <f t="shared" si="269"/>
        <v>98,14</v>
      </c>
      <c r="DE53" s="19" t="str">
        <f t="shared" si="269"/>
        <v>99,14</v>
      </c>
      <c r="DF53" s="19" t="str">
        <f t="shared" si="269"/>
        <v>100,14</v>
      </c>
      <c r="DG53" s="16">
        <f t="shared" si="249"/>
        <v>14</v>
      </c>
      <c r="DH53" s="1"/>
      <c r="DI53" s="62">
        <v>1</v>
      </c>
      <c r="DJ53" s="62">
        <v>1</v>
      </c>
      <c r="DK53" s="62">
        <v>1</v>
      </c>
      <c r="DL53" s="62">
        <v>1</v>
      </c>
      <c r="DM53" s="62">
        <v>1</v>
      </c>
      <c r="DN53" s="62">
        <v>1</v>
      </c>
      <c r="DO53" s="62">
        <v>1</v>
      </c>
      <c r="DP53" s="62">
        <v>1</v>
      </c>
      <c r="DQ53" s="62">
        <v>1</v>
      </c>
      <c r="DR53" s="62">
        <v>1</v>
      </c>
      <c r="DS53" s="62">
        <v>1</v>
      </c>
      <c r="DT53" s="62">
        <v>1</v>
      </c>
      <c r="DU53" s="62">
        <v>1</v>
      </c>
      <c r="DV53" s="62">
        <v>1</v>
      </c>
      <c r="DW53" s="62">
        <v>1</v>
      </c>
      <c r="DX53" s="62">
        <v>1</v>
      </c>
      <c r="DY53" s="62">
        <v>1</v>
      </c>
      <c r="DZ53" s="62">
        <v>1</v>
      </c>
      <c r="EA53" s="62">
        <v>1</v>
      </c>
      <c r="EB53" s="62">
        <v>1</v>
      </c>
      <c r="EC53" s="62">
        <v>1</v>
      </c>
      <c r="ED53" s="62">
        <v>1</v>
      </c>
      <c r="EE53" s="62">
        <v>1</v>
      </c>
      <c r="EF53" s="62">
        <v>1</v>
      </c>
      <c r="EG53" s="62">
        <v>1</v>
      </c>
      <c r="EH53" s="62">
        <v>1</v>
      </c>
      <c r="EI53" s="62">
        <v>1</v>
      </c>
      <c r="EJ53" s="62">
        <v>1</v>
      </c>
      <c r="EK53" s="62">
        <v>1</v>
      </c>
      <c r="EL53" s="62">
        <v>1</v>
      </c>
      <c r="EM53" s="62">
        <v>1</v>
      </c>
      <c r="EN53" s="62">
        <v>1</v>
      </c>
      <c r="EO53" s="62">
        <v>1</v>
      </c>
      <c r="EP53" s="62">
        <v>1</v>
      </c>
      <c r="EQ53" s="62">
        <v>1</v>
      </c>
      <c r="ER53" s="62">
        <v>1</v>
      </c>
      <c r="ES53" s="62">
        <v>1</v>
      </c>
      <c r="ET53" s="62">
        <v>1</v>
      </c>
      <c r="EU53" s="62">
        <v>1</v>
      </c>
      <c r="EV53" s="62">
        <v>1</v>
      </c>
      <c r="EW53" s="62">
        <v>1</v>
      </c>
      <c r="EX53" s="62">
        <v>1</v>
      </c>
      <c r="EY53" s="62">
        <v>1</v>
      </c>
      <c r="EZ53" s="62">
        <v>1</v>
      </c>
      <c r="FA53" s="62">
        <v>1</v>
      </c>
      <c r="FB53" s="62">
        <v>1</v>
      </c>
      <c r="FC53" s="62">
        <v>1</v>
      </c>
      <c r="FD53" s="62">
        <v>1</v>
      </c>
      <c r="FE53" s="62">
        <v>1</v>
      </c>
      <c r="FF53" s="62">
        <v>-1</v>
      </c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ht="5.45" customHeight="1" x14ac:dyDescent="0.25">
      <c r="A54" s="1"/>
      <c r="B54" s="9">
        <v>0</v>
      </c>
      <c r="C54" s="9">
        <v>1</v>
      </c>
      <c r="D54" s="9">
        <v>2</v>
      </c>
      <c r="E54" s="9">
        <v>3</v>
      </c>
      <c r="F54" s="27"/>
      <c r="G54" s="27" t="s">
        <v>45</v>
      </c>
      <c r="H54" s="9"/>
      <c r="I54" s="1"/>
      <c r="J54" s="16">
        <f>COLUMN()</f>
        <v>10</v>
      </c>
      <c r="K54" s="19" t="str">
        <f t="shared" si="261"/>
        <v>1,15</v>
      </c>
      <c r="L54" s="19" t="str">
        <f t="shared" si="261"/>
        <v>2,15</v>
      </c>
      <c r="M54" s="19" t="str">
        <f t="shared" si="261"/>
        <v>3,15</v>
      </c>
      <c r="N54" s="19" t="str">
        <f t="shared" si="261"/>
        <v>4,15</v>
      </c>
      <c r="O54" s="19" t="str">
        <f t="shared" si="261"/>
        <v>5,15</v>
      </c>
      <c r="P54" s="19" t="str">
        <f t="shared" si="261"/>
        <v>6,15</v>
      </c>
      <c r="Q54" s="19" t="str">
        <f t="shared" si="261"/>
        <v>7,15</v>
      </c>
      <c r="R54" s="19" t="str">
        <f t="shared" si="261"/>
        <v>8,15</v>
      </c>
      <c r="S54" s="19" t="str">
        <f t="shared" si="261"/>
        <v>9,15</v>
      </c>
      <c r="T54" s="19" t="str">
        <f t="shared" si="261"/>
        <v>10,15</v>
      </c>
      <c r="U54" s="19" t="str">
        <f t="shared" si="262"/>
        <v>11,15</v>
      </c>
      <c r="V54" s="19" t="str">
        <f t="shared" si="262"/>
        <v>12,15</v>
      </c>
      <c r="W54" s="19" t="str">
        <f t="shared" si="262"/>
        <v>13,15</v>
      </c>
      <c r="X54" s="19" t="str">
        <f t="shared" si="262"/>
        <v>14,15</v>
      </c>
      <c r="Y54" s="19" t="str">
        <f t="shared" si="262"/>
        <v>15,15</v>
      </c>
      <c r="Z54" s="19" t="str">
        <f t="shared" si="262"/>
        <v>16,15</v>
      </c>
      <c r="AA54" s="19" t="str">
        <f t="shared" si="262"/>
        <v>17,15</v>
      </c>
      <c r="AB54" s="19" t="str">
        <f t="shared" si="262"/>
        <v>18,15</v>
      </c>
      <c r="AC54" s="19" t="str">
        <f t="shared" si="262"/>
        <v>19,15</v>
      </c>
      <c r="AD54" s="19" t="str">
        <f t="shared" si="262"/>
        <v>20,15</v>
      </c>
      <c r="AE54" s="19" t="str">
        <f t="shared" si="263"/>
        <v>21,15</v>
      </c>
      <c r="AF54" s="19" t="str">
        <f t="shared" si="263"/>
        <v>22,15</v>
      </c>
      <c r="AG54" s="19" t="str">
        <f t="shared" si="263"/>
        <v>23,15</v>
      </c>
      <c r="AH54" s="19" t="str">
        <f t="shared" si="263"/>
        <v>24,15</v>
      </c>
      <c r="AI54" s="19" t="str">
        <f t="shared" si="263"/>
        <v>25,15</v>
      </c>
      <c r="AJ54" s="19" t="str">
        <f t="shared" si="263"/>
        <v>26,15</v>
      </c>
      <c r="AK54" s="19" t="str">
        <f t="shared" si="263"/>
        <v>27,15</v>
      </c>
      <c r="AL54" s="19" t="str">
        <f t="shared" si="263"/>
        <v>28,15</v>
      </c>
      <c r="AM54" s="19" t="str">
        <f t="shared" si="263"/>
        <v>29,15</v>
      </c>
      <c r="AN54" s="19" t="str">
        <f t="shared" si="263"/>
        <v>30,15</v>
      </c>
      <c r="AO54" s="19" t="str">
        <f t="shared" si="263"/>
        <v>31,15</v>
      </c>
      <c r="AP54" s="19" t="str">
        <f t="shared" si="263"/>
        <v>32,15</v>
      </c>
      <c r="AQ54" s="19" t="str">
        <f t="shared" si="263"/>
        <v>33,15</v>
      </c>
      <c r="AR54" s="19" t="str">
        <f t="shared" si="263"/>
        <v>34,15</v>
      </c>
      <c r="AS54" s="19" t="str">
        <f t="shared" si="263"/>
        <v>35,15</v>
      </c>
      <c r="AT54" s="19" t="str">
        <f t="shared" si="259"/>
        <v>36,15</v>
      </c>
      <c r="AU54" s="19" t="str">
        <f t="shared" si="264"/>
        <v>37,15</v>
      </c>
      <c r="AV54" s="19" t="str">
        <f t="shared" si="264"/>
        <v>38,15</v>
      </c>
      <c r="AW54" s="19" t="str">
        <f t="shared" si="264"/>
        <v>39,15</v>
      </c>
      <c r="AX54" s="19" t="str">
        <f t="shared" si="264"/>
        <v>40,15</v>
      </c>
      <c r="AY54" s="19" t="str">
        <f t="shared" si="264"/>
        <v>41,15</v>
      </c>
      <c r="AZ54" s="19" t="str">
        <f t="shared" si="264"/>
        <v>42,15</v>
      </c>
      <c r="BA54" s="19" t="str">
        <f t="shared" si="264"/>
        <v>43,15</v>
      </c>
      <c r="BB54" s="19" t="str">
        <f t="shared" si="264"/>
        <v>44,15</v>
      </c>
      <c r="BC54" s="19" t="str">
        <f t="shared" si="264"/>
        <v>45,15</v>
      </c>
      <c r="BD54" s="19" t="str">
        <f t="shared" si="264"/>
        <v>46,15</v>
      </c>
      <c r="BE54" s="19" t="str">
        <f t="shared" si="265"/>
        <v>47,15</v>
      </c>
      <c r="BF54" s="19" t="str">
        <f t="shared" si="265"/>
        <v>48,15</v>
      </c>
      <c r="BG54" s="19" t="str">
        <f t="shared" si="265"/>
        <v>49,15</v>
      </c>
      <c r="BH54" s="19" t="str">
        <f t="shared" si="265"/>
        <v>50,15</v>
      </c>
      <c r="BI54" s="19" t="str">
        <f t="shared" si="265"/>
        <v>51,15</v>
      </c>
      <c r="BJ54" s="19" t="str">
        <f t="shared" si="265"/>
        <v>52,15</v>
      </c>
      <c r="BK54" s="19" t="str">
        <f t="shared" si="265"/>
        <v>53,15</v>
      </c>
      <c r="BL54" s="19" t="str">
        <f t="shared" si="265"/>
        <v>54,15</v>
      </c>
      <c r="BM54" s="19" t="str">
        <f t="shared" si="265"/>
        <v>55,15</v>
      </c>
      <c r="BN54" s="19" t="str">
        <f t="shared" si="265"/>
        <v>56,15</v>
      </c>
      <c r="BO54" s="19" t="str">
        <f t="shared" si="266"/>
        <v>57,15</v>
      </c>
      <c r="BP54" s="19" t="str">
        <f t="shared" si="266"/>
        <v>58,15</v>
      </c>
      <c r="BQ54" s="19" t="str">
        <f t="shared" si="266"/>
        <v>59,15</v>
      </c>
      <c r="BR54" s="19" t="str">
        <f t="shared" si="266"/>
        <v>60,15</v>
      </c>
      <c r="BS54" s="19" t="str">
        <f t="shared" si="266"/>
        <v>61,15</v>
      </c>
      <c r="BT54" s="19" t="str">
        <f t="shared" si="266"/>
        <v>62,15</v>
      </c>
      <c r="BU54" s="19" t="str">
        <f t="shared" si="266"/>
        <v>63,15</v>
      </c>
      <c r="BV54" s="19" t="str">
        <f t="shared" si="266"/>
        <v>64,15</v>
      </c>
      <c r="BW54" s="19" t="str">
        <f t="shared" si="266"/>
        <v>65,15</v>
      </c>
      <c r="BX54" s="19" t="str">
        <f t="shared" si="266"/>
        <v>66,15</v>
      </c>
      <c r="BY54" s="19" t="str">
        <f t="shared" si="267"/>
        <v>67,15</v>
      </c>
      <c r="BZ54" s="19" t="str">
        <f t="shared" si="267"/>
        <v>68,15</v>
      </c>
      <c r="CA54" s="19" t="str">
        <f t="shared" si="267"/>
        <v>69,15</v>
      </c>
      <c r="CB54" s="19" t="str">
        <f t="shared" si="267"/>
        <v>70,15</v>
      </c>
      <c r="CC54" s="19" t="str">
        <f t="shared" si="267"/>
        <v>71,15</v>
      </c>
      <c r="CD54" s="19" t="str">
        <f t="shared" si="267"/>
        <v>72,15</v>
      </c>
      <c r="CE54" s="19" t="str">
        <f t="shared" si="267"/>
        <v>73,15</v>
      </c>
      <c r="CF54" s="19" t="str">
        <f t="shared" si="267"/>
        <v>74,15</v>
      </c>
      <c r="CG54" s="19" t="str">
        <f t="shared" si="267"/>
        <v>75,15</v>
      </c>
      <c r="CH54" s="19" t="str">
        <f t="shared" si="267"/>
        <v>76,15</v>
      </c>
      <c r="CI54" s="19" t="str">
        <f t="shared" si="268"/>
        <v>77,15</v>
      </c>
      <c r="CJ54" s="19" t="str">
        <f t="shared" si="268"/>
        <v>78,15</v>
      </c>
      <c r="CK54" s="19" t="str">
        <f t="shared" si="268"/>
        <v>79,15</v>
      </c>
      <c r="CL54" s="19" t="str">
        <f t="shared" si="268"/>
        <v>80,15</v>
      </c>
      <c r="CM54" s="19" t="str">
        <f t="shared" si="268"/>
        <v>81,15</v>
      </c>
      <c r="CN54" s="19" t="str">
        <f t="shared" si="268"/>
        <v>82,15</v>
      </c>
      <c r="CO54" s="19" t="str">
        <f t="shared" si="268"/>
        <v>83,15</v>
      </c>
      <c r="CP54" s="19" t="str">
        <f t="shared" si="268"/>
        <v>84,15</v>
      </c>
      <c r="CQ54" s="19" t="str">
        <f t="shared" si="268"/>
        <v>85,15</v>
      </c>
      <c r="CR54" s="19" t="str">
        <f t="shared" si="268"/>
        <v>86,15</v>
      </c>
      <c r="CS54" s="19" t="str">
        <f t="shared" si="269"/>
        <v>87,15</v>
      </c>
      <c r="CT54" s="19" t="str">
        <f t="shared" si="269"/>
        <v>88,15</v>
      </c>
      <c r="CU54" s="19" t="str">
        <f t="shared" si="269"/>
        <v>89,15</v>
      </c>
      <c r="CV54" s="19" t="str">
        <f t="shared" si="269"/>
        <v>90,15</v>
      </c>
      <c r="CW54" s="19" t="str">
        <f t="shared" si="269"/>
        <v>91,15</v>
      </c>
      <c r="CX54" s="19" t="str">
        <f t="shared" si="269"/>
        <v>92,15</v>
      </c>
      <c r="CY54" s="19" t="str">
        <f t="shared" si="269"/>
        <v>93,15</v>
      </c>
      <c r="CZ54" s="19" t="str">
        <f t="shared" si="269"/>
        <v>94,15</v>
      </c>
      <c r="DA54" s="19" t="str">
        <f t="shared" si="269"/>
        <v>95,15</v>
      </c>
      <c r="DB54" s="19" t="str">
        <f t="shared" si="269"/>
        <v>96,15</v>
      </c>
      <c r="DC54" s="19" t="str">
        <f t="shared" si="269"/>
        <v>97,15</v>
      </c>
      <c r="DD54" s="19" t="str">
        <f t="shared" si="269"/>
        <v>98,15</v>
      </c>
      <c r="DE54" s="19" t="str">
        <f t="shared" si="269"/>
        <v>99,15</v>
      </c>
      <c r="DF54" s="19" t="str">
        <f t="shared" si="269"/>
        <v>100,15</v>
      </c>
      <c r="DG54" s="16">
        <f t="shared" si="249"/>
        <v>15</v>
      </c>
      <c r="DH54" s="1"/>
      <c r="DI54" s="62">
        <v>1</v>
      </c>
      <c r="DJ54" s="62">
        <v>1</v>
      </c>
      <c r="DK54" s="62">
        <v>1</v>
      </c>
      <c r="DL54" s="62">
        <v>1</v>
      </c>
      <c r="DM54" s="62">
        <v>1</v>
      </c>
      <c r="DN54" s="62">
        <v>1</v>
      </c>
      <c r="DO54" s="62">
        <v>1</v>
      </c>
      <c r="DP54" s="62">
        <v>1</v>
      </c>
      <c r="DQ54" s="62">
        <v>1</v>
      </c>
      <c r="DR54" s="62">
        <v>1</v>
      </c>
      <c r="DS54" s="62">
        <v>1</v>
      </c>
      <c r="DT54" s="62">
        <v>1</v>
      </c>
      <c r="DU54" s="62">
        <v>1</v>
      </c>
      <c r="DV54" s="62">
        <v>1</v>
      </c>
      <c r="DW54" s="62">
        <v>1</v>
      </c>
      <c r="DX54" s="62">
        <v>1</v>
      </c>
      <c r="DY54" s="62">
        <v>1</v>
      </c>
      <c r="DZ54" s="62">
        <v>1</v>
      </c>
      <c r="EA54" s="62">
        <v>1</v>
      </c>
      <c r="EB54" s="62">
        <v>1</v>
      </c>
      <c r="EC54" s="62">
        <v>1</v>
      </c>
      <c r="ED54" s="62">
        <v>1</v>
      </c>
      <c r="EE54" s="62">
        <v>1</v>
      </c>
      <c r="EF54" s="62">
        <v>1</v>
      </c>
      <c r="EG54" s="62">
        <v>1</v>
      </c>
      <c r="EH54" s="62">
        <v>1</v>
      </c>
      <c r="EI54" s="62">
        <v>1</v>
      </c>
      <c r="EJ54" s="62">
        <v>1</v>
      </c>
      <c r="EK54" s="62">
        <v>1</v>
      </c>
      <c r="EL54" s="62">
        <v>1</v>
      </c>
      <c r="EM54" s="62">
        <v>1</v>
      </c>
      <c r="EN54" s="62">
        <v>1</v>
      </c>
      <c r="EO54" s="62">
        <v>1</v>
      </c>
      <c r="EP54" s="62">
        <v>1</v>
      </c>
      <c r="EQ54" s="62">
        <v>1</v>
      </c>
      <c r="ER54" s="62">
        <v>1</v>
      </c>
      <c r="ES54" s="62">
        <v>1</v>
      </c>
      <c r="ET54" s="62">
        <v>1</v>
      </c>
      <c r="EU54" s="62">
        <v>1</v>
      </c>
      <c r="EV54" s="62">
        <v>1</v>
      </c>
      <c r="EW54" s="62">
        <v>1</v>
      </c>
      <c r="EX54" s="62">
        <v>1</v>
      </c>
      <c r="EY54" s="62">
        <v>1</v>
      </c>
      <c r="EZ54" s="62">
        <v>1</v>
      </c>
      <c r="FA54" s="62">
        <v>1</v>
      </c>
      <c r="FB54" s="62">
        <v>1</v>
      </c>
      <c r="FC54" s="62">
        <v>1</v>
      </c>
      <c r="FD54" s="62">
        <v>1</v>
      </c>
      <c r="FE54" s="62">
        <v>1</v>
      </c>
      <c r="FF54" s="62">
        <v>-1</v>
      </c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ht="5.45" customHeight="1" x14ac:dyDescent="0.25">
      <c r="A55" s="1"/>
      <c r="B55" s="10">
        <v>1</v>
      </c>
      <c r="C55" s="10">
        <v>0</v>
      </c>
      <c r="D55" s="10">
        <v>0</v>
      </c>
      <c r="E55" s="10">
        <v>10</v>
      </c>
      <c r="F55" s="27"/>
      <c r="G55" s="27" t="s">
        <v>45</v>
      </c>
      <c r="H55" s="17" t="s">
        <v>45</v>
      </c>
      <c r="I55" s="1"/>
      <c r="J55" s="16">
        <f>COLUMN()</f>
        <v>10</v>
      </c>
      <c r="K55" s="19" t="str">
        <f t="shared" si="261"/>
        <v>1,16</v>
      </c>
      <c r="L55" s="19" t="str">
        <f t="shared" si="261"/>
        <v>2,16</v>
      </c>
      <c r="M55" s="19" t="str">
        <f t="shared" si="261"/>
        <v>3,16</v>
      </c>
      <c r="N55" s="19" t="str">
        <f t="shared" si="261"/>
        <v>4,16</v>
      </c>
      <c r="O55" s="19" t="str">
        <f t="shared" si="261"/>
        <v>5,16</v>
      </c>
      <c r="P55" s="19" t="str">
        <f t="shared" si="261"/>
        <v>6,16</v>
      </c>
      <c r="Q55" s="19" t="str">
        <f t="shared" si="261"/>
        <v>7,16</v>
      </c>
      <c r="R55" s="19" t="str">
        <f t="shared" si="261"/>
        <v>8,16</v>
      </c>
      <c r="S55" s="19" t="str">
        <f t="shared" si="261"/>
        <v>9,16</v>
      </c>
      <c r="T55" s="19" t="str">
        <f t="shared" si="261"/>
        <v>10,16</v>
      </c>
      <c r="U55" s="19" t="str">
        <f t="shared" si="262"/>
        <v>11,16</v>
      </c>
      <c r="V55" s="19" t="str">
        <f t="shared" si="262"/>
        <v>12,16</v>
      </c>
      <c r="W55" s="19" t="str">
        <f t="shared" si="262"/>
        <v>13,16</v>
      </c>
      <c r="X55" s="19" t="str">
        <f t="shared" si="262"/>
        <v>14,16</v>
      </c>
      <c r="Y55" s="19" t="str">
        <f t="shared" si="262"/>
        <v>15,16</v>
      </c>
      <c r="Z55" s="19" t="str">
        <f t="shared" si="262"/>
        <v>16,16</v>
      </c>
      <c r="AA55" s="19" t="str">
        <f t="shared" si="262"/>
        <v>17,16</v>
      </c>
      <c r="AB55" s="19" t="str">
        <f t="shared" si="262"/>
        <v>18,16</v>
      </c>
      <c r="AC55" s="19" t="str">
        <f t="shared" si="262"/>
        <v>19,16</v>
      </c>
      <c r="AD55" s="19" t="str">
        <f t="shared" si="262"/>
        <v>20,16</v>
      </c>
      <c r="AE55" s="19" t="str">
        <f t="shared" si="263"/>
        <v>21,16</v>
      </c>
      <c r="AF55" s="19" t="str">
        <f t="shared" si="263"/>
        <v>22,16</v>
      </c>
      <c r="AG55" s="19" t="str">
        <f t="shared" si="263"/>
        <v>23,16</v>
      </c>
      <c r="AH55" s="19" t="str">
        <f t="shared" si="263"/>
        <v>24,16</v>
      </c>
      <c r="AI55" s="19" t="str">
        <f t="shared" si="263"/>
        <v>25,16</v>
      </c>
      <c r="AJ55" s="19" t="str">
        <f t="shared" si="263"/>
        <v>26,16</v>
      </c>
      <c r="AK55" s="19" t="str">
        <f t="shared" si="263"/>
        <v>27,16</v>
      </c>
      <c r="AL55" s="19" t="str">
        <f t="shared" si="263"/>
        <v>28,16</v>
      </c>
      <c r="AM55" s="19" t="str">
        <f t="shared" si="263"/>
        <v>29,16</v>
      </c>
      <c r="AN55" s="19" t="str">
        <f t="shared" si="263"/>
        <v>30,16</v>
      </c>
      <c r="AO55" s="19" t="str">
        <f t="shared" si="263"/>
        <v>31,16</v>
      </c>
      <c r="AP55" s="19" t="str">
        <f t="shared" si="263"/>
        <v>32,16</v>
      </c>
      <c r="AQ55" s="19" t="str">
        <f t="shared" si="263"/>
        <v>33,16</v>
      </c>
      <c r="AR55" s="19" t="str">
        <f t="shared" si="263"/>
        <v>34,16</v>
      </c>
      <c r="AS55" s="19" t="str">
        <f t="shared" si="263"/>
        <v>35,16</v>
      </c>
      <c r="AT55" s="19" t="str">
        <f t="shared" si="259"/>
        <v>36,16</v>
      </c>
      <c r="AU55" s="19" t="str">
        <f t="shared" si="264"/>
        <v>37,16</v>
      </c>
      <c r="AV55" s="19" t="str">
        <f t="shared" si="264"/>
        <v>38,16</v>
      </c>
      <c r="AW55" s="19" t="str">
        <f t="shared" si="264"/>
        <v>39,16</v>
      </c>
      <c r="AX55" s="19" t="str">
        <f t="shared" si="264"/>
        <v>40,16</v>
      </c>
      <c r="AY55" s="19" t="str">
        <f t="shared" si="264"/>
        <v>41,16</v>
      </c>
      <c r="AZ55" s="19" t="str">
        <f t="shared" si="264"/>
        <v>42,16</v>
      </c>
      <c r="BA55" s="19" t="str">
        <f t="shared" si="264"/>
        <v>43,16</v>
      </c>
      <c r="BB55" s="19" t="str">
        <f t="shared" si="264"/>
        <v>44,16</v>
      </c>
      <c r="BC55" s="19" t="str">
        <f t="shared" si="264"/>
        <v>45,16</v>
      </c>
      <c r="BD55" s="19" t="str">
        <f t="shared" si="264"/>
        <v>46,16</v>
      </c>
      <c r="BE55" s="19" t="str">
        <f t="shared" si="265"/>
        <v>47,16</v>
      </c>
      <c r="BF55" s="19" t="str">
        <f t="shared" si="265"/>
        <v>48,16</v>
      </c>
      <c r="BG55" s="19" t="str">
        <f t="shared" si="265"/>
        <v>49,16</v>
      </c>
      <c r="BH55" s="19" t="str">
        <f t="shared" si="265"/>
        <v>50,16</v>
      </c>
      <c r="BI55" s="19" t="str">
        <f t="shared" si="265"/>
        <v>51,16</v>
      </c>
      <c r="BJ55" s="19" t="str">
        <f t="shared" si="265"/>
        <v>52,16</v>
      </c>
      <c r="BK55" s="19" t="str">
        <f t="shared" si="265"/>
        <v>53,16</v>
      </c>
      <c r="BL55" s="19" t="str">
        <f t="shared" si="265"/>
        <v>54,16</v>
      </c>
      <c r="BM55" s="19" t="str">
        <f t="shared" si="265"/>
        <v>55,16</v>
      </c>
      <c r="BN55" s="19" t="str">
        <f t="shared" si="265"/>
        <v>56,16</v>
      </c>
      <c r="BO55" s="19" t="str">
        <f t="shared" si="266"/>
        <v>57,16</v>
      </c>
      <c r="BP55" s="19" t="str">
        <f t="shared" si="266"/>
        <v>58,16</v>
      </c>
      <c r="BQ55" s="19" t="str">
        <f t="shared" si="266"/>
        <v>59,16</v>
      </c>
      <c r="BR55" s="19" t="str">
        <f t="shared" si="266"/>
        <v>60,16</v>
      </c>
      <c r="BS55" s="19" t="str">
        <f t="shared" si="266"/>
        <v>61,16</v>
      </c>
      <c r="BT55" s="19" t="str">
        <f t="shared" si="266"/>
        <v>62,16</v>
      </c>
      <c r="BU55" s="19" t="str">
        <f t="shared" si="266"/>
        <v>63,16</v>
      </c>
      <c r="BV55" s="19" t="str">
        <f t="shared" si="266"/>
        <v>64,16</v>
      </c>
      <c r="BW55" s="19" t="str">
        <f t="shared" si="266"/>
        <v>65,16</v>
      </c>
      <c r="BX55" s="19" t="str">
        <f t="shared" si="266"/>
        <v>66,16</v>
      </c>
      <c r="BY55" s="19" t="str">
        <f t="shared" si="267"/>
        <v>67,16</v>
      </c>
      <c r="BZ55" s="19" t="str">
        <f t="shared" si="267"/>
        <v>68,16</v>
      </c>
      <c r="CA55" s="19" t="str">
        <f t="shared" si="267"/>
        <v>69,16</v>
      </c>
      <c r="CB55" s="19" t="str">
        <f t="shared" si="267"/>
        <v>70,16</v>
      </c>
      <c r="CC55" s="19" t="str">
        <f t="shared" si="267"/>
        <v>71,16</v>
      </c>
      <c r="CD55" s="19" t="str">
        <f t="shared" si="267"/>
        <v>72,16</v>
      </c>
      <c r="CE55" s="19" t="str">
        <f t="shared" si="267"/>
        <v>73,16</v>
      </c>
      <c r="CF55" s="19" t="str">
        <f t="shared" si="267"/>
        <v>74,16</v>
      </c>
      <c r="CG55" s="19" t="str">
        <f t="shared" si="267"/>
        <v>75,16</v>
      </c>
      <c r="CH55" s="19" t="str">
        <f t="shared" si="267"/>
        <v>76,16</v>
      </c>
      <c r="CI55" s="19" t="str">
        <f t="shared" si="268"/>
        <v>77,16</v>
      </c>
      <c r="CJ55" s="19" t="str">
        <f t="shared" si="268"/>
        <v>78,16</v>
      </c>
      <c r="CK55" s="19" t="str">
        <f t="shared" si="268"/>
        <v>79,16</v>
      </c>
      <c r="CL55" s="19" t="str">
        <f t="shared" si="268"/>
        <v>80,16</v>
      </c>
      <c r="CM55" s="19" t="str">
        <f t="shared" si="268"/>
        <v>81,16</v>
      </c>
      <c r="CN55" s="19" t="str">
        <f t="shared" si="268"/>
        <v>82,16</v>
      </c>
      <c r="CO55" s="19" t="str">
        <f t="shared" si="268"/>
        <v>83,16</v>
      </c>
      <c r="CP55" s="19" t="str">
        <f t="shared" si="268"/>
        <v>84,16</v>
      </c>
      <c r="CQ55" s="19" t="str">
        <f t="shared" si="268"/>
        <v>85,16</v>
      </c>
      <c r="CR55" s="19" t="str">
        <f t="shared" si="268"/>
        <v>86,16</v>
      </c>
      <c r="CS55" s="19" t="str">
        <f t="shared" si="269"/>
        <v>87,16</v>
      </c>
      <c r="CT55" s="19" t="str">
        <f t="shared" si="269"/>
        <v>88,16</v>
      </c>
      <c r="CU55" s="19" t="str">
        <f t="shared" si="269"/>
        <v>89,16</v>
      </c>
      <c r="CV55" s="19" t="str">
        <f t="shared" si="269"/>
        <v>90,16</v>
      </c>
      <c r="CW55" s="19" t="str">
        <f t="shared" si="269"/>
        <v>91,16</v>
      </c>
      <c r="CX55" s="19" t="str">
        <f t="shared" si="269"/>
        <v>92,16</v>
      </c>
      <c r="CY55" s="19" t="str">
        <f t="shared" si="269"/>
        <v>93,16</v>
      </c>
      <c r="CZ55" s="19" t="str">
        <f t="shared" si="269"/>
        <v>94,16</v>
      </c>
      <c r="DA55" s="19" t="str">
        <f t="shared" si="269"/>
        <v>95,16</v>
      </c>
      <c r="DB55" s="19" t="str">
        <f t="shared" si="269"/>
        <v>96,16</v>
      </c>
      <c r="DC55" s="19" t="str">
        <f t="shared" si="269"/>
        <v>97,16</v>
      </c>
      <c r="DD55" s="19" t="str">
        <f t="shared" si="269"/>
        <v>98,16</v>
      </c>
      <c r="DE55" s="19" t="str">
        <f t="shared" si="269"/>
        <v>99,16</v>
      </c>
      <c r="DF55" s="19" t="str">
        <f t="shared" si="269"/>
        <v>100,16</v>
      </c>
      <c r="DG55" s="16">
        <f t="shared" si="249"/>
        <v>16</v>
      </c>
      <c r="DH55" s="1"/>
      <c r="DI55" s="62">
        <v>1</v>
      </c>
      <c r="DJ55" s="62">
        <v>1</v>
      </c>
      <c r="DK55" s="62">
        <v>1</v>
      </c>
      <c r="DL55" s="62">
        <v>1</v>
      </c>
      <c r="DM55" s="62">
        <v>1</v>
      </c>
      <c r="DN55" s="62">
        <v>1</v>
      </c>
      <c r="DO55" s="62">
        <v>1</v>
      </c>
      <c r="DP55" s="62">
        <v>1</v>
      </c>
      <c r="DQ55" s="62">
        <v>1</v>
      </c>
      <c r="DR55" s="62">
        <v>1</v>
      </c>
      <c r="DS55" s="62">
        <v>1</v>
      </c>
      <c r="DT55" s="62">
        <v>1</v>
      </c>
      <c r="DU55" s="62">
        <v>1</v>
      </c>
      <c r="DV55" s="62">
        <v>1</v>
      </c>
      <c r="DW55" s="62">
        <v>1</v>
      </c>
      <c r="DX55" s="62">
        <v>1</v>
      </c>
      <c r="DY55" s="62">
        <v>1</v>
      </c>
      <c r="DZ55" s="62">
        <v>1</v>
      </c>
      <c r="EA55" s="62">
        <v>1</v>
      </c>
      <c r="EB55" s="62">
        <v>1</v>
      </c>
      <c r="EC55" s="62">
        <v>1</v>
      </c>
      <c r="ED55" s="62">
        <v>1</v>
      </c>
      <c r="EE55" s="62">
        <v>1</v>
      </c>
      <c r="EF55" s="62">
        <v>1</v>
      </c>
      <c r="EG55" s="62">
        <v>1</v>
      </c>
      <c r="EH55" s="62">
        <v>1</v>
      </c>
      <c r="EI55" s="62">
        <v>1</v>
      </c>
      <c r="EJ55" s="62">
        <v>1</v>
      </c>
      <c r="EK55" s="62">
        <v>1</v>
      </c>
      <c r="EL55" s="62">
        <v>1</v>
      </c>
      <c r="EM55" s="62">
        <v>1</v>
      </c>
      <c r="EN55" s="62">
        <v>1</v>
      </c>
      <c r="EO55" s="62">
        <v>1</v>
      </c>
      <c r="EP55" s="62">
        <v>1</v>
      </c>
      <c r="EQ55" s="62">
        <v>1</v>
      </c>
      <c r="ER55" s="62">
        <v>1</v>
      </c>
      <c r="ES55" s="62">
        <v>1</v>
      </c>
      <c r="ET55" s="62">
        <v>1</v>
      </c>
      <c r="EU55" s="62">
        <v>1</v>
      </c>
      <c r="EV55" s="62">
        <v>1</v>
      </c>
      <c r="EW55" s="62">
        <v>1</v>
      </c>
      <c r="EX55" s="62">
        <v>1</v>
      </c>
      <c r="EY55" s="62">
        <v>1</v>
      </c>
      <c r="EZ55" s="62">
        <v>1</v>
      </c>
      <c r="FA55" s="62">
        <v>1</v>
      </c>
      <c r="FB55" s="62">
        <v>1</v>
      </c>
      <c r="FC55" s="62">
        <v>1</v>
      </c>
      <c r="FD55" s="62">
        <v>1</v>
      </c>
      <c r="FE55" s="62">
        <v>1</v>
      </c>
      <c r="FF55" s="62">
        <v>-1</v>
      </c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ht="5.45" customHeight="1" x14ac:dyDescent="0.25">
      <c r="A56" s="1"/>
      <c r="B56" s="10">
        <f>B55+1</f>
        <v>2</v>
      </c>
      <c r="C56" s="10">
        <v>0</v>
      </c>
      <c r="D56" s="10">
        <v>0</v>
      </c>
      <c r="E56" s="10">
        <v>10</v>
      </c>
      <c r="F56" s="27"/>
      <c r="G56" s="27" t="s">
        <v>45</v>
      </c>
      <c r="H56" s="17" t="s">
        <v>45</v>
      </c>
      <c r="I56" s="1"/>
      <c r="J56" s="16">
        <f>COLUMN()</f>
        <v>10</v>
      </c>
      <c r="K56" s="19" t="str">
        <f t="shared" si="261"/>
        <v>1,17</v>
      </c>
      <c r="L56" s="19" t="str">
        <f t="shared" si="261"/>
        <v>2,17</v>
      </c>
      <c r="M56" s="19" t="str">
        <f t="shared" si="261"/>
        <v>3,17</v>
      </c>
      <c r="N56" s="19" t="str">
        <f t="shared" si="261"/>
        <v>4,17</v>
      </c>
      <c r="O56" s="19" t="str">
        <f t="shared" si="261"/>
        <v>5,17</v>
      </c>
      <c r="P56" s="19" t="str">
        <f t="shared" si="261"/>
        <v>6,17</v>
      </c>
      <c r="Q56" s="19" t="str">
        <f t="shared" si="261"/>
        <v>7,17</v>
      </c>
      <c r="R56" s="19" t="str">
        <f t="shared" si="261"/>
        <v>8,17</v>
      </c>
      <c r="S56" s="19" t="str">
        <f t="shared" si="261"/>
        <v>9,17</v>
      </c>
      <c r="T56" s="19" t="str">
        <f t="shared" si="261"/>
        <v>10,17</v>
      </c>
      <c r="U56" s="19" t="str">
        <f t="shared" si="262"/>
        <v>11,17</v>
      </c>
      <c r="V56" s="19" t="str">
        <f t="shared" si="262"/>
        <v>12,17</v>
      </c>
      <c r="W56" s="19" t="str">
        <f t="shared" si="262"/>
        <v>13,17</v>
      </c>
      <c r="X56" s="19" t="str">
        <f t="shared" si="262"/>
        <v>14,17</v>
      </c>
      <c r="Y56" s="19" t="str">
        <f t="shared" si="262"/>
        <v>15,17</v>
      </c>
      <c r="Z56" s="19" t="str">
        <f t="shared" si="262"/>
        <v>16,17</v>
      </c>
      <c r="AA56" s="19" t="str">
        <f t="shared" si="262"/>
        <v>17,17</v>
      </c>
      <c r="AB56" s="19" t="str">
        <f t="shared" si="262"/>
        <v>18,17</v>
      </c>
      <c r="AC56" s="19" t="str">
        <f t="shared" si="262"/>
        <v>19,17</v>
      </c>
      <c r="AD56" s="19" t="str">
        <f t="shared" si="262"/>
        <v>20,17</v>
      </c>
      <c r="AE56" s="19" t="str">
        <f t="shared" si="263"/>
        <v>21,17</v>
      </c>
      <c r="AF56" s="19" t="str">
        <f t="shared" si="263"/>
        <v>22,17</v>
      </c>
      <c r="AG56" s="19" t="str">
        <f t="shared" si="263"/>
        <v>23,17</v>
      </c>
      <c r="AH56" s="19" t="str">
        <f t="shared" si="263"/>
        <v>24,17</v>
      </c>
      <c r="AI56" s="19" t="str">
        <f t="shared" si="263"/>
        <v>25,17</v>
      </c>
      <c r="AJ56" s="19" t="str">
        <f t="shared" si="263"/>
        <v>26,17</v>
      </c>
      <c r="AK56" s="19" t="str">
        <f t="shared" si="263"/>
        <v>27,17</v>
      </c>
      <c r="AL56" s="19" t="str">
        <f t="shared" si="263"/>
        <v>28,17</v>
      </c>
      <c r="AM56" s="19" t="str">
        <f t="shared" si="263"/>
        <v>29,17</v>
      </c>
      <c r="AN56" s="19" t="str">
        <f t="shared" si="263"/>
        <v>30,17</v>
      </c>
      <c r="AO56" s="19" t="str">
        <f t="shared" si="263"/>
        <v>31,17</v>
      </c>
      <c r="AP56" s="19" t="str">
        <f t="shared" si="263"/>
        <v>32,17</v>
      </c>
      <c r="AQ56" s="19" t="str">
        <f t="shared" si="263"/>
        <v>33,17</v>
      </c>
      <c r="AR56" s="19" t="str">
        <f t="shared" si="263"/>
        <v>34,17</v>
      </c>
      <c r="AS56" s="19" t="str">
        <f t="shared" si="263"/>
        <v>35,17</v>
      </c>
      <c r="AT56" s="19" t="str">
        <f t="shared" si="259"/>
        <v>36,17</v>
      </c>
      <c r="AU56" s="19" t="str">
        <f t="shared" si="264"/>
        <v>37,17</v>
      </c>
      <c r="AV56" s="19" t="str">
        <f t="shared" si="264"/>
        <v>38,17</v>
      </c>
      <c r="AW56" s="19" t="str">
        <f t="shared" si="264"/>
        <v>39,17</v>
      </c>
      <c r="AX56" s="19" t="str">
        <f t="shared" si="264"/>
        <v>40,17</v>
      </c>
      <c r="AY56" s="19" t="str">
        <f t="shared" si="264"/>
        <v>41,17</v>
      </c>
      <c r="AZ56" s="19" t="str">
        <f t="shared" si="264"/>
        <v>42,17</v>
      </c>
      <c r="BA56" s="19" t="str">
        <f t="shared" si="264"/>
        <v>43,17</v>
      </c>
      <c r="BB56" s="19" t="str">
        <f t="shared" si="264"/>
        <v>44,17</v>
      </c>
      <c r="BC56" s="19" t="str">
        <f t="shared" si="264"/>
        <v>45,17</v>
      </c>
      <c r="BD56" s="19" t="str">
        <f t="shared" si="264"/>
        <v>46,17</v>
      </c>
      <c r="BE56" s="19" t="str">
        <f t="shared" si="265"/>
        <v>47,17</v>
      </c>
      <c r="BF56" s="19" t="str">
        <f t="shared" si="265"/>
        <v>48,17</v>
      </c>
      <c r="BG56" s="19" t="str">
        <f t="shared" si="265"/>
        <v>49,17</v>
      </c>
      <c r="BH56" s="19" t="str">
        <f t="shared" si="265"/>
        <v>50,17</v>
      </c>
      <c r="BI56" s="19" t="str">
        <f t="shared" si="265"/>
        <v>51,17</v>
      </c>
      <c r="BJ56" s="19" t="str">
        <f t="shared" si="265"/>
        <v>52,17</v>
      </c>
      <c r="BK56" s="19" t="str">
        <f t="shared" si="265"/>
        <v>53,17</v>
      </c>
      <c r="BL56" s="19" t="str">
        <f t="shared" si="265"/>
        <v>54,17</v>
      </c>
      <c r="BM56" s="19" t="str">
        <f t="shared" si="265"/>
        <v>55,17</v>
      </c>
      <c r="BN56" s="19" t="str">
        <f t="shared" si="265"/>
        <v>56,17</v>
      </c>
      <c r="BO56" s="19" t="str">
        <f t="shared" si="266"/>
        <v>57,17</v>
      </c>
      <c r="BP56" s="19" t="str">
        <f t="shared" si="266"/>
        <v>58,17</v>
      </c>
      <c r="BQ56" s="19" t="str">
        <f t="shared" si="266"/>
        <v>59,17</v>
      </c>
      <c r="BR56" s="19" t="str">
        <f t="shared" si="266"/>
        <v>60,17</v>
      </c>
      <c r="BS56" s="19" t="str">
        <f t="shared" si="266"/>
        <v>61,17</v>
      </c>
      <c r="BT56" s="19" t="str">
        <f t="shared" si="266"/>
        <v>62,17</v>
      </c>
      <c r="BU56" s="19" t="str">
        <f t="shared" si="266"/>
        <v>63,17</v>
      </c>
      <c r="BV56" s="19" t="str">
        <f t="shared" si="266"/>
        <v>64,17</v>
      </c>
      <c r="BW56" s="19" t="str">
        <f t="shared" si="266"/>
        <v>65,17</v>
      </c>
      <c r="BX56" s="19" t="str">
        <f t="shared" si="266"/>
        <v>66,17</v>
      </c>
      <c r="BY56" s="19" t="str">
        <f t="shared" si="267"/>
        <v>67,17</v>
      </c>
      <c r="BZ56" s="19" t="str">
        <f t="shared" si="267"/>
        <v>68,17</v>
      </c>
      <c r="CA56" s="19" t="str">
        <f t="shared" si="267"/>
        <v>69,17</v>
      </c>
      <c r="CB56" s="19" t="str">
        <f t="shared" si="267"/>
        <v>70,17</v>
      </c>
      <c r="CC56" s="19" t="str">
        <f t="shared" si="267"/>
        <v>71,17</v>
      </c>
      <c r="CD56" s="19" t="str">
        <f t="shared" si="267"/>
        <v>72,17</v>
      </c>
      <c r="CE56" s="19" t="str">
        <f t="shared" si="267"/>
        <v>73,17</v>
      </c>
      <c r="CF56" s="19" t="str">
        <f t="shared" si="267"/>
        <v>74,17</v>
      </c>
      <c r="CG56" s="19" t="str">
        <f t="shared" si="267"/>
        <v>75,17</v>
      </c>
      <c r="CH56" s="19" t="str">
        <f t="shared" si="267"/>
        <v>76,17</v>
      </c>
      <c r="CI56" s="19" t="str">
        <f t="shared" si="268"/>
        <v>77,17</v>
      </c>
      <c r="CJ56" s="19" t="str">
        <f t="shared" si="268"/>
        <v>78,17</v>
      </c>
      <c r="CK56" s="19" t="str">
        <f t="shared" si="268"/>
        <v>79,17</v>
      </c>
      <c r="CL56" s="19" t="str">
        <f t="shared" si="268"/>
        <v>80,17</v>
      </c>
      <c r="CM56" s="19" t="str">
        <f t="shared" si="268"/>
        <v>81,17</v>
      </c>
      <c r="CN56" s="19" t="str">
        <f t="shared" si="268"/>
        <v>82,17</v>
      </c>
      <c r="CO56" s="19" t="str">
        <f t="shared" si="268"/>
        <v>83,17</v>
      </c>
      <c r="CP56" s="19" t="str">
        <f t="shared" si="268"/>
        <v>84,17</v>
      </c>
      <c r="CQ56" s="19" t="str">
        <f t="shared" si="268"/>
        <v>85,17</v>
      </c>
      <c r="CR56" s="19" t="str">
        <f t="shared" si="268"/>
        <v>86,17</v>
      </c>
      <c r="CS56" s="19" t="str">
        <f t="shared" si="269"/>
        <v>87,17</v>
      </c>
      <c r="CT56" s="19" t="str">
        <f t="shared" si="269"/>
        <v>88,17</v>
      </c>
      <c r="CU56" s="19" t="str">
        <f t="shared" si="269"/>
        <v>89,17</v>
      </c>
      <c r="CV56" s="19" t="str">
        <f t="shared" si="269"/>
        <v>90,17</v>
      </c>
      <c r="CW56" s="19" t="str">
        <f t="shared" si="269"/>
        <v>91,17</v>
      </c>
      <c r="CX56" s="19" t="str">
        <f t="shared" si="269"/>
        <v>92,17</v>
      </c>
      <c r="CY56" s="19" t="str">
        <f t="shared" si="269"/>
        <v>93,17</v>
      </c>
      <c r="CZ56" s="19" t="str">
        <f t="shared" si="269"/>
        <v>94,17</v>
      </c>
      <c r="DA56" s="19" t="str">
        <f t="shared" si="269"/>
        <v>95,17</v>
      </c>
      <c r="DB56" s="19" t="str">
        <f t="shared" si="269"/>
        <v>96,17</v>
      </c>
      <c r="DC56" s="19" t="str">
        <f t="shared" si="269"/>
        <v>97,17</v>
      </c>
      <c r="DD56" s="19" t="str">
        <f t="shared" si="269"/>
        <v>98,17</v>
      </c>
      <c r="DE56" s="19" t="str">
        <f t="shared" si="269"/>
        <v>99,17</v>
      </c>
      <c r="DF56" s="19" t="str">
        <f t="shared" si="269"/>
        <v>100,17</v>
      </c>
      <c r="DG56" s="16">
        <f t="shared" si="249"/>
        <v>17</v>
      </c>
      <c r="DH56" s="1"/>
      <c r="DI56" s="62">
        <v>1</v>
      </c>
      <c r="DJ56" s="62">
        <v>1</v>
      </c>
      <c r="DK56" s="62">
        <v>1</v>
      </c>
      <c r="DL56" s="62">
        <v>1</v>
      </c>
      <c r="DM56" s="62">
        <v>1</v>
      </c>
      <c r="DN56" s="62">
        <v>1</v>
      </c>
      <c r="DO56" s="62">
        <v>1</v>
      </c>
      <c r="DP56" s="62">
        <v>1</v>
      </c>
      <c r="DQ56" s="62">
        <v>1</v>
      </c>
      <c r="DR56" s="62">
        <v>1</v>
      </c>
      <c r="DS56" s="62">
        <v>1</v>
      </c>
      <c r="DT56" s="62">
        <v>1</v>
      </c>
      <c r="DU56" s="62">
        <v>1</v>
      </c>
      <c r="DV56" s="62">
        <v>1</v>
      </c>
      <c r="DW56" s="62">
        <v>1</v>
      </c>
      <c r="DX56" s="62">
        <v>1</v>
      </c>
      <c r="DY56" s="62">
        <v>1</v>
      </c>
      <c r="DZ56" s="62">
        <v>1</v>
      </c>
      <c r="EA56" s="62">
        <v>1</v>
      </c>
      <c r="EB56" s="62">
        <v>1</v>
      </c>
      <c r="EC56" s="62">
        <v>1</v>
      </c>
      <c r="ED56" s="62">
        <v>1</v>
      </c>
      <c r="EE56" s="62">
        <v>1</v>
      </c>
      <c r="EF56" s="62">
        <v>1</v>
      </c>
      <c r="EG56" s="62">
        <v>1</v>
      </c>
      <c r="EH56" s="62">
        <v>1</v>
      </c>
      <c r="EI56" s="62">
        <v>1</v>
      </c>
      <c r="EJ56" s="62">
        <v>1</v>
      </c>
      <c r="EK56" s="62">
        <v>1</v>
      </c>
      <c r="EL56" s="62">
        <v>1</v>
      </c>
      <c r="EM56" s="62">
        <v>1</v>
      </c>
      <c r="EN56" s="62">
        <v>1</v>
      </c>
      <c r="EO56" s="62">
        <v>1</v>
      </c>
      <c r="EP56" s="62">
        <v>1</v>
      </c>
      <c r="EQ56" s="62">
        <v>1</v>
      </c>
      <c r="ER56" s="62">
        <v>1</v>
      </c>
      <c r="ES56" s="62">
        <v>1</v>
      </c>
      <c r="ET56" s="62">
        <v>1</v>
      </c>
      <c r="EU56" s="62">
        <v>1</v>
      </c>
      <c r="EV56" s="62">
        <v>1</v>
      </c>
      <c r="EW56" s="62">
        <v>1</v>
      </c>
      <c r="EX56" s="62">
        <v>1</v>
      </c>
      <c r="EY56" s="62">
        <v>1</v>
      </c>
      <c r="EZ56" s="62">
        <v>1</v>
      </c>
      <c r="FA56" s="62">
        <v>1</v>
      </c>
      <c r="FB56" s="62">
        <v>1</v>
      </c>
      <c r="FC56" s="62">
        <v>1</v>
      </c>
      <c r="FD56" s="62">
        <v>1</v>
      </c>
      <c r="FE56" s="62">
        <v>1</v>
      </c>
      <c r="FF56" s="62">
        <v>-1</v>
      </c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ht="5.45" customHeight="1" x14ac:dyDescent="0.25">
      <c r="A57" s="1"/>
      <c r="B57" s="10">
        <f t="shared" ref="B57:B70" si="270">B56+1</f>
        <v>3</v>
      </c>
      <c r="C57" s="10">
        <v>0</v>
      </c>
      <c r="D57" s="10">
        <v>0</v>
      </c>
      <c r="E57" s="10">
        <v>10</v>
      </c>
      <c r="F57" s="27"/>
      <c r="G57" s="27" t="s">
        <v>45</v>
      </c>
      <c r="H57" s="17" t="s">
        <v>45</v>
      </c>
      <c r="I57" s="1"/>
      <c r="J57" s="16">
        <f>COLUMN()</f>
        <v>10</v>
      </c>
      <c r="K57" s="19" t="str">
        <f t="shared" si="261"/>
        <v>1,18</v>
      </c>
      <c r="L57" s="19" t="str">
        <f t="shared" si="261"/>
        <v>2,18</v>
      </c>
      <c r="M57" s="19" t="str">
        <f t="shared" si="261"/>
        <v>3,18</v>
      </c>
      <c r="N57" s="19" t="str">
        <f t="shared" si="261"/>
        <v>4,18</v>
      </c>
      <c r="O57" s="19" t="str">
        <f t="shared" si="261"/>
        <v>5,18</v>
      </c>
      <c r="P57" s="19" t="str">
        <f t="shared" si="261"/>
        <v>6,18</v>
      </c>
      <c r="Q57" s="19" t="str">
        <f t="shared" si="261"/>
        <v>7,18</v>
      </c>
      <c r="R57" s="19" t="str">
        <f t="shared" si="261"/>
        <v>8,18</v>
      </c>
      <c r="S57" s="19" t="str">
        <f t="shared" si="261"/>
        <v>9,18</v>
      </c>
      <c r="T57" s="19" t="str">
        <f t="shared" si="261"/>
        <v>10,18</v>
      </c>
      <c r="U57" s="19" t="str">
        <f t="shared" si="262"/>
        <v>11,18</v>
      </c>
      <c r="V57" s="19" t="str">
        <f t="shared" si="262"/>
        <v>12,18</v>
      </c>
      <c r="W57" s="19" t="str">
        <f t="shared" si="262"/>
        <v>13,18</v>
      </c>
      <c r="X57" s="19" t="str">
        <f t="shared" si="262"/>
        <v>14,18</v>
      </c>
      <c r="Y57" s="19" t="str">
        <f t="shared" si="262"/>
        <v>15,18</v>
      </c>
      <c r="Z57" s="19" t="str">
        <f t="shared" si="262"/>
        <v>16,18</v>
      </c>
      <c r="AA57" s="19" t="str">
        <f t="shared" si="262"/>
        <v>17,18</v>
      </c>
      <c r="AB57" s="19" t="str">
        <f t="shared" si="262"/>
        <v>18,18</v>
      </c>
      <c r="AC57" s="19" t="str">
        <f t="shared" si="262"/>
        <v>19,18</v>
      </c>
      <c r="AD57" s="19" t="str">
        <f t="shared" si="262"/>
        <v>20,18</v>
      </c>
      <c r="AE57" s="19" t="str">
        <f t="shared" si="263"/>
        <v>21,18</v>
      </c>
      <c r="AF57" s="19" t="str">
        <f t="shared" si="263"/>
        <v>22,18</v>
      </c>
      <c r="AG57" s="19" t="str">
        <f t="shared" si="263"/>
        <v>23,18</v>
      </c>
      <c r="AH57" s="19" t="str">
        <f t="shared" si="263"/>
        <v>24,18</v>
      </c>
      <c r="AI57" s="19" t="str">
        <f t="shared" si="263"/>
        <v>25,18</v>
      </c>
      <c r="AJ57" s="19" t="str">
        <f t="shared" si="263"/>
        <v>26,18</v>
      </c>
      <c r="AK57" s="19" t="str">
        <f t="shared" si="263"/>
        <v>27,18</v>
      </c>
      <c r="AL57" s="19" t="str">
        <f t="shared" si="263"/>
        <v>28,18</v>
      </c>
      <c r="AM57" s="19" t="str">
        <f t="shared" si="263"/>
        <v>29,18</v>
      </c>
      <c r="AN57" s="19" t="str">
        <f t="shared" si="263"/>
        <v>30,18</v>
      </c>
      <c r="AO57" s="19" t="str">
        <f t="shared" si="263"/>
        <v>31,18</v>
      </c>
      <c r="AP57" s="19" t="str">
        <f t="shared" si="263"/>
        <v>32,18</v>
      </c>
      <c r="AQ57" s="19" t="str">
        <f t="shared" si="263"/>
        <v>33,18</v>
      </c>
      <c r="AR57" s="19" t="str">
        <f t="shared" si="263"/>
        <v>34,18</v>
      </c>
      <c r="AS57" s="19" t="str">
        <f t="shared" si="263"/>
        <v>35,18</v>
      </c>
      <c r="AT57" s="19" t="str">
        <f t="shared" si="259"/>
        <v>36,18</v>
      </c>
      <c r="AU57" s="19" t="str">
        <f t="shared" si="264"/>
        <v>37,18</v>
      </c>
      <c r="AV57" s="19" t="str">
        <f t="shared" si="264"/>
        <v>38,18</v>
      </c>
      <c r="AW57" s="19" t="str">
        <f t="shared" si="264"/>
        <v>39,18</v>
      </c>
      <c r="AX57" s="19" t="str">
        <f t="shared" si="264"/>
        <v>40,18</v>
      </c>
      <c r="AY57" s="19" t="str">
        <f t="shared" si="264"/>
        <v>41,18</v>
      </c>
      <c r="AZ57" s="19" t="str">
        <f t="shared" si="264"/>
        <v>42,18</v>
      </c>
      <c r="BA57" s="19" t="str">
        <f t="shared" si="264"/>
        <v>43,18</v>
      </c>
      <c r="BB57" s="19" t="str">
        <f t="shared" si="264"/>
        <v>44,18</v>
      </c>
      <c r="BC57" s="19" t="str">
        <f t="shared" si="264"/>
        <v>45,18</v>
      </c>
      <c r="BD57" s="19" t="str">
        <f t="shared" si="264"/>
        <v>46,18</v>
      </c>
      <c r="BE57" s="19" t="str">
        <f t="shared" si="265"/>
        <v>47,18</v>
      </c>
      <c r="BF57" s="19" t="str">
        <f t="shared" si="265"/>
        <v>48,18</v>
      </c>
      <c r="BG57" s="19" t="str">
        <f t="shared" si="265"/>
        <v>49,18</v>
      </c>
      <c r="BH57" s="19" t="str">
        <f t="shared" si="265"/>
        <v>50,18</v>
      </c>
      <c r="BI57" s="19" t="str">
        <f t="shared" si="265"/>
        <v>51,18</v>
      </c>
      <c r="BJ57" s="19" t="str">
        <f t="shared" si="265"/>
        <v>52,18</v>
      </c>
      <c r="BK57" s="19" t="str">
        <f t="shared" si="265"/>
        <v>53,18</v>
      </c>
      <c r="BL57" s="19" t="str">
        <f t="shared" si="265"/>
        <v>54,18</v>
      </c>
      <c r="BM57" s="19" t="str">
        <f t="shared" si="265"/>
        <v>55,18</v>
      </c>
      <c r="BN57" s="19" t="str">
        <f t="shared" si="265"/>
        <v>56,18</v>
      </c>
      <c r="BO57" s="19" t="str">
        <f t="shared" si="266"/>
        <v>57,18</v>
      </c>
      <c r="BP57" s="19" t="str">
        <f t="shared" si="266"/>
        <v>58,18</v>
      </c>
      <c r="BQ57" s="19" t="str">
        <f t="shared" si="266"/>
        <v>59,18</v>
      </c>
      <c r="BR57" s="19" t="str">
        <f t="shared" si="266"/>
        <v>60,18</v>
      </c>
      <c r="BS57" s="19" t="str">
        <f t="shared" si="266"/>
        <v>61,18</v>
      </c>
      <c r="BT57" s="19" t="str">
        <f t="shared" si="266"/>
        <v>62,18</v>
      </c>
      <c r="BU57" s="19" t="str">
        <f t="shared" si="266"/>
        <v>63,18</v>
      </c>
      <c r="BV57" s="19" t="str">
        <f t="shared" si="266"/>
        <v>64,18</v>
      </c>
      <c r="BW57" s="19" t="str">
        <f t="shared" si="266"/>
        <v>65,18</v>
      </c>
      <c r="BX57" s="19" t="str">
        <f t="shared" si="266"/>
        <v>66,18</v>
      </c>
      <c r="BY57" s="19" t="str">
        <f t="shared" si="267"/>
        <v>67,18</v>
      </c>
      <c r="BZ57" s="19" t="str">
        <f t="shared" si="267"/>
        <v>68,18</v>
      </c>
      <c r="CA57" s="19" t="str">
        <f t="shared" si="267"/>
        <v>69,18</v>
      </c>
      <c r="CB57" s="19" t="str">
        <f t="shared" si="267"/>
        <v>70,18</v>
      </c>
      <c r="CC57" s="19" t="str">
        <f t="shared" si="267"/>
        <v>71,18</v>
      </c>
      <c r="CD57" s="19" t="str">
        <f t="shared" si="267"/>
        <v>72,18</v>
      </c>
      <c r="CE57" s="19" t="str">
        <f t="shared" si="267"/>
        <v>73,18</v>
      </c>
      <c r="CF57" s="19" t="str">
        <f t="shared" si="267"/>
        <v>74,18</v>
      </c>
      <c r="CG57" s="19" t="str">
        <f t="shared" si="267"/>
        <v>75,18</v>
      </c>
      <c r="CH57" s="19" t="str">
        <f t="shared" si="267"/>
        <v>76,18</v>
      </c>
      <c r="CI57" s="19" t="str">
        <f t="shared" si="268"/>
        <v>77,18</v>
      </c>
      <c r="CJ57" s="19" t="str">
        <f t="shared" si="268"/>
        <v>78,18</v>
      </c>
      <c r="CK57" s="19" t="str">
        <f t="shared" si="268"/>
        <v>79,18</v>
      </c>
      <c r="CL57" s="19" t="str">
        <f t="shared" si="268"/>
        <v>80,18</v>
      </c>
      <c r="CM57" s="19" t="str">
        <f t="shared" si="268"/>
        <v>81,18</v>
      </c>
      <c r="CN57" s="19" t="str">
        <f t="shared" si="268"/>
        <v>82,18</v>
      </c>
      <c r="CO57" s="19" t="str">
        <f t="shared" si="268"/>
        <v>83,18</v>
      </c>
      <c r="CP57" s="19" t="str">
        <f t="shared" si="268"/>
        <v>84,18</v>
      </c>
      <c r="CQ57" s="19" t="str">
        <f t="shared" si="268"/>
        <v>85,18</v>
      </c>
      <c r="CR57" s="19" t="str">
        <f t="shared" si="268"/>
        <v>86,18</v>
      </c>
      <c r="CS57" s="19" t="str">
        <f t="shared" si="269"/>
        <v>87,18</v>
      </c>
      <c r="CT57" s="19" t="str">
        <f t="shared" si="269"/>
        <v>88,18</v>
      </c>
      <c r="CU57" s="19" t="str">
        <f t="shared" si="269"/>
        <v>89,18</v>
      </c>
      <c r="CV57" s="19" t="str">
        <f t="shared" si="269"/>
        <v>90,18</v>
      </c>
      <c r="CW57" s="19" t="str">
        <f t="shared" si="269"/>
        <v>91,18</v>
      </c>
      <c r="CX57" s="19" t="str">
        <f t="shared" si="269"/>
        <v>92,18</v>
      </c>
      <c r="CY57" s="19" t="str">
        <f t="shared" si="269"/>
        <v>93,18</v>
      </c>
      <c r="CZ57" s="19" t="str">
        <f t="shared" si="269"/>
        <v>94,18</v>
      </c>
      <c r="DA57" s="19" t="str">
        <f t="shared" si="269"/>
        <v>95,18</v>
      </c>
      <c r="DB57" s="19" t="str">
        <f t="shared" si="269"/>
        <v>96,18</v>
      </c>
      <c r="DC57" s="19" t="str">
        <f t="shared" si="269"/>
        <v>97,18</v>
      </c>
      <c r="DD57" s="19" t="str">
        <f t="shared" si="269"/>
        <v>98,18</v>
      </c>
      <c r="DE57" s="19" t="str">
        <f t="shared" si="269"/>
        <v>99,18</v>
      </c>
      <c r="DF57" s="19" t="str">
        <f t="shared" si="269"/>
        <v>100,18</v>
      </c>
      <c r="DG57" s="16">
        <f t="shared" si="249"/>
        <v>18</v>
      </c>
      <c r="DH57" s="1"/>
      <c r="DI57" s="62">
        <v>1</v>
      </c>
      <c r="DJ57" s="62">
        <v>1</v>
      </c>
      <c r="DK57" s="62">
        <v>1</v>
      </c>
      <c r="DL57" s="62">
        <v>1</v>
      </c>
      <c r="DM57" s="62">
        <v>1</v>
      </c>
      <c r="DN57" s="62">
        <v>1</v>
      </c>
      <c r="DO57" s="62">
        <v>1</v>
      </c>
      <c r="DP57" s="62">
        <v>1</v>
      </c>
      <c r="DQ57" s="62">
        <v>1</v>
      </c>
      <c r="DR57" s="62">
        <v>1</v>
      </c>
      <c r="DS57" s="62">
        <v>1</v>
      </c>
      <c r="DT57" s="62">
        <v>1</v>
      </c>
      <c r="DU57" s="62">
        <v>1</v>
      </c>
      <c r="DV57" s="62">
        <v>1</v>
      </c>
      <c r="DW57" s="62">
        <v>1</v>
      </c>
      <c r="DX57" s="62">
        <v>1</v>
      </c>
      <c r="DY57" s="62">
        <v>1</v>
      </c>
      <c r="DZ57" s="62">
        <v>1</v>
      </c>
      <c r="EA57" s="62">
        <v>1</v>
      </c>
      <c r="EB57" s="62">
        <v>1</v>
      </c>
      <c r="EC57" s="62">
        <v>1</v>
      </c>
      <c r="ED57" s="62">
        <v>1</v>
      </c>
      <c r="EE57" s="62">
        <v>1</v>
      </c>
      <c r="EF57" s="62">
        <v>1</v>
      </c>
      <c r="EG57" s="62">
        <v>1</v>
      </c>
      <c r="EH57" s="62">
        <v>1</v>
      </c>
      <c r="EI57" s="62">
        <v>1</v>
      </c>
      <c r="EJ57" s="62">
        <v>1</v>
      </c>
      <c r="EK57" s="62">
        <v>1</v>
      </c>
      <c r="EL57" s="62">
        <v>1</v>
      </c>
      <c r="EM57" s="62">
        <v>1</v>
      </c>
      <c r="EN57" s="62">
        <v>1</v>
      </c>
      <c r="EO57" s="62">
        <v>1</v>
      </c>
      <c r="EP57" s="62">
        <v>1</v>
      </c>
      <c r="EQ57" s="62">
        <v>1</v>
      </c>
      <c r="ER57" s="62">
        <v>1</v>
      </c>
      <c r="ES57" s="62">
        <v>1</v>
      </c>
      <c r="ET57" s="62">
        <v>1</v>
      </c>
      <c r="EU57" s="62">
        <v>1</v>
      </c>
      <c r="EV57" s="62">
        <v>1</v>
      </c>
      <c r="EW57" s="62">
        <v>1</v>
      </c>
      <c r="EX57" s="62">
        <v>1</v>
      </c>
      <c r="EY57" s="62">
        <v>1</v>
      </c>
      <c r="EZ57" s="62">
        <v>1</v>
      </c>
      <c r="FA57" s="62">
        <v>1</v>
      </c>
      <c r="FB57" s="62">
        <v>1</v>
      </c>
      <c r="FC57" s="62">
        <v>1</v>
      </c>
      <c r="FD57" s="62">
        <v>1</v>
      </c>
      <c r="FE57" s="62">
        <v>1</v>
      </c>
      <c r="FF57" s="62">
        <v>-1</v>
      </c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ht="5.45" customHeight="1" x14ac:dyDescent="0.25">
      <c r="A58" s="1"/>
      <c r="B58" s="10">
        <f t="shared" si="270"/>
        <v>4</v>
      </c>
      <c r="C58" s="10">
        <v>0</v>
      </c>
      <c r="D58" s="10">
        <v>0</v>
      </c>
      <c r="E58" s="10">
        <v>10</v>
      </c>
      <c r="F58" s="27"/>
      <c r="G58" s="27" t="s">
        <v>45</v>
      </c>
      <c r="H58" s="17" t="s">
        <v>45</v>
      </c>
      <c r="I58" s="1"/>
      <c r="J58" s="16">
        <f>COLUMN()</f>
        <v>10</v>
      </c>
      <c r="K58" s="19" t="str">
        <f t="shared" si="261"/>
        <v>1,19</v>
      </c>
      <c r="L58" s="19" t="str">
        <f t="shared" si="261"/>
        <v>2,19</v>
      </c>
      <c r="M58" s="19" t="str">
        <f t="shared" si="261"/>
        <v>3,19</v>
      </c>
      <c r="N58" s="19" t="str">
        <f t="shared" si="261"/>
        <v>4,19</v>
      </c>
      <c r="O58" s="19" t="str">
        <f t="shared" si="261"/>
        <v>5,19</v>
      </c>
      <c r="P58" s="19" t="str">
        <f t="shared" si="261"/>
        <v>6,19</v>
      </c>
      <c r="Q58" s="19" t="str">
        <f t="shared" si="261"/>
        <v>7,19</v>
      </c>
      <c r="R58" s="19" t="str">
        <f t="shared" si="261"/>
        <v>8,19</v>
      </c>
      <c r="S58" s="19" t="str">
        <f t="shared" si="261"/>
        <v>9,19</v>
      </c>
      <c r="T58" s="19" t="str">
        <f t="shared" si="261"/>
        <v>10,19</v>
      </c>
      <c r="U58" s="19" t="str">
        <f t="shared" si="262"/>
        <v>11,19</v>
      </c>
      <c r="V58" s="19" t="str">
        <f t="shared" si="262"/>
        <v>12,19</v>
      </c>
      <c r="W58" s="19" t="str">
        <f t="shared" si="262"/>
        <v>13,19</v>
      </c>
      <c r="X58" s="19" t="str">
        <f t="shared" si="262"/>
        <v>14,19</v>
      </c>
      <c r="Y58" s="19" t="str">
        <f t="shared" si="262"/>
        <v>15,19</v>
      </c>
      <c r="Z58" s="19" t="str">
        <f t="shared" si="262"/>
        <v>16,19</v>
      </c>
      <c r="AA58" s="19" t="str">
        <f t="shared" si="262"/>
        <v>17,19</v>
      </c>
      <c r="AB58" s="19" t="str">
        <f t="shared" si="262"/>
        <v>18,19</v>
      </c>
      <c r="AC58" s="19" t="str">
        <f t="shared" si="262"/>
        <v>19,19</v>
      </c>
      <c r="AD58" s="19" t="str">
        <f t="shared" si="262"/>
        <v>20,19</v>
      </c>
      <c r="AE58" s="19" t="str">
        <f t="shared" si="263"/>
        <v>21,19</v>
      </c>
      <c r="AF58" s="19" t="str">
        <f t="shared" si="263"/>
        <v>22,19</v>
      </c>
      <c r="AG58" s="19" t="str">
        <f t="shared" si="263"/>
        <v>23,19</v>
      </c>
      <c r="AH58" s="19" t="str">
        <f t="shared" si="263"/>
        <v>24,19</v>
      </c>
      <c r="AI58" s="19" t="str">
        <f t="shared" si="263"/>
        <v>25,19</v>
      </c>
      <c r="AJ58" s="19" t="str">
        <f t="shared" si="263"/>
        <v>26,19</v>
      </c>
      <c r="AK58" s="19" t="str">
        <f t="shared" si="263"/>
        <v>27,19</v>
      </c>
      <c r="AL58" s="19" t="str">
        <f t="shared" si="263"/>
        <v>28,19</v>
      </c>
      <c r="AM58" s="19" t="str">
        <f t="shared" si="263"/>
        <v>29,19</v>
      </c>
      <c r="AN58" s="19" t="str">
        <f t="shared" si="263"/>
        <v>30,19</v>
      </c>
      <c r="AO58" s="19" t="str">
        <f t="shared" si="263"/>
        <v>31,19</v>
      </c>
      <c r="AP58" s="19" t="str">
        <f t="shared" si="263"/>
        <v>32,19</v>
      </c>
      <c r="AQ58" s="19" t="str">
        <f t="shared" si="263"/>
        <v>33,19</v>
      </c>
      <c r="AR58" s="19" t="str">
        <f t="shared" si="263"/>
        <v>34,19</v>
      </c>
      <c r="AS58" s="19" t="str">
        <f t="shared" si="263"/>
        <v>35,19</v>
      </c>
      <c r="AT58" s="19" t="str">
        <f t="shared" si="259"/>
        <v>36,19</v>
      </c>
      <c r="AU58" s="19" t="str">
        <f t="shared" si="264"/>
        <v>37,19</v>
      </c>
      <c r="AV58" s="19" t="str">
        <f t="shared" si="264"/>
        <v>38,19</v>
      </c>
      <c r="AW58" s="19" t="str">
        <f t="shared" si="264"/>
        <v>39,19</v>
      </c>
      <c r="AX58" s="19" t="str">
        <f t="shared" si="264"/>
        <v>40,19</v>
      </c>
      <c r="AY58" s="19" t="str">
        <f t="shared" si="264"/>
        <v>41,19</v>
      </c>
      <c r="AZ58" s="19" t="str">
        <f t="shared" si="264"/>
        <v>42,19</v>
      </c>
      <c r="BA58" s="19" t="str">
        <f t="shared" si="264"/>
        <v>43,19</v>
      </c>
      <c r="BB58" s="19" t="str">
        <f t="shared" si="264"/>
        <v>44,19</v>
      </c>
      <c r="BC58" s="19" t="str">
        <f t="shared" si="264"/>
        <v>45,19</v>
      </c>
      <c r="BD58" s="19" t="str">
        <f t="shared" si="264"/>
        <v>46,19</v>
      </c>
      <c r="BE58" s="19" t="str">
        <f t="shared" si="265"/>
        <v>47,19</v>
      </c>
      <c r="BF58" s="19" t="str">
        <f t="shared" si="265"/>
        <v>48,19</v>
      </c>
      <c r="BG58" s="19" t="str">
        <f t="shared" si="265"/>
        <v>49,19</v>
      </c>
      <c r="BH58" s="19" t="str">
        <f t="shared" si="265"/>
        <v>50,19</v>
      </c>
      <c r="BI58" s="19" t="str">
        <f t="shared" si="265"/>
        <v>51,19</v>
      </c>
      <c r="BJ58" s="19" t="str">
        <f t="shared" si="265"/>
        <v>52,19</v>
      </c>
      <c r="BK58" s="19" t="str">
        <f t="shared" si="265"/>
        <v>53,19</v>
      </c>
      <c r="BL58" s="19" t="str">
        <f t="shared" si="265"/>
        <v>54,19</v>
      </c>
      <c r="BM58" s="19" t="str">
        <f t="shared" si="265"/>
        <v>55,19</v>
      </c>
      <c r="BN58" s="19" t="str">
        <f t="shared" si="265"/>
        <v>56,19</v>
      </c>
      <c r="BO58" s="19" t="str">
        <f t="shared" si="266"/>
        <v>57,19</v>
      </c>
      <c r="BP58" s="19" t="str">
        <f t="shared" si="266"/>
        <v>58,19</v>
      </c>
      <c r="BQ58" s="19" t="str">
        <f t="shared" si="266"/>
        <v>59,19</v>
      </c>
      <c r="BR58" s="19" t="str">
        <f t="shared" si="266"/>
        <v>60,19</v>
      </c>
      <c r="BS58" s="19" t="str">
        <f t="shared" si="266"/>
        <v>61,19</v>
      </c>
      <c r="BT58" s="19" t="str">
        <f t="shared" si="266"/>
        <v>62,19</v>
      </c>
      <c r="BU58" s="19" t="str">
        <f t="shared" si="266"/>
        <v>63,19</v>
      </c>
      <c r="BV58" s="19" t="str">
        <f t="shared" si="266"/>
        <v>64,19</v>
      </c>
      <c r="BW58" s="19" t="str">
        <f t="shared" si="266"/>
        <v>65,19</v>
      </c>
      <c r="BX58" s="19" t="str">
        <f t="shared" si="266"/>
        <v>66,19</v>
      </c>
      <c r="BY58" s="19" t="str">
        <f t="shared" si="267"/>
        <v>67,19</v>
      </c>
      <c r="BZ58" s="19" t="str">
        <f t="shared" si="267"/>
        <v>68,19</v>
      </c>
      <c r="CA58" s="19" t="str">
        <f t="shared" si="267"/>
        <v>69,19</v>
      </c>
      <c r="CB58" s="19" t="str">
        <f t="shared" si="267"/>
        <v>70,19</v>
      </c>
      <c r="CC58" s="19" t="str">
        <f t="shared" si="267"/>
        <v>71,19</v>
      </c>
      <c r="CD58" s="19" t="str">
        <f t="shared" si="267"/>
        <v>72,19</v>
      </c>
      <c r="CE58" s="19" t="str">
        <f t="shared" si="267"/>
        <v>73,19</v>
      </c>
      <c r="CF58" s="19" t="str">
        <f t="shared" si="267"/>
        <v>74,19</v>
      </c>
      <c r="CG58" s="19" t="str">
        <f t="shared" si="267"/>
        <v>75,19</v>
      </c>
      <c r="CH58" s="19" t="str">
        <f t="shared" si="267"/>
        <v>76,19</v>
      </c>
      <c r="CI58" s="19" t="str">
        <f t="shared" si="268"/>
        <v>77,19</v>
      </c>
      <c r="CJ58" s="19" t="str">
        <f t="shared" si="268"/>
        <v>78,19</v>
      </c>
      <c r="CK58" s="19" t="str">
        <f t="shared" si="268"/>
        <v>79,19</v>
      </c>
      <c r="CL58" s="19" t="str">
        <f t="shared" si="268"/>
        <v>80,19</v>
      </c>
      <c r="CM58" s="19" t="str">
        <f t="shared" si="268"/>
        <v>81,19</v>
      </c>
      <c r="CN58" s="19" t="str">
        <f t="shared" si="268"/>
        <v>82,19</v>
      </c>
      <c r="CO58" s="19" t="str">
        <f t="shared" si="268"/>
        <v>83,19</v>
      </c>
      <c r="CP58" s="19" t="str">
        <f t="shared" si="268"/>
        <v>84,19</v>
      </c>
      <c r="CQ58" s="19" t="str">
        <f t="shared" si="268"/>
        <v>85,19</v>
      </c>
      <c r="CR58" s="19" t="str">
        <f t="shared" si="268"/>
        <v>86,19</v>
      </c>
      <c r="CS58" s="19" t="str">
        <f t="shared" si="269"/>
        <v>87,19</v>
      </c>
      <c r="CT58" s="19" t="str">
        <f t="shared" si="269"/>
        <v>88,19</v>
      </c>
      <c r="CU58" s="19" t="str">
        <f t="shared" si="269"/>
        <v>89,19</v>
      </c>
      <c r="CV58" s="19" t="str">
        <f t="shared" si="269"/>
        <v>90,19</v>
      </c>
      <c r="CW58" s="19" t="str">
        <f t="shared" si="269"/>
        <v>91,19</v>
      </c>
      <c r="CX58" s="19" t="str">
        <f t="shared" si="269"/>
        <v>92,19</v>
      </c>
      <c r="CY58" s="19" t="str">
        <f t="shared" si="269"/>
        <v>93,19</v>
      </c>
      <c r="CZ58" s="19" t="str">
        <f t="shared" si="269"/>
        <v>94,19</v>
      </c>
      <c r="DA58" s="19" t="str">
        <f t="shared" si="269"/>
        <v>95,19</v>
      </c>
      <c r="DB58" s="19" t="str">
        <f t="shared" si="269"/>
        <v>96,19</v>
      </c>
      <c r="DC58" s="19" t="str">
        <f t="shared" si="269"/>
        <v>97,19</v>
      </c>
      <c r="DD58" s="19" t="str">
        <f t="shared" si="269"/>
        <v>98,19</v>
      </c>
      <c r="DE58" s="19" t="str">
        <f t="shared" si="269"/>
        <v>99,19</v>
      </c>
      <c r="DF58" s="19" t="str">
        <f t="shared" si="269"/>
        <v>100,19</v>
      </c>
      <c r="DG58" s="16">
        <f t="shared" si="249"/>
        <v>19</v>
      </c>
      <c r="DH58" s="1"/>
      <c r="DI58" s="62">
        <v>1</v>
      </c>
      <c r="DJ58" s="62">
        <v>1</v>
      </c>
      <c r="DK58" s="62">
        <v>1</v>
      </c>
      <c r="DL58" s="62">
        <v>1</v>
      </c>
      <c r="DM58" s="62">
        <v>1</v>
      </c>
      <c r="DN58" s="62">
        <v>1</v>
      </c>
      <c r="DO58" s="62">
        <v>1</v>
      </c>
      <c r="DP58" s="62">
        <v>1</v>
      </c>
      <c r="DQ58" s="62">
        <v>1</v>
      </c>
      <c r="DR58" s="62">
        <v>1</v>
      </c>
      <c r="DS58" s="62">
        <v>1</v>
      </c>
      <c r="DT58" s="62">
        <v>1</v>
      </c>
      <c r="DU58" s="62">
        <v>1</v>
      </c>
      <c r="DV58" s="62">
        <v>1</v>
      </c>
      <c r="DW58" s="62">
        <v>1</v>
      </c>
      <c r="DX58" s="62">
        <v>1</v>
      </c>
      <c r="DY58" s="62">
        <v>1</v>
      </c>
      <c r="DZ58" s="62">
        <v>1</v>
      </c>
      <c r="EA58" s="62">
        <v>1</v>
      </c>
      <c r="EB58" s="62">
        <v>1</v>
      </c>
      <c r="EC58" s="62">
        <v>1</v>
      </c>
      <c r="ED58" s="62">
        <v>1</v>
      </c>
      <c r="EE58" s="62">
        <v>1</v>
      </c>
      <c r="EF58" s="62">
        <v>1</v>
      </c>
      <c r="EG58" s="62">
        <v>1</v>
      </c>
      <c r="EH58" s="62">
        <v>1</v>
      </c>
      <c r="EI58" s="62">
        <v>1</v>
      </c>
      <c r="EJ58" s="62">
        <v>1</v>
      </c>
      <c r="EK58" s="62">
        <v>1</v>
      </c>
      <c r="EL58" s="62">
        <v>1</v>
      </c>
      <c r="EM58" s="62">
        <v>1</v>
      </c>
      <c r="EN58" s="62">
        <v>1</v>
      </c>
      <c r="EO58" s="62">
        <v>1</v>
      </c>
      <c r="EP58" s="62">
        <v>1</v>
      </c>
      <c r="EQ58" s="62">
        <v>1</v>
      </c>
      <c r="ER58" s="62">
        <v>1</v>
      </c>
      <c r="ES58" s="62">
        <v>1</v>
      </c>
      <c r="ET58" s="62">
        <v>1</v>
      </c>
      <c r="EU58" s="62">
        <v>1</v>
      </c>
      <c r="EV58" s="62">
        <v>1</v>
      </c>
      <c r="EW58" s="62">
        <v>1</v>
      </c>
      <c r="EX58" s="62">
        <v>1</v>
      </c>
      <c r="EY58" s="62">
        <v>1</v>
      </c>
      <c r="EZ58" s="62">
        <v>1</v>
      </c>
      <c r="FA58" s="62">
        <v>1</v>
      </c>
      <c r="FB58" s="62">
        <v>1</v>
      </c>
      <c r="FC58" s="62">
        <v>1</v>
      </c>
      <c r="FD58" s="62">
        <v>1</v>
      </c>
      <c r="FE58" s="62">
        <v>1</v>
      </c>
      <c r="FF58" s="62">
        <v>-1</v>
      </c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ht="5.45" customHeight="1" x14ac:dyDescent="0.25">
      <c r="A59" s="1"/>
      <c r="B59" s="10">
        <f t="shared" si="270"/>
        <v>5</v>
      </c>
      <c r="C59" s="10">
        <v>0</v>
      </c>
      <c r="D59" s="10">
        <v>0</v>
      </c>
      <c r="E59" s="10">
        <v>10</v>
      </c>
      <c r="F59" s="27"/>
      <c r="G59" s="27" t="s">
        <v>45</v>
      </c>
      <c r="H59" s="17" t="s">
        <v>45</v>
      </c>
      <c r="I59" s="1"/>
      <c r="J59" s="16">
        <f>COLUMN()</f>
        <v>10</v>
      </c>
      <c r="K59" s="19" t="str">
        <f t="shared" si="261"/>
        <v>1,20</v>
      </c>
      <c r="L59" s="19" t="str">
        <f t="shared" si="261"/>
        <v>2,20</v>
      </c>
      <c r="M59" s="19" t="str">
        <f t="shared" si="261"/>
        <v>3,20</v>
      </c>
      <c r="N59" s="19" t="str">
        <f t="shared" si="261"/>
        <v>4,20</v>
      </c>
      <c r="O59" s="19" t="str">
        <f t="shared" si="261"/>
        <v>5,20</v>
      </c>
      <c r="P59" s="19" t="str">
        <f t="shared" si="261"/>
        <v>6,20</v>
      </c>
      <c r="Q59" s="19" t="str">
        <f t="shared" si="261"/>
        <v>7,20</v>
      </c>
      <c r="R59" s="19" t="str">
        <f t="shared" si="261"/>
        <v>8,20</v>
      </c>
      <c r="S59" s="19" t="str">
        <f t="shared" si="261"/>
        <v>9,20</v>
      </c>
      <c r="T59" s="19" t="str">
        <f t="shared" si="261"/>
        <v>10,20</v>
      </c>
      <c r="U59" s="19" t="str">
        <f t="shared" si="262"/>
        <v>11,20</v>
      </c>
      <c r="V59" s="19" t="str">
        <f t="shared" si="262"/>
        <v>12,20</v>
      </c>
      <c r="W59" s="19" t="str">
        <f t="shared" si="262"/>
        <v>13,20</v>
      </c>
      <c r="X59" s="19" t="str">
        <f t="shared" si="262"/>
        <v>14,20</v>
      </c>
      <c r="Y59" s="19" t="str">
        <f t="shared" si="262"/>
        <v>15,20</v>
      </c>
      <c r="Z59" s="19" t="str">
        <f t="shared" si="262"/>
        <v>16,20</v>
      </c>
      <c r="AA59" s="19" t="str">
        <f t="shared" si="262"/>
        <v>17,20</v>
      </c>
      <c r="AB59" s="19" t="str">
        <f t="shared" si="262"/>
        <v>18,20</v>
      </c>
      <c r="AC59" s="19" t="str">
        <f t="shared" si="262"/>
        <v>19,20</v>
      </c>
      <c r="AD59" s="19" t="str">
        <f t="shared" si="262"/>
        <v>20,20</v>
      </c>
      <c r="AE59" s="19" t="str">
        <f t="shared" si="263"/>
        <v>21,20</v>
      </c>
      <c r="AF59" s="19" t="str">
        <f t="shared" si="263"/>
        <v>22,20</v>
      </c>
      <c r="AG59" s="19" t="str">
        <f t="shared" si="263"/>
        <v>23,20</v>
      </c>
      <c r="AH59" s="19" t="str">
        <f t="shared" si="263"/>
        <v>24,20</v>
      </c>
      <c r="AI59" s="19" t="str">
        <f t="shared" si="263"/>
        <v>25,20</v>
      </c>
      <c r="AJ59" s="19" t="str">
        <f t="shared" si="263"/>
        <v>26,20</v>
      </c>
      <c r="AK59" s="19" t="str">
        <f t="shared" si="263"/>
        <v>27,20</v>
      </c>
      <c r="AL59" s="19" t="str">
        <f t="shared" si="263"/>
        <v>28,20</v>
      </c>
      <c r="AM59" s="19" t="str">
        <f t="shared" si="263"/>
        <v>29,20</v>
      </c>
      <c r="AN59" s="19" t="str">
        <f t="shared" si="263"/>
        <v>30,20</v>
      </c>
      <c r="AO59" s="19" t="str">
        <f t="shared" si="263"/>
        <v>31,20</v>
      </c>
      <c r="AP59" s="19" t="str">
        <f t="shared" si="263"/>
        <v>32,20</v>
      </c>
      <c r="AQ59" s="19" t="str">
        <f t="shared" si="263"/>
        <v>33,20</v>
      </c>
      <c r="AR59" s="19" t="str">
        <f t="shared" si="263"/>
        <v>34,20</v>
      </c>
      <c r="AS59" s="19" t="str">
        <f t="shared" si="263"/>
        <v>35,20</v>
      </c>
      <c r="AT59" s="19" t="str">
        <f t="shared" si="259"/>
        <v>36,20</v>
      </c>
      <c r="AU59" s="19" t="str">
        <f t="shared" si="264"/>
        <v>37,20</v>
      </c>
      <c r="AV59" s="19" t="str">
        <f t="shared" si="264"/>
        <v>38,20</v>
      </c>
      <c r="AW59" s="19" t="str">
        <f t="shared" si="264"/>
        <v>39,20</v>
      </c>
      <c r="AX59" s="19" t="str">
        <f t="shared" si="264"/>
        <v>40,20</v>
      </c>
      <c r="AY59" s="19" t="str">
        <f t="shared" si="264"/>
        <v>41,20</v>
      </c>
      <c r="AZ59" s="19" t="str">
        <f t="shared" si="264"/>
        <v>42,20</v>
      </c>
      <c r="BA59" s="19" t="str">
        <f t="shared" si="264"/>
        <v>43,20</v>
      </c>
      <c r="BB59" s="19" t="str">
        <f t="shared" si="264"/>
        <v>44,20</v>
      </c>
      <c r="BC59" s="19" t="str">
        <f t="shared" si="264"/>
        <v>45,20</v>
      </c>
      <c r="BD59" s="19" t="str">
        <f t="shared" si="264"/>
        <v>46,20</v>
      </c>
      <c r="BE59" s="19" t="str">
        <f t="shared" si="265"/>
        <v>47,20</v>
      </c>
      <c r="BF59" s="19" t="str">
        <f t="shared" si="265"/>
        <v>48,20</v>
      </c>
      <c r="BG59" s="19" t="str">
        <f t="shared" si="265"/>
        <v>49,20</v>
      </c>
      <c r="BH59" s="19" t="str">
        <f t="shared" si="265"/>
        <v>50,20</v>
      </c>
      <c r="BI59" s="19" t="str">
        <f t="shared" si="265"/>
        <v>51,20</v>
      </c>
      <c r="BJ59" s="19" t="str">
        <f t="shared" si="265"/>
        <v>52,20</v>
      </c>
      <c r="BK59" s="19" t="str">
        <f t="shared" si="265"/>
        <v>53,20</v>
      </c>
      <c r="BL59" s="19" t="str">
        <f t="shared" si="265"/>
        <v>54,20</v>
      </c>
      <c r="BM59" s="19" t="str">
        <f t="shared" si="265"/>
        <v>55,20</v>
      </c>
      <c r="BN59" s="19" t="str">
        <f t="shared" si="265"/>
        <v>56,20</v>
      </c>
      <c r="BO59" s="19" t="str">
        <f t="shared" si="266"/>
        <v>57,20</v>
      </c>
      <c r="BP59" s="19" t="str">
        <f t="shared" si="266"/>
        <v>58,20</v>
      </c>
      <c r="BQ59" s="19" t="str">
        <f t="shared" si="266"/>
        <v>59,20</v>
      </c>
      <c r="BR59" s="19" t="str">
        <f t="shared" si="266"/>
        <v>60,20</v>
      </c>
      <c r="BS59" s="19" t="str">
        <f t="shared" si="266"/>
        <v>61,20</v>
      </c>
      <c r="BT59" s="19" t="str">
        <f t="shared" si="266"/>
        <v>62,20</v>
      </c>
      <c r="BU59" s="19" t="str">
        <f t="shared" si="266"/>
        <v>63,20</v>
      </c>
      <c r="BV59" s="19" t="str">
        <f t="shared" si="266"/>
        <v>64,20</v>
      </c>
      <c r="BW59" s="19" t="str">
        <f t="shared" si="266"/>
        <v>65,20</v>
      </c>
      <c r="BX59" s="19" t="str">
        <f t="shared" si="266"/>
        <v>66,20</v>
      </c>
      <c r="BY59" s="19" t="str">
        <f t="shared" si="267"/>
        <v>67,20</v>
      </c>
      <c r="BZ59" s="19" t="str">
        <f t="shared" si="267"/>
        <v>68,20</v>
      </c>
      <c r="CA59" s="19" t="str">
        <f t="shared" si="267"/>
        <v>69,20</v>
      </c>
      <c r="CB59" s="19" t="str">
        <f t="shared" si="267"/>
        <v>70,20</v>
      </c>
      <c r="CC59" s="19" t="str">
        <f t="shared" si="267"/>
        <v>71,20</v>
      </c>
      <c r="CD59" s="19" t="str">
        <f t="shared" si="267"/>
        <v>72,20</v>
      </c>
      <c r="CE59" s="19" t="str">
        <f t="shared" si="267"/>
        <v>73,20</v>
      </c>
      <c r="CF59" s="19" t="str">
        <f t="shared" si="267"/>
        <v>74,20</v>
      </c>
      <c r="CG59" s="19" t="str">
        <f t="shared" si="267"/>
        <v>75,20</v>
      </c>
      <c r="CH59" s="19" t="str">
        <f t="shared" si="267"/>
        <v>76,20</v>
      </c>
      <c r="CI59" s="19" t="str">
        <f t="shared" si="268"/>
        <v>77,20</v>
      </c>
      <c r="CJ59" s="19" t="str">
        <f t="shared" si="268"/>
        <v>78,20</v>
      </c>
      <c r="CK59" s="19" t="str">
        <f t="shared" si="268"/>
        <v>79,20</v>
      </c>
      <c r="CL59" s="19" t="str">
        <f t="shared" si="268"/>
        <v>80,20</v>
      </c>
      <c r="CM59" s="19" t="str">
        <f t="shared" si="268"/>
        <v>81,20</v>
      </c>
      <c r="CN59" s="19" t="str">
        <f t="shared" si="268"/>
        <v>82,20</v>
      </c>
      <c r="CO59" s="19" t="str">
        <f t="shared" si="268"/>
        <v>83,20</v>
      </c>
      <c r="CP59" s="19" t="str">
        <f t="shared" si="268"/>
        <v>84,20</v>
      </c>
      <c r="CQ59" s="19" t="str">
        <f t="shared" si="268"/>
        <v>85,20</v>
      </c>
      <c r="CR59" s="19" t="str">
        <f t="shared" si="268"/>
        <v>86,20</v>
      </c>
      <c r="CS59" s="19" t="str">
        <f t="shared" si="269"/>
        <v>87,20</v>
      </c>
      <c r="CT59" s="19" t="str">
        <f t="shared" si="269"/>
        <v>88,20</v>
      </c>
      <c r="CU59" s="19" t="str">
        <f t="shared" si="269"/>
        <v>89,20</v>
      </c>
      <c r="CV59" s="19" t="str">
        <f t="shared" si="269"/>
        <v>90,20</v>
      </c>
      <c r="CW59" s="19" t="str">
        <f t="shared" si="269"/>
        <v>91,20</v>
      </c>
      <c r="CX59" s="19" t="str">
        <f t="shared" si="269"/>
        <v>92,20</v>
      </c>
      <c r="CY59" s="19" t="str">
        <f t="shared" si="269"/>
        <v>93,20</v>
      </c>
      <c r="CZ59" s="19" t="str">
        <f t="shared" si="269"/>
        <v>94,20</v>
      </c>
      <c r="DA59" s="19" t="str">
        <f t="shared" si="269"/>
        <v>95,20</v>
      </c>
      <c r="DB59" s="19" t="str">
        <f t="shared" si="269"/>
        <v>96,20</v>
      </c>
      <c r="DC59" s="19" t="str">
        <f t="shared" si="269"/>
        <v>97,20</v>
      </c>
      <c r="DD59" s="19" t="str">
        <f t="shared" si="269"/>
        <v>98,20</v>
      </c>
      <c r="DE59" s="19" t="str">
        <f t="shared" si="269"/>
        <v>99,20</v>
      </c>
      <c r="DF59" s="19" t="str">
        <f t="shared" si="269"/>
        <v>100,20</v>
      </c>
      <c r="DG59" s="16">
        <f t="shared" si="249"/>
        <v>20</v>
      </c>
      <c r="DH59" s="1"/>
      <c r="DI59" s="62">
        <v>1</v>
      </c>
      <c r="DJ59" s="62">
        <v>1</v>
      </c>
      <c r="DK59" s="62">
        <v>1</v>
      </c>
      <c r="DL59" s="62">
        <v>1</v>
      </c>
      <c r="DM59" s="62">
        <v>1</v>
      </c>
      <c r="DN59" s="62">
        <v>1</v>
      </c>
      <c r="DO59" s="62">
        <v>1</v>
      </c>
      <c r="DP59" s="62">
        <v>1</v>
      </c>
      <c r="DQ59" s="62">
        <v>1</v>
      </c>
      <c r="DR59" s="62">
        <v>1</v>
      </c>
      <c r="DS59" s="62">
        <v>1</v>
      </c>
      <c r="DT59" s="62">
        <v>1</v>
      </c>
      <c r="DU59" s="62">
        <v>1</v>
      </c>
      <c r="DV59" s="62">
        <v>1</v>
      </c>
      <c r="DW59" s="62">
        <v>1</v>
      </c>
      <c r="DX59" s="62">
        <v>1</v>
      </c>
      <c r="DY59" s="62">
        <v>1</v>
      </c>
      <c r="DZ59" s="62">
        <v>1</v>
      </c>
      <c r="EA59" s="62">
        <v>1</v>
      </c>
      <c r="EB59" s="62">
        <v>1</v>
      </c>
      <c r="EC59" s="62">
        <v>1</v>
      </c>
      <c r="ED59" s="62">
        <v>1</v>
      </c>
      <c r="EE59" s="62">
        <v>1</v>
      </c>
      <c r="EF59" s="62">
        <v>1</v>
      </c>
      <c r="EG59" s="62">
        <v>1</v>
      </c>
      <c r="EH59" s="62">
        <v>1</v>
      </c>
      <c r="EI59" s="62">
        <v>1</v>
      </c>
      <c r="EJ59" s="62">
        <v>1</v>
      </c>
      <c r="EK59" s="62">
        <v>1</v>
      </c>
      <c r="EL59" s="62">
        <v>1</v>
      </c>
      <c r="EM59" s="62">
        <v>1</v>
      </c>
      <c r="EN59" s="62">
        <v>1</v>
      </c>
      <c r="EO59" s="62">
        <v>1</v>
      </c>
      <c r="EP59" s="62">
        <v>1</v>
      </c>
      <c r="EQ59" s="62">
        <v>1</v>
      </c>
      <c r="ER59" s="62">
        <v>1</v>
      </c>
      <c r="ES59" s="62">
        <v>1</v>
      </c>
      <c r="ET59" s="62">
        <v>1</v>
      </c>
      <c r="EU59" s="62">
        <v>1</v>
      </c>
      <c r="EV59" s="62">
        <v>1</v>
      </c>
      <c r="EW59" s="62">
        <v>1</v>
      </c>
      <c r="EX59" s="62">
        <v>1</v>
      </c>
      <c r="EY59" s="62">
        <v>1</v>
      </c>
      <c r="EZ59" s="62">
        <v>1</v>
      </c>
      <c r="FA59" s="62">
        <v>1</v>
      </c>
      <c r="FB59" s="62">
        <v>1</v>
      </c>
      <c r="FC59" s="62">
        <v>1</v>
      </c>
      <c r="FD59" s="62">
        <v>1</v>
      </c>
      <c r="FE59" s="62">
        <v>1</v>
      </c>
      <c r="FF59" s="62">
        <v>-1</v>
      </c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ht="5.45" customHeight="1" x14ac:dyDescent="0.25">
      <c r="A60" s="1"/>
      <c r="B60" s="10">
        <f t="shared" si="270"/>
        <v>6</v>
      </c>
      <c r="C60" s="10">
        <v>0</v>
      </c>
      <c r="D60" s="10">
        <v>0</v>
      </c>
      <c r="E60" s="10">
        <v>10</v>
      </c>
      <c r="F60" s="27"/>
      <c r="G60" s="27" t="s">
        <v>45</v>
      </c>
      <c r="H60" s="17" t="s">
        <v>45</v>
      </c>
      <c r="I60" s="1"/>
      <c r="J60" s="16">
        <f>COLUMN()</f>
        <v>10</v>
      </c>
      <c r="K60" s="19" t="str">
        <f t="shared" si="261"/>
        <v>1,21</v>
      </c>
      <c r="L60" s="19" t="str">
        <f t="shared" si="261"/>
        <v>2,21</v>
      </c>
      <c r="M60" s="19" t="str">
        <f t="shared" si="261"/>
        <v>3,21</v>
      </c>
      <c r="N60" s="19" t="str">
        <f t="shared" si="261"/>
        <v>4,21</v>
      </c>
      <c r="O60" s="19" t="str">
        <f t="shared" si="261"/>
        <v>5,21</v>
      </c>
      <c r="P60" s="19" t="str">
        <f t="shared" si="261"/>
        <v>6,21</v>
      </c>
      <c r="Q60" s="19" t="str">
        <f t="shared" si="261"/>
        <v>7,21</v>
      </c>
      <c r="R60" s="19" t="str">
        <f t="shared" si="261"/>
        <v>8,21</v>
      </c>
      <c r="S60" s="19" t="str">
        <f t="shared" si="261"/>
        <v>9,21</v>
      </c>
      <c r="T60" s="19" t="str">
        <f t="shared" si="261"/>
        <v>10,21</v>
      </c>
      <c r="U60" s="19" t="str">
        <f t="shared" si="262"/>
        <v>11,21</v>
      </c>
      <c r="V60" s="19" t="str">
        <f t="shared" si="262"/>
        <v>12,21</v>
      </c>
      <c r="W60" s="19" t="str">
        <f t="shared" si="262"/>
        <v>13,21</v>
      </c>
      <c r="X60" s="19" t="str">
        <f t="shared" si="262"/>
        <v>14,21</v>
      </c>
      <c r="Y60" s="19" t="str">
        <f t="shared" si="262"/>
        <v>15,21</v>
      </c>
      <c r="Z60" s="19" t="str">
        <f t="shared" si="262"/>
        <v>16,21</v>
      </c>
      <c r="AA60" s="19" t="str">
        <f t="shared" si="262"/>
        <v>17,21</v>
      </c>
      <c r="AB60" s="19" t="str">
        <f t="shared" si="262"/>
        <v>18,21</v>
      </c>
      <c r="AC60" s="19" t="str">
        <f t="shared" si="262"/>
        <v>19,21</v>
      </c>
      <c r="AD60" s="19" t="str">
        <f t="shared" si="262"/>
        <v>20,21</v>
      </c>
      <c r="AE60" s="19" t="str">
        <f t="shared" si="263"/>
        <v>21,21</v>
      </c>
      <c r="AF60" s="19" t="str">
        <f t="shared" si="263"/>
        <v>22,21</v>
      </c>
      <c r="AG60" s="19" t="str">
        <f t="shared" si="263"/>
        <v>23,21</v>
      </c>
      <c r="AH60" s="19" t="str">
        <f t="shared" si="263"/>
        <v>24,21</v>
      </c>
      <c r="AI60" s="19" t="str">
        <f t="shared" si="263"/>
        <v>25,21</v>
      </c>
      <c r="AJ60" s="19" t="str">
        <f t="shared" si="263"/>
        <v>26,21</v>
      </c>
      <c r="AK60" s="19" t="str">
        <f t="shared" si="263"/>
        <v>27,21</v>
      </c>
      <c r="AL60" s="19" t="str">
        <f t="shared" si="263"/>
        <v>28,21</v>
      </c>
      <c r="AM60" s="19" t="str">
        <f t="shared" si="263"/>
        <v>29,21</v>
      </c>
      <c r="AN60" s="19" t="str">
        <f t="shared" si="263"/>
        <v>30,21</v>
      </c>
      <c r="AO60" s="19" t="str">
        <f t="shared" si="263"/>
        <v>31,21</v>
      </c>
      <c r="AP60" s="19" t="str">
        <f t="shared" si="263"/>
        <v>32,21</v>
      </c>
      <c r="AQ60" s="19" t="str">
        <f t="shared" si="263"/>
        <v>33,21</v>
      </c>
      <c r="AR60" s="19" t="str">
        <f t="shared" si="263"/>
        <v>34,21</v>
      </c>
      <c r="AS60" s="19" t="str">
        <f t="shared" si="263"/>
        <v>35,21</v>
      </c>
      <c r="AT60" s="19" t="str">
        <f t="shared" si="259"/>
        <v>36,21</v>
      </c>
      <c r="AU60" s="19" t="str">
        <f t="shared" si="264"/>
        <v>37,21</v>
      </c>
      <c r="AV60" s="19" t="str">
        <f t="shared" si="264"/>
        <v>38,21</v>
      </c>
      <c r="AW60" s="19" t="str">
        <f t="shared" si="264"/>
        <v>39,21</v>
      </c>
      <c r="AX60" s="19" t="str">
        <f t="shared" si="264"/>
        <v>40,21</v>
      </c>
      <c r="AY60" s="19" t="str">
        <f t="shared" si="264"/>
        <v>41,21</v>
      </c>
      <c r="AZ60" s="19" t="str">
        <f t="shared" si="264"/>
        <v>42,21</v>
      </c>
      <c r="BA60" s="19" t="str">
        <f t="shared" si="264"/>
        <v>43,21</v>
      </c>
      <c r="BB60" s="19" t="str">
        <f t="shared" si="264"/>
        <v>44,21</v>
      </c>
      <c r="BC60" s="19" t="str">
        <f t="shared" si="264"/>
        <v>45,21</v>
      </c>
      <c r="BD60" s="19" t="str">
        <f t="shared" si="264"/>
        <v>46,21</v>
      </c>
      <c r="BE60" s="19" t="str">
        <f t="shared" si="265"/>
        <v>47,21</v>
      </c>
      <c r="BF60" s="19" t="str">
        <f t="shared" si="265"/>
        <v>48,21</v>
      </c>
      <c r="BG60" s="19" t="str">
        <f t="shared" si="265"/>
        <v>49,21</v>
      </c>
      <c r="BH60" s="19" t="str">
        <f t="shared" si="265"/>
        <v>50,21</v>
      </c>
      <c r="BI60" s="19" t="str">
        <f t="shared" si="265"/>
        <v>51,21</v>
      </c>
      <c r="BJ60" s="19" t="str">
        <f t="shared" si="265"/>
        <v>52,21</v>
      </c>
      <c r="BK60" s="19" t="str">
        <f t="shared" si="265"/>
        <v>53,21</v>
      </c>
      <c r="BL60" s="19" t="str">
        <f t="shared" si="265"/>
        <v>54,21</v>
      </c>
      <c r="BM60" s="19" t="str">
        <f t="shared" si="265"/>
        <v>55,21</v>
      </c>
      <c r="BN60" s="19" t="str">
        <f t="shared" si="265"/>
        <v>56,21</v>
      </c>
      <c r="BO60" s="19" t="str">
        <f t="shared" si="266"/>
        <v>57,21</v>
      </c>
      <c r="BP60" s="19" t="str">
        <f t="shared" si="266"/>
        <v>58,21</v>
      </c>
      <c r="BQ60" s="19" t="str">
        <f t="shared" si="266"/>
        <v>59,21</v>
      </c>
      <c r="BR60" s="19" t="str">
        <f t="shared" si="266"/>
        <v>60,21</v>
      </c>
      <c r="BS60" s="19" t="str">
        <f t="shared" si="266"/>
        <v>61,21</v>
      </c>
      <c r="BT60" s="19" t="str">
        <f t="shared" si="266"/>
        <v>62,21</v>
      </c>
      <c r="BU60" s="19" t="str">
        <f t="shared" si="266"/>
        <v>63,21</v>
      </c>
      <c r="BV60" s="19" t="str">
        <f t="shared" si="266"/>
        <v>64,21</v>
      </c>
      <c r="BW60" s="19" t="str">
        <f t="shared" si="266"/>
        <v>65,21</v>
      </c>
      <c r="BX60" s="19" t="str">
        <f t="shared" si="266"/>
        <v>66,21</v>
      </c>
      <c r="BY60" s="19" t="str">
        <f t="shared" si="267"/>
        <v>67,21</v>
      </c>
      <c r="BZ60" s="19" t="str">
        <f t="shared" si="267"/>
        <v>68,21</v>
      </c>
      <c r="CA60" s="19" t="str">
        <f t="shared" si="267"/>
        <v>69,21</v>
      </c>
      <c r="CB60" s="19" t="str">
        <f t="shared" si="267"/>
        <v>70,21</v>
      </c>
      <c r="CC60" s="19" t="str">
        <f t="shared" si="267"/>
        <v>71,21</v>
      </c>
      <c r="CD60" s="19" t="str">
        <f t="shared" si="267"/>
        <v>72,21</v>
      </c>
      <c r="CE60" s="19" t="str">
        <f t="shared" si="267"/>
        <v>73,21</v>
      </c>
      <c r="CF60" s="19" t="str">
        <f t="shared" si="267"/>
        <v>74,21</v>
      </c>
      <c r="CG60" s="19" t="str">
        <f t="shared" si="267"/>
        <v>75,21</v>
      </c>
      <c r="CH60" s="19" t="str">
        <f t="shared" si="267"/>
        <v>76,21</v>
      </c>
      <c r="CI60" s="19" t="str">
        <f t="shared" si="268"/>
        <v>77,21</v>
      </c>
      <c r="CJ60" s="19" t="str">
        <f t="shared" si="268"/>
        <v>78,21</v>
      </c>
      <c r="CK60" s="19" t="str">
        <f t="shared" si="268"/>
        <v>79,21</v>
      </c>
      <c r="CL60" s="19" t="str">
        <f t="shared" si="268"/>
        <v>80,21</v>
      </c>
      <c r="CM60" s="19" t="str">
        <f t="shared" si="268"/>
        <v>81,21</v>
      </c>
      <c r="CN60" s="19" t="str">
        <f t="shared" si="268"/>
        <v>82,21</v>
      </c>
      <c r="CO60" s="19" t="str">
        <f t="shared" si="268"/>
        <v>83,21</v>
      </c>
      <c r="CP60" s="19" t="str">
        <f t="shared" si="268"/>
        <v>84,21</v>
      </c>
      <c r="CQ60" s="19" t="str">
        <f t="shared" si="268"/>
        <v>85,21</v>
      </c>
      <c r="CR60" s="19" t="str">
        <f t="shared" si="268"/>
        <v>86,21</v>
      </c>
      <c r="CS60" s="19" t="str">
        <f t="shared" si="269"/>
        <v>87,21</v>
      </c>
      <c r="CT60" s="19" t="str">
        <f t="shared" si="269"/>
        <v>88,21</v>
      </c>
      <c r="CU60" s="19" t="str">
        <f t="shared" si="269"/>
        <v>89,21</v>
      </c>
      <c r="CV60" s="19" t="str">
        <f t="shared" si="269"/>
        <v>90,21</v>
      </c>
      <c r="CW60" s="19" t="str">
        <f t="shared" si="269"/>
        <v>91,21</v>
      </c>
      <c r="CX60" s="19" t="str">
        <f t="shared" si="269"/>
        <v>92,21</v>
      </c>
      <c r="CY60" s="19" t="str">
        <f t="shared" si="269"/>
        <v>93,21</v>
      </c>
      <c r="CZ60" s="19" t="str">
        <f t="shared" si="269"/>
        <v>94,21</v>
      </c>
      <c r="DA60" s="19" t="str">
        <f t="shared" si="269"/>
        <v>95,21</v>
      </c>
      <c r="DB60" s="19" t="str">
        <f t="shared" si="269"/>
        <v>96,21</v>
      </c>
      <c r="DC60" s="19" t="str">
        <f t="shared" si="269"/>
        <v>97,21</v>
      </c>
      <c r="DD60" s="19" t="str">
        <f t="shared" si="269"/>
        <v>98,21</v>
      </c>
      <c r="DE60" s="19" t="str">
        <f t="shared" si="269"/>
        <v>99,21</v>
      </c>
      <c r="DF60" s="19" t="str">
        <f t="shared" si="269"/>
        <v>100,21</v>
      </c>
      <c r="DG60" s="16">
        <f t="shared" si="249"/>
        <v>21</v>
      </c>
      <c r="DH60" s="1"/>
      <c r="DI60" s="62">
        <v>1</v>
      </c>
      <c r="DJ60" s="62">
        <v>1</v>
      </c>
      <c r="DK60" s="62">
        <v>1</v>
      </c>
      <c r="DL60" s="62">
        <v>1</v>
      </c>
      <c r="DM60" s="62">
        <v>1</v>
      </c>
      <c r="DN60" s="62">
        <v>1</v>
      </c>
      <c r="DO60" s="62">
        <v>1</v>
      </c>
      <c r="DP60" s="62">
        <v>1</v>
      </c>
      <c r="DQ60" s="62">
        <v>1</v>
      </c>
      <c r="DR60" s="62">
        <v>1</v>
      </c>
      <c r="DS60" s="62">
        <v>1</v>
      </c>
      <c r="DT60" s="62">
        <v>1</v>
      </c>
      <c r="DU60" s="62">
        <v>1</v>
      </c>
      <c r="DV60" s="62">
        <v>1</v>
      </c>
      <c r="DW60" s="62">
        <v>1</v>
      </c>
      <c r="DX60" s="62">
        <v>1</v>
      </c>
      <c r="DY60" s="62">
        <v>1</v>
      </c>
      <c r="DZ60" s="62">
        <v>1</v>
      </c>
      <c r="EA60" s="62">
        <v>1</v>
      </c>
      <c r="EB60" s="62">
        <v>1</v>
      </c>
      <c r="EC60" s="62">
        <v>1</v>
      </c>
      <c r="ED60" s="62">
        <v>1</v>
      </c>
      <c r="EE60" s="62">
        <v>1</v>
      </c>
      <c r="EF60" s="62">
        <v>1</v>
      </c>
      <c r="EG60" s="62">
        <v>1</v>
      </c>
      <c r="EH60" s="62">
        <v>1</v>
      </c>
      <c r="EI60" s="62">
        <v>1</v>
      </c>
      <c r="EJ60" s="62">
        <v>1</v>
      </c>
      <c r="EK60" s="62">
        <v>1</v>
      </c>
      <c r="EL60" s="62">
        <v>1</v>
      </c>
      <c r="EM60" s="62">
        <v>1</v>
      </c>
      <c r="EN60" s="62">
        <v>1</v>
      </c>
      <c r="EO60" s="62">
        <v>1</v>
      </c>
      <c r="EP60" s="62">
        <v>1</v>
      </c>
      <c r="EQ60" s="62">
        <v>1</v>
      </c>
      <c r="ER60" s="62">
        <v>1</v>
      </c>
      <c r="ES60" s="62">
        <v>1</v>
      </c>
      <c r="ET60" s="62">
        <v>1</v>
      </c>
      <c r="EU60" s="62">
        <v>1</v>
      </c>
      <c r="EV60" s="62">
        <v>1</v>
      </c>
      <c r="EW60" s="62">
        <v>1</v>
      </c>
      <c r="EX60" s="62">
        <v>1</v>
      </c>
      <c r="EY60" s="62">
        <v>1</v>
      </c>
      <c r="EZ60" s="62">
        <v>1</v>
      </c>
      <c r="FA60" s="62">
        <v>1</v>
      </c>
      <c r="FB60" s="62">
        <v>1</v>
      </c>
      <c r="FC60" s="62">
        <v>1</v>
      </c>
      <c r="FD60" s="62">
        <v>1</v>
      </c>
      <c r="FE60" s="62">
        <v>1</v>
      </c>
      <c r="FF60" s="62">
        <v>-1</v>
      </c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ht="5.45" customHeight="1" x14ac:dyDescent="0.25">
      <c r="A61" s="1"/>
      <c r="B61" s="10">
        <f t="shared" si="270"/>
        <v>7</v>
      </c>
      <c r="C61" s="10">
        <v>0</v>
      </c>
      <c r="D61" s="10">
        <v>0</v>
      </c>
      <c r="E61" s="10">
        <v>10</v>
      </c>
      <c r="F61" s="27"/>
      <c r="G61" s="27" t="s">
        <v>45</v>
      </c>
      <c r="H61" s="17" t="s">
        <v>45</v>
      </c>
      <c r="I61" s="1"/>
      <c r="J61" s="16">
        <f>COLUMN()</f>
        <v>10</v>
      </c>
      <c r="K61" s="19" t="str">
        <f t="shared" si="261"/>
        <v>1,22</v>
      </c>
      <c r="L61" s="19" t="str">
        <f t="shared" si="261"/>
        <v>2,22</v>
      </c>
      <c r="M61" s="19" t="str">
        <f t="shared" si="261"/>
        <v>3,22</v>
      </c>
      <c r="N61" s="19" t="str">
        <f t="shared" si="261"/>
        <v>4,22</v>
      </c>
      <c r="O61" s="19" t="str">
        <f t="shared" si="261"/>
        <v>5,22</v>
      </c>
      <c r="P61" s="19" t="str">
        <f t="shared" si="261"/>
        <v>6,22</v>
      </c>
      <c r="Q61" s="19" t="str">
        <f t="shared" si="261"/>
        <v>7,22</v>
      </c>
      <c r="R61" s="19" t="str">
        <f t="shared" si="261"/>
        <v>8,22</v>
      </c>
      <c r="S61" s="19" t="str">
        <f t="shared" si="261"/>
        <v>9,22</v>
      </c>
      <c r="T61" s="19" t="str">
        <f t="shared" si="261"/>
        <v>10,22</v>
      </c>
      <c r="U61" s="19" t="str">
        <f t="shared" si="262"/>
        <v>11,22</v>
      </c>
      <c r="V61" s="19" t="str">
        <f t="shared" si="262"/>
        <v>12,22</v>
      </c>
      <c r="W61" s="19" t="str">
        <f t="shared" si="262"/>
        <v>13,22</v>
      </c>
      <c r="X61" s="19" t="str">
        <f t="shared" si="262"/>
        <v>14,22</v>
      </c>
      <c r="Y61" s="19" t="str">
        <f t="shared" si="262"/>
        <v>15,22</v>
      </c>
      <c r="Z61" s="19" t="str">
        <f t="shared" si="262"/>
        <v>16,22</v>
      </c>
      <c r="AA61" s="19" t="str">
        <f t="shared" si="262"/>
        <v>17,22</v>
      </c>
      <c r="AB61" s="19" t="str">
        <f t="shared" si="262"/>
        <v>18,22</v>
      </c>
      <c r="AC61" s="19" t="str">
        <f t="shared" si="262"/>
        <v>19,22</v>
      </c>
      <c r="AD61" s="19" t="str">
        <f t="shared" si="262"/>
        <v>20,22</v>
      </c>
      <c r="AE61" s="19" t="str">
        <f t="shared" si="263"/>
        <v>21,22</v>
      </c>
      <c r="AF61" s="19" t="str">
        <f t="shared" si="263"/>
        <v>22,22</v>
      </c>
      <c r="AG61" s="19" t="str">
        <f t="shared" si="263"/>
        <v>23,22</v>
      </c>
      <c r="AH61" s="19" t="str">
        <f t="shared" si="263"/>
        <v>24,22</v>
      </c>
      <c r="AI61" s="19" t="str">
        <f t="shared" si="263"/>
        <v>25,22</v>
      </c>
      <c r="AJ61" s="19" t="str">
        <f t="shared" si="263"/>
        <v>26,22</v>
      </c>
      <c r="AK61" s="19" t="str">
        <f t="shared" si="263"/>
        <v>27,22</v>
      </c>
      <c r="AL61" s="19" t="str">
        <f t="shared" si="263"/>
        <v>28,22</v>
      </c>
      <c r="AM61" s="19" t="str">
        <f t="shared" si="263"/>
        <v>29,22</v>
      </c>
      <c r="AN61" s="19" t="str">
        <f t="shared" si="263"/>
        <v>30,22</v>
      </c>
      <c r="AO61" s="19" t="str">
        <f t="shared" si="263"/>
        <v>31,22</v>
      </c>
      <c r="AP61" s="19" t="str">
        <f t="shared" si="263"/>
        <v>32,22</v>
      </c>
      <c r="AQ61" s="19" t="str">
        <f t="shared" si="263"/>
        <v>33,22</v>
      </c>
      <c r="AR61" s="19" t="str">
        <f t="shared" si="263"/>
        <v>34,22</v>
      </c>
      <c r="AS61" s="19" t="str">
        <f t="shared" si="263"/>
        <v>35,22</v>
      </c>
      <c r="AT61" s="19" t="str">
        <f t="shared" si="259"/>
        <v>36,22</v>
      </c>
      <c r="AU61" s="19" t="str">
        <f t="shared" si="264"/>
        <v>37,22</v>
      </c>
      <c r="AV61" s="19" t="str">
        <f t="shared" si="264"/>
        <v>38,22</v>
      </c>
      <c r="AW61" s="19" t="str">
        <f t="shared" si="264"/>
        <v>39,22</v>
      </c>
      <c r="AX61" s="19" t="str">
        <f t="shared" si="264"/>
        <v>40,22</v>
      </c>
      <c r="AY61" s="19" t="str">
        <f t="shared" si="264"/>
        <v>41,22</v>
      </c>
      <c r="AZ61" s="19" t="str">
        <f t="shared" si="264"/>
        <v>42,22</v>
      </c>
      <c r="BA61" s="19" t="str">
        <f t="shared" si="264"/>
        <v>43,22</v>
      </c>
      <c r="BB61" s="19" t="str">
        <f t="shared" si="264"/>
        <v>44,22</v>
      </c>
      <c r="BC61" s="19" t="str">
        <f t="shared" si="264"/>
        <v>45,22</v>
      </c>
      <c r="BD61" s="19" t="str">
        <f t="shared" si="264"/>
        <v>46,22</v>
      </c>
      <c r="BE61" s="19" t="str">
        <f t="shared" si="265"/>
        <v>47,22</v>
      </c>
      <c r="BF61" s="19" t="str">
        <f t="shared" si="265"/>
        <v>48,22</v>
      </c>
      <c r="BG61" s="19" t="str">
        <f t="shared" si="265"/>
        <v>49,22</v>
      </c>
      <c r="BH61" s="19" t="str">
        <f t="shared" si="265"/>
        <v>50,22</v>
      </c>
      <c r="BI61" s="19" t="str">
        <f t="shared" si="265"/>
        <v>51,22</v>
      </c>
      <c r="BJ61" s="19" t="str">
        <f t="shared" si="265"/>
        <v>52,22</v>
      </c>
      <c r="BK61" s="19" t="str">
        <f t="shared" si="265"/>
        <v>53,22</v>
      </c>
      <c r="BL61" s="19" t="str">
        <f t="shared" si="265"/>
        <v>54,22</v>
      </c>
      <c r="BM61" s="19" t="str">
        <f t="shared" si="265"/>
        <v>55,22</v>
      </c>
      <c r="BN61" s="19" t="str">
        <f t="shared" si="265"/>
        <v>56,22</v>
      </c>
      <c r="BO61" s="19" t="str">
        <f t="shared" si="266"/>
        <v>57,22</v>
      </c>
      <c r="BP61" s="19" t="str">
        <f t="shared" si="266"/>
        <v>58,22</v>
      </c>
      <c r="BQ61" s="19" t="str">
        <f t="shared" si="266"/>
        <v>59,22</v>
      </c>
      <c r="BR61" s="19" t="str">
        <f t="shared" si="266"/>
        <v>60,22</v>
      </c>
      <c r="BS61" s="19" t="str">
        <f t="shared" si="266"/>
        <v>61,22</v>
      </c>
      <c r="BT61" s="19" t="str">
        <f t="shared" si="266"/>
        <v>62,22</v>
      </c>
      <c r="BU61" s="19" t="str">
        <f t="shared" si="266"/>
        <v>63,22</v>
      </c>
      <c r="BV61" s="19" t="str">
        <f t="shared" si="266"/>
        <v>64,22</v>
      </c>
      <c r="BW61" s="19" t="str">
        <f t="shared" si="266"/>
        <v>65,22</v>
      </c>
      <c r="BX61" s="19" t="str">
        <f t="shared" si="266"/>
        <v>66,22</v>
      </c>
      <c r="BY61" s="19" t="str">
        <f t="shared" si="267"/>
        <v>67,22</v>
      </c>
      <c r="BZ61" s="19" t="str">
        <f t="shared" si="267"/>
        <v>68,22</v>
      </c>
      <c r="CA61" s="19" t="str">
        <f t="shared" si="267"/>
        <v>69,22</v>
      </c>
      <c r="CB61" s="19" t="str">
        <f t="shared" si="267"/>
        <v>70,22</v>
      </c>
      <c r="CC61" s="19" t="str">
        <f t="shared" si="267"/>
        <v>71,22</v>
      </c>
      <c r="CD61" s="19" t="str">
        <f t="shared" si="267"/>
        <v>72,22</v>
      </c>
      <c r="CE61" s="19" t="str">
        <f t="shared" si="267"/>
        <v>73,22</v>
      </c>
      <c r="CF61" s="19" t="str">
        <f t="shared" si="267"/>
        <v>74,22</v>
      </c>
      <c r="CG61" s="19" t="str">
        <f t="shared" si="267"/>
        <v>75,22</v>
      </c>
      <c r="CH61" s="19" t="str">
        <f t="shared" si="267"/>
        <v>76,22</v>
      </c>
      <c r="CI61" s="19" t="str">
        <f t="shared" si="268"/>
        <v>77,22</v>
      </c>
      <c r="CJ61" s="19" t="str">
        <f t="shared" si="268"/>
        <v>78,22</v>
      </c>
      <c r="CK61" s="19" t="str">
        <f t="shared" si="268"/>
        <v>79,22</v>
      </c>
      <c r="CL61" s="19" t="str">
        <f t="shared" si="268"/>
        <v>80,22</v>
      </c>
      <c r="CM61" s="19" t="str">
        <f t="shared" si="268"/>
        <v>81,22</v>
      </c>
      <c r="CN61" s="19" t="str">
        <f t="shared" si="268"/>
        <v>82,22</v>
      </c>
      <c r="CO61" s="19" t="str">
        <f t="shared" si="268"/>
        <v>83,22</v>
      </c>
      <c r="CP61" s="19" t="str">
        <f t="shared" si="268"/>
        <v>84,22</v>
      </c>
      <c r="CQ61" s="19" t="str">
        <f t="shared" si="268"/>
        <v>85,22</v>
      </c>
      <c r="CR61" s="19" t="str">
        <f t="shared" si="268"/>
        <v>86,22</v>
      </c>
      <c r="CS61" s="19" t="str">
        <f t="shared" si="269"/>
        <v>87,22</v>
      </c>
      <c r="CT61" s="19" t="str">
        <f t="shared" si="269"/>
        <v>88,22</v>
      </c>
      <c r="CU61" s="19" t="str">
        <f t="shared" si="269"/>
        <v>89,22</v>
      </c>
      <c r="CV61" s="19" t="str">
        <f t="shared" si="269"/>
        <v>90,22</v>
      </c>
      <c r="CW61" s="19" t="str">
        <f t="shared" si="269"/>
        <v>91,22</v>
      </c>
      <c r="CX61" s="19" t="str">
        <f t="shared" si="269"/>
        <v>92,22</v>
      </c>
      <c r="CY61" s="19" t="str">
        <f t="shared" si="269"/>
        <v>93,22</v>
      </c>
      <c r="CZ61" s="19" t="str">
        <f t="shared" si="269"/>
        <v>94,22</v>
      </c>
      <c r="DA61" s="19" t="str">
        <f t="shared" si="269"/>
        <v>95,22</v>
      </c>
      <c r="DB61" s="19" t="str">
        <f t="shared" si="269"/>
        <v>96,22</v>
      </c>
      <c r="DC61" s="19" t="str">
        <f t="shared" si="269"/>
        <v>97,22</v>
      </c>
      <c r="DD61" s="19" t="str">
        <f t="shared" si="269"/>
        <v>98,22</v>
      </c>
      <c r="DE61" s="19" t="str">
        <f t="shared" si="269"/>
        <v>99,22</v>
      </c>
      <c r="DF61" s="19" t="str">
        <f t="shared" si="269"/>
        <v>100,22</v>
      </c>
      <c r="DG61" s="16">
        <f t="shared" si="249"/>
        <v>22</v>
      </c>
      <c r="DH61" s="1"/>
      <c r="DI61" s="62">
        <v>1</v>
      </c>
      <c r="DJ61" s="62">
        <v>1</v>
      </c>
      <c r="DK61" s="62">
        <v>1</v>
      </c>
      <c r="DL61" s="62">
        <v>1</v>
      </c>
      <c r="DM61" s="62">
        <v>1</v>
      </c>
      <c r="DN61" s="62">
        <v>1</v>
      </c>
      <c r="DO61" s="62">
        <v>1</v>
      </c>
      <c r="DP61" s="62">
        <v>1</v>
      </c>
      <c r="DQ61" s="62">
        <v>1</v>
      </c>
      <c r="DR61" s="62">
        <v>1</v>
      </c>
      <c r="DS61" s="62">
        <v>1</v>
      </c>
      <c r="DT61" s="62">
        <v>1</v>
      </c>
      <c r="DU61" s="62">
        <v>1</v>
      </c>
      <c r="DV61" s="62">
        <v>1</v>
      </c>
      <c r="DW61" s="62">
        <v>1</v>
      </c>
      <c r="DX61" s="62">
        <v>1</v>
      </c>
      <c r="DY61" s="62">
        <v>1</v>
      </c>
      <c r="DZ61" s="62">
        <v>1</v>
      </c>
      <c r="EA61" s="62">
        <v>1</v>
      </c>
      <c r="EB61" s="62">
        <v>1</v>
      </c>
      <c r="EC61" s="62">
        <v>1</v>
      </c>
      <c r="ED61" s="62">
        <v>1</v>
      </c>
      <c r="EE61" s="62">
        <v>1</v>
      </c>
      <c r="EF61" s="62">
        <v>1</v>
      </c>
      <c r="EG61" s="62">
        <v>1</v>
      </c>
      <c r="EH61" s="62">
        <v>1</v>
      </c>
      <c r="EI61" s="62">
        <v>1</v>
      </c>
      <c r="EJ61" s="62">
        <v>1</v>
      </c>
      <c r="EK61" s="62">
        <v>1</v>
      </c>
      <c r="EL61" s="62">
        <v>1</v>
      </c>
      <c r="EM61" s="62">
        <v>1</v>
      </c>
      <c r="EN61" s="62">
        <v>1</v>
      </c>
      <c r="EO61" s="62">
        <v>1</v>
      </c>
      <c r="EP61" s="62">
        <v>1</v>
      </c>
      <c r="EQ61" s="62">
        <v>1</v>
      </c>
      <c r="ER61" s="62">
        <v>1</v>
      </c>
      <c r="ES61" s="62">
        <v>1</v>
      </c>
      <c r="ET61" s="62">
        <v>1</v>
      </c>
      <c r="EU61" s="62">
        <v>1</v>
      </c>
      <c r="EV61" s="62">
        <v>1</v>
      </c>
      <c r="EW61" s="62">
        <v>1</v>
      </c>
      <c r="EX61" s="62">
        <v>1</v>
      </c>
      <c r="EY61" s="62">
        <v>1</v>
      </c>
      <c r="EZ61" s="62">
        <v>1</v>
      </c>
      <c r="FA61" s="62">
        <v>1</v>
      </c>
      <c r="FB61" s="62">
        <v>1</v>
      </c>
      <c r="FC61" s="62">
        <v>1</v>
      </c>
      <c r="FD61" s="62">
        <v>1</v>
      </c>
      <c r="FE61" s="62">
        <v>1</v>
      </c>
      <c r="FF61" s="62">
        <v>-1</v>
      </c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ht="5.45" customHeight="1" x14ac:dyDescent="0.25">
      <c r="A62" s="1"/>
      <c r="B62" s="10">
        <f t="shared" si="270"/>
        <v>8</v>
      </c>
      <c r="C62" s="10">
        <v>0</v>
      </c>
      <c r="D62" s="10">
        <v>0</v>
      </c>
      <c r="E62" s="10">
        <v>10</v>
      </c>
      <c r="F62" s="27"/>
      <c r="G62" s="27" t="s">
        <v>45</v>
      </c>
      <c r="H62" s="17" t="s">
        <v>45</v>
      </c>
      <c r="I62" s="1"/>
      <c r="J62" s="16">
        <f>COLUMN()</f>
        <v>10</v>
      </c>
      <c r="K62" s="19" t="str">
        <f t="shared" si="261"/>
        <v>1,23</v>
      </c>
      <c r="L62" s="19" t="str">
        <f t="shared" si="261"/>
        <v>2,23</v>
      </c>
      <c r="M62" s="19" t="str">
        <f t="shared" si="261"/>
        <v>3,23</v>
      </c>
      <c r="N62" s="19" t="str">
        <f t="shared" si="261"/>
        <v>4,23</v>
      </c>
      <c r="O62" s="19" t="str">
        <f t="shared" si="261"/>
        <v>5,23</v>
      </c>
      <c r="P62" s="19" t="str">
        <f t="shared" si="261"/>
        <v>6,23</v>
      </c>
      <c r="Q62" s="19" t="str">
        <f t="shared" si="261"/>
        <v>7,23</v>
      </c>
      <c r="R62" s="19" t="str">
        <f t="shared" si="261"/>
        <v>8,23</v>
      </c>
      <c r="S62" s="19" t="str">
        <f t="shared" si="261"/>
        <v>9,23</v>
      </c>
      <c r="T62" s="19" t="str">
        <f t="shared" si="261"/>
        <v>10,23</v>
      </c>
      <c r="U62" s="19" t="str">
        <f t="shared" si="262"/>
        <v>11,23</v>
      </c>
      <c r="V62" s="19" t="str">
        <f t="shared" si="262"/>
        <v>12,23</v>
      </c>
      <c r="W62" s="19" t="str">
        <f t="shared" si="262"/>
        <v>13,23</v>
      </c>
      <c r="X62" s="19" t="str">
        <f t="shared" si="262"/>
        <v>14,23</v>
      </c>
      <c r="Y62" s="19" t="str">
        <f t="shared" si="262"/>
        <v>15,23</v>
      </c>
      <c r="Z62" s="19" t="str">
        <f t="shared" si="262"/>
        <v>16,23</v>
      </c>
      <c r="AA62" s="19" t="str">
        <f t="shared" si="262"/>
        <v>17,23</v>
      </c>
      <c r="AB62" s="19" t="str">
        <f t="shared" si="262"/>
        <v>18,23</v>
      </c>
      <c r="AC62" s="19" t="str">
        <f t="shared" si="262"/>
        <v>19,23</v>
      </c>
      <c r="AD62" s="19" t="str">
        <f t="shared" si="262"/>
        <v>20,23</v>
      </c>
      <c r="AE62" s="19" t="str">
        <f t="shared" si="263"/>
        <v>21,23</v>
      </c>
      <c r="AF62" s="19" t="str">
        <f t="shared" si="263"/>
        <v>22,23</v>
      </c>
      <c r="AG62" s="19" t="str">
        <f t="shared" si="263"/>
        <v>23,23</v>
      </c>
      <c r="AH62" s="19" t="str">
        <f t="shared" si="263"/>
        <v>24,23</v>
      </c>
      <c r="AI62" s="19" t="str">
        <f t="shared" si="263"/>
        <v>25,23</v>
      </c>
      <c r="AJ62" s="19" t="str">
        <f t="shared" si="263"/>
        <v>26,23</v>
      </c>
      <c r="AK62" s="19" t="str">
        <f t="shared" si="263"/>
        <v>27,23</v>
      </c>
      <c r="AL62" s="19" t="str">
        <f t="shared" si="263"/>
        <v>28,23</v>
      </c>
      <c r="AM62" s="19" t="str">
        <f t="shared" si="263"/>
        <v>29,23</v>
      </c>
      <c r="AN62" s="19" t="str">
        <f t="shared" si="263"/>
        <v>30,23</v>
      </c>
      <c r="AO62" s="19" t="str">
        <f t="shared" si="263"/>
        <v>31,23</v>
      </c>
      <c r="AP62" s="19" t="str">
        <f t="shared" si="263"/>
        <v>32,23</v>
      </c>
      <c r="AQ62" s="19" t="str">
        <f t="shared" si="263"/>
        <v>33,23</v>
      </c>
      <c r="AR62" s="19" t="str">
        <f t="shared" si="263"/>
        <v>34,23</v>
      </c>
      <c r="AS62" s="19" t="str">
        <f t="shared" si="263"/>
        <v>35,23</v>
      </c>
      <c r="AT62" s="19" t="str">
        <f t="shared" si="259"/>
        <v>36,23</v>
      </c>
      <c r="AU62" s="19" t="str">
        <f t="shared" si="264"/>
        <v>37,23</v>
      </c>
      <c r="AV62" s="19" t="str">
        <f t="shared" si="264"/>
        <v>38,23</v>
      </c>
      <c r="AW62" s="19" t="str">
        <f t="shared" si="264"/>
        <v>39,23</v>
      </c>
      <c r="AX62" s="19" t="str">
        <f t="shared" si="264"/>
        <v>40,23</v>
      </c>
      <c r="AY62" s="19" t="str">
        <f t="shared" si="264"/>
        <v>41,23</v>
      </c>
      <c r="AZ62" s="19" t="str">
        <f t="shared" si="264"/>
        <v>42,23</v>
      </c>
      <c r="BA62" s="19" t="str">
        <f t="shared" si="264"/>
        <v>43,23</v>
      </c>
      <c r="BB62" s="19" t="str">
        <f t="shared" si="264"/>
        <v>44,23</v>
      </c>
      <c r="BC62" s="19" t="str">
        <f t="shared" si="264"/>
        <v>45,23</v>
      </c>
      <c r="BD62" s="19" t="str">
        <f t="shared" si="264"/>
        <v>46,23</v>
      </c>
      <c r="BE62" s="19" t="str">
        <f t="shared" si="265"/>
        <v>47,23</v>
      </c>
      <c r="BF62" s="19" t="str">
        <f t="shared" si="265"/>
        <v>48,23</v>
      </c>
      <c r="BG62" s="19" t="str">
        <f t="shared" si="265"/>
        <v>49,23</v>
      </c>
      <c r="BH62" s="19" t="str">
        <f t="shared" si="265"/>
        <v>50,23</v>
      </c>
      <c r="BI62" s="19" t="str">
        <f t="shared" si="265"/>
        <v>51,23</v>
      </c>
      <c r="BJ62" s="19" t="str">
        <f t="shared" si="265"/>
        <v>52,23</v>
      </c>
      <c r="BK62" s="19" t="str">
        <f t="shared" si="265"/>
        <v>53,23</v>
      </c>
      <c r="BL62" s="19" t="str">
        <f t="shared" si="265"/>
        <v>54,23</v>
      </c>
      <c r="BM62" s="19" t="str">
        <f t="shared" si="265"/>
        <v>55,23</v>
      </c>
      <c r="BN62" s="19" t="str">
        <f t="shared" si="265"/>
        <v>56,23</v>
      </c>
      <c r="BO62" s="19" t="str">
        <f t="shared" si="266"/>
        <v>57,23</v>
      </c>
      <c r="BP62" s="19" t="str">
        <f t="shared" si="266"/>
        <v>58,23</v>
      </c>
      <c r="BQ62" s="19" t="str">
        <f t="shared" si="266"/>
        <v>59,23</v>
      </c>
      <c r="BR62" s="19" t="str">
        <f t="shared" si="266"/>
        <v>60,23</v>
      </c>
      <c r="BS62" s="19" t="str">
        <f t="shared" si="266"/>
        <v>61,23</v>
      </c>
      <c r="BT62" s="19" t="str">
        <f t="shared" si="266"/>
        <v>62,23</v>
      </c>
      <c r="BU62" s="19" t="str">
        <f t="shared" si="266"/>
        <v>63,23</v>
      </c>
      <c r="BV62" s="19" t="str">
        <f t="shared" si="266"/>
        <v>64,23</v>
      </c>
      <c r="BW62" s="19" t="str">
        <f t="shared" si="266"/>
        <v>65,23</v>
      </c>
      <c r="BX62" s="19" t="str">
        <f t="shared" si="266"/>
        <v>66,23</v>
      </c>
      <c r="BY62" s="19" t="str">
        <f t="shared" si="267"/>
        <v>67,23</v>
      </c>
      <c r="BZ62" s="19" t="str">
        <f t="shared" si="267"/>
        <v>68,23</v>
      </c>
      <c r="CA62" s="19" t="str">
        <f t="shared" si="267"/>
        <v>69,23</v>
      </c>
      <c r="CB62" s="19" t="str">
        <f t="shared" si="267"/>
        <v>70,23</v>
      </c>
      <c r="CC62" s="19" t="str">
        <f t="shared" si="267"/>
        <v>71,23</v>
      </c>
      <c r="CD62" s="19" t="str">
        <f t="shared" si="267"/>
        <v>72,23</v>
      </c>
      <c r="CE62" s="19" t="str">
        <f t="shared" si="267"/>
        <v>73,23</v>
      </c>
      <c r="CF62" s="19" t="str">
        <f t="shared" si="267"/>
        <v>74,23</v>
      </c>
      <c r="CG62" s="19" t="str">
        <f t="shared" si="267"/>
        <v>75,23</v>
      </c>
      <c r="CH62" s="19" t="str">
        <f t="shared" si="267"/>
        <v>76,23</v>
      </c>
      <c r="CI62" s="19" t="str">
        <f t="shared" si="268"/>
        <v>77,23</v>
      </c>
      <c r="CJ62" s="19" t="str">
        <f t="shared" si="268"/>
        <v>78,23</v>
      </c>
      <c r="CK62" s="19" t="str">
        <f t="shared" si="268"/>
        <v>79,23</v>
      </c>
      <c r="CL62" s="19" t="str">
        <f t="shared" si="268"/>
        <v>80,23</v>
      </c>
      <c r="CM62" s="19" t="str">
        <f t="shared" si="268"/>
        <v>81,23</v>
      </c>
      <c r="CN62" s="19" t="str">
        <f t="shared" si="268"/>
        <v>82,23</v>
      </c>
      <c r="CO62" s="19" t="str">
        <f t="shared" si="268"/>
        <v>83,23</v>
      </c>
      <c r="CP62" s="19" t="str">
        <f t="shared" si="268"/>
        <v>84,23</v>
      </c>
      <c r="CQ62" s="19" t="str">
        <f t="shared" si="268"/>
        <v>85,23</v>
      </c>
      <c r="CR62" s="19" t="str">
        <f t="shared" si="268"/>
        <v>86,23</v>
      </c>
      <c r="CS62" s="19" t="str">
        <f t="shared" si="269"/>
        <v>87,23</v>
      </c>
      <c r="CT62" s="19" t="str">
        <f t="shared" si="269"/>
        <v>88,23</v>
      </c>
      <c r="CU62" s="19" t="str">
        <f t="shared" si="269"/>
        <v>89,23</v>
      </c>
      <c r="CV62" s="19" t="str">
        <f t="shared" si="269"/>
        <v>90,23</v>
      </c>
      <c r="CW62" s="19" t="str">
        <f t="shared" si="269"/>
        <v>91,23</v>
      </c>
      <c r="CX62" s="19" t="str">
        <f t="shared" si="269"/>
        <v>92,23</v>
      </c>
      <c r="CY62" s="19" t="str">
        <f t="shared" si="269"/>
        <v>93,23</v>
      </c>
      <c r="CZ62" s="19" t="str">
        <f t="shared" si="269"/>
        <v>94,23</v>
      </c>
      <c r="DA62" s="19" t="str">
        <f t="shared" si="269"/>
        <v>95,23</v>
      </c>
      <c r="DB62" s="19" t="str">
        <f t="shared" si="269"/>
        <v>96,23</v>
      </c>
      <c r="DC62" s="19" t="str">
        <f t="shared" si="269"/>
        <v>97,23</v>
      </c>
      <c r="DD62" s="19" t="str">
        <f t="shared" si="269"/>
        <v>98,23</v>
      </c>
      <c r="DE62" s="19" t="str">
        <f t="shared" si="269"/>
        <v>99,23</v>
      </c>
      <c r="DF62" s="19" t="str">
        <f t="shared" si="269"/>
        <v>100,23</v>
      </c>
      <c r="DG62" s="16">
        <f t="shared" si="249"/>
        <v>23</v>
      </c>
      <c r="DH62" s="1"/>
      <c r="DI62" s="62">
        <v>1</v>
      </c>
      <c r="DJ62" s="62">
        <v>1</v>
      </c>
      <c r="DK62" s="62">
        <v>1</v>
      </c>
      <c r="DL62" s="62">
        <v>1</v>
      </c>
      <c r="DM62" s="62">
        <v>1</v>
      </c>
      <c r="DN62" s="62">
        <v>1</v>
      </c>
      <c r="DO62" s="62">
        <v>1</v>
      </c>
      <c r="DP62" s="62">
        <v>1</v>
      </c>
      <c r="DQ62" s="62">
        <v>1</v>
      </c>
      <c r="DR62" s="62">
        <v>1</v>
      </c>
      <c r="DS62" s="62">
        <v>1</v>
      </c>
      <c r="DT62" s="62">
        <v>1</v>
      </c>
      <c r="DU62" s="62">
        <v>1</v>
      </c>
      <c r="DV62" s="62">
        <v>1</v>
      </c>
      <c r="DW62" s="62">
        <v>1</v>
      </c>
      <c r="DX62" s="62">
        <v>1</v>
      </c>
      <c r="DY62" s="62">
        <v>1</v>
      </c>
      <c r="DZ62" s="62">
        <v>1</v>
      </c>
      <c r="EA62" s="62">
        <v>1</v>
      </c>
      <c r="EB62" s="62">
        <v>1</v>
      </c>
      <c r="EC62" s="62">
        <v>1</v>
      </c>
      <c r="ED62" s="62">
        <v>1</v>
      </c>
      <c r="EE62" s="62">
        <v>1</v>
      </c>
      <c r="EF62" s="62">
        <v>1</v>
      </c>
      <c r="EG62" s="62">
        <v>1</v>
      </c>
      <c r="EH62" s="62">
        <v>1</v>
      </c>
      <c r="EI62" s="62">
        <v>1</v>
      </c>
      <c r="EJ62" s="62">
        <v>1</v>
      </c>
      <c r="EK62" s="62">
        <v>1</v>
      </c>
      <c r="EL62" s="62">
        <v>1</v>
      </c>
      <c r="EM62" s="62">
        <v>1</v>
      </c>
      <c r="EN62" s="62">
        <v>1</v>
      </c>
      <c r="EO62" s="62">
        <v>1</v>
      </c>
      <c r="EP62" s="62">
        <v>1</v>
      </c>
      <c r="EQ62" s="62">
        <v>1</v>
      </c>
      <c r="ER62" s="62">
        <v>1</v>
      </c>
      <c r="ES62" s="62">
        <v>1</v>
      </c>
      <c r="ET62" s="62">
        <v>1</v>
      </c>
      <c r="EU62" s="62">
        <v>1</v>
      </c>
      <c r="EV62" s="62">
        <v>1</v>
      </c>
      <c r="EW62" s="62">
        <v>1</v>
      </c>
      <c r="EX62" s="62">
        <v>1</v>
      </c>
      <c r="EY62" s="62">
        <v>1</v>
      </c>
      <c r="EZ62" s="62">
        <v>1</v>
      </c>
      <c r="FA62" s="62">
        <v>1</v>
      </c>
      <c r="FB62" s="62">
        <v>1</v>
      </c>
      <c r="FC62" s="62">
        <v>1</v>
      </c>
      <c r="FD62" s="62">
        <v>1</v>
      </c>
      <c r="FE62" s="62">
        <v>1</v>
      </c>
      <c r="FF62" s="62">
        <v>-1</v>
      </c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ht="5.45" customHeight="1" x14ac:dyDescent="0.25">
      <c r="A63" s="1"/>
      <c r="B63" s="10">
        <f t="shared" si="270"/>
        <v>9</v>
      </c>
      <c r="C63" s="10">
        <v>0</v>
      </c>
      <c r="D63" s="10">
        <v>0</v>
      </c>
      <c r="E63" s="10">
        <v>10</v>
      </c>
      <c r="F63" s="27"/>
      <c r="G63" s="27" t="s">
        <v>45</v>
      </c>
      <c r="H63" s="1"/>
      <c r="I63" s="1"/>
      <c r="J63" s="16">
        <f>COLUMN()</f>
        <v>10</v>
      </c>
      <c r="K63" s="19" t="str">
        <f t="shared" ref="K63:T69" si="271">_xlfn.CONCAT(COLUMN()-$J63,",",ROW()-K$39)</f>
        <v>1,24</v>
      </c>
      <c r="L63" s="19" t="str">
        <f t="shared" si="271"/>
        <v>2,24</v>
      </c>
      <c r="M63" s="19" t="str">
        <f t="shared" si="271"/>
        <v>3,24</v>
      </c>
      <c r="N63" s="19" t="str">
        <f t="shared" si="271"/>
        <v>4,24</v>
      </c>
      <c r="O63" s="19" t="str">
        <f t="shared" si="271"/>
        <v>5,24</v>
      </c>
      <c r="P63" s="19" t="str">
        <f t="shared" si="271"/>
        <v>6,24</v>
      </c>
      <c r="Q63" s="19" t="str">
        <f t="shared" si="271"/>
        <v>7,24</v>
      </c>
      <c r="R63" s="19" t="str">
        <f t="shared" si="271"/>
        <v>8,24</v>
      </c>
      <c r="S63" s="19" t="str">
        <f t="shared" si="271"/>
        <v>9,24</v>
      </c>
      <c r="T63" s="19" t="str">
        <f t="shared" si="271"/>
        <v>10,24</v>
      </c>
      <c r="U63" s="19" t="str">
        <f t="shared" ref="U63:AD69" si="272">_xlfn.CONCAT(COLUMN()-$J63,",",ROW()-U$39)</f>
        <v>11,24</v>
      </c>
      <c r="V63" s="19" t="str">
        <f t="shared" si="272"/>
        <v>12,24</v>
      </c>
      <c r="W63" s="19" t="str">
        <f t="shared" si="272"/>
        <v>13,24</v>
      </c>
      <c r="X63" s="19" t="str">
        <f t="shared" si="272"/>
        <v>14,24</v>
      </c>
      <c r="Y63" s="19" t="str">
        <f t="shared" si="272"/>
        <v>15,24</v>
      </c>
      <c r="Z63" s="19" t="str">
        <f t="shared" si="272"/>
        <v>16,24</v>
      </c>
      <c r="AA63" s="19" t="str">
        <f t="shared" si="272"/>
        <v>17,24</v>
      </c>
      <c r="AB63" s="19" t="str">
        <f t="shared" si="272"/>
        <v>18,24</v>
      </c>
      <c r="AC63" s="19" t="str">
        <f t="shared" si="272"/>
        <v>19,24</v>
      </c>
      <c r="AD63" s="19" t="str">
        <f t="shared" si="272"/>
        <v>20,24</v>
      </c>
      <c r="AE63" s="19" t="str">
        <f t="shared" ref="AE63:AS69" si="273">_xlfn.CONCAT(COLUMN()-$J63,",",ROW()-AE$39)</f>
        <v>21,24</v>
      </c>
      <c r="AF63" s="19" t="str">
        <f t="shared" si="273"/>
        <v>22,24</v>
      </c>
      <c r="AG63" s="19" t="str">
        <f t="shared" si="273"/>
        <v>23,24</v>
      </c>
      <c r="AH63" s="19" t="str">
        <f t="shared" si="273"/>
        <v>24,24</v>
      </c>
      <c r="AI63" s="19" t="str">
        <f t="shared" si="273"/>
        <v>25,24</v>
      </c>
      <c r="AJ63" s="19" t="str">
        <f t="shared" si="273"/>
        <v>26,24</v>
      </c>
      <c r="AK63" s="19" t="str">
        <f t="shared" si="273"/>
        <v>27,24</v>
      </c>
      <c r="AL63" s="19" t="str">
        <f t="shared" si="273"/>
        <v>28,24</v>
      </c>
      <c r="AM63" s="19" t="str">
        <f t="shared" si="273"/>
        <v>29,24</v>
      </c>
      <c r="AN63" s="19" t="str">
        <f t="shared" si="273"/>
        <v>30,24</v>
      </c>
      <c r="AO63" s="19" t="str">
        <f t="shared" si="273"/>
        <v>31,24</v>
      </c>
      <c r="AP63" s="19" t="str">
        <f t="shared" si="273"/>
        <v>32,24</v>
      </c>
      <c r="AQ63" s="19" t="str">
        <f t="shared" si="273"/>
        <v>33,24</v>
      </c>
      <c r="AR63" s="19" t="str">
        <f t="shared" si="273"/>
        <v>34,24</v>
      </c>
      <c r="AS63" s="19" t="str">
        <f t="shared" si="273"/>
        <v>35,24</v>
      </c>
      <c r="AT63" s="19" t="str">
        <f t="shared" si="259"/>
        <v>36,24</v>
      </c>
      <c r="AU63" s="19" t="str">
        <f t="shared" ref="AU63:BD69" si="274">_xlfn.CONCAT(COLUMN()-$J63,",",ROW()-AU$39)</f>
        <v>37,24</v>
      </c>
      <c r="AV63" s="19" t="str">
        <f t="shared" si="274"/>
        <v>38,24</v>
      </c>
      <c r="AW63" s="19" t="str">
        <f t="shared" si="274"/>
        <v>39,24</v>
      </c>
      <c r="AX63" s="19" t="str">
        <f t="shared" si="274"/>
        <v>40,24</v>
      </c>
      <c r="AY63" s="19" t="str">
        <f t="shared" si="274"/>
        <v>41,24</v>
      </c>
      <c r="AZ63" s="19" t="str">
        <f t="shared" si="274"/>
        <v>42,24</v>
      </c>
      <c r="BA63" s="19" t="str">
        <f t="shared" si="274"/>
        <v>43,24</v>
      </c>
      <c r="BB63" s="19" t="str">
        <f t="shared" si="274"/>
        <v>44,24</v>
      </c>
      <c r="BC63" s="19" t="str">
        <f t="shared" si="274"/>
        <v>45,24</v>
      </c>
      <c r="BD63" s="19" t="str">
        <f t="shared" si="274"/>
        <v>46,24</v>
      </c>
      <c r="BE63" s="19" t="str">
        <f t="shared" ref="BE63:BN69" si="275">_xlfn.CONCAT(COLUMN()-$J63,",",ROW()-BE$39)</f>
        <v>47,24</v>
      </c>
      <c r="BF63" s="19" t="str">
        <f t="shared" si="275"/>
        <v>48,24</v>
      </c>
      <c r="BG63" s="19" t="str">
        <f t="shared" si="275"/>
        <v>49,24</v>
      </c>
      <c r="BH63" s="19" t="str">
        <f t="shared" si="275"/>
        <v>50,24</v>
      </c>
      <c r="BI63" s="19" t="str">
        <f t="shared" si="275"/>
        <v>51,24</v>
      </c>
      <c r="BJ63" s="19" t="str">
        <f t="shared" si="275"/>
        <v>52,24</v>
      </c>
      <c r="BK63" s="19" t="str">
        <f t="shared" si="275"/>
        <v>53,24</v>
      </c>
      <c r="BL63" s="19" t="str">
        <f t="shared" si="275"/>
        <v>54,24</v>
      </c>
      <c r="BM63" s="19" t="str">
        <f t="shared" si="275"/>
        <v>55,24</v>
      </c>
      <c r="BN63" s="19" t="str">
        <f t="shared" si="275"/>
        <v>56,24</v>
      </c>
      <c r="BO63" s="19" t="str">
        <f t="shared" ref="BO63:BX69" si="276">_xlfn.CONCAT(COLUMN()-$J63,",",ROW()-BO$39)</f>
        <v>57,24</v>
      </c>
      <c r="BP63" s="19" t="str">
        <f t="shared" si="276"/>
        <v>58,24</v>
      </c>
      <c r="BQ63" s="19" t="str">
        <f t="shared" si="276"/>
        <v>59,24</v>
      </c>
      <c r="BR63" s="19" t="str">
        <f t="shared" si="276"/>
        <v>60,24</v>
      </c>
      <c r="BS63" s="19" t="str">
        <f t="shared" si="276"/>
        <v>61,24</v>
      </c>
      <c r="BT63" s="19" t="str">
        <f t="shared" si="276"/>
        <v>62,24</v>
      </c>
      <c r="BU63" s="19" t="str">
        <f t="shared" si="276"/>
        <v>63,24</v>
      </c>
      <c r="BV63" s="19" t="str">
        <f t="shared" si="276"/>
        <v>64,24</v>
      </c>
      <c r="BW63" s="19" t="str">
        <f t="shared" si="276"/>
        <v>65,24</v>
      </c>
      <c r="BX63" s="19" t="str">
        <f t="shared" si="276"/>
        <v>66,24</v>
      </c>
      <c r="BY63" s="19" t="str">
        <f t="shared" ref="BY63:CH69" si="277">_xlfn.CONCAT(COLUMN()-$J63,",",ROW()-BY$39)</f>
        <v>67,24</v>
      </c>
      <c r="BZ63" s="19" t="str">
        <f t="shared" si="277"/>
        <v>68,24</v>
      </c>
      <c r="CA63" s="19" t="str">
        <f t="shared" si="277"/>
        <v>69,24</v>
      </c>
      <c r="CB63" s="19" t="str">
        <f t="shared" si="277"/>
        <v>70,24</v>
      </c>
      <c r="CC63" s="19" t="str">
        <f t="shared" si="277"/>
        <v>71,24</v>
      </c>
      <c r="CD63" s="19" t="str">
        <f t="shared" si="277"/>
        <v>72,24</v>
      </c>
      <c r="CE63" s="19" t="str">
        <f t="shared" si="277"/>
        <v>73,24</v>
      </c>
      <c r="CF63" s="19" t="str">
        <f t="shared" si="277"/>
        <v>74,24</v>
      </c>
      <c r="CG63" s="19" t="str">
        <f t="shared" si="277"/>
        <v>75,24</v>
      </c>
      <c r="CH63" s="19" t="str">
        <f t="shared" si="277"/>
        <v>76,24</v>
      </c>
      <c r="CI63" s="19" t="str">
        <f t="shared" ref="CI63:CR69" si="278">_xlfn.CONCAT(COLUMN()-$J63,",",ROW()-CI$39)</f>
        <v>77,24</v>
      </c>
      <c r="CJ63" s="19" t="str">
        <f t="shared" si="278"/>
        <v>78,24</v>
      </c>
      <c r="CK63" s="19" t="str">
        <f t="shared" si="278"/>
        <v>79,24</v>
      </c>
      <c r="CL63" s="19" t="str">
        <f t="shared" si="278"/>
        <v>80,24</v>
      </c>
      <c r="CM63" s="19" t="str">
        <f t="shared" si="278"/>
        <v>81,24</v>
      </c>
      <c r="CN63" s="19" t="str">
        <f t="shared" si="278"/>
        <v>82,24</v>
      </c>
      <c r="CO63" s="19" t="str">
        <f t="shared" si="278"/>
        <v>83,24</v>
      </c>
      <c r="CP63" s="19" t="str">
        <f t="shared" si="278"/>
        <v>84,24</v>
      </c>
      <c r="CQ63" s="19" t="str">
        <f t="shared" si="278"/>
        <v>85,24</v>
      </c>
      <c r="CR63" s="19" t="str">
        <f t="shared" si="278"/>
        <v>86,24</v>
      </c>
      <c r="CS63" s="19" t="str">
        <f t="shared" ref="CS63:DF69" si="279">_xlfn.CONCAT(COLUMN()-$J63,",",ROW()-CS$39)</f>
        <v>87,24</v>
      </c>
      <c r="CT63" s="19" t="str">
        <f t="shared" si="279"/>
        <v>88,24</v>
      </c>
      <c r="CU63" s="19" t="str">
        <f t="shared" si="279"/>
        <v>89,24</v>
      </c>
      <c r="CV63" s="19" t="str">
        <f t="shared" si="279"/>
        <v>90,24</v>
      </c>
      <c r="CW63" s="19" t="str">
        <f t="shared" si="279"/>
        <v>91,24</v>
      </c>
      <c r="CX63" s="19" t="str">
        <f t="shared" si="279"/>
        <v>92,24</v>
      </c>
      <c r="CY63" s="19" t="str">
        <f t="shared" si="279"/>
        <v>93,24</v>
      </c>
      <c r="CZ63" s="19" t="str">
        <f t="shared" si="279"/>
        <v>94,24</v>
      </c>
      <c r="DA63" s="19" t="str">
        <f t="shared" si="279"/>
        <v>95,24</v>
      </c>
      <c r="DB63" s="19" t="str">
        <f t="shared" si="279"/>
        <v>96,24</v>
      </c>
      <c r="DC63" s="19" t="str">
        <f t="shared" si="279"/>
        <v>97,24</v>
      </c>
      <c r="DD63" s="19" t="str">
        <f t="shared" si="279"/>
        <v>98,24</v>
      </c>
      <c r="DE63" s="19" t="str">
        <f t="shared" si="279"/>
        <v>99,24</v>
      </c>
      <c r="DF63" s="19" t="str">
        <f t="shared" si="279"/>
        <v>100,24</v>
      </c>
      <c r="DG63" s="16">
        <f t="shared" si="249"/>
        <v>24</v>
      </c>
      <c r="DH63" s="1"/>
      <c r="DI63" s="60">
        <v>1</v>
      </c>
      <c r="DJ63" s="60">
        <v>1</v>
      </c>
      <c r="DK63" s="60">
        <v>1</v>
      </c>
      <c r="DL63" s="60">
        <v>1</v>
      </c>
      <c r="DM63" s="60">
        <v>1</v>
      </c>
      <c r="DN63" s="60">
        <v>1</v>
      </c>
      <c r="DO63" s="60">
        <v>1</v>
      </c>
      <c r="DP63" s="60">
        <v>1</v>
      </c>
      <c r="DQ63" s="60">
        <v>1</v>
      </c>
      <c r="DR63" s="60">
        <v>1</v>
      </c>
      <c r="DS63" s="60">
        <v>1</v>
      </c>
      <c r="DT63" s="60">
        <v>1</v>
      </c>
      <c r="DU63" s="60">
        <v>1</v>
      </c>
      <c r="DV63" s="60">
        <v>1</v>
      </c>
      <c r="DW63" s="60">
        <v>1</v>
      </c>
      <c r="DX63" s="60">
        <v>1</v>
      </c>
      <c r="DY63" s="60">
        <v>1</v>
      </c>
      <c r="DZ63" s="60">
        <v>1</v>
      </c>
      <c r="EA63" s="60">
        <v>1</v>
      </c>
      <c r="EB63" s="60">
        <v>1</v>
      </c>
      <c r="EC63" s="60">
        <v>1</v>
      </c>
      <c r="ED63" s="60">
        <v>1</v>
      </c>
      <c r="EE63" s="60">
        <v>1</v>
      </c>
      <c r="EF63" s="60">
        <v>1</v>
      </c>
      <c r="EG63" s="60">
        <v>1</v>
      </c>
      <c r="EH63" s="60">
        <v>1</v>
      </c>
      <c r="EI63" s="60">
        <v>1</v>
      </c>
      <c r="EJ63" s="60">
        <v>1</v>
      </c>
      <c r="EK63" s="60">
        <v>1</v>
      </c>
      <c r="EL63" s="60">
        <v>1</v>
      </c>
      <c r="EM63" s="60">
        <v>1</v>
      </c>
      <c r="EN63" s="60">
        <v>1</v>
      </c>
      <c r="EO63" s="60">
        <v>1</v>
      </c>
      <c r="EP63" s="60">
        <v>1</v>
      </c>
      <c r="EQ63" s="60">
        <v>1</v>
      </c>
      <c r="ER63" s="60">
        <v>1</v>
      </c>
      <c r="ES63" s="60">
        <v>1</v>
      </c>
      <c r="ET63" s="60">
        <v>1</v>
      </c>
      <c r="EU63" s="60">
        <v>1</v>
      </c>
      <c r="EV63" s="60">
        <v>1</v>
      </c>
      <c r="EW63" s="60">
        <v>1</v>
      </c>
      <c r="EX63" s="60">
        <v>1</v>
      </c>
      <c r="EY63" s="60">
        <v>1</v>
      </c>
      <c r="EZ63" s="60">
        <v>1</v>
      </c>
      <c r="FA63" s="60">
        <v>1</v>
      </c>
      <c r="FB63" s="60">
        <v>1</v>
      </c>
      <c r="FC63" s="60">
        <v>1</v>
      </c>
      <c r="FD63" s="60">
        <v>1</v>
      </c>
      <c r="FE63" s="60">
        <v>1</v>
      </c>
      <c r="FF63" s="60">
        <v>-1</v>
      </c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ht="5.45" customHeight="1" x14ac:dyDescent="0.25">
      <c r="A64" s="1"/>
      <c r="B64" s="10">
        <f t="shared" si="270"/>
        <v>10</v>
      </c>
      <c r="C64" s="10">
        <v>0</v>
      </c>
      <c r="D64" s="10">
        <v>0</v>
      </c>
      <c r="E64" s="10">
        <v>10</v>
      </c>
      <c r="F64" s="27"/>
      <c r="G64" s="27" t="s">
        <v>45</v>
      </c>
      <c r="H64" s="1"/>
      <c r="I64" s="1"/>
      <c r="J64" s="16">
        <f>COLUMN()</f>
        <v>10</v>
      </c>
      <c r="K64" s="19" t="str">
        <f t="shared" si="271"/>
        <v>1,25</v>
      </c>
      <c r="L64" s="19" t="str">
        <f t="shared" si="271"/>
        <v>2,25</v>
      </c>
      <c r="M64" s="19" t="str">
        <f t="shared" si="271"/>
        <v>3,25</v>
      </c>
      <c r="N64" s="19" t="str">
        <f t="shared" si="271"/>
        <v>4,25</v>
      </c>
      <c r="O64" s="19" t="str">
        <f t="shared" si="271"/>
        <v>5,25</v>
      </c>
      <c r="P64" s="19" t="str">
        <f t="shared" si="271"/>
        <v>6,25</v>
      </c>
      <c r="Q64" s="19" t="str">
        <f t="shared" si="271"/>
        <v>7,25</v>
      </c>
      <c r="R64" s="19" t="str">
        <f t="shared" si="271"/>
        <v>8,25</v>
      </c>
      <c r="S64" s="19" t="str">
        <f t="shared" si="271"/>
        <v>9,25</v>
      </c>
      <c r="T64" s="19" t="str">
        <f t="shared" si="271"/>
        <v>10,25</v>
      </c>
      <c r="U64" s="19" t="str">
        <f t="shared" si="272"/>
        <v>11,25</v>
      </c>
      <c r="V64" s="19" t="str">
        <f t="shared" si="272"/>
        <v>12,25</v>
      </c>
      <c r="W64" s="19" t="str">
        <f t="shared" si="272"/>
        <v>13,25</v>
      </c>
      <c r="X64" s="19" t="str">
        <f t="shared" si="272"/>
        <v>14,25</v>
      </c>
      <c r="Y64" s="19" t="str">
        <f t="shared" si="272"/>
        <v>15,25</v>
      </c>
      <c r="Z64" s="19" t="str">
        <f t="shared" si="272"/>
        <v>16,25</v>
      </c>
      <c r="AA64" s="19" t="str">
        <f t="shared" si="272"/>
        <v>17,25</v>
      </c>
      <c r="AB64" s="19" t="str">
        <f t="shared" si="272"/>
        <v>18,25</v>
      </c>
      <c r="AC64" s="19" t="str">
        <f t="shared" si="272"/>
        <v>19,25</v>
      </c>
      <c r="AD64" s="19" t="str">
        <f t="shared" si="272"/>
        <v>20,25</v>
      </c>
      <c r="AE64" s="19" t="str">
        <f t="shared" si="273"/>
        <v>21,25</v>
      </c>
      <c r="AF64" s="19" t="str">
        <f t="shared" si="273"/>
        <v>22,25</v>
      </c>
      <c r="AG64" s="19" t="str">
        <f t="shared" si="273"/>
        <v>23,25</v>
      </c>
      <c r="AH64" s="19" t="str">
        <f t="shared" si="273"/>
        <v>24,25</v>
      </c>
      <c r="AI64" s="19" t="str">
        <f t="shared" si="273"/>
        <v>25,25</v>
      </c>
      <c r="AJ64" s="19" t="str">
        <f t="shared" si="273"/>
        <v>26,25</v>
      </c>
      <c r="AK64" s="19" t="str">
        <f t="shared" si="273"/>
        <v>27,25</v>
      </c>
      <c r="AL64" s="19" t="str">
        <f t="shared" si="273"/>
        <v>28,25</v>
      </c>
      <c r="AM64" s="19" t="str">
        <f t="shared" si="273"/>
        <v>29,25</v>
      </c>
      <c r="AN64" s="19" t="str">
        <f t="shared" si="273"/>
        <v>30,25</v>
      </c>
      <c r="AO64" s="19" t="str">
        <f t="shared" si="273"/>
        <v>31,25</v>
      </c>
      <c r="AP64" s="19" t="str">
        <f t="shared" si="273"/>
        <v>32,25</v>
      </c>
      <c r="AQ64" s="19" t="str">
        <f t="shared" si="273"/>
        <v>33,25</v>
      </c>
      <c r="AR64" s="19" t="str">
        <f t="shared" si="273"/>
        <v>34,25</v>
      </c>
      <c r="AS64" s="19" t="str">
        <f t="shared" si="273"/>
        <v>35,25</v>
      </c>
      <c r="AT64" s="19" t="str">
        <f t="shared" si="259"/>
        <v>36,25</v>
      </c>
      <c r="AU64" s="19" t="str">
        <f t="shared" si="274"/>
        <v>37,25</v>
      </c>
      <c r="AV64" s="19" t="str">
        <f t="shared" si="274"/>
        <v>38,25</v>
      </c>
      <c r="AW64" s="19" t="str">
        <f t="shared" si="274"/>
        <v>39,25</v>
      </c>
      <c r="AX64" s="19" t="str">
        <f t="shared" si="274"/>
        <v>40,25</v>
      </c>
      <c r="AY64" s="19" t="str">
        <f t="shared" si="274"/>
        <v>41,25</v>
      </c>
      <c r="AZ64" s="19" t="str">
        <f t="shared" si="274"/>
        <v>42,25</v>
      </c>
      <c r="BA64" s="19" t="str">
        <f t="shared" si="274"/>
        <v>43,25</v>
      </c>
      <c r="BB64" s="19" t="str">
        <f t="shared" si="274"/>
        <v>44,25</v>
      </c>
      <c r="BC64" s="19" t="str">
        <f t="shared" si="274"/>
        <v>45,25</v>
      </c>
      <c r="BD64" s="19" t="str">
        <f t="shared" si="274"/>
        <v>46,25</v>
      </c>
      <c r="BE64" s="19" t="str">
        <f t="shared" si="275"/>
        <v>47,25</v>
      </c>
      <c r="BF64" s="19" t="str">
        <f t="shared" si="275"/>
        <v>48,25</v>
      </c>
      <c r="BG64" s="19" t="str">
        <f t="shared" si="275"/>
        <v>49,25</v>
      </c>
      <c r="BH64" s="19" t="str">
        <f t="shared" si="275"/>
        <v>50,25</v>
      </c>
      <c r="BI64" s="19" t="str">
        <f t="shared" si="275"/>
        <v>51,25</v>
      </c>
      <c r="BJ64" s="19" t="str">
        <f t="shared" si="275"/>
        <v>52,25</v>
      </c>
      <c r="BK64" s="19" t="str">
        <f t="shared" si="275"/>
        <v>53,25</v>
      </c>
      <c r="BL64" s="19" t="str">
        <f t="shared" si="275"/>
        <v>54,25</v>
      </c>
      <c r="BM64" s="19" t="str">
        <f t="shared" si="275"/>
        <v>55,25</v>
      </c>
      <c r="BN64" s="19" t="str">
        <f t="shared" si="275"/>
        <v>56,25</v>
      </c>
      <c r="BO64" s="19" t="str">
        <f t="shared" si="276"/>
        <v>57,25</v>
      </c>
      <c r="BP64" s="19" t="str">
        <f t="shared" si="276"/>
        <v>58,25</v>
      </c>
      <c r="BQ64" s="19" t="str">
        <f t="shared" si="276"/>
        <v>59,25</v>
      </c>
      <c r="BR64" s="19" t="str">
        <f t="shared" si="276"/>
        <v>60,25</v>
      </c>
      <c r="BS64" s="19" t="str">
        <f t="shared" si="276"/>
        <v>61,25</v>
      </c>
      <c r="BT64" s="19" t="str">
        <f t="shared" si="276"/>
        <v>62,25</v>
      </c>
      <c r="BU64" s="19" t="str">
        <f t="shared" si="276"/>
        <v>63,25</v>
      </c>
      <c r="BV64" s="19" t="str">
        <f t="shared" si="276"/>
        <v>64,25</v>
      </c>
      <c r="BW64" s="19" t="str">
        <f t="shared" si="276"/>
        <v>65,25</v>
      </c>
      <c r="BX64" s="19" t="str">
        <f t="shared" si="276"/>
        <v>66,25</v>
      </c>
      <c r="BY64" s="19" t="str">
        <f t="shared" si="277"/>
        <v>67,25</v>
      </c>
      <c r="BZ64" s="19" t="str">
        <f t="shared" si="277"/>
        <v>68,25</v>
      </c>
      <c r="CA64" s="19" t="str">
        <f t="shared" si="277"/>
        <v>69,25</v>
      </c>
      <c r="CB64" s="19" t="str">
        <f t="shared" si="277"/>
        <v>70,25</v>
      </c>
      <c r="CC64" s="19" t="str">
        <f t="shared" si="277"/>
        <v>71,25</v>
      </c>
      <c r="CD64" s="19" t="str">
        <f t="shared" si="277"/>
        <v>72,25</v>
      </c>
      <c r="CE64" s="19" t="str">
        <f t="shared" si="277"/>
        <v>73,25</v>
      </c>
      <c r="CF64" s="19" t="str">
        <f t="shared" si="277"/>
        <v>74,25</v>
      </c>
      <c r="CG64" s="19" t="str">
        <f t="shared" si="277"/>
        <v>75,25</v>
      </c>
      <c r="CH64" s="19" t="str">
        <f t="shared" si="277"/>
        <v>76,25</v>
      </c>
      <c r="CI64" s="19" t="str">
        <f t="shared" si="278"/>
        <v>77,25</v>
      </c>
      <c r="CJ64" s="19" t="str">
        <f t="shared" si="278"/>
        <v>78,25</v>
      </c>
      <c r="CK64" s="19" t="str">
        <f t="shared" si="278"/>
        <v>79,25</v>
      </c>
      <c r="CL64" s="19" t="str">
        <f t="shared" si="278"/>
        <v>80,25</v>
      </c>
      <c r="CM64" s="19" t="str">
        <f t="shared" si="278"/>
        <v>81,25</v>
      </c>
      <c r="CN64" s="19" t="str">
        <f t="shared" si="278"/>
        <v>82,25</v>
      </c>
      <c r="CO64" s="19" t="str">
        <f t="shared" si="278"/>
        <v>83,25</v>
      </c>
      <c r="CP64" s="19" t="str">
        <f t="shared" si="278"/>
        <v>84,25</v>
      </c>
      <c r="CQ64" s="19" t="str">
        <f t="shared" si="278"/>
        <v>85,25</v>
      </c>
      <c r="CR64" s="19" t="str">
        <f t="shared" si="278"/>
        <v>86,25</v>
      </c>
      <c r="CS64" s="19" t="str">
        <f t="shared" si="279"/>
        <v>87,25</v>
      </c>
      <c r="CT64" s="19" t="str">
        <f t="shared" si="279"/>
        <v>88,25</v>
      </c>
      <c r="CU64" s="19" t="str">
        <f t="shared" si="279"/>
        <v>89,25</v>
      </c>
      <c r="CV64" s="19" t="str">
        <f t="shared" si="279"/>
        <v>90,25</v>
      </c>
      <c r="CW64" s="19" t="str">
        <f t="shared" si="279"/>
        <v>91,25</v>
      </c>
      <c r="CX64" s="19" t="str">
        <f t="shared" si="279"/>
        <v>92,25</v>
      </c>
      <c r="CY64" s="19" t="str">
        <f t="shared" si="279"/>
        <v>93,25</v>
      </c>
      <c r="CZ64" s="19" t="str">
        <f t="shared" si="279"/>
        <v>94,25</v>
      </c>
      <c r="DA64" s="19" t="str">
        <f t="shared" si="279"/>
        <v>95,25</v>
      </c>
      <c r="DB64" s="19" t="str">
        <f t="shared" si="279"/>
        <v>96,25</v>
      </c>
      <c r="DC64" s="19" t="str">
        <f t="shared" si="279"/>
        <v>97,25</v>
      </c>
      <c r="DD64" s="19" t="str">
        <f t="shared" si="279"/>
        <v>98,25</v>
      </c>
      <c r="DE64" s="19" t="str">
        <f t="shared" si="279"/>
        <v>99,25</v>
      </c>
      <c r="DF64" s="19" t="str">
        <f t="shared" si="279"/>
        <v>100,25</v>
      </c>
      <c r="DG64" s="16">
        <f t="shared" si="249"/>
        <v>25</v>
      </c>
      <c r="DH64" s="1"/>
      <c r="DI64" s="60">
        <v>1</v>
      </c>
      <c r="DJ64" s="60">
        <v>1</v>
      </c>
      <c r="DK64" s="60">
        <v>1</v>
      </c>
      <c r="DL64" s="60">
        <v>1</v>
      </c>
      <c r="DM64" s="60">
        <v>1</v>
      </c>
      <c r="DN64" s="60">
        <v>1</v>
      </c>
      <c r="DO64" s="60">
        <v>1</v>
      </c>
      <c r="DP64" s="60">
        <v>1</v>
      </c>
      <c r="DQ64" s="60">
        <v>1</v>
      </c>
      <c r="DR64" s="60">
        <v>1</v>
      </c>
      <c r="DS64" s="60">
        <v>1</v>
      </c>
      <c r="DT64" s="60">
        <v>1</v>
      </c>
      <c r="DU64" s="60">
        <v>1</v>
      </c>
      <c r="DV64" s="60">
        <v>1</v>
      </c>
      <c r="DW64" s="60">
        <v>1</v>
      </c>
      <c r="DX64" s="60">
        <v>1</v>
      </c>
      <c r="DY64" s="60">
        <v>1</v>
      </c>
      <c r="DZ64" s="60">
        <v>1</v>
      </c>
      <c r="EA64" s="60">
        <v>1</v>
      </c>
      <c r="EB64" s="60">
        <v>1</v>
      </c>
      <c r="EC64" s="60">
        <v>1</v>
      </c>
      <c r="ED64" s="60">
        <v>1</v>
      </c>
      <c r="EE64" s="60">
        <v>1</v>
      </c>
      <c r="EF64" s="60">
        <v>1</v>
      </c>
      <c r="EG64" s="60">
        <v>1</v>
      </c>
      <c r="EH64" s="60">
        <v>1</v>
      </c>
      <c r="EI64" s="60">
        <v>1</v>
      </c>
      <c r="EJ64" s="60">
        <v>1</v>
      </c>
      <c r="EK64" s="60">
        <v>1</v>
      </c>
      <c r="EL64" s="60">
        <v>1</v>
      </c>
      <c r="EM64" s="60">
        <v>1</v>
      </c>
      <c r="EN64" s="60">
        <v>1</v>
      </c>
      <c r="EO64" s="60">
        <v>1</v>
      </c>
      <c r="EP64" s="60">
        <v>1</v>
      </c>
      <c r="EQ64" s="60">
        <v>1</v>
      </c>
      <c r="ER64" s="60">
        <v>1</v>
      </c>
      <c r="ES64" s="60">
        <v>1</v>
      </c>
      <c r="ET64" s="60">
        <v>1</v>
      </c>
      <c r="EU64" s="60">
        <v>1</v>
      </c>
      <c r="EV64" s="60">
        <v>1</v>
      </c>
      <c r="EW64" s="60">
        <v>1</v>
      </c>
      <c r="EX64" s="60">
        <v>1</v>
      </c>
      <c r="EY64" s="60">
        <v>1</v>
      </c>
      <c r="EZ64" s="60">
        <v>1</v>
      </c>
      <c r="FA64" s="60">
        <v>1</v>
      </c>
      <c r="FB64" s="60">
        <v>1</v>
      </c>
      <c r="FC64" s="60">
        <v>1</v>
      </c>
      <c r="FD64" s="60">
        <v>1</v>
      </c>
      <c r="FE64" s="60">
        <v>1</v>
      </c>
      <c r="FF64" s="60">
        <v>-1</v>
      </c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ht="5.45" customHeight="1" x14ac:dyDescent="0.25">
      <c r="A65" s="1"/>
      <c r="B65" s="10">
        <f t="shared" si="270"/>
        <v>11</v>
      </c>
      <c r="C65" s="10">
        <v>0</v>
      </c>
      <c r="D65" s="10">
        <v>0</v>
      </c>
      <c r="E65" s="10">
        <v>10</v>
      </c>
      <c r="F65" s="27"/>
      <c r="G65" s="27" t="s">
        <v>45</v>
      </c>
      <c r="H65" s="1"/>
      <c r="I65" s="1"/>
      <c r="J65" s="16">
        <f>COLUMN()</f>
        <v>10</v>
      </c>
      <c r="K65" s="19" t="str">
        <f t="shared" si="271"/>
        <v>1,26</v>
      </c>
      <c r="L65" s="19" t="str">
        <f t="shared" si="271"/>
        <v>2,26</v>
      </c>
      <c r="M65" s="19" t="str">
        <f t="shared" si="271"/>
        <v>3,26</v>
      </c>
      <c r="N65" s="19" t="str">
        <f t="shared" si="271"/>
        <v>4,26</v>
      </c>
      <c r="O65" s="19" t="str">
        <f t="shared" si="271"/>
        <v>5,26</v>
      </c>
      <c r="P65" s="19" t="str">
        <f t="shared" si="271"/>
        <v>6,26</v>
      </c>
      <c r="Q65" s="19" t="str">
        <f t="shared" si="271"/>
        <v>7,26</v>
      </c>
      <c r="R65" s="19" t="str">
        <f t="shared" si="271"/>
        <v>8,26</v>
      </c>
      <c r="S65" s="19" t="str">
        <f t="shared" si="271"/>
        <v>9,26</v>
      </c>
      <c r="T65" s="19" t="str">
        <f t="shared" si="271"/>
        <v>10,26</v>
      </c>
      <c r="U65" s="19" t="str">
        <f t="shared" si="272"/>
        <v>11,26</v>
      </c>
      <c r="V65" s="19" t="str">
        <f t="shared" si="272"/>
        <v>12,26</v>
      </c>
      <c r="W65" s="19" t="str">
        <f t="shared" si="272"/>
        <v>13,26</v>
      </c>
      <c r="X65" s="19" t="str">
        <f t="shared" si="272"/>
        <v>14,26</v>
      </c>
      <c r="Y65" s="19" t="str">
        <f t="shared" si="272"/>
        <v>15,26</v>
      </c>
      <c r="Z65" s="19" t="str">
        <f t="shared" si="272"/>
        <v>16,26</v>
      </c>
      <c r="AA65" s="19" t="str">
        <f t="shared" si="272"/>
        <v>17,26</v>
      </c>
      <c r="AB65" s="19" t="str">
        <f t="shared" si="272"/>
        <v>18,26</v>
      </c>
      <c r="AC65" s="19" t="str">
        <f t="shared" si="272"/>
        <v>19,26</v>
      </c>
      <c r="AD65" s="19" t="str">
        <f t="shared" si="272"/>
        <v>20,26</v>
      </c>
      <c r="AE65" s="19" t="str">
        <f t="shared" si="273"/>
        <v>21,26</v>
      </c>
      <c r="AF65" s="19" t="str">
        <f t="shared" si="273"/>
        <v>22,26</v>
      </c>
      <c r="AG65" s="19" t="str">
        <f t="shared" si="273"/>
        <v>23,26</v>
      </c>
      <c r="AH65" s="19" t="str">
        <f t="shared" si="273"/>
        <v>24,26</v>
      </c>
      <c r="AI65" s="19" t="str">
        <f t="shared" si="273"/>
        <v>25,26</v>
      </c>
      <c r="AJ65" s="19" t="str">
        <f t="shared" si="273"/>
        <v>26,26</v>
      </c>
      <c r="AK65" s="19" t="str">
        <f t="shared" si="273"/>
        <v>27,26</v>
      </c>
      <c r="AL65" s="19" t="str">
        <f t="shared" si="273"/>
        <v>28,26</v>
      </c>
      <c r="AM65" s="19" t="str">
        <f t="shared" si="273"/>
        <v>29,26</v>
      </c>
      <c r="AN65" s="19" t="str">
        <f t="shared" si="273"/>
        <v>30,26</v>
      </c>
      <c r="AO65" s="19" t="str">
        <f t="shared" si="273"/>
        <v>31,26</v>
      </c>
      <c r="AP65" s="19" t="str">
        <f t="shared" si="273"/>
        <v>32,26</v>
      </c>
      <c r="AQ65" s="19" t="str">
        <f t="shared" si="273"/>
        <v>33,26</v>
      </c>
      <c r="AR65" s="19" t="str">
        <f t="shared" si="273"/>
        <v>34,26</v>
      </c>
      <c r="AS65" s="19" t="str">
        <f t="shared" si="273"/>
        <v>35,26</v>
      </c>
      <c r="AT65" s="19" t="str">
        <f t="shared" si="259"/>
        <v>36,26</v>
      </c>
      <c r="AU65" s="19" t="str">
        <f t="shared" si="274"/>
        <v>37,26</v>
      </c>
      <c r="AV65" s="19" t="str">
        <f t="shared" si="274"/>
        <v>38,26</v>
      </c>
      <c r="AW65" s="19" t="str">
        <f t="shared" si="274"/>
        <v>39,26</v>
      </c>
      <c r="AX65" s="19" t="str">
        <f t="shared" si="274"/>
        <v>40,26</v>
      </c>
      <c r="AY65" s="19" t="str">
        <f t="shared" si="274"/>
        <v>41,26</v>
      </c>
      <c r="AZ65" s="19" t="str">
        <f t="shared" si="274"/>
        <v>42,26</v>
      </c>
      <c r="BA65" s="19" t="str">
        <f t="shared" si="274"/>
        <v>43,26</v>
      </c>
      <c r="BB65" s="19" t="str">
        <f t="shared" si="274"/>
        <v>44,26</v>
      </c>
      <c r="BC65" s="19" t="str">
        <f t="shared" si="274"/>
        <v>45,26</v>
      </c>
      <c r="BD65" s="19" t="str">
        <f t="shared" si="274"/>
        <v>46,26</v>
      </c>
      <c r="BE65" s="19" t="str">
        <f t="shared" si="275"/>
        <v>47,26</v>
      </c>
      <c r="BF65" s="19" t="str">
        <f t="shared" si="275"/>
        <v>48,26</v>
      </c>
      <c r="BG65" s="19" t="str">
        <f t="shared" si="275"/>
        <v>49,26</v>
      </c>
      <c r="BH65" s="19" t="str">
        <f t="shared" si="275"/>
        <v>50,26</v>
      </c>
      <c r="BI65" s="19" t="str">
        <f t="shared" si="275"/>
        <v>51,26</v>
      </c>
      <c r="BJ65" s="19" t="str">
        <f t="shared" si="275"/>
        <v>52,26</v>
      </c>
      <c r="BK65" s="19" t="str">
        <f t="shared" si="275"/>
        <v>53,26</v>
      </c>
      <c r="BL65" s="19" t="str">
        <f t="shared" si="275"/>
        <v>54,26</v>
      </c>
      <c r="BM65" s="19" t="str">
        <f t="shared" si="275"/>
        <v>55,26</v>
      </c>
      <c r="BN65" s="19" t="str">
        <f t="shared" si="275"/>
        <v>56,26</v>
      </c>
      <c r="BO65" s="19" t="str">
        <f t="shared" si="276"/>
        <v>57,26</v>
      </c>
      <c r="BP65" s="19" t="str">
        <f t="shared" si="276"/>
        <v>58,26</v>
      </c>
      <c r="BQ65" s="19" t="str">
        <f t="shared" si="276"/>
        <v>59,26</v>
      </c>
      <c r="BR65" s="19" t="str">
        <f t="shared" si="276"/>
        <v>60,26</v>
      </c>
      <c r="BS65" s="19" t="str">
        <f t="shared" si="276"/>
        <v>61,26</v>
      </c>
      <c r="BT65" s="19" t="str">
        <f t="shared" si="276"/>
        <v>62,26</v>
      </c>
      <c r="BU65" s="19" t="str">
        <f t="shared" si="276"/>
        <v>63,26</v>
      </c>
      <c r="BV65" s="19" t="str">
        <f t="shared" si="276"/>
        <v>64,26</v>
      </c>
      <c r="BW65" s="19" t="str">
        <f t="shared" si="276"/>
        <v>65,26</v>
      </c>
      <c r="BX65" s="19" t="str">
        <f t="shared" si="276"/>
        <v>66,26</v>
      </c>
      <c r="BY65" s="19" t="str">
        <f t="shared" si="277"/>
        <v>67,26</v>
      </c>
      <c r="BZ65" s="19" t="str">
        <f t="shared" si="277"/>
        <v>68,26</v>
      </c>
      <c r="CA65" s="19" t="str">
        <f t="shared" si="277"/>
        <v>69,26</v>
      </c>
      <c r="CB65" s="19" t="str">
        <f t="shared" si="277"/>
        <v>70,26</v>
      </c>
      <c r="CC65" s="19" t="str">
        <f t="shared" si="277"/>
        <v>71,26</v>
      </c>
      <c r="CD65" s="19" t="str">
        <f t="shared" si="277"/>
        <v>72,26</v>
      </c>
      <c r="CE65" s="19" t="str">
        <f t="shared" si="277"/>
        <v>73,26</v>
      </c>
      <c r="CF65" s="19" t="str">
        <f t="shared" si="277"/>
        <v>74,26</v>
      </c>
      <c r="CG65" s="19" t="str">
        <f t="shared" si="277"/>
        <v>75,26</v>
      </c>
      <c r="CH65" s="19" t="str">
        <f t="shared" si="277"/>
        <v>76,26</v>
      </c>
      <c r="CI65" s="19" t="str">
        <f t="shared" si="278"/>
        <v>77,26</v>
      </c>
      <c r="CJ65" s="19" t="str">
        <f t="shared" si="278"/>
        <v>78,26</v>
      </c>
      <c r="CK65" s="19" t="str">
        <f t="shared" si="278"/>
        <v>79,26</v>
      </c>
      <c r="CL65" s="19" t="str">
        <f t="shared" si="278"/>
        <v>80,26</v>
      </c>
      <c r="CM65" s="19" t="str">
        <f t="shared" si="278"/>
        <v>81,26</v>
      </c>
      <c r="CN65" s="19" t="str">
        <f t="shared" si="278"/>
        <v>82,26</v>
      </c>
      <c r="CO65" s="19" t="str">
        <f t="shared" si="278"/>
        <v>83,26</v>
      </c>
      <c r="CP65" s="19" t="str">
        <f t="shared" si="278"/>
        <v>84,26</v>
      </c>
      <c r="CQ65" s="19" t="str">
        <f t="shared" si="278"/>
        <v>85,26</v>
      </c>
      <c r="CR65" s="19" t="str">
        <f t="shared" si="278"/>
        <v>86,26</v>
      </c>
      <c r="CS65" s="19" t="str">
        <f t="shared" si="279"/>
        <v>87,26</v>
      </c>
      <c r="CT65" s="19" t="str">
        <f t="shared" si="279"/>
        <v>88,26</v>
      </c>
      <c r="CU65" s="19" t="str">
        <f t="shared" si="279"/>
        <v>89,26</v>
      </c>
      <c r="CV65" s="19" t="str">
        <f t="shared" si="279"/>
        <v>90,26</v>
      </c>
      <c r="CW65" s="19" t="str">
        <f t="shared" si="279"/>
        <v>91,26</v>
      </c>
      <c r="CX65" s="19" t="str">
        <f t="shared" si="279"/>
        <v>92,26</v>
      </c>
      <c r="CY65" s="19" t="str">
        <f t="shared" si="279"/>
        <v>93,26</v>
      </c>
      <c r="CZ65" s="19" t="str">
        <f t="shared" si="279"/>
        <v>94,26</v>
      </c>
      <c r="DA65" s="19" t="str">
        <f t="shared" si="279"/>
        <v>95,26</v>
      </c>
      <c r="DB65" s="19" t="str">
        <f t="shared" si="279"/>
        <v>96,26</v>
      </c>
      <c r="DC65" s="19" t="str">
        <f t="shared" si="279"/>
        <v>97,26</v>
      </c>
      <c r="DD65" s="19" t="str">
        <f t="shared" si="279"/>
        <v>98,26</v>
      </c>
      <c r="DE65" s="19" t="str">
        <f t="shared" si="279"/>
        <v>99,26</v>
      </c>
      <c r="DF65" s="19" t="str">
        <f t="shared" si="279"/>
        <v>100,26</v>
      </c>
      <c r="DG65" s="16">
        <f t="shared" si="249"/>
        <v>26</v>
      </c>
      <c r="DH65" s="1"/>
      <c r="DI65" s="60">
        <v>1</v>
      </c>
      <c r="DJ65" s="60">
        <v>1</v>
      </c>
      <c r="DK65" s="60">
        <v>1</v>
      </c>
      <c r="DL65" s="60">
        <v>1</v>
      </c>
      <c r="DM65" s="60">
        <v>1</v>
      </c>
      <c r="DN65" s="60">
        <v>1</v>
      </c>
      <c r="DO65" s="60">
        <v>1</v>
      </c>
      <c r="DP65" s="60">
        <v>1</v>
      </c>
      <c r="DQ65" s="60">
        <v>1</v>
      </c>
      <c r="DR65" s="60">
        <v>1</v>
      </c>
      <c r="DS65" s="60">
        <v>1</v>
      </c>
      <c r="DT65" s="60">
        <v>1</v>
      </c>
      <c r="DU65" s="60">
        <v>1</v>
      </c>
      <c r="DV65" s="60">
        <v>1</v>
      </c>
      <c r="DW65" s="60">
        <v>1</v>
      </c>
      <c r="DX65" s="60">
        <v>1</v>
      </c>
      <c r="DY65" s="60">
        <v>1</v>
      </c>
      <c r="DZ65" s="60">
        <v>1</v>
      </c>
      <c r="EA65" s="60">
        <v>1</v>
      </c>
      <c r="EB65" s="60">
        <v>1</v>
      </c>
      <c r="EC65" s="60">
        <v>1</v>
      </c>
      <c r="ED65" s="60">
        <v>1</v>
      </c>
      <c r="EE65" s="60">
        <v>1</v>
      </c>
      <c r="EF65" s="60">
        <v>1</v>
      </c>
      <c r="EG65" s="60">
        <v>1</v>
      </c>
      <c r="EH65" s="60">
        <v>1</v>
      </c>
      <c r="EI65" s="60">
        <v>1</v>
      </c>
      <c r="EJ65" s="60">
        <v>1</v>
      </c>
      <c r="EK65" s="60">
        <v>1</v>
      </c>
      <c r="EL65" s="60">
        <v>1</v>
      </c>
      <c r="EM65" s="60">
        <v>1</v>
      </c>
      <c r="EN65" s="60">
        <v>1</v>
      </c>
      <c r="EO65" s="60">
        <v>1</v>
      </c>
      <c r="EP65" s="60">
        <v>1</v>
      </c>
      <c r="EQ65" s="60">
        <v>1</v>
      </c>
      <c r="ER65" s="60">
        <v>1</v>
      </c>
      <c r="ES65" s="60">
        <v>1</v>
      </c>
      <c r="ET65" s="60">
        <v>1</v>
      </c>
      <c r="EU65" s="60">
        <v>1</v>
      </c>
      <c r="EV65" s="60">
        <v>1</v>
      </c>
      <c r="EW65" s="60">
        <v>1</v>
      </c>
      <c r="EX65" s="60">
        <v>1</v>
      </c>
      <c r="EY65" s="60">
        <v>1</v>
      </c>
      <c r="EZ65" s="60">
        <v>1</v>
      </c>
      <c r="FA65" s="60">
        <v>1</v>
      </c>
      <c r="FB65" s="60">
        <v>1</v>
      </c>
      <c r="FC65" s="60">
        <v>1</v>
      </c>
      <c r="FD65" s="60">
        <v>1</v>
      </c>
      <c r="FE65" s="60">
        <v>1</v>
      </c>
      <c r="FF65" s="60">
        <v>-1</v>
      </c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1:256" ht="5.45" customHeight="1" x14ac:dyDescent="0.25">
      <c r="A66" s="1"/>
      <c r="B66" s="10">
        <f t="shared" si="270"/>
        <v>12</v>
      </c>
      <c r="C66" s="10">
        <v>0</v>
      </c>
      <c r="D66" s="10">
        <v>0</v>
      </c>
      <c r="E66" s="10">
        <v>10</v>
      </c>
      <c r="F66" s="27"/>
      <c r="G66" s="27" t="s">
        <v>45</v>
      </c>
      <c r="H66" s="1"/>
      <c r="I66" s="1"/>
      <c r="J66" s="16">
        <f>COLUMN()</f>
        <v>10</v>
      </c>
      <c r="K66" s="19" t="str">
        <f t="shared" si="271"/>
        <v>1,27</v>
      </c>
      <c r="L66" s="19" t="str">
        <f t="shared" si="271"/>
        <v>2,27</v>
      </c>
      <c r="M66" s="19" t="str">
        <f t="shared" si="271"/>
        <v>3,27</v>
      </c>
      <c r="N66" s="19" t="str">
        <f t="shared" si="271"/>
        <v>4,27</v>
      </c>
      <c r="O66" s="19" t="str">
        <f t="shared" si="271"/>
        <v>5,27</v>
      </c>
      <c r="P66" s="19" t="str">
        <f t="shared" si="271"/>
        <v>6,27</v>
      </c>
      <c r="Q66" s="19" t="str">
        <f t="shared" si="271"/>
        <v>7,27</v>
      </c>
      <c r="R66" s="19" t="str">
        <f t="shared" si="271"/>
        <v>8,27</v>
      </c>
      <c r="S66" s="19" t="str">
        <f t="shared" si="271"/>
        <v>9,27</v>
      </c>
      <c r="T66" s="19" t="str">
        <f t="shared" si="271"/>
        <v>10,27</v>
      </c>
      <c r="U66" s="19" t="str">
        <f t="shared" si="272"/>
        <v>11,27</v>
      </c>
      <c r="V66" s="19" t="str">
        <f t="shared" si="272"/>
        <v>12,27</v>
      </c>
      <c r="W66" s="19" t="str">
        <f t="shared" si="272"/>
        <v>13,27</v>
      </c>
      <c r="X66" s="19" t="str">
        <f t="shared" si="272"/>
        <v>14,27</v>
      </c>
      <c r="Y66" s="19" t="str">
        <f t="shared" si="272"/>
        <v>15,27</v>
      </c>
      <c r="Z66" s="19" t="str">
        <f t="shared" si="272"/>
        <v>16,27</v>
      </c>
      <c r="AA66" s="19" t="str">
        <f t="shared" si="272"/>
        <v>17,27</v>
      </c>
      <c r="AB66" s="19" t="str">
        <f t="shared" si="272"/>
        <v>18,27</v>
      </c>
      <c r="AC66" s="19" t="str">
        <f t="shared" si="272"/>
        <v>19,27</v>
      </c>
      <c r="AD66" s="19" t="str">
        <f t="shared" si="272"/>
        <v>20,27</v>
      </c>
      <c r="AE66" s="19" t="str">
        <f t="shared" si="273"/>
        <v>21,27</v>
      </c>
      <c r="AF66" s="19" t="str">
        <f t="shared" si="273"/>
        <v>22,27</v>
      </c>
      <c r="AG66" s="19" t="str">
        <f t="shared" si="273"/>
        <v>23,27</v>
      </c>
      <c r="AH66" s="19" t="str">
        <f t="shared" si="273"/>
        <v>24,27</v>
      </c>
      <c r="AI66" s="19" t="str">
        <f t="shared" si="273"/>
        <v>25,27</v>
      </c>
      <c r="AJ66" s="19" t="str">
        <f t="shared" si="273"/>
        <v>26,27</v>
      </c>
      <c r="AK66" s="19" t="str">
        <f t="shared" si="273"/>
        <v>27,27</v>
      </c>
      <c r="AL66" s="19" t="str">
        <f t="shared" si="273"/>
        <v>28,27</v>
      </c>
      <c r="AM66" s="19" t="str">
        <f t="shared" si="273"/>
        <v>29,27</v>
      </c>
      <c r="AN66" s="19" t="str">
        <f t="shared" si="273"/>
        <v>30,27</v>
      </c>
      <c r="AO66" s="19" t="str">
        <f t="shared" si="273"/>
        <v>31,27</v>
      </c>
      <c r="AP66" s="19" t="str">
        <f t="shared" si="273"/>
        <v>32,27</v>
      </c>
      <c r="AQ66" s="19" t="str">
        <f t="shared" si="273"/>
        <v>33,27</v>
      </c>
      <c r="AR66" s="19" t="str">
        <f t="shared" si="273"/>
        <v>34,27</v>
      </c>
      <c r="AS66" s="19" t="str">
        <f t="shared" si="273"/>
        <v>35,27</v>
      </c>
      <c r="AT66" s="19" t="str">
        <f t="shared" si="259"/>
        <v>36,27</v>
      </c>
      <c r="AU66" s="19" t="str">
        <f t="shared" si="274"/>
        <v>37,27</v>
      </c>
      <c r="AV66" s="19" t="str">
        <f t="shared" si="274"/>
        <v>38,27</v>
      </c>
      <c r="AW66" s="19" t="str">
        <f t="shared" si="274"/>
        <v>39,27</v>
      </c>
      <c r="AX66" s="19" t="str">
        <f t="shared" si="274"/>
        <v>40,27</v>
      </c>
      <c r="AY66" s="19" t="str">
        <f t="shared" si="274"/>
        <v>41,27</v>
      </c>
      <c r="AZ66" s="19" t="str">
        <f t="shared" si="274"/>
        <v>42,27</v>
      </c>
      <c r="BA66" s="19" t="str">
        <f t="shared" si="274"/>
        <v>43,27</v>
      </c>
      <c r="BB66" s="19" t="str">
        <f t="shared" si="274"/>
        <v>44,27</v>
      </c>
      <c r="BC66" s="19" t="str">
        <f t="shared" si="274"/>
        <v>45,27</v>
      </c>
      <c r="BD66" s="19" t="str">
        <f t="shared" si="274"/>
        <v>46,27</v>
      </c>
      <c r="BE66" s="19" t="str">
        <f t="shared" si="275"/>
        <v>47,27</v>
      </c>
      <c r="BF66" s="19" t="str">
        <f t="shared" si="275"/>
        <v>48,27</v>
      </c>
      <c r="BG66" s="19" t="str">
        <f t="shared" si="275"/>
        <v>49,27</v>
      </c>
      <c r="BH66" s="19" t="str">
        <f t="shared" si="275"/>
        <v>50,27</v>
      </c>
      <c r="BI66" s="19" t="str">
        <f t="shared" si="275"/>
        <v>51,27</v>
      </c>
      <c r="BJ66" s="19" t="str">
        <f t="shared" si="275"/>
        <v>52,27</v>
      </c>
      <c r="BK66" s="19" t="str">
        <f t="shared" si="275"/>
        <v>53,27</v>
      </c>
      <c r="BL66" s="19" t="str">
        <f t="shared" si="275"/>
        <v>54,27</v>
      </c>
      <c r="BM66" s="19" t="str">
        <f t="shared" si="275"/>
        <v>55,27</v>
      </c>
      <c r="BN66" s="19" t="str">
        <f t="shared" si="275"/>
        <v>56,27</v>
      </c>
      <c r="BO66" s="19" t="str">
        <f t="shared" si="276"/>
        <v>57,27</v>
      </c>
      <c r="BP66" s="19" t="str">
        <f t="shared" si="276"/>
        <v>58,27</v>
      </c>
      <c r="BQ66" s="19" t="str">
        <f t="shared" si="276"/>
        <v>59,27</v>
      </c>
      <c r="BR66" s="19" t="str">
        <f t="shared" si="276"/>
        <v>60,27</v>
      </c>
      <c r="BS66" s="19" t="str">
        <f t="shared" si="276"/>
        <v>61,27</v>
      </c>
      <c r="BT66" s="19" t="str">
        <f t="shared" si="276"/>
        <v>62,27</v>
      </c>
      <c r="BU66" s="19" t="str">
        <f t="shared" si="276"/>
        <v>63,27</v>
      </c>
      <c r="BV66" s="19" t="str">
        <f t="shared" si="276"/>
        <v>64,27</v>
      </c>
      <c r="BW66" s="19" t="str">
        <f t="shared" si="276"/>
        <v>65,27</v>
      </c>
      <c r="BX66" s="19" t="str">
        <f t="shared" si="276"/>
        <v>66,27</v>
      </c>
      <c r="BY66" s="19" t="str">
        <f t="shared" si="277"/>
        <v>67,27</v>
      </c>
      <c r="BZ66" s="19" t="str">
        <f t="shared" si="277"/>
        <v>68,27</v>
      </c>
      <c r="CA66" s="19" t="str">
        <f t="shared" si="277"/>
        <v>69,27</v>
      </c>
      <c r="CB66" s="19" t="str">
        <f t="shared" si="277"/>
        <v>70,27</v>
      </c>
      <c r="CC66" s="19" t="str">
        <f t="shared" si="277"/>
        <v>71,27</v>
      </c>
      <c r="CD66" s="19" t="str">
        <f t="shared" si="277"/>
        <v>72,27</v>
      </c>
      <c r="CE66" s="19" t="str">
        <f t="shared" si="277"/>
        <v>73,27</v>
      </c>
      <c r="CF66" s="19" t="str">
        <f t="shared" si="277"/>
        <v>74,27</v>
      </c>
      <c r="CG66" s="19" t="str">
        <f t="shared" si="277"/>
        <v>75,27</v>
      </c>
      <c r="CH66" s="19" t="str">
        <f t="shared" si="277"/>
        <v>76,27</v>
      </c>
      <c r="CI66" s="19" t="str">
        <f t="shared" si="278"/>
        <v>77,27</v>
      </c>
      <c r="CJ66" s="19" t="str">
        <f t="shared" si="278"/>
        <v>78,27</v>
      </c>
      <c r="CK66" s="19" t="str">
        <f t="shared" si="278"/>
        <v>79,27</v>
      </c>
      <c r="CL66" s="19" t="str">
        <f t="shared" si="278"/>
        <v>80,27</v>
      </c>
      <c r="CM66" s="19" t="str">
        <f t="shared" si="278"/>
        <v>81,27</v>
      </c>
      <c r="CN66" s="19" t="str">
        <f t="shared" si="278"/>
        <v>82,27</v>
      </c>
      <c r="CO66" s="19" t="str">
        <f t="shared" si="278"/>
        <v>83,27</v>
      </c>
      <c r="CP66" s="19" t="str">
        <f t="shared" si="278"/>
        <v>84,27</v>
      </c>
      <c r="CQ66" s="19" t="str">
        <f t="shared" si="278"/>
        <v>85,27</v>
      </c>
      <c r="CR66" s="19" t="str">
        <f t="shared" si="278"/>
        <v>86,27</v>
      </c>
      <c r="CS66" s="19" t="str">
        <f t="shared" si="279"/>
        <v>87,27</v>
      </c>
      <c r="CT66" s="19" t="str">
        <f t="shared" si="279"/>
        <v>88,27</v>
      </c>
      <c r="CU66" s="19" t="str">
        <f t="shared" si="279"/>
        <v>89,27</v>
      </c>
      <c r="CV66" s="19" t="str">
        <f t="shared" si="279"/>
        <v>90,27</v>
      </c>
      <c r="CW66" s="19" t="str">
        <f t="shared" si="279"/>
        <v>91,27</v>
      </c>
      <c r="CX66" s="19" t="str">
        <f t="shared" si="279"/>
        <v>92,27</v>
      </c>
      <c r="CY66" s="19" t="str">
        <f t="shared" si="279"/>
        <v>93,27</v>
      </c>
      <c r="CZ66" s="19" t="str">
        <f t="shared" si="279"/>
        <v>94,27</v>
      </c>
      <c r="DA66" s="19" t="str">
        <f t="shared" si="279"/>
        <v>95,27</v>
      </c>
      <c r="DB66" s="19" t="str">
        <f t="shared" si="279"/>
        <v>96,27</v>
      </c>
      <c r="DC66" s="19" t="str">
        <f t="shared" si="279"/>
        <v>97,27</v>
      </c>
      <c r="DD66" s="19" t="str">
        <f t="shared" si="279"/>
        <v>98,27</v>
      </c>
      <c r="DE66" s="19" t="str">
        <f t="shared" si="279"/>
        <v>99,27</v>
      </c>
      <c r="DF66" s="19" t="str">
        <f t="shared" si="279"/>
        <v>100,27</v>
      </c>
      <c r="DG66" s="16">
        <f t="shared" si="249"/>
        <v>27</v>
      </c>
      <c r="DH66" s="1"/>
      <c r="DI66" s="60">
        <v>1</v>
      </c>
      <c r="DJ66" s="60">
        <v>1</v>
      </c>
      <c r="DK66" s="60">
        <v>1</v>
      </c>
      <c r="DL66" s="60">
        <v>1</v>
      </c>
      <c r="DM66" s="60">
        <v>1</v>
      </c>
      <c r="DN66" s="60">
        <v>1</v>
      </c>
      <c r="DO66" s="60">
        <v>1</v>
      </c>
      <c r="DP66" s="60">
        <v>1</v>
      </c>
      <c r="DQ66" s="60">
        <v>1</v>
      </c>
      <c r="DR66" s="60">
        <v>1</v>
      </c>
      <c r="DS66" s="60">
        <v>1</v>
      </c>
      <c r="DT66" s="60">
        <v>1</v>
      </c>
      <c r="DU66" s="60">
        <v>1</v>
      </c>
      <c r="DV66" s="60">
        <v>1</v>
      </c>
      <c r="DW66" s="60">
        <v>1</v>
      </c>
      <c r="DX66" s="60">
        <v>1</v>
      </c>
      <c r="DY66" s="60">
        <v>1</v>
      </c>
      <c r="DZ66" s="60">
        <v>1</v>
      </c>
      <c r="EA66" s="60">
        <v>1</v>
      </c>
      <c r="EB66" s="60">
        <v>1</v>
      </c>
      <c r="EC66" s="60">
        <v>1</v>
      </c>
      <c r="ED66" s="60">
        <v>1</v>
      </c>
      <c r="EE66" s="60">
        <v>1</v>
      </c>
      <c r="EF66" s="60">
        <v>1</v>
      </c>
      <c r="EG66" s="60">
        <v>1</v>
      </c>
      <c r="EH66" s="60">
        <v>1</v>
      </c>
      <c r="EI66" s="60">
        <v>1</v>
      </c>
      <c r="EJ66" s="60">
        <v>1</v>
      </c>
      <c r="EK66" s="60">
        <v>1</v>
      </c>
      <c r="EL66" s="60">
        <v>1</v>
      </c>
      <c r="EM66" s="60">
        <v>1</v>
      </c>
      <c r="EN66" s="60">
        <v>1</v>
      </c>
      <c r="EO66" s="60">
        <v>1</v>
      </c>
      <c r="EP66" s="60">
        <v>1</v>
      </c>
      <c r="EQ66" s="60">
        <v>1</v>
      </c>
      <c r="ER66" s="60">
        <v>1</v>
      </c>
      <c r="ES66" s="60">
        <v>1</v>
      </c>
      <c r="ET66" s="60">
        <v>1</v>
      </c>
      <c r="EU66" s="60">
        <v>1</v>
      </c>
      <c r="EV66" s="60">
        <v>1</v>
      </c>
      <c r="EW66" s="60">
        <v>1</v>
      </c>
      <c r="EX66" s="60">
        <v>1</v>
      </c>
      <c r="EY66" s="60">
        <v>1</v>
      </c>
      <c r="EZ66" s="60">
        <v>1</v>
      </c>
      <c r="FA66" s="60">
        <v>1</v>
      </c>
      <c r="FB66" s="60">
        <v>1</v>
      </c>
      <c r="FC66" s="60">
        <v>1</v>
      </c>
      <c r="FD66" s="60">
        <v>1</v>
      </c>
      <c r="FE66" s="60">
        <v>1</v>
      </c>
      <c r="FF66" s="60">
        <v>-1</v>
      </c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1:256" ht="5.45" customHeight="1" x14ac:dyDescent="0.25">
      <c r="A67" s="1"/>
      <c r="B67" s="10">
        <f t="shared" si="270"/>
        <v>13</v>
      </c>
      <c r="C67" s="10">
        <v>0</v>
      </c>
      <c r="D67" s="10">
        <v>0</v>
      </c>
      <c r="E67" s="10">
        <v>10</v>
      </c>
      <c r="F67" s="27"/>
      <c r="G67" s="27" t="s">
        <v>45</v>
      </c>
      <c r="H67" s="1"/>
      <c r="I67" s="1"/>
      <c r="J67" s="16">
        <f>COLUMN()</f>
        <v>10</v>
      </c>
      <c r="K67" s="19" t="str">
        <f t="shared" si="271"/>
        <v>1,28</v>
      </c>
      <c r="L67" s="19" t="str">
        <f t="shared" si="271"/>
        <v>2,28</v>
      </c>
      <c r="M67" s="19" t="str">
        <f t="shared" si="271"/>
        <v>3,28</v>
      </c>
      <c r="N67" s="19" t="str">
        <f t="shared" si="271"/>
        <v>4,28</v>
      </c>
      <c r="O67" s="19" t="str">
        <f t="shared" si="271"/>
        <v>5,28</v>
      </c>
      <c r="P67" s="19" t="str">
        <f t="shared" si="271"/>
        <v>6,28</v>
      </c>
      <c r="Q67" s="19" t="str">
        <f t="shared" si="271"/>
        <v>7,28</v>
      </c>
      <c r="R67" s="19" t="str">
        <f t="shared" si="271"/>
        <v>8,28</v>
      </c>
      <c r="S67" s="19" t="str">
        <f t="shared" si="271"/>
        <v>9,28</v>
      </c>
      <c r="T67" s="19" t="str">
        <f t="shared" si="271"/>
        <v>10,28</v>
      </c>
      <c r="U67" s="19" t="str">
        <f t="shared" si="272"/>
        <v>11,28</v>
      </c>
      <c r="V67" s="19" t="str">
        <f t="shared" si="272"/>
        <v>12,28</v>
      </c>
      <c r="W67" s="19" t="str">
        <f t="shared" si="272"/>
        <v>13,28</v>
      </c>
      <c r="X67" s="19" t="str">
        <f t="shared" si="272"/>
        <v>14,28</v>
      </c>
      <c r="Y67" s="19" t="str">
        <f t="shared" si="272"/>
        <v>15,28</v>
      </c>
      <c r="Z67" s="19" t="str">
        <f t="shared" si="272"/>
        <v>16,28</v>
      </c>
      <c r="AA67" s="19" t="str">
        <f t="shared" si="272"/>
        <v>17,28</v>
      </c>
      <c r="AB67" s="19" t="str">
        <f t="shared" si="272"/>
        <v>18,28</v>
      </c>
      <c r="AC67" s="19" t="str">
        <f t="shared" si="272"/>
        <v>19,28</v>
      </c>
      <c r="AD67" s="19" t="str">
        <f t="shared" si="272"/>
        <v>20,28</v>
      </c>
      <c r="AE67" s="19" t="str">
        <f t="shared" si="273"/>
        <v>21,28</v>
      </c>
      <c r="AF67" s="19" t="str">
        <f t="shared" si="273"/>
        <v>22,28</v>
      </c>
      <c r="AG67" s="19" t="str">
        <f t="shared" si="273"/>
        <v>23,28</v>
      </c>
      <c r="AH67" s="19" t="str">
        <f t="shared" si="273"/>
        <v>24,28</v>
      </c>
      <c r="AI67" s="19" t="str">
        <f t="shared" si="273"/>
        <v>25,28</v>
      </c>
      <c r="AJ67" s="19" t="str">
        <f t="shared" si="273"/>
        <v>26,28</v>
      </c>
      <c r="AK67" s="19" t="str">
        <f t="shared" si="273"/>
        <v>27,28</v>
      </c>
      <c r="AL67" s="19" t="str">
        <f t="shared" si="273"/>
        <v>28,28</v>
      </c>
      <c r="AM67" s="19" t="str">
        <f t="shared" si="273"/>
        <v>29,28</v>
      </c>
      <c r="AN67" s="19" t="str">
        <f t="shared" si="273"/>
        <v>30,28</v>
      </c>
      <c r="AO67" s="19" t="str">
        <f t="shared" si="273"/>
        <v>31,28</v>
      </c>
      <c r="AP67" s="19" t="str">
        <f t="shared" si="273"/>
        <v>32,28</v>
      </c>
      <c r="AQ67" s="19" t="str">
        <f t="shared" si="273"/>
        <v>33,28</v>
      </c>
      <c r="AR67" s="19" t="str">
        <f t="shared" si="273"/>
        <v>34,28</v>
      </c>
      <c r="AS67" s="19" t="str">
        <f t="shared" si="273"/>
        <v>35,28</v>
      </c>
      <c r="AT67" s="19" t="str">
        <f t="shared" si="259"/>
        <v>36,28</v>
      </c>
      <c r="AU67" s="19" t="str">
        <f t="shared" si="274"/>
        <v>37,28</v>
      </c>
      <c r="AV67" s="19" t="str">
        <f t="shared" si="274"/>
        <v>38,28</v>
      </c>
      <c r="AW67" s="19" t="str">
        <f t="shared" si="274"/>
        <v>39,28</v>
      </c>
      <c r="AX67" s="19" t="str">
        <f t="shared" si="274"/>
        <v>40,28</v>
      </c>
      <c r="AY67" s="19" t="str">
        <f t="shared" si="274"/>
        <v>41,28</v>
      </c>
      <c r="AZ67" s="19" t="str">
        <f t="shared" si="274"/>
        <v>42,28</v>
      </c>
      <c r="BA67" s="19" t="str">
        <f t="shared" si="274"/>
        <v>43,28</v>
      </c>
      <c r="BB67" s="19" t="str">
        <f t="shared" si="274"/>
        <v>44,28</v>
      </c>
      <c r="BC67" s="19" t="str">
        <f t="shared" si="274"/>
        <v>45,28</v>
      </c>
      <c r="BD67" s="19" t="str">
        <f t="shared" si="274"/>
        <v>46,28</v>
      </c>
      <c r="BE67" s="19" t="str">
        <f t="shared" si="275"/>
        <v>47,28</v>
      </c>
      <c r="BF67" s="19" t="str">
        <f t="shared" si="275"/>
        <v>48,28</v>
      </c>
      <c r="BG67" s="19" t="str">
        <f t="shared" si="275"/>
        <v>49,28</v>
      </c>
      <c r="BH67" s="19" t="str">
        <f t="shared" si="275"/>
        <v>50,28</v>
      </c>
      <c r="BI67" s="19" t="str">
        <f t="shared" si="275"/>
        <v>51,28</v>
      </c>
      <c r="BJ67" s="19" t="str">
        <f t="shared" si="275"/>
        <v>52,28</v>
      </c>
      <c r="BK67" s="19" t="str">
        <f t="shared" si="275"/>
        <v>53,28</v>
      </c>
      <c r="BL67" s="19" t="str">
        <f t="shared" si="275"/>
        <v>54,28</v>
      </c>
      <c r="BM67" s="19" t="str">
        <f t="shared" si="275"/>
        <v>55,28</v>
      </c>
      <c r="BN67" s="19" t="str">
        <f t="shared" si="275"/>
        <v>56,28</v>
      </c>
      <c r="BO67" s="19" t="str">
        <f t="shared" si="276"/>
        <v>57,28</v>
      </c>
      <c r="BP67" s="19" t="str">
        <f t="shared" si="276"/>
        <v>58,28</v>
      </c>
      <c r="BQ67" s="19" t="str">
        <f t="shared" si="276"/>
        <v>59,28</v>
      </c>
      <c r="BR67" s="19" t="str">
        <f t="shared" si="276"/>
        <v>60,28</v>
      </c>
      <c r="BS67" s="19" t="str">
        <f t="shared" si="276"/>
        <v>61,28</v>
      </c>
      <c r="BT67" s="19" t="str">
        <f t="shared" si="276"/>
        <v>62,28</v>
      </c>
      <c r="BU67" s="19" t="str">
        <f t="shared" si="276"/>
        <v>63,28</v>
      </c>
      <c r="BV67" s="19" t="str">
        <f t="shared" si="276"/>
        <v>64,28</v>
      </c>
      <c r="BW67" s="19" t="str">
        <f t="shared" si="276"/>
        <v>65,28</v>
      </c>
      <c r="BX67" s="19" t="str">
        <f t="shared" si="276"/>
        <v>66,28</v>
      </c>
      <c r="BY67" s="19" t="str">
        <f t="shared" si="277"/>
        <v>67,28</v>
      </c>
      <c r="BZ67" s="19" t="str">
        <f t="shared" si="277"/>
        <v>68,28</v>
      </c>
      <c r="CA67" s="19" t="str">
        <f t="shared" si="277"/>
        <v>69,28</v>
      </c>
      <c r="CB67" s="19" t="str">
        <f t="shared" si="277"/>
        <v>70,28</v>
      </c>
      <c r="CC67" s="19" t="str">
        <f t="shared" si="277"/>
        <v>71,28</v>
      </c>
      <c r="CD67" s="19" t="str">
        <f t="shared" si="277"/>
        <v>72,28</v>
      </c>
      <c r="CE67" s="19" t="str">
        <f t="shared" si="277"/>
        <v>73,28</v>
      </c>
      <c r="CF67" s="19" t="str">
        <f t="shared" si="277"/>
        <v>74,28</v>
      </c>
      <c r="CG67" s="19" t="str">
        <f t="shared" si="277"/>
        <v>75,28</v>
      </c>
      <c r="CH67" s="19" t="str">
        <f t="shared" si="277"/>
        <v>76,28</v>
      </c>
      <c r="CI67" s="19" t="str">
        <f t="shared" si="278"/>
        <v>77,28</v>
      </c>
      <c r="CJ67" s="19" t="str">
        <f t="shared" si="278"/>
        <v>78,28</v>
      </c>
      <c r="CK67" s="19" t="str">
        <f t="shared" si="278"/>
        <v>79,28</v>
      </c>
      <c r="CL67" s="19" t="str">
        <f t="shared" si="278"/>
        <v>80,28</v>
      </c>
      <c r="CM67" s="19" t="str">
        <f t="shared" si="278"/>
        <v>81,28</v>
      </c>
      <c r="CN67" s="19" t="str">
        <f t="shared" si="278"/>
        <v>82,28</v>
      </c>
      <c r="CO67" s="19" t="str">
        <f t="shared" si="278"/>
        <v>83,28</v>
      </c>
      <c r="CP67" s="19" t="str">
        <f t="shared" si="278"/>
        <v>84,28</v>
      </c>
      <c r="CQ67" s="19" t="str">
        <f t="shared" si="278"/>
        <v>85,28</v>
      </c>
      <c r="CR67" s="19" t="str">
        <f t="shared" si="278"/>
        <v>86,28</v>
      </c>
      <c r="CS67" s="19" t="str">
        <f t="shared" si="279"/>
        <v>87,28</v>
      </c>
      <c r="CT67" s="19" t="str">
        <f t="shared" si="279"/>
        <v>88,28</v>
      </c>
      <c r="CU67" s="19" t="str">
        <f t="shared" si="279"/>
        <v>89,28</v>
      </c>
      <c r="CV67" s="19" t="str">
        <f t="shared" si="279"/>
        <v>90,28</v>
      </c>
      <c r="CW67" s="19" t="str">
        <f t="shared" si="279"/>
        <v>91,28</v>
      </c>
      <c r="CX67" s="19" t="str">
        <f t="shared" si="279"/>
        <v>92,28</v>
      </c>
      <c r="CY67" s="19" t="str">
        <f t="shared" si="279"/>
        <v>93,28</v>
      </c>
      <c r="CZ67" s="19" t="str">
        <f t="shared" si="279"/>
        <v>94,28</v>
      </c>
      <c r="DA67" s="19" t="str">
        <f t="shared" si="279"/>
        <v>95,28</v>
      </c>
      <c r="DB67" s="19" t="str">
        <f t="shared" si="279"/>
        <v>96,28</v>
      </c>
      <c r="DC67" s="19" t="str">
        <f t="shared" si="279"/>
        <v>97,28</v>
      </c>
      <c r="DD67" s="19" t="str">
        <f t="shared" si="279"/>
        <v>98,28</v>
      </c>
      <c r="DE67" s="19" t="str">
        <f t="shared" si="279"/>
        <v>99,28</v>
      </c>
      <c r="DF67" s="19" t="str">
        <f t="shared" si="279"/>
        <v>100,28</v>
      </c>
      <c r="DG67" s="16">
        <f t="shared" si="249"/>
        <v>28</v>
      </c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1:256" ht="5.45" customHeight="1" x14ac:dyDescent="0.25">
      <c r="A68" s="1"/>
      <c r="B68" s="10">
        <f t="shared" si="270"/>
        <v>14</v>
      </c>
      <c r="C68" s="10">
        <v>0</v>
      </c>
      <c r="D68" s="10">
        <v>0</v>
      </c>
      <c r="E68" s="10">
        <v>10</v>
      </c>
      <c r="F68" s="27"/>
      <c r="G68" s="27" t="s">
        <v>45</v>
      </c>
      <c r="H68" s="1"/>
      <c r="I68" s="1"/>
      <c r="J68" s="16">
        <f>COLUMN()</f>
        <v>10</v>
      </c>
      <c r="K68" s="19" t="str">
        <f t="shared" si="271"/>
        <v>1,29</v>
      </c>
      <c r="L68" s="19" t="str">
        <f t="shared" si="271"/>
        <v>2,29</v>
      </c>
      <c r="M68" s="19" t="str">
        <f t="shared" si="271"/>
        <v>3,29</v>
      </c>
      <c r="N68" s="19" t="str">
        <f t="shared" si="271"/>
        <v>4,29</v>
      </c>
      <c r="O68" s="19" t="str">
        <f t="shared" si="271"/>
        <v>5,29</v>
      </c>
      <c r="P68" s="19" t="str">
        <f t="shared" si="271"/>
        <v>6,29</v>
      </c>
      <c r="Q68" s="19" t="str">
        <f t="shared" si="271"/>
        <v>7,29</v>
      </c>
      <c r="R68" s="19" t="str">
        <f t="shared" si="271"/>
        <v>8,29</v>
      </c>
      <c r="S68" s="19" t="str">
        <f t="shared" si="271"/>
        <v>9,29</v>
      </c>
      <c r="T68" s="19" t="str">
        <f t="shared" si="271"/>
        <v>10,29</v>
      </c>
      <c r="U68" s="19" t="str">
        <f t="shared" si="272"/>
        <v>11,29</v>
      </c>
      <c r="V68" s="19" t="str">
        <f t="shared" si="272"/>
        <v>12,29</v>
      </c>
      <c r="W68" s="19" t="str">
        <f t="shared" si="272"/>
        <v>13,29</v>
      </c>
      <c r="X68" s="19" t="str">
        <f t="shared" si="272"/>
        <v>14,29</v>
      </c>
      <c r="Y68" s="19" t="str">
        <f t="shared" si="272"/>
        <v>15,29</v>
      </c>
      <c r="Z68" s="19" t="str">
        <f t="shared" si="272"/>
        <v>16,29</v>
      </c>
      <c r="AA68" s="19" t="str">
        <f t="shared" si="272"/>
        <v>17,29</v>
      </c>
      <c r="AB68" s="19" t="str">
        <f t="shared" si="272"/>
        <v>18,29</v>
      </c>
      <c r="AC68" s="19" t="str">
        <f t="shared" si="272"/>
        <v>19,29</v>
      </c>
      <c r="AD68" s="19" t="str">
        <f t="shared" si="272"/>
        <v>20,29</v>
      </c>
      <c r="AE68" s="19" t="str">
        <f t="shared" si="273"/>
        <v>21,29</v>
      </c>
      <c r="AF68" s="19" t="str">
        <f t="shared" si="273"/>
        <v>22,29</v>
      </c>
      <c r="AG68" s="19" t="str">
        <f t="shared" si="273"/>
        <v>23,29</v>
      </c>
      <c r="AH68" s="19" t="str">
        <f t="shared" si="273"/>
        <v>24,29</v>
      </c>
      <c r="AI68" s="19" t="str">
        <f t="shared" si="273"/>
        <v>25,29</v>
      </c>
      <c r="AJ68" s="19" t="str">
        <f t="shared" si="273"/>
        <v>26,29</v>
      </c>
      <c r="AK68" s="19" t="str">
        <f t="shared" si="273"/>
        <v>27,29</v>
      </c>
      <c r="AL68" s="19" t="str">
        <f t="shared" si="273"/>
        <v>28,29</v>
      </c>
      <c r="AM68" s="19" t="str">
        <f t="shared" si="273"/>
        <v>29,29</v>
      </c>
      <c r="AN68" s="19" t="str">
        <f t="shared" si="273"/>
        <v>30,29</v>
      </c>
      <c r="AO68" s="19" t="str">
        <f t="shared" si="273"/>
        <v>31,29</v>
      </c>
      <c r="AP68" s="19" t="str">
        <f t="shared" si="273"/>
        <v>32,29</v>
      </c>
      <c r="AQ68" s="19" t="str">
        <f t="shared" si="273"/>
        <v>33,29</v>
      </c>
      <c r="AR68" s="19" t="str">
        <f t="shared" si="273"/>
        <v>34,29</v>
      </c>
      <c r="AS68" s="19" t="str">
        <f t="shared" si="273"/>
        <v>35,29</v>
      </c>
      <c r="AT68" s="19" t="str">
        <f t="shared" si="259"/>
        <v>36,29</v>
      </c>
      <c r="AU68" s="19" t="str">
        <f t="shared" si="274"/>
        <v>37,29</v>
      </c>
      <c r="AV68" s="19" t="str">
        <f t="shared" si="274"/>
        <v>38,29</v>
      </c>
      <c r="AW68" s="19" t="str">
        <f t="shared" si="274"/>
        <v>39,29</v>
      </c>
      <c r="AX68" s="19" t="str">
        <f t="shared" si="274"/>
        <v>40,29</v>
      </c>
      <c r="AY68" s="19" t="str">
        <f t="shared" si="274"/>
        <v>41,29</v>
      </c>
      <c r="AZ68" s="19" t="str">
        <f t="shared" si="274"/>
        <v>42,29</v>
      </c>
      <c r="BA68" s="19" t="str">
        <f t="shared" si="274"/>
        <v>43,29</v>
      </c>
      <c r="BB68" s="19" t="str">
        <f t="shared" si="274"/>
        <v>44,29</v>
      </c>
      <c r="BC68" s="19" t="str">
        <f t="shared" si="274"/>
        <v>45,29</v>
      </c>
      <c r="BD68" s="19" t="str">
        <f t="shared" si="274"/>
        <v>46,29</v>
      </c>
      <c r="BE68" s="19" t="str">
        <f t="shared" si="275"/>
        <v>47,29</v>
      </c>
      <c r="BF68" s="19" t="str">
        <f t="shared" si="275"/>
        <v>48,29</v>
      </c>
      <c r="BG68" s="19" t="str">
        <f t="shared" si="275"/>
        <v>49,29</v>
      </c>
      <c r="BH68" s="19" t="str">
        <f t="shared" si="275"/>
        <v>50,29</v>
      </c>
      <c r="BI68" s="19" t="str">
        <f t="shared" si="275"/>
        <v>51,29</v>
      </c>
      <c r="BJ68" s="19" t="str">
        <f t="shared" si="275"/>
        <v>52,29</v>
      </c>
      <c r="BK68" s="19" t="str">
        <f t="shared" si="275"/>
        <v>53,29</v>
      </c>
      <c r="BL68" s="19" t="str">
        <f t="shared" si="275"/>
        <v>54,29</v>
      </c>
      <c r="BM68" s="19" t="str">
        <f t="shared" si="275"/>
        <v>55,29</v>
      </c>
      <c r="BN68" s="19" t="str">
        <f t="shared" si="275"/>
        <v>56,29</v>
      </c>
      <c r="BO68" s="19" t="str">
        <f t="shared" si="276"/>
        <v>57,29</v>
      </c>
      <c r="BP68" s="19" t="str">
        <f t="shared" si="276"/>
        <v>58,29</v>
      </c>
      <c r="BQ68" s="19" t="str">
        <f t="shared" si="276"/>
        <v>59,29</v>
      </c>
      <c r="BR68" s="19" t="str">
        <f t="shared" si="276"/>
        <v>60,29</v>
      </c>
      <c r="BS68" s="19" t="str">
        <f t="shared" si="276"/>
        <v>61,29</v>
      </c>
      <c r="BT68" s="19" t="str">
        <f t="shared" si="276"/>
        <v>62,29</v>
      </c>
      <c r="BU68" s="19" t="str">
        <f t="shared" si="276"/>
        <v>63,29</v>
      </c>
      <c r="BV68" s="19" t="str">
        <f t="shared" si="276"/>
        <v>64,29</v>
      </c>
      <c r="BW68" s="19" t="str">
        <f t="shared" si="276"/>
        <v>65,29</v>
      </c>
      <c r="BX68" s="19" t="str">
        <f t="shared" si="276"/>
        <v>66,29</v>
      </c>
      <c r="BY68" s="19" t="str">
        <f t="shared" si="277"/>
        <v>67,29</v>
      </c>
      <c r="BZ68" s="19" t="str">
        <f t="shared" si="277"/>
        <v>68,29</v>
      </c>
      <c r="CA68" s="19" t="str">
        <f t="shared" si="277"/>
        <v>69,29</v>
      </c>
      <c r="CB68" s="19" t="str">
        <f t="shared" si="277"/>
        <v>70,29</v>
      </c>
      <c r="CC68" s="19" t="str">
        <f t="shared" si="277"/>
        <v>71,29</v>
      </c>
      <c r="CD68" s="19" t="str">
        <f t="shared" si="277"/>
        <v>72,29</v>
      </c>
      <c r="CE68" s="19" t="str">
        <f t="shared" si="277"/>
        <v>73,29</v>
      </c>
      <c r="CF68" s="19" t="str">
        <f t="shared" si="277"/>
        <v>74,29</v>
      </c>
      <c r="CG68" s="19" t="str">
        <f t="shared" si="277"/>
        <v>75,29</v>
      </c>
      <c r="CH68" s="19" t="str">
        <f t="shared" si="277"/>
        <v>76,29</v>
      </c>
      <c r="CI68" s="19" t="str">
        <f t="shared" si="278"/>
        <v>77,29</v>
      </c>
      <c r="CJ68" s="19" t="str">
        <f t="shared" si="278"/>
        <v>78,29</v>
      </c>
      <c r="CK68" s="19" t="str">
        <f t="shared" si="278"/>
        <v>79,29</v>
      </c>
      <c r="CL68" s="19" t="str">
        <f t="shared" si="278"/>
        <v>80,29</v>
      </c>
      <c r="CM68" s="19" t="str">
        <f t="shared" si="278"/>
        <v>81,29</v>
      </c>
      <c r="CN68" s="19" t="str">
        <f t="shared" si="278"/>
        <v>82,29</v>
      </c>
      <c r="CO68" s="19" t="str">
        <f t="shared" si="278"/>
        <v>83,29</v>
      </c>
      <c r="CP68" s="19" t="str">
        <f t="shared" si="278"/>
        <v>84,29</v>
      </c>
      <c r="CQ68" s="19" t="str">
        <f t="shared" si="278"/>
        <v>85,29</v>
      </c>
      <c r="CR68" s="19" t="str">
        <f t="shared" si="278"/>
        <v>86,29</v>
      </c>
      <c r="CS68" s="19" t="str">
        <f t="shared" si="279"/>
        <v>87,29</v>
      </c>
      <c r="CT68" s="19" t="str">
        <f t="shared" si="279"/>
        <v>88,29</v>
      </c>
      <c r="CU68" s="19" t="str">
        <f t="shared" si="279"/>
        <v>89,29</v>
      </c>
      <c r="CV68" s="19" t="str">
        <f t="shared" si="279"/>
        <v>90,29</v>
      </c>
      <c r="CW68" s="19" t="str">
        <f t="shared" si="279"/>
        <v>91,29</v>
      </c>
      <c r="CX68" s="19" t="str">
        <f t="shared" si="279"/>
        <v>92,29</v>
      </c>
      <c r="CY68" s="19" t="str">
        <f t="shared" si="279"/>
        <v>93,29</v>
      </c>
      <c r="CZ68" s="19" t="str">
        <f t="shared" si="279"/>
        <v>94,29</v>
      </c>
      <c r="DA68" s="19" t="str">
        <f t="shared" si="279"/>
        <v>95,29</v>
      </c>
      <c r="DB68" s="19" t="str">
        <f t="shared" si="279"/>
        <v>96,29</v>
      </c>
      <c r="DC68" s="19" t="str">
        <f t="shared" si="279"/>
        <v>97,29</v>
      </c>
      <c r="DD68" s="19" t="str">
        <f t="shared" si="279"/>
        <v>98,29</v>
      </c>
      <c r="DE68" s="19" t="str">
        <f t="shared" si="279"/>
        <v>99,29</v>
      </c>
      <c r="DF68" s="19" t="str">
        <f t="shared" si="279"/>
        <v>100,29</v>
      </c>
      <c r="DG68" s="16">
        <f t="shared" si="249"/>
        <v>29</v>
      </c>
      <c r="DH68" s="1"/>
      <c r="DI68" s="63">
        <v>6.66845</v>
      </c>
      <c r="DJ68" s="63">
        <v>6.6680999999999999</v>
      </c>
      <c r="DK68" s="63">
        <v>6.6673900000000001</v>
      </c>
      <c r="DL68" s="63">
        <v>6.6663199999999998</v>
      </c>
      <c r="DM68" s="63">
        <v>6.6649000000000003</v>
      </c>
      <c r="DN68" s="63">
        <v>6.6631200000000002</v>
      </c>
      <c r="DO68" s="63">
        <v>6.66099</v>
      </c>
      <c r="DP68" s="63">
        <v>6.6585000000000001</v>
      </c>
      <c r="DQ68" s="63">
        <v>6.6556600000000001</v>
      </c>
      <c r="DR68" s="63">
        <v>6.6524599999999996</v>
      </c>
      <c r="DS68" s="63">
        <v>6.6489099999999999</v>
      </c>
      <c r="DT68" s="63">
        <v>6.6449999999999996</v>
      </c>
      <c r="DU68" s="63">
        <v>6.6407299999999996</v>
      </c>
      <c r="DV68" s="63">
        <v>6.6361100000000004</v>
      </c>
      <c r="DW68" s="63">
        <v>6.6311200000000001</v>
      </c>
      <c r="DX68" s="63">
        <v>6.6257900000000003</v>
      </c>
      <c r="DY68" s="63">
        <v>6.6200900000000003</v>
      </c>
      <c r="DZ68" s="63">
        <v>6.6140400000000001</v>
      </c>
      <c r="EA68" s="63">
        <v>6.6076300000000003</v>
      </c>
      <c r="EB68" s="63">
        <v>6.6008699999999996</v>
      </c>
      <c r="EC68" s="63">
        <v>6.5937400000000004</v>
      </c>
      <c r="ED68" s="63">
        <v>6.5862100000000003</v>
      </c>
      <c r="EE68" s="63">
        <v>6.5779300000000003</v>
      </c>
      <c r="EF68" s="63">
        <v>6.56548</v>
      </c>
      <c r="EG68" s="63">
        <v>6.5217299999999998</v>
      </c>
      <c r="EH68" s="63">
        <v>-999</v>
      </c>
      <c r="EI68" s="63">
        <v>-999</v>
      </c>
      <c r="EJ68" s="63">
        <v>-999</v>
      </c>
      <c r="EK68" s="63">
        <v>-999</v>
      </c>
      <c r="EL68" s="63">
        <v>-999</v>
      </c>
      <c r="EM68" s="63">
        <v>-999</v>
      </c>
      <c r="EN68" s="63">
        <v>-999</v>
      </c>
      <c r="EO68" s="63">
        <v>-999</v>
      </c>
      <c r="EP68" s="63">
        <v>-999</v>
      </c>
      <c r="EQ68" s="63">
        <v>-999</v>
      </c>
      <c r="ER68" s="63">
        <v>-999</v>
      </c>
      <c r="ES68" s="63">
        <v>-999</v>
      </c>
      <c r="ET68" s="63">
        <v>-999</v>
      </c>
      <c r="EU68" s="63">
        <v>-999</v>
      </c>
      <c r="EV68" s="63">
        <v>-999</v>
      </c>
      <c r="EW68" s="63">
        <v>-999</v>
      </c>
      <c r="EX68" s="63">
        <v>-999</v>
      </c>
      <c r="EY68" s="63">
        <v>-999</v>
      </c>
      <c r="EZ68" s="63">
        <v>-999</v>
      </c>
      <c r="FA68" s="63">
        <v>-999</v>
      </c>
      <c r="FB68" s="63">
        <v>-999</v>
      </c>
      <c r="FC68" s="63">
        <v>-999</v>
      </c>
      <c r="FD68" s="63">
        <v>-999</v>
      </c>
      <c r="FE68" s="63">
        <v>-999</v>
      </c>
      <c r="FF68" s="63">
        <v>-999</v>
      </c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1:256" ht="5.45" customHeight="1" x14ac:dyDescent="0.25">
      <c r="A69" s="1"/>
      <c r="B69" s="10">
        <f t="shared" si="270"/>
        <v>15</v>
      </c>
      <c r="C69" s="10">
        <v>0</v>
      </c>
      <c r="D69" s="10">
        <v>0</v>
      </c>
      <c r="E69" s="10">
        <v>10</v>
      </c>
      <c r="F69" s="27"/>
      <c r="G69" s="27" t="s">
        <v>45</v>
      </c>
      <c r="H69" s="1"/>
      <c r="I69" s="1"/>
      <c r="J69" s="16">
        <f>COLUMN()</f>
        <v>10</v>
      </c>
      <c r="K69" s="19" t="str">
        <f t="shared" si="271"/>
        <v>1,30</v>
      </c>
      <c r="L69" s="19" t="str">
        <f t="shared" si="271"/>
        <v>2,30</v>
      </c>
      <c r="M69" s="19" t="str">
        <f t="shared" si="271"/>
        <v>3,30</v>
      </c>
      <c r="N69" s="19" t="str">
        <f t="shared" si="271"/>
        <v>4,30</v>
      </c>
      <c r="O69" s="19" t="str">
        <f t="shared" si="271"/>
        <v>5,30</v>
      </c>
      <c r="P69" s="19" t="str">
        <f t="shared" si="271"/>
        <v>6,30</v>
      </c>
      <c r="Q69" s="19" t="str">
        <f t="shared" si="271"/>
        <v>7,30</v>
      </c>
      <c r="R69" s="19" t="str">
        <f t="shared" si="271"/>
        <v>8,30</v>
      </c>
      <c r="S69" s="19" t="str">
        <f t="shared" si="271"/>
        <v>9,30</v>
      </c>
      <c r="T69" s="19" t="str">
        <f t="shared" si="271"/>
        <v>10,30</v>
      </c>
      <c r="U69" s="19" t="str">
        <f t="shared" si="272"/>
        <v>11,30</v>
      </c>
      <c r="V69" s="19" t="str">
        <f t="shared" si="272"/>
        <v>12,30</v>
      </c>
      <c r="W69" s="19" t="str">
        <f t="shared" si="272"/>
        <v>13,30</v>
      </c>
      <c r="X69" s="19" t="str">
        <f t="shared" si="272"/>
        <v>14,30</v>
      </c>
      <c r="Y69" s="19" t="str">
        <f t="shared" si="272"/>
        <v>15,30</v>
      </c>
      <c r="Z69" s="19" t="str">
        <f t="shared" si="272"/>
        <v>16,30</v>
      </c>
      <c r="AA69" s="19" t="str">
        <f t="shared" si="272"/>
        <v>17,30</v>
      </c>
      <c r="AB69" s="19" t="str">
        <f t="shared" si="272"/>
        <v>18,30</v>
      </c>
      <c r="AC69" s="19" t="str">
        <f t="shared" si="272"/>
        <v>19,30</v>
      </c>
      <c r="AD69" s="19" t="str">
        <f t="shared" si="272"/>
        <v>20,30</v>
      </c>
      <c r="AE69" s="19" t="str">
        <f t="shared" si="273"/>
        <v>21,30</v>
      </c>
      <c r="AF69" s="19" t="str">
        <f t="shared" si="273"/>
        <v>22,30</v>
      </c>
      <c r="AG69" s="19" t="str">
        <f t="shared" si="273"/>
        <v>23,30</v>
      </c>
      <c r="AH69" s="19" t="str">
        <f t="shared" si="273"/>
        <v>24,30</v>
      </c>
      <c r="AI69" s="19" t="str">
        <f t="shared" si="273"/>
        <v>25,30</v>
      </c>
      <c r="AJ69" s="19" t="str">
        <f t="shared" si="273"/>
        <v>26,30</v>
      </c>
      <c r="AK69" s="19" t="str">
        <f t="shared" si="273"/>
        <v>27,30</v>
      </c>
      <c r="AL69" s="19" t="str">
        <f t="shared" si="273"/>
        <v>28,30</v>
      </c>
      <c r="AM69" s="19" t="str">
        <f t="shared" si="273"/>
        <v>29,30</v>
      </c>
      <c r="AN69" s="19" t="str">
        <f t="shared" si="273"/>
        <v>30,30</v>
      </c>
      <c r="AO69" s="19" t="str">
        <f t="shared" si="273"/>
        <v>31,30</v>
      </c>
      <c r="AP69" s="19" t="str">
        <f t="shared" si="273"/>
        <v>32,30</v>
      </c>
      <c r="AQ69" s="19" t="str">
        <f t="shared" si="273"/>
        <v>33,30</v>
      </c>
      <c r="AR69" s="19" t="str">
        <f t="shared" si="273"/>
        <v>34,30</v>
      </c>
      <c r="AS69" s="19" t="str">
        <f t="shared" si="273"/>
        <v>35,30</v>
      </c>
      <c r="AT69" s="19" t="str">
        <f t="shared" si="259"/>
        <v>36,30</v>
      </c>
      <c r="AU69" s="19" t="str">
        <f t="shared" si="274"/>
        <v>37,30</v>
      </c>
      <c r="AV69" s="19" t="str">
        <f t="shared" si="274"/>
        <v>38,30</v>
      </c>
      <c r="AW69" s="19" t="str">
        <f t="shared" si="274"/>
        <v>39,30</v>
      </c>
      <c r="AX69" s="19" t="str">
        <f t="shared" si="274"/>
        <v>40,30</v>
      </c>
      <c r="AY69" s="19" t="str">
        <f t="shared" si="274"/>
        <v>41,30</v>
      </c>
      <c r="AZ69" s="19" t="str">
        <f t="shared" si="274"/>
        <v>42,30</v>
      </c>
      <c r="BA69" s="19" t="str">
        <f t="shared" si="274"/>
        <v>43,30</v>
      </c>
      <c r="BB69" s="19" t="str">
        <f t="shared" si="274"/>
        <v>44,30</v>
      </c>
      <c r="BC69" s="19" t="str">
        <f t="shared" si="274"/>
        <v>45,30</v>
      </c>
      <c r="BD69" s="19" t="str">
        <f t="shared" si="274"/>
        <v>46,30</v>
      </c>
      <c r="BE69" s="19" t="str">
        <f t="shared" si="275"/>
        <v>47,30</v>
      </c>
      <c r="BF69" s="19" t="str">
        <f t="shared" si="275"/>
        <v>48,30</v>
      </c>
      <c r="BG69" s="19" t="str">
        <f t="shared" si="275"/>
        <v>49,30</v>
      </c>
      <c r="BH69" s="19" t="str">
        <f t="shared" si="275"/>
        <v>50,30</v>
      </c>
      <c r="BI69" s="19" t="str">
        <f t="shared" si="275"/>
        <v>51,30</v>
      </c>
      <c r="BJ69" s="19" t="str">
        <f t="shared" si="275"/>
        <v>52,30</v>
      </c>
      <c r="BK69" s="19" t="str">
        <f t="shared" si="275"/>
        <v>53,30</v>
      </c>
      <c r="BL69" s="19" t="str">
        <f t="shared" si="275"/>
        <v>54,30</v>
      </c>
      <c r="BM69" s="19" t="str">
        <f t="shared" si="275"/>
        <v>55,30</v>
      </c>
      <c r="BN69" s="19" t="str">
        <f t="shared" si="275"/>
        <v>56,30</v>
      </c>
      <c r="BO69" s="19" t="str">
        <f t="shared" si="276"/>
        <v>57,30</v>
      </c>
      <c r="BP69" s="19" t="str">
        <f t="shared" si="276"/>
        <v>58,30</v>
      </c>
      <c r="BQ69" s="19" t="str">
        <f t="shared" si="276"/>
        <v>59,30</v>
      </c>
      <c r="BR69" s="19" t="str">
        <f t="shared" si="276"/>
        <v>60,30</v>
      </c>
      <c r="BS69" s="19" t="str">
        <f t="shared" si="276"/>
        <v>61,30</v>
      </c>
      <c r="BT69" s="19" t="str">
        <f t="shared" si="276"/>
        <v>62,30</v>
      </c>
      <c r="BU69" s="19" t="str">
        <f t="shared" si="276"/>
        <v>63,30</v>
      </c>
      <c r="BV69" s="19" t="str">
        <f t="shared" si="276"/>
        <v>64,30</v>
      </c>
      <c r="BW69" s="19" t="str">
        <f t="shared" si="276"/>
        <v>65,30</v>
      </c>
      <c r="BX69" s="19" t="str">
        <f t="shared" si="276"/>
        <v>66,30</v>
      </c>
      <c r="BY69" s="19" t="str">
        <f t="shared" si="277"/>
        <v>67,30</v>
      </c>
      <c r="BZ69" s="19" t="str">
        <f t="shared" si="277"/>
        <v>68,30</v>
      </c>
      <c r="CA69" s="19" t="str">
        <f t="shared" si="277"/>
        <v>69,30</v>
      </c>
      <c r="CB69" s="19" t="str">
        <f t="shared" si="277"/>
        <v>70,30</v>
      </c>
      <c r="CC69" s="19" t="str">
        <f t="shared" si="277"/>
        <v>71,30</v>
      </c>
      <c r="CD69" s="19" t="str">
        <f t="shared" si="277"/>
        <v>72,30</v>
      </c>
      <c r="CE69" s="19" t="str">
        <f t="shared" si="277"/>
        <v>73,30</v>
      </c>
      <c r="CF69" s="19" t="str">
        <f t="shared" si="277"/>
        <v>74,30</v>
      </c>
      <c r="CG69" s="19" t="str">
        <f t="shared" si="277"/>
        <v>75,30</v>
      </c>
      <c r="CH69" s="19" t="str">
        <f t="shared" si="277"/>
        <v>76,30</v>
      </c>
      <c r="CI69" s="19" t="str">
        <f t="shared" si="278"/>
        <v>77,30</v>
      </c>
      <c r="CJ69" s="19" t="str">
        <f t="shared" si="278"/>
        <v>78,30</v>
      </c>
      <c r="CK69" s="19" t="str">
        <f t="shared" si="278"/>
        <v>79,30</v>
      </c>
      <c r="CL69" s="19" t="str">
        <f t="shared" si="278"/>
        <v>80,30</v>
      </c>
      <c r="CM69" s="19" t="str">
        <f t="shared" si="278"/>
        <v>81,30</v>
      </c>
      <c r="CN69" s="19" t="str">
        <f t="shared" si="278"/>
        <v>82,30</v>
      </c>
      <c r="CO69" s="19" t="str">
        <f t="shared" si="278"/>
        <v>83,30</v>
      </c>
      <c r="CP69" s="19" t="str">
        <f t="shared" si="278"/>
        <v>84,30</v>
      </c>
      <c r="CQ69" s="19" t="str">
        <f t="shared" si="278"/>
        <v>85,30</v>
      </c>
      <c r="CR69" s="19" t="str">
        <f t="shared" si="278"/>
        <v>86,30</v>
      </c>
      <c r="CS69" s="19" t="str">
        <f t="shared" si="279"/>
        <v>87,30</v>
      </c>
      <c r="CT69" s="19" t="str">
        <f t="shared" si="279"/>
        <v>88,30</v>
      </c>
      <c r="CU69" s="19" t="str">
        <f t="shared" si="279"/>
        <v>89,30</v>
      </c>
      <c r="CV69" s="19" t="str">
        <f t="shared" si="279"/>
        <v>90,30</v>
      </c>
      <c r="CW69" s="19" t="str">
        <f t="shared" si="279"/>
        <v>91,30</v>
      </c>
      <c r="CX69" s="19" t="str">
        <f t="shared" si="279"/>
        <v>92,30</v>
      </c>
      <c r="CY69" s="19" t="str">
        <f t="shared" si="279"/>
        <v>93,30</v>
      </c>
      <c r="CZ69" s="19" t="str">
        <f t="shared" si="279"/>
        <v>94,30</v>
      </c>
      <c r="DA69" s="19" t="str">
        <f t="shared" si="279"/>
        <v>95,30</v>
      </c>
      <c r="DB69" s="19" t="str">
        <f t="shared" si="279"/>
        <v>96,30</v>
      </c>
      <c r="DC69" s="19" t="str">
        <f t="shared" si="279"/>
        <v>97,30</v>
      </c>
      <c r="DD69" s="19" t="str">
        <f t="shared" si="279"/>
        <v>98,30</v>
      </c>
      <c r="DE69" s="19" t="str">
        <f t="shared" si="279"/>
        <v>99,30</v>
      </c>
      <c r="DF69" s="19" t="str">
        <f t="shared" si="279"/>
        <v>100,30</v>
      </c>
      <c r="DG69" s="16">
        <f t="shared" si="249"/>
        <v>30</v>
      </c>
      <c r="DH69" s="1"/>
      <c r="DI69" s="63">
        <v>6.6682899999999998</v>
      </c>
      <c r="DJ69" s="63">
        <v>6.6679399999999998</v>
      </c>
      <c r="DK69" s="63">
        <v>6.66723</v>
      </c>
      <c r="DL69" s="63">
        <v>6.6661599999999996</v>
      </c>
      <c r="DM69" s="63">
        <v>6.6647400000000001</v>
      </c>
      <c r="DN69" s="63">
        <v>6.6629699999999996</v>
      </c>
      <c r="DO69" s="63">
        <v>6.6608299999999998</v>
      </c>
      <c r="DP69" s="63">
        <v>6.6583500000000004</v>
      </c>
      <c r="DQ69" s="63">
        <v>6.6555</v>
      </c>
      <c r="DR69" s="63">
        <v>6.6523000000000003</v>
      </c>
      <c r="DS69" s="63">
        <v>6.6487499999999997</v>
      </c>
      <c r="DT69" s="63">
        <v>6.6448400000000003</v>
      </c>
      <c r="DU69" s="63">
        <v>6.6405700000000003</v>
      </c>
      <c r="DV69" s="63">
        <v>6.6359500000000002</v>
      </c>
      <c r="DW69" s="63">
        <v>6.6309699999999996</v>
      </c>
      <c r="DX69" s="63">
        <v>6.6256300000000001</v>
      </c>
      <c r="DY69" s="63">
        <v>6.6199399999999997</v>
      </c>
      <c r="DZ69" s="63">
        <v>6.61388</v>
      </c>
      <c r="EA69" s="63">
        <v>6.6074700000000002</v>
      </c>
      <c r="EB69" s="63">
        <v>6.6007100000000003</v>
      </c>
      <c r="EC69" s="63">
        <v>6.5935800000000002</v>
      </c>
      <c r="ED69" s="63">
        <v>6.5860500000000002</v>
      </c>
      <c r="EE69" s="63">
        <v>6.5777700000000001</v>
      </c>
      <c r="EF69" s="63">
        <v>6.5653300000000003</v>
      </c>
      <c r="EG69" s="63">
        <v>6.52156</v>
      </c>
      <c r="EH69" s="63">
        <v>6.4617599999999999</v>
      </c>
      <c r="EI69" s="63">
        <v>6.3976600000000001</v>
      </c>
      <c r="EJ69" s="63">
        <v>6.3302399999999999</v>
      </c>
      <c r="EK69" s="63">
        <v>6.2590700000000004</v>
      </c>
      <c r="EL69" s="63">
        <v>-999</v>
      </c>
      <c r="EM69" s="63">
        <v>-999</v>
      </c>
      <c r="EN69" s="63">
        <v>-999</v>
      </c>
      <c r="EO69" s="63">
        <v>-999</v>
      </c>
      <c r="EP69" s="63">
        <v>-999</v>
      </c>
      <c r="EQ69" s="63">
        <v>-999</v>
      </c>
      <c r="ER69" s="63">
        <v>-999</v>
      </c>
      <c r="ES69" s="63">
        <v>-999</v>
      </c>
      <c r="ET69" s="63">
        <v>-999</v>
      </c>
      <c r="EU69" s="63">
        <v>-999</v>
      </c>
      <c r="EV69" s="63">
        <v>-999</v>
      </c>
      <c r="EW69" s="63">
        <v>-999</v>
      </c>
      <c r="EX69" s="63">
        <v>-999</v>
      </c>
      <c r="EY69" s="63">
        <v>-999</v>
      </c>
      <c r="EZ69" s="63">
        <v>-999</v>
      </c>
      <c r="FA69" s="63">
        <v>-999</v>
      </c>
      <c r="FB69" s="63">
        <v>-999</v>
      </c>
      <c r="FC69" s="63">
        <v>-999</v>
      </c>
      <c r="FD69" s="63">
        <v>-999</v>
      </c>
      <c r="FE69" s="63">
        <v>-999</v>
      </c>
      <c r="FF69" s="63">
        <v>-999</v>
      </c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1:256" ht="5.45" customHeight="1" x14ac:dyDescent="0.25">
      <c r="A70" s="1"/>
      <c r="B70" s="10">
        <f t="shared" si="270"/>
        <v>16</v>
      </c>
      <c r="C70" s="10">
        <v>0</v>
      </c>
      <c r="D70" s="10">
        <v>0</v>
      </c>
      <c r="E70" s="10">
        <v>10</v>
      </c>
      <c r="F70" s="27"/>
      <c r="G70" s="27" t="s">
        <v>45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63">
        <v>6.6681400000000002</v>
      </c>
      <c r="DJ70" s="63">
        <v>6.6677799999999996</v>
      </c>
      <c r="DK70" s="63">
        <v>6.6670699999999998</v>
      </c>
      <c r="DL70" s="63">
        <v>6.66601</v>
      </c>
      <c r="DM70" s="63">
        <v>6.6645799999999999</v>
      </c>
      <c r="DN70" s="63">
        <v>6.6628100000000003</v>
      </c>
      <c r="DO70" s="63">
        <v>6.6606800000000002</v>
      </c>
      <c r="DP70" s="63">
        <v>6.6581900000000003</v>
      </c>
      <c r="DQ70" s="63">
        <v>6.6553500000000003</v>
      </c>
      <c r="DR70" s="63">
        <v>6.6521499999999998</v>
      </c>
      <c r="DS70" s="63">
        <v>6.6485900000000004</v>
      </c>
      <c r="DT70" s="63">
        <v>6.6446800000000001</v>
      </c>
      <c r="DU70" s="63">
        <v>6.6404100000000001</v>
      </c>
      <c r="DV70" s="63">
        <v>6.6357900000000001</v>
      </c>
      <c r="DW70" s="63">
        <v>6.6308100000000003</v>
      </c>
      <c r="DX70" s="63">
        <v>6.62547</v>
      </c>
      <c r="DY70" s="63">
        <v>6.6197800000000004</v>
      </c>
      <c r="DZ70" s="63">
        <v>6.6137300000000003</v>
      </c>
      <c r="EA70" s="63">
        <v>6.6073199999999996</v>
      </c>
      <c r="EB70" s="63">
        <v>6.6005500000000001</v>
      </c>
      <c r="EC70" s="63">
        <v>6.5934200000000001</v>
      </c>
      <c r="ED70" s="63">
        <v>6.5858999999999996</v>
      </c>
      <c r="EE70" s="63">
        <v>6.5776199999999996</v>
      </c>
      <c r="EF70" s="63">
        <v>6.5652499999999998</v>
      </c>
      <c r="EG70" s="63">
        <v>6.52142</v>
      </c>
      <c r="EH70" s="63">
        <v>6.46157</v>
      </c>
      <c r="EI70" s="63">
        <v>6.3974599999999997</v>
      </c>
      <c r="EJ70" s="63">
        <v>6.3300299999999998</v>
      </c>
      <c r="EK70" s="63">
        <v>6.2588999999999997</v>
      </c>
      <c r="EL70" s="63">
        <v>6.18485</v>
      </c>
      <c r="EM70" s="63">
        <v>6.1072899999999999</v>
      </c>
      <c r="EN70" s="63">
        <v>6.0256600000000002</v>
      </c>
      <c r="EO70" s="63">
        <v>-999</v>
      </c>
      <c r="EP70" s="63">
        <v>-999</v>
      </c>
      <c r="EQ70" s="63">
        <v>-999</v>
      </c>
      <c r="ER70" s="63">
        <v>-999</v>
      </c>
      <c r="ES70" s="63">
        <v>-999</v>
      </c>
      <c r="ET70" s="63">
        <v>-999</v>
      </c>
      <c r="EU70" s="63">
        <v>-999</v>
      </c>
      <c r="EV70" s="63">
        <v>-999</v>
      </c>
      <c r="EW70" s="63">
        <v>-999</v>
      </c>
      <c r="EX70" s="63">
        <v>-999</v>
      </c>
      <c r="EY70" s="63">
        <v>-999</v>
      </c>
      <c r="EZ70" s="63">
        <v>-999</v>
      </c>
      <c r="FA70" s="63">
        <v>-999</v>
      </c>
      <c r="FB70" s="63">
        <v>-999</v>
      </c>
      <c r="FC70" s="63">
        <v>-999</v>
      </c>
      <c r="FD70" s="63">
        <v>-999</v>
      </c>
      <c r="FE70" s="63">
        <v>-999</v>
      </c>
      <c r="FF70" s="63">
        <v>-999</v>
      </c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pans="1:256" ht="3" customHeight="1" x14ac:dyDescent="0.25">
      <c r="A71" s="1"/>
      <c r="B71" s="10">
        <f t="shared" ref="B71:B83" si="280">B70+1</f>
        <v>17</v>
      </c>
      <c r="C71" s="10">
        <v>0</v>
      </c>
      <c r="D71" s="10">
        <v>0</v>
      </c>
      <c r="E71" s="10">
        <v>10</v>
      </c>
      <c r="F71" s="27"/>
      <c r="G71" s="27" t="s">
        <v>45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63">
        <v>6.66798</v>
      </c>
      <c r="DJ71" s="63">
        <v>6.6676200000000003</v>
      </c>
      <c r="DK71" s="63">
        <v>6.6669099999999997</v>
      </c>
      <c r="DL71" s="63">
        <v>6.6658499999999998</v>
      </c>
      <c r="DM71" s="63">
        <v>6.6644300000000003</v>
      </c>
      <c r="DN71" s="63">
        <v>6.6626500000000002</v>
      </c>
      <c r="DO71" s="63">
        <v>6.66052</v>
      </c>
      <c r="DP71" s="63">
        <v>6.6580300000000001</v>
      </c>
      <c r="DQ71" s="63">
        <v>6.6551900000000002</v>
      </c>
      <c r="DR71" s="63">
        <v>6.6519899999999996</v>
      </c>
      <c r="DS71" s="63">
        <v>6.6484399999999999</v>
      </c>
      <c r="DT71" s="63">
        <v>6.64452</v>
      </c>
      <c r="DU71" s="63">
        <v>6.6402599999999996</v>
      </c>
      <c r="DV71" s="63">
        <v>6.6356299999999999</v>
      </c>
      <c r="DW71" s="63">
        <v>6.6306500000000002</v>
      </c>
      <c r="DX71" s="63">
        <v>6.6253200000000003</v>
      </c>
      <c r="DY71" s="63">
        <v>6.6196200000000003</v>
      </c>
      <c r="DZ71" s="63">
        <v>6.6135700000000002</v>
      </c>
      <c r="EA71" s="63">
        <v>6.6071600000000004</v>
      </c>
      <c r="EB71" s="63">
        <v>6.60039</v>
      </c>
      <c r="EC71" s="63">
        <v>6.5932700000000004</v>
      </c>
      <c r="ED71" s="63">
        <v>6.5857400000000004</v>
      </c>
      <c r="EE71" s="63">
        <v>6.5774900000000001</v>
      </c>
      <c r="EF71" s="63">
        <v>6.5652600000000003</v>
      </c>
      <c r="EG71" s="63">
        <v>6.5213099999999997</v>
      </c>
      <c r="EH71" s="63">
        <v>6.4614000000000003</v>
      </c>
      <c r="EI71" s="63">
        <v>6.3972699999999998</v>
      </c>
      <c r="EJ71" s="63">
        <v>6.3298199999999998</v>
      </c>
      <c r="EK71" s="63">
        <v>6.2587099999999998</v>
      </c>
      <c r="EL71" s="63">
        <v>6.1846399999999999</v>
      </c>
      <c r="EM71" s="63">
        <v>6.1070599999999997</v>
      </c>
      <c r="EN71" s="63">
        <v>6.0254599999999998</v>
      </c>
      <c r="EO71" s="63">
        <v>5.9403199999999998</v>
      </c>
      <c r="EP71" s="63">
        <v>5.8514299999999997</v>
      </c>
      <c r="EQ71" s="63">
        <v>5.7574399999999999</v>
      </c>
      <c r="ER71" s="63">
        <v>-999</v>
      </c>
      <c r="ES71" s="63">
        <v>-999</v>
      </c>
      <c r="ET71" s="63">
        <v>-999</v>
      </c>
      <c r="EU71" s="63">
        <v>-999</v>
      </c>
      <c r="EV71" s="63">
        <v>-999</v>
      </c>
      <c r="EW71" s="63">
        <v>-999</v>
      </c>
      <c r="EX71" s="63">
        <v>-999</v>
      </c>
      <c r="EY71" s="63">
        <v>-999</v>
      </c>
      <c r="EZ71" s="63">
        <v>-999</v>
      </c>
      <c r="FA71" s="63">
        <v>-999</v>
      </c>
      <c r="FB71" s="63">
        <v>-999</v>
      </c>
      <c r="FC71" s="63">
        <v>-999</v>
      </c>
      <c r="FD71" s="63">
        <v>-999</v>
      </c>
      <c r="FE71" s="63">
        <v>-999</v>
      </c>
      <c r="FF71" s="63">
        <v>-999</v>
      </c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pans="1:256" ht="3" customHeight="1" x14ac:dyDescent="0.25">
      <c r="A72" s="1"/>
      <c r="B72" s="10">
        <f t="shared" si="280"/>
        <v>18</v>
      </c>
      <c r="C72" s="10">
        <v>0</v>
      </c>
      <c r="D72" s="10">
        <v>0</v>
      </c>
      <c r="E72" s="10">
        <v>10</v>
      </c>
      <c r="F72" s="27"/>
      <c r="G72" s="27" t="s">
        <v>45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63">
        <v>6.6678199999999999</v>
      </c>
      <c r="DJ72" s="63">
        <v>6.6674699999999998</v>
      </c>
      <c r="DK72" s="63">
        <v>6.66676</v>
      </c>
      <c r="DL72" s="63">
        <v>6.6656899999999997</v>
      </c>
      <c r="DM72" s="63">
        <v>6.6642700000000001</v>
      </c>
      <c r="DN72" s="63">
        <v>6.6624999999999996</v>
      </c>
      <c r="DO72" s="63">
        <v>6.6603700000000003</v>
      </c>
      <c r="DP72" s="63">
        <v>6.6578799999999996</v>
      </c>
      <c r="DQ72" s="63">
        <v>6.65503</v>
      </c>
      <c r="DR72" s="63">
        <v>6.65184</v>
      </c>
      <c r="DS72" s="63">
        <v>6.6482799999999997</v>
      </c>
      <c r="DT72" s="63">
        <v>6.6443700000000003</v>
      </c>
      <c r="DU72" s="63">
        <v>6.6401000000000003</v>
      </c>
      <c r="DV72" s="63">
        <v>6.6354800000000003</v>
      </c>
      <c r="DW72" s="63">
        <v>6.6304999999999996</v>
      </c>
      <c r="DX72" s="63">
        <v>6.6251600000000002</v>
      </c>
      <c r="DY72" s="63">
        <v>6.6194600000000001</v>
      </c>
      <c r="DZ72" s="63">
        <v>6.61341</v>
      </c>
      <c r="EA72" s="63">
        <v>6.6070000000000002</v>
      </c>
      <c r="EB72" s="63">
        <v>6.6002400000000003</v>
      </c>
      <c r="EC72" s="63">
        <v>6.5931100000000002</v>
      </c>
      <c r="ED72" s="63">
        <v>6.5855899999999998</v>
      </c>
      <c r="EE72" s="63">
        <v>6.5773599999999997</v>
      </c>
      <c r="EF72" s="63">
        <v>6.56534</v>
      </c>
      <c r="EG72" s="63">
        <v>6.5212500000000002</v>
      </c>
      <c r="EH72" s="63">
        <v>6.4612400000000001</v>
      </c>
      <c r="EI72" s="63">
        <v>6.3970799999999999</v>
      </c>
      <c r="EJ72" s="63">
        <v>6.3296200000000002</v>
      </c>
      <c r="EK72" s="63">
        <v>6.2585300000000004</v>
      </c>
      <c r="EL72" s="63">
        <v>6.1844400000000004</v>
      </c>
      <c r="EM72" s="63">
        <v>6.10684</v>
      </c>
      <c r="EN72" s="63">
        <v>6.0252499999999998</v>
      </c>
      <c r="EO72" s="63">
        <v>5.9401000000000002</v>
      </c>
      <c r="EP72" s="63">
        <v>5.8511699999999998</v>
      </c>
      <c r="EQ72" s="63">
        <v>5.7572700000000001</v>
      </c>
      <c r="ER72" s="63">
        <v>5.6608999999999998</v>
      </c>
      <c r="ES72" s="63">
        <v>5.5845000000000002</v>
      </c>
      <c r="ET72" s="63">
        <v>5.5671200000000001</v>
      </c>
      <c r="EU72" s="63">
        <v>5.55307</v>
      </c>
      <c r="EV72" s="63">
        <v>5.5388400000000004</v>
      </c>
      <c r="EW72" s="63">
        <v>5.5242399999999998</v>
      </c>
      <c r="EX72" s="63">
        <v>5.5092699999999999</v>
      </c>
      <c r="EY72" s="63">
        <v>-999</v>
      </c>
      <c r="EZ72" s="63">
        <v>-999</v>
      </c>
      <c r="FA72" s="63">
        <v>-999</v>
      </c>
      <c r="FB72" s="63">
        <v>-999</v>
      </c>
      <c r="FC72" s="63">
        <v>-999</v>
      </c>
      <c r="FD72" s="63">
        <v>-999</v>
      </c>
      <c r="FE72" s="63">
        <v>-999</v>
      </c>
      <c r="FF72" s="63">
        <v>-999</v>
      </c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pans="1:256" ht="3" customHeight="1" x14ac:dyDescent="0.25">
      <c r="A73" s="1"/>
      <c r="B73" s="10">
        <f t="shared" si="280"/>
        <v>19</v>
      </c>
      <c r="C73" s="10">
        <v>0</v>
      </c>
      <c r="D73" s="10">
        <v>0</v>
      </c>
      <c r="E73" s="10">
        <v>10</v>
      </c>
      <c r="F73" s="27"/>
      <c r="G73" s="27" t="s">
        <v>45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63">
        <v>6.6676700000000002</v>
      </c>
      <c r="DJ73" s="63">
        <v>6.6673099999999996</v>
      </c>
      <c r="DK73" s="63">
        <v>6.6665999999999999</v>
      </c>
      <c r="DL73" s="63">
        <v>6.66554</v>
      </c>
      <c r="DM73" s="63">
        <v>6.6641199999999996</v>
      </c>
      <c r="DN73" s="63">
        <v>6.6623400000000004</v>
      </c>
      <c r="DO73" s="63">
        <v>6.6602100000000002</v>
      </c>
      <c r="DP73" s="63">
        <v>6.6577200000000003</v>
      </c>
      <c r="DQ73" s="63">
        <v>6.6548800000000004</v>
      </c>
      <c r="DR73" s="63">
        <v>6.6516799999999998</v>
      </c>
      <c r="DS73" s="63">
        <v>6.6481300000000001</v>
      </c>
      <c r="DT73" s="63">
        <v>6.6442100000000002</v>
      </c>
      <c r="DU73" s="63">
        <v>6.6399499999999998</v>
      </c>
      <c r="DV73" s="63">
        <v>6.6353200000000001</v>
      </c>
      <c r="DW73" s="63">
        <v>6.6303400000000003</v>
      </c>
      <c r="DX73" s="63">
        <v>6.625</v>
      </c>
      <c r="DY73" s="63">
        <v>6.6193099999999996</v>
      </c>
      <c r="DZ73" s="63">
        <v>6.6132600000000004</v>
      </c>
      <c r="EA73" s="63">
        <v>6.6068499999999997</v>
      </c>
      <c r="EB73" s="63">
        <v>6.6000800000000002</v>
      </c>
      <c r="EC73" s="63">
        <v>6.5929500000000001</v>
      </c>
      <c r="ED73" s="63">
        <v>6.5854400000000002</v>
      </c>
      <c r="EE73" s="63">
        <v>6.5772500000000003</v>
      </c>
      <c r="EF73" s="63">
        <v>6.5655000000000001</v>
      </c>
      <c r="EG73" s="63">
        <v>6.5212199999999996</v>
      </c>
      <c r="EH73" s="63">
        <v>6.4610799999999999</v>
      </c>
      <c r="EI73" s="63">
        <v>6.3969100000000001</v>
      </c>
      <c r="EJ73" s="63">
        <v>6.3294300000000003</v>
      </c>
      <c r="EK73" s="63">
        <v>6.2583500000000001</v>
      </c>
      <c r="EL73" s="63">
        <v>6.1842499999999996</v>
      </c>
      <c r="EM73" s="63">
        <v>6.10663</v>
      </c>
      <c r="EN73" s="63">
        <v>6.0250500000000002</v>
      </c>
      <c r="EO73" s="63">
        <v>5.9398799999999996</v>
      </c>
      <c r="EP73" s="63">
        <v>5.8509200000000003</v>
      </c>
      <c r="EQ73" s="63">
        <v>5.7570499999999996</v>
      </c>
      <c r="ER73" s="63">
        <v>5.6606300000000003</v>
      </c>
      <c r="ES73" s="63">
        <v>5.5842700000000001</v>
      </c>
      <c r="ET73" s="63">
        <v>5.5669599999999999</v>
      </c>
      <c r="EU73" s="63">
        <v>5.5529099999999998</v>
      </c>
      <c r="EV73" s="63">
        <v>5.5386800000000003</v>
      </c>
      <c r="EW73" s="63">
        <v>5.5240799999999997</v>
      </c>
      <c r="EX73" s="63">
        <v>5.5091099999999997</v>
      </c>
      <c r="EY73" s="63">
        <v>5.4937699999999996</v>
      </c>
      <c r="EZ73" s="63">
        <v>5.4780699999999998</v>
      </c>
      <c r="FA73" s="63">
        <v>5.4619900000000001</v>
      </c>
      <c r="FB73" s="63">
        <v>5.4455400000000003</v>
      </c>
      <c r="FC73" s="63">
        <v>5.4287200000000002</v>
      </c>
      <c r="FD73" s="63">
        <v>5.41153</v>
      </c>
      <c r="FE73" s="63">
        <v>5.3939399999999997</v>
      </c>
      <c r="FF73" s="63">
        <v>5.375</v>
      </c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pans="1:256" ht="3" customHeight="1" x14ac:dyDescent="0.25">
      <c r="A74" s="1"/>
      <c r="B74" s="10">
        <f t="shared" si="280"/>
        <v>20</v>
      </c>
      <c r="C74" s="10">
        <v>0</v>
      </c>
      <c r="D74" s="10">
        <v>0</v>
      </c>
      <c r="E74" s="10">
        <v>10</v>
      </c>
      <c r="F74" s="27"/>
      <c r="G74" s="27" t="s">
        <v>45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63">
        <v>6.6675199999999997</v>
      </c>
      <c r="DJ74" s="63">
        <v>6.66716</v>
      </c>
      <c r="DK74" s="63">
        <v>6.6664500000000002</v>
      </c>
      <c r="DL74" s="63">
        <v>6.6653900000000004</v>
      </c>
      <c r="DM74" s="63">
        <v>6.6639600000000003</v>
      </c>
      <c r="DN74" s="63">
        <v>6.6621899999999998</v>
      </c>
      <c r="DO74" s="63">
        <v>6.6600599999999996</v>
      </c>
      <c r="DP74" s="63">
        <v>6.6575699999999998</v>
      </c>
      <c r="DQ74" s="63">
        <v>6.6547299999999998</v>
      </c>
      <c r="DR74" s="63">
        <v>6.6515300000000002</v>
      </c>
      <c r="DS74" s="63">
        <v>6.6479699999999999</v>
      </c>
      <c r="DT74" s="63">
        <v>6.6440599999999996</v>
      </c>
      <c r="DU74" s="63">
        <v>6.6397899999999996</v>
      </c>
      <c r="DV74" s="63">
        <v>6.6351699999999996</v>
      </c>
      <c r="DW74" s="63">
        <v>6.6301899999999998</v>
      </c>
      <c r="DX74" s="63">
        <v>6.6248500000000003</v>
      </c>
      <c r="DY74" s="63">
        <v>6.6191599999999999</v>
      </c>
      <c r="DZ74" s="63">
        <v>6.6131000000000002</v>
      </c>
      <c r="EA74" s="63">
        <v>6.6067</v>
      </c>
      <c r="EB74" s="63">
        <v>6.5999299999999996</v>
      </c>
      <c r="EC74" s="63">
        <v>6.5928000000000004</v>
      </c>
      <c r="ED74" s="63">
        <v>6.5852899999999996</v>
      </c>
      <c r="EE74" s="63">
        <v>6.57714</v>
      </c>
      <c r="EF74" s="63">
        <v>6.5657500000000004</v>
      </c>
      <c r="EG74" s="63">
        <v>6.5212300000000001</v>
      </c>
      <c r="EH74" s="63">
        <v>6.4609399999999999</v>
      </c>
      <c r="EI74" s="63">
        <v>6.3967400000000003</v>
      </c>
      <c r="EJ74" s="63">
        <v>6.32925</v>
      </c>
      <c r="EK74" s="63">
        <v>6.2581800000000003</v>
      </c>
      <c r="EL74" s="63">
        <v>6.1840599999999997</v>
      </c>
      <c r="EM74" s="63">
        <v>6.1064299999999996</v>
      </c>
      <c r="EN74" s="63">
        <v>6.0248499999999998</v>
      </c>
      <c r="EO74" s="63">
        <v>5.9396800000000001</v>
      </c>
      <c r="EP74" s="63">
        <v>5.8506799999999997</v>
      </c>
      <c r="EQ74" s="63">
        <v>5.7568400000000004</v>
      </c>
      <c r="ER74" s="63">
        <v>5.6603199999999996</v>
      </c>
      <c r="ES74" s="63">
        <v>5.5838900000000002</v>
      </c>
      <c r="ET74" s="63">
        <v>5.5667900000000001</v>
      </c>
      <c r="EU74" s="63">
        <v>5.5527499999999996</v>
      </c>
      <c r="EV74" s="63">
        <v>5.5385200000000001</v>
      </c>
      <c r="EW74" s="63">
        <v>5.5239200000000004</v>
      </c>
      <c r="EX74" s="63">
        <v>5.5089499999999996</v>
      </c>
      <c r="EY74" s="63">
        <v>5.4936100000000003</v>
      </c>
      <c r="EZ74" s="63">
        <v>5.4779099999999996</v>
      </c>
      <c r="FA74" s="63">
        <v>5.46183</v>
      </c>
      <c r="FB74" s="63">
        <v>5.4453800000000001</v>
      </c>
      <c r="FC74" s="63">
        <v>5.4285600000000001</v>
      </c>
      <c r="FD74" s="63">
        <v>5.4113699999999998</v>
      </c>
      <c r="FE74" s="63">
        <v>5.3937799999999996</v>
      </c>
      <c r="FF74" s="63">
        <v>5.375</v>
      </c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pans="1:256" ht="3" customHeight="1" x14ac:dyDescent="0.25">
      <c r="A75" s="1"/>
      <c r="B75" s="10">
        <f t="shared" si="280"/>
        <v>21</v>
      </c>
      <c r="C75" s="10">
        <v>0</v>
      </c>
      <c r="D75" s="10">
        <v>0</v>
      </c>
      <c r="E75" s="10">
        <v>10</v>
      </c>
      <c r="F75" s="27"/>
      <c r="G75" s="27" t="s">
        <v>45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63">
        <v>6.6673600000000004</v>
      </c>
      <c r="DJ75" s="63">
        <v>6.6670100000000003</v>
      </c>
      <c r="DK75" s="63">
        <v>6.6662999999999997</v>
      </c>
      <c r="DL75" s="63">
        <v>6.6652300000000002</v>
      </c>
      <c r="DM75" s="63">
        <v>6.6638099999999998</v>
      </c>
      <c r="DN75" s="63">
        <v>6.6620400000000002</v>
      </c>
      <c r="DO75" s="63">
        <v>6.6599000000000004</v>
      </c>
      <c r="DP75" s="63">
        <v>6.6574200000000001</v>
      </c>
      <c r="DQ75" s="63">
        <v>6.6545699999999997</v>
      </c>
      <c r="DR75" s="63">
        <v>6.65137</v>
      </c>
      <c r="DS75" s="63">
        <v>6.6478200000000003</v>
      </c>
      <c r="DT75" s="63">
        <v>6.64391</v>
      </c>
      <c r="DU75" s="63">
        <v>6.63964</v>
      </c>
      <c r="DV75" s="63">
        <v>6.6350199999999999</v>
      </c>
      <c r="DW75" s="63">
        <v>6.6300299999999996</v>
      </c>
      <c r="DX75" s="63">
        <v>6.6246999999999998</v>
      </c>
      <c r="DY75" s="63">
        <v>6.6189999999999998</v>
      </c>
      <c r="DZ75" s="63">
        <v>6.6129499999999997</v>
      </c>
      <c r="EA75" s="63">
        <v>6.6065399999999999</v>
      </c>
      <c r="EB75" s="63">
        <v>6.59978</v>
      </c>
      <c r="EC75" s="63">
        <v>6.5926499999999999</v>
      </c>
      <c r="ED75" s="63">
        <v>6.58514</v>
      </c>
      <c r="EE75" s="63">
        <v>6.5770400000000002</v>
      </c>
      <c r="EF75" s="63">
        <v>6.5660800000000004</v>
      </c>
      <c r="EG75" s="63">
        <v>6.5212899999999996</v>
      </c>
      <c r="EH75" s="63">
        <v>6.4608100000000004</v>
      </c>
      <c r="EI75" s="63">
        <v>6.3965800000000002</v>
      </c>
      <c r="EJ75" s="63">
        <v>6.3290800000000003</v>
      </c>
      <c r="EK75" s="63">
        <v>6.2580200000000001</v>
      </c>
      <c r="EL75" s="63">
        <v>6.1838899999999999</v>
      </c>
      <c r="EM75" s="63">
        <v>6.1062399999999997</v>
      </c>
      <c r="EN75" s="63">
        <v>6.0246700000000004</v>
      </c>
      <c r="EO75" s="63">
        <v>5.9394799999999996</v>
      </c>
      <c r="EP75" s="63">
        <v>5.8504500000000004</v>
      </c>
      <c r="EQ75" s="63">
        <v>5.7566300000000004</v>
      </c>
      <c r="ER75" s="63">
        <v>5.6599599999999999</v>
      </c>
      <c r="ES75" s="63">
        <v>5.5833700000000004</v>
      </c>
      <c r="ET75" s="63">
        <v>5.5666099999999998</v>
      </c>
      <c r="EU75" s="63">
        <v>5.5525900000000004</v>
      </c>
      <c r="EV75" s="63">
        <v>5.5383599999999999</v>
      </c>
      <c r="EW75" s="63">
        <v>5.5237600000000002</v>
      </c>
      <c r="EX75" s="63">
        <v>5.5087900000000003</v>
      </c>
      <c r="EY75" s="63">
        <v>5.4934500000000002</v>
      </c>
      <c r="EZ75" s="63">
        <v>5.4777500000000003</v>
      </c>
      <c r="FA75" s="63">
        <v>5.4616699999999998</v>
      </c>
      <c r="FB75" s="63">
        <v>5.4452199999999999</v>
      </c>
      <c r="FC75" s="63">
        <v>5.4283999999999999</v>
      </c>
      <c r="FD75" s="63">
        <v>5.4112099999999996</v>
      </c>
      <c r="FE75" s="63">
        <v>5.3936200000000003</v>
      </c>
      <c r="FF75" s="63">
        <v>5.375</v>
      </c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pans="1:256" ht="3" customHeight="1" x14ac:dyDescent="0.25">
      <c r="A76" s="1"/>
      <c r="B76" s="10">
        <f t="shared" si="280"/>
        <v>22</v>
      </c>
      <c r="C76" s="10">
        <v>0</v>
      </c>
      <c r="D76" s="10">
        <v>0</v>
      </c>
      <c r="E76" s="10">
        <v>10</v>
      </c>
      <c r="F76" s="27"/>
      <c r="G76" s="27" t="s">
        <v>45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63">
        <v>6.6672099999999999</v>
      </c>
      <c r="DJ76" s="63">
        <v>6.6668599999999998</v>
      </c>
      <c r="DK76" s="63">
        <v>6.66615</v>
      </c>
      <c r="DL76" s="63">
        <v>6.6650799999999997</v>
      </c>
      <c r="DM76" s="63">
        <v>6.6636600000000001</v>
      </c>
      <c r="DN76" s="63">
        <v>6.66188</v>
      </c>
      <c r="DO76" s="63">
        <v>6.6597499999999998</v>
      </c>
      <c r="DP76" s="63">
        <v>6.6572699999999996</v>
      </c>
      <c r="DQ76" s="63">
        <v>6.65442</v>
      </c>
      <c r="DR76" s="63">
        <v>6.6512200000000004</v>
      </c>
      <c r="DS76" s="63">
        <v>6.6476699999999997</v>
      </c>
      <c r="DT76" s="63">
        <v>6.6437600000000003</v>
      </c>
      <c r="DU76" s="63">
        <v>6.6394900000000003</v>
      </c>
      <c r="DV76" s="63">
        <v>6.6348599999999998</v>
      </c>
      <c r="DW76" s="63">
        <v>6.62988</v>
      </c>
      <c r="DX76" s="63">
        <v>6.6245500000000002</v>
      </c>
      <c r="DY76" s="63">
        <v>6.6188500000000001</v>
      </c>
      <c r="DZ76" s="63">
        <v>6.6128</v>
      </c>
      <c r="EA76" s="63">
        <v>6.6063900000000002</v>
      </c>
      <c r="EB76" s="63">
        <v>6.5996199999999998</v>
      </c>
      <c r="EC76" s="63">
        <v>6.5925000000000002</v>
      </c>
      <c r="ED76" s="63">
        <v>6.5849900000000003</v>
      </c>
      <c r="EE76" s="63">
        <v>6.5769500000000001</v>
      </c>
      <c r="EF76" s="63">
        <v>6.5664899999999999</v>
      </c>
      <c r="EG76" s="63">
        <v>6.5213799999999997</v>
      </c>
      <c r="EH76" s="63">
        <v>6.46068</v>
      </c>
      <c r="EI76" s="63">
        <v>6.3964299999999996</v>
      </c>
      <c r="EJ76" s="63">
        <v>6.3289200000000001</v>
      </c>
      <c r="EK76" s="63">
        <v>6.2578699999999996</v>
      </c>
      <c r="EL76" s="63">
        <v>6.1837200000000001</v>
      </c>
      <c r="EM76" s="63">
        <v>6.1060499999999998</v>
      </c>
      <c r="EN76" s="63">
        <v>6.0244900000000001</v>
      </c>
      <c r="EO76" s="63">
        <v>5.9392899999999997</v>
      </c>
      <c r="EP76" s="63">
        <v>5.8502400000000003</v>
      </c>
      <c r="EQ76" s="63">
        <v>5.7564299999999999</v>
      </c>
      <c r="ER76" s="63">
        <v>5.6595399999999998</v>
      </c>
      <c r="ES76" s="63">
        <v>5.5826900000000004</v>
      </c>
      <c r="ET76" s="63">
        <v>5.5664199999999999</v>
      </c>
      <c r="EU76" s="63">
        <v>5.5524300000000002</v>
      </c>
      <c r="EV76" s="63">
        <v>5.5381999999999998</v>
      </c>
      <c r="EW76" s="63">
        <v>5.5236000000000001</v>
      </c>
      <c r="EX76" s="63">
        <v>5.5086399999999998</v>
      </c>
      <c r="EY76" s="63">
        <v>5.49329</v>
      </c>
      <c r="EZ76" s="63">
        <v>5.4775900000000002</v>
      </c>
      <c r="FA76" s="63">
        <v>5.4615099999999996</v>
      </c>
      <c r="FB76" s="63">
        <v>5.4450599999999998</v>
      </c>
      <c r="FC76" s="63">
        <v>5.4282399999999997</v>
      </c>
      <c r="FD76" s="63">
        <v>5.4110500000000004</v>
      </c>
      <c r="FE76" s="63">
        <v>5.3934600000000001</v>
      </c>
      <c r="FF76" s="63">
        <v>5.375</v>
      </c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pans="1:256" ht="3" customHeight="1" x14ac:dyDescent="0.25">
      <c r="A77" s="1"/>
      <c r="B77" s="10">
        <f t="shared" si="280"/>
        <v>23</v>
      </c>
      <c r="C77" s="10">
        <v>0</v>
      </c>
      <c r="D77" s="10">
        <v>0</v>
      </c>
      <c r="E77" s="10">
        <v>10</v>
      </c>
      <c r="F77" s="27"/>
      <c r="G77" s="27" t="s">
        <v>45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63">
        <v>6.6670600000000002</v>
      </c>
      <c r="DJ77" s="63">
        <v>6.6667100000000001</v>
      </c>
      <c r="DK77" s="63">
        <v>6.6660000000000004</v>
      </c>
      <c r="DL77" s="63">
        <v>6.66493</v>
      </c>
      <c r="DM77" s="63">
        <v>6.6635099999999996</v>
      </c>
      <c r="DN77" s="63">
        <v>6.6617300000000004</v>
      </c>
      <c r="DO77" s="63">
        <v>6.6596000000000002</v>
      </c>
      <c r="DP77" s="63">
        <v>6.6571100000000003</v>
      </c>
      <c r="DQ77" s="63">
        <v>6.6542700000000004</v>
      </c>
      <c r="DR77" s="63">
        <v>6.6510699999999998</v>
      </c>
      <c r="DS77" s="63">
        <v>6.6475200000000001</v>
      </c>
      <c r="DT77" s="63">
        <v>6.6436000000000002</v>
      </c>
      <c r="DU77" s="63">
        <v>6.6393399999999998</v>
      </c>
      <c r="DV77" s="63">
        <v>6.6347100000000001</v>
      </c>
      <c r="DW77" s="63">
        <v>6.6297300000000003</v>
      </c>
      <c r="DX77" s="63">
        <v>6.62439</v>
      </c>
      <c r="DY77" s="63">
        <v>6.6186999999999996</v>
      </c>
      <c r="DZ77" s="63">
        <v>6.6126500000000004</v>
      </c>
      <c r="EA77" s="63">
        <v>6.6062399999999997</v>
      </c>
      <c r="EB77" s="63">
        <v>6.5994700000000002</v>
      </c>
      <c r="EC77" s="63">
        <v>6.5923499999999997</v>
      </c>
      <c r="ED77" s="63">
        <v>6.5848500000000003</v>
      </c>
      <c r="EE77" s="63">
        <v>6.5768599999999999</v>
      </c>
      <c r="EF77" s="63">
        <v>6.5669899999999997</v>
      </c>
      <c r="EG77" s="63">
        <v>6.5215100000000001</v>
      </c>
      <c r="EH77" s="63">
        <v>6.4605699999999997</v>
      </c>
      <c r="EI77" s="63">
        <v>6.3962899999999996</v>
      </c>
      <c r="EJ77" s="63">
        <v>6.3287599999999999</v>
      </c>
      <c r="EK77" s="63">
        <v>6.2577199999999999</v>
      </c>
      <c r="EL77" s="63">
        <v>6.1835599999999999</v>
      </c>
      <c r="EM77" s="63">
        <v>6.10588</v>
      </c>
      <c r="EN77" s="63">
        <v>6.0243200000000003</v>
      </c>
      <c r="EO77" s="63">
        <v>5.93912</v>
      </c>
      <c r="EP77" s="63">
        <v>5.8500300000000003</v>
      </c>
      <c r="EQ77" s="63">
        <v>5.7562499999999996</v>
      </c>
      <c r="ER77" s="63">
        <v>5.6590800000000003</v>
      </c>
      <c r="ES77" s="63">
        <v>5.5818599999999998</v>
      </c>
      <c r="ET77" s="63">
        <v>5.56623</v>
      </c>
      <c r="EU77" s="63">
        <v>5.5522799999999997</v>
      </c>
      <c r="EV77" s="63">
        <v>5.5380399999999996</v>
      </c>
      <c r="EW77" s="63">
        <v>5.5234500000000004</v>
      </c>
      <c r="EX77" s="63">
        <v>5.5084799999999996</v>
      </c>
      <c r="EY77" s="63">
        <v>5.4931400000000004</v>
      </c>
      <c r="EZ77" s="63">
        <v>5.47743</v>
      </c>
      <c r="FA77" s="63">
        <v>5.4613500000000004</v>
      </c>
      <c r="FB77" s="63">
        <v>5.4449100000000001</v>
      </c>
      <c r="FC77" s="63">
        <v>5.4280900000000001</v>
      </c>
      <c r="FD77" s="63">
        <v>5.4108900000000002</v>
      </c>
      <c r="FE77" s="63">
        <v>5.3933099999999996</v>
      </c>
      <c r="FF77" s="63">
        <v>5.375</v>
      </c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pans="1:256" ht="3" customHeight="1" x14ac:dyDescent="0.25">
      <c r="A78" s="1"/>
      <c r="B78" s="10">
        <f t="shared" si="280"/>
        <v>24</v>
      </c>
      <c r="C78" s="10">
        <v>0</v>
      </c>
      <c r="D78" s="10">
        <v>0</v>
      </c>
      <c r="E78" s="10">
        <v>10</v>
      </c>
      <c r="F78" s="27"/>
      <c r="G78" s="27" t="s">
        <v>45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63">
        <v>6.6669099999999997</v>
      </c>
      <c r="DJ78" s="63">
        <v>6.6665599999999996</v>
      </c>
      <c r="DK78" s="63">
        <v>6.6658499999999998</v>
      </c>
      <c r="DL78" s="63">
        <v>6.6647800000000004</v>
      </c>
      <c r="DM78" s="63">
        <v>6.6633599999999999</v>
      </c>
      <c r="DN78" s="63">
        <v>6.6615799999999998</v>
      </c>
      <c r="DO78" s="63">
        <v>6.6594499999999996</v>
      </c>
      <c r="DP78" s="63">
        <v>6.6569599999999998</v>
      </c>
      <c r="DQ78" s="63">
        <v>6.6541199999999998</v>
      </c>
      <c r="DR78" s="63">
        <v>6.6509200000000002</v>
      </c>
      <c r="DS78" s="63">
        <v>6.6473699999999996</v>
      </c>
      <c r="DT78" s="63">
        <v>6.6434499999999996</v>
      </c>
      <c r="DU78" s="63">
        <v>6.6391900000000001</v>
      </c>
      <c r="DV78" s="63">
        <v>6.6345599999999996</v>
      </c>
      <c r="DW78" s="63">
        <v>6.6295799999999998</v>
      </c>
      <c r="DX78" s="63">
        <v>6.6242400000000004</v>
      </c>
      <c r="DY78" s="63">
        <v>6.6185499999999999</v>
      </c>
      <c r="DZ78" s="63">
        <v>6.6124999999999998</v>
      </c>
      <c r="EA78" s="63">
        <v>6.60609</v>
      </c>
      <c r="EB78" s="63">
        <v>6.5993199999999996</v>
      </c>
      <c r="EC78" s="63">
        <v>6.5922000000000001</v>
      </c>
      <c r="ED78" s="63">
        <v>6.5846999999999998</v>
      </c>
      <c r="EE78" s="63">
        <v>6.5767800000000003</v>
      </c>
      <c r="EF78" s="63">
        <v>6.5675699999999999</v>
      </c>
      <c r="EG78" s="63">
        <v>6.5216799999999999</v>
      </c>
      <c r="EH78" s="63">
        <v>6.4604600000000003</v>
      </c>
      <c r="EI78" s="63">
        <v>6.3961600000000001</v>
      </c>
      <c r="EJ78" s="63">
        <v>6.3286199999999999</v>
      </c>
      <c r="EK78" s="63">
        <v>6.2575900000000004</v>
      </c>
      <c r="EL78" s="63">
        <v>6.1834100000000003</v>
      </c>
      <c r="EM78" s="63">
        <v>6.1057199999999998</v>
      </c>
      <c r="EN78" s="63">
        <v>6.0241699999999998</v>
      </c>
      <c r="EO78" s="63">
        <v>5.9389500000000002</v>
      </c>
      <c r="EP78" s="63">
        <v>5.8498400000000004</v>
      </c>
      <c r="EQ78" s="63">
        <v>5.7560599999999997</v>
      </c>
      <c r="ER78" s="63">
        <v>5.6585700000000001</v>
      </c>
      <c r="ES78" s="63">
        <v>5.5808799999999996</v>
      </c>
      <c r="ET78" s="63">
        <v>5.5660299999999996</v>
      </c>
      <c r="EU78" s="63">
        <v>5.5521200000000004</v>
      </c>
      <c r="EV78" s="63">
        <v>5.53789</v>
      </c>
      <c r="EW78" s="63">
        <v>5.5232900000000003</v>
      </c>
      <c r="EX78" s="63">
        <v>5.5083200000000003</v>
      </c>
      <c r="EY78" s="63">
        <v>5.4929800000000002</v>
      </c>
      <c r="EZ78" s="63">
        <v>5.4772800000000004</v>
      </c>
      <c r="FA78" s="63">
        <v>5.4611999999999998</v>
      </c>
      <c r="FB78" s="63">
        <v>5.44475</v>
      </c>
      <c r="FC78" s="63">
        <v>5.4279299999999999</v>
      </c>
      <c r="FD78" s="63">
        <v>5.4107399999999997</v>
      </c>
      <c r="FE78" s="63">
        <v>5.39316</v>
      </c>
      <c r="FF78" s="63">
        <v>5.375</v>
      </c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pans="1:256" ht="3" customHeight="1" x14ac:dyDescent="0.25">
      <c r="A79" s="1"/>
      <c r="B79" s="10">
        <f t="shared" si="280"/>
        <v>25</v>
      </c>
      <c r="C79" s="10">
        <v>0</v>
      </c>
      <c r="D79" s="10">
        <v>0</v>
      </c>
      <c r="E79" s="10">
        <v>10</v>
      </c>
      <c r="F79" s="27"/>
      <c r="G79" s="27" t="s">
        <v>45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63">
        <v>6.66676</v>
      </c>
      <c r="DJ79" s="63">
        <v>6.6664099999999999</v>
      </c>
      <c r="DK79" s="63">
        <v>6.6657000000000002</v>
      </c>
      <c r="DL79" s="63">
        <v>6.6646299999999998</v>
      </c>
      <c r="DM79" s="63">
        <v>6.6632100000000003</v>
      </c>
      <c r="DN79" s="63">
        <v>6.6614300000000002</v>
      </c>
      <c r="DO79" s="63">
        <v>6.6593</v>
      </c>
      <c r="DP79" s="63">
        <v>6.6568100000000001</v>
      </c>
      <c r="DQ79" s="63">
        <v>6.6539700000000002</v>
      </c>
      <c r="DR79" s="63">
        <v>6.6507699999999996</v>
      </c>
      <c r="DS79" s="63">
        <v>6.6472199999999999</v>
      </c>
      <c r="DT79" s="63">
        <v>6.6433099999999996</v>
      </c>
      <c r="DU79" s="63">
        <v>6.6390399999999996</v>
      </c>
      <c r="DV79" s="63">
        <v>6.6344099999999999</v>
      </c>
      <c r="DW79" s="63">
        <v>6.6294300000000002</v>
      </c>
      <c r="DX79" s="63">
        <v>6.6240899999999998</v>
      </c>
      <c r="DY79" s="63">
        <v>6.6184000000000003</v>
      </c>
      <c r="DZ79" s="63">
        <v>6.6123500000000002</v>
      </c>
      <c r="EA79" s="63">
        <v>6.6059400000000004</v>
      </c>
      <c r="EB79" s="63">
        <v>6.59917</v>
      </c>
      <c r="EC79" s="63">
        <v>6.5920500000000004</v>
      </c>
      <c r="ED79" s="63">
        <v>6.5845599999999997</v>
      </c>
      <c r="EE79" s="63">
        <v>6.5766999999999998</v>
      </c>
      <c r="EF79" s="63">
        <v>6.5682499999999999</v>
      </c>
      <c r="EG79" s="63">
        <v>6.52189</v>
      </c>
      <c r="EH79" s="63">
        <v>6.4603599999999997</v>
      </c>
      <c r="EI79" s="63">
        <v>6.3960299999999997</v>
      </c>
      <c r="EJ79" s="63">
        <v>6.3284799999999999</v>
      </c>
      <c r="EK79" s="63">
        <v>6.25746</v>
      </c>
      <c r="EL79" s="63">
        <v>6.1832700000000003</v>
      </c>
      <c r="EM79" s="63">
        <v>6.1055700000000002</v>
      </c>
      <c r="EN79" s="63">
        <v>6.0240200000000002</v>
      </c>
      <c r="EO79" s="63">
        <v>5.93879</v>
      </c>
      <c r="EP79" s="63">
        <v>5.8496600000000001</v>
      </c>
      <c r="EQ79" s="63">
        <v>5.75589</v>
      </c>
      <c r="ER79" s="63">
        <v>5.65801</v>
      </c>
      <c r="ES79" s="63">
        <v>5.5797499999999998</v>
      </c>
      <c r="ET79" s="63">
        <v>5.5658399999999997</v>
      </c>
      <c r="EU79" s="63">
        <v>5.5519600000000002</v>
      </c>
      <c r="EV79" s="63">
        <v>5.5377299999999998</v>
      </c>
      <c r="EW79" s="63">
        <v>5.5231300000000001</v>
      </c>
      <c r="EX79" s="63">
        <v>5.5081699999999998</v>
      </c>
      <c r="EY79" s="63">
        <v>5.4928299999999997</v>
      </c>
      <c r="EZ79" s="63">
        <v>5.4771200000000002</v>
      </c>
      <c r="FA79" s="63">
        <v>5.4610399999999997</v>
      </c>
      <c r="FB79" s="63">
        <v>5.4445899999999998</v>
      </c>
      <c r="FC79" s="63">
        <v>5.4277699999999998</v>
      </c>
      <c r="FD79" s="63">
        <v>5.4105800000000004</v>
      </c>
      <c r="FE79" s="63">
        <v>5.3930100000000003</v>
      </c>
      <c r="FF79" s="63">
        <v>5.375</v>
      </c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pans="1:256" ht="3" customHeight="1" x14ac:dyDescent="0.25">
      <c r="A80" s="1"/>
      <c r="B80" s="10">
        <f t="shared" si="280"/>
        <v>26</v>
      </c>
      <c r="C80" s="10">
        <v>0</v>
      </c>
      <c r="D80" s="10">
        <v>0</v>
      </c>
      <c r="E80" s="10">
        <v>10</v>
      </c>
      <c r="F80" s="27"/>
      <c r="G80" s="27" t="s">
        <v>45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63">
        <v>6.6666800000000004</v>
      </c>
      <c r="DJ80" s="63">
        <v>6.6663300000000003</v>
      </c>
      <c r="DK80" s="63">
        <v>6.6656199999999997</v>
      </c>
      <c r="DL80" s="63">
        <v>6.6645500000000002</v>
      </c>
      <c r="DM80" s="63">
        <v>6.6631299999999998</v>
      </c>
      <c r="DN80" s="63">
        <v>6.6613600000000002</v>
      </c>
      <c r="DO80" s="63">
        <v>6.6592200000000004</v>
      </c>
      <c r="DP80" s="63">
        <v>6.6567400000000001</v>
      </c>
      <c r="DQ80" s="63">
        <v>6.6538899999999996</v>
      </c>
      <c r="DR80" s="63">
        <v>6.65069</v>
      </c>
      <c r="DS80" s="63">
        <v>6.6471400000000003</v>
      </c>
      <c r="DT80" s="63">
        <v>6.64323</v>
      </c>
      <c r="DU80" s="63">
        <v>6.63896</v>
      </c>
      <c r="DV80" s="63">
        <v>6.6343399999999999</v>
      </c>
      <c r="DW80" s="63">
        <v>6.6293499999999996</v>
      </c>
      <c r="DX80" s="63">
        <v>6.6240199999999998</v>
      </c>
      <c r="DY80" s="63">
        <v>6.6183199999999998</v>
      </c>
      <c r="DZ80" s="63">
        <v>6.6122699999999996</v>
      </c>
      <c r="EA80" s="63">
        <v>6.6058599999999998</v>
      </c>
      <c r="EB80" s="63">
        <v>6.5990900000000003</v>
      </c>
      <c r="EC80" s="63">
        <v>6.5919699999999999</v>
      </c>
      <c r="ED80" s="63">
        <v>6.5844899999999997</v>
      </c>
      <c r="EE80" s="63">
        <v>6.5766600000000004</v>
      </c>
      <c r="EF80" s="63">
        <v>6.5686600000000004</v>
      </c>
      <c r="EG80" s="63">
        <v>6.5221400000000003</v>
      </c>
      <c r="EH80" s="63">
        <v>6.4602700000000004</v>
      </c>
      <c r="EI80" s="63">
        <v>6.3959099999999998</v>
      </c>
      <c r="EJ80" s="63">
        <v>6.3283500000000004</v>
      </c>
      <c r="EK80" s="63">
        <v>6.2573400000000001</v>
      </c>
      <c r="EL80" s="63">
        <v>6.1831399999999999</v>
      </c>
      <c r="EM80" s="63">
        <v>6.1054300000000001</v>
      </c>
      <c r="EN80" s="63">
        <v>6.0238800000000001</v>
      </c>
      <c r="EO80" s="63">
        <v>5.9386400000000004</v>
      </c>
      <c r="EP80" s="63">
        <v>5.8494999999999999</v>
      </c>
      <c r="EQ80" s="63">
        <v>5.7557299999999998</v>
      </c>
      <c r="ER80" s="63">
        <v>5.6573900000000004</v>
      </c>
      <c r="ES80" s="63">
        <v>5.5790600000000001</v>
      </c>
      <c r="ET80" s="63">
        <v>5.5657300000000003</v>
      </c>
      <c r="EU80" s="63">
        <v>5.5518799999999997</v>
      </c>
      <c r="EV80" s="63">
        <v>5.5376500000000002</v>
      </c>
      <c r="EW80" s="63">
        <v>5.5230499999999996</v>
      </c>
      <c r="EX80" s="63">
        <v>5.5080900000000002</v>
      </c>
      <c r="EY80" s="63">
        <v>5.49275</v>
      </c>
      <c r="EZ80" s="63">
        <v>5.4770399999999997</v>
      </c>
      <c r="FA80" s="63">
        <v>5.46096</v>
      </c>
      <c r="FB80" s="63">
        <v>5.4445100000000002</v>
      </c>
      <c r="FC80" s="63">
        <v>5.4276900000000001</v>
      </c>
      <c r="FD80" s="63">
        <v>5.4104999999999999</v>
      </c>
      <c r="FE80" s="63">
        <v>5.3929400000000003</v>
      </c>
      <c r="FF80" s="63">
        <v>5.375</v>
      </c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pans="1:256" ht="3" customHeight="1" x14ac:dyDescent="0.25">
      <c r="A81" s="1"/>
      <c r="B81" s="10">
        <f t="shared" si="280"/>
        <v>27</v>
      </c>
      <c r="C81" s="10">
        <v>0</v>
      </c>
      <c r="D81" s="10">
        <v>0</v>
      </c>
      <c r="E81" s="10">
        <v>10</v>
      </c>
      <c r="F81" s="27"/>
      <c r="G81" s="27" t="s">
        <v>45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63">
        <v>6.6666800000000004</v>
      </c>
      <c r="DJ81" s="63">
        <v>6.6663199999999998</v>
      </c>
      <c r="DK81" s="63">
        <v>6.66561</v>
      </c>
      <c r="DL81" s="63">
        <v>6.6645500000000002</v>
      </c>
      <c r="DM81" s="63">
        <v>6.6631299999999998</v>
      </c>
      <c r="DN81" s="63">
        <v>6.6613499999999997</v>
      </c>
      <c r="DO81" s="63">
        <v>6.6592200000000004</v>
      </c>
      <c r="DP81" s="63">
        <v>6.6567299999999996</v>
      </c>
      <c r="DQ81" s="63">
        <v>6.6538899999999996</v>
      </c>
      <c r="DR81" s="63">
        <v>6.65069</v>
      </c>
      <c r="DS81" s="63">
        <v>6.6471299999999998</v>
      </c>
      <c r="DT81" s="63">
        <v>6.6432200000000003</v>
      </c>
      <c r="DU81" s="63">
        <v>6.6389500000000004</v>
      </c>
      <c r="DV81" s="63">
        <v>6.6343300000000003</v>
      </c>
      <c r="DW81" s="63">
        <v>6.6293499999999996</v>
      </c>
      <c r="DX81" s="63">
        <v>6.6240100000000002</v>
      </c>
      <c r="DY81" s="63">
        <v>6.6183100000000001</v>
      </c>
      <c r="DZ81" s="63">
        <v>6.61226</v>
      </c>
      <c r="EA81" s="63">
        <v>6.6058500000000002</v>
      </c>
      <c r="EB81" s="63">
        <v>6.5990900000000003</v>
      </c>
      <c r="EC81" s="63">
        <v>6.5919600000000003</v>
      </c>
      <c r="ED81" s="63">
        <v>6.5844800000000001</v>
      </c>
      <c r="EE81" s="63">
        <v>6.5766600000000004</v>
      </c>
      <c r="EF81" s="63">
        <v>6.5686900000000001</v>
      </c>
      <c r="EG81" s="63">
        <v>6.5223199999999997</v>
      </c>
      <c r="EH81" s="63">
        <v>6.4601800000000003</v>
      </c>
      <c r="EI81" s="63">
        <v>6.3958000000000004</v>
      </c>
      <c r="EJ81" s="63">
        <v>6.3282299999999996</v>
      </c>
      <c r="EK81" s="63">
        <v>6.2572200000000002</v>
      </c>
      <c r="EL81" s="63">
        <v>6.18302</v>
      </c>
      <c r="EM81" s="63">
        <v>6.1052999999999997</v>
      </c>
      <c r="EN81" s="63">
        <v>6.0237499999999997</v>
      </c>
      <c r="EO81" s="63">
        <v>5.93851</v>
      </c>
      <c r="EP81" s="63">
        <v>5.8493399999999998</v>
      </c>
      <c r="EQ81" s="63">
        <v>5.7555800000000001</v>
      </c>
      <c r="ER81" s="63">
        <v>5.6569099999999999</v>
      </c>
      <c r="ES81" s="63">
        <v>5.5790100000000002</v>
      </c>
      <c r="ET81" s="63">
        <v>5.5657199999999998</v>
      </c>
      <c r="EU81" s="63">
        <v>5.5518700000000001</v>
      </c>
      <c r="EV81" s="63">
        <v>5.5376399999999997</v>
      </c>
      <c r="EW81" s="63">
        <v>5.5230499999999996</v>
      </c>
      <c r="EX81" s="63">
        <v>5.5080799999999996</v>
      </c>
      <c r="EY81" s="63">
        <v>5.4927400000000004</v>
      </c>
      <c r="EZ81" s="63">
        <v>5.4770300000000001</v>
      </c>
      <c r="FA81" s="63">
        <v>5.4609500000000004</v>
      </c>
      <c r="FB81" s="63">
        <v>5.4445100000000002</v>
      </c>
      <c r="FC81" s="63">
        <v>5.4276799999999996</v>
      </c>
      <c r="FD81" s="63">
        <v>5.4104900000000002</v>
      </c>
      <c r="FE81" s="63">
        <v>5.3929299999999998</v>
      </c>
      <c r="FF81" s="63">
        <v>5.375</v>
      </c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pans="1:256" ht="3" customHeight="1" x14ac:dyDescent="0.25">
      <c r="A82" s="1"/>
      <c r="B82" s="10">
        <f t="shared" si="280"/>
        <v>28</v>
      </c>
      <c r="C82" s="10">
        <v>0</v>
      </c>
      <c r="D82" s="10">
        <v>0</v>
      </c>
      <c r="E82" s="10">
        <v>10</v>
      </c>
      <c r="F82" s="27"/>
      <c r="G82" s="27" t="s">
        <v>45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63">
        <v>6.6666699999999999</v>
      </c>
      <c r="DJ82" s="63">
        <v>6.6663199999999998</v>
      </c>
      <c r="DK82" s="63">
        <v>6.66561</v>
      </c>
      <c r="DL82" s="63">
        <v>6.6645399999999997</v>
      </c>
      <c r="DM82" s="63">
        <v>6.6631200000000002</v>
      </c>
      <c r="DN82" s="63">
        <v>6.66134</v>
      </c>
      <c r="DO82" s="63">
        <v>6.6592099999999999</v>
      </c>
      <c r="DP82" s="63">
        <v>6.65672</v>
      </c>
      <c r="DQ82" s="63">
        <v>6.65388</v>
      </c>
      <c r="DR82" s="63">
        <v>6.6506800000000004</v>
      </c>
      <c r="DS82" s="63">
        <v>6.6471299999999998</v>
      </c>
      <c r="DT82" s="63">
        <v>6.6432200000000003</v>
      </c>
      <c r="DU82" s="63">
        <v>6.6389500000000004</v>
      </c>
      <c r="DV82" s="63">
        <v>6.6343199999999998</v>
      </c>
      <c r="DW82" s="63">
        <v>6.62934</v>
      </c>
      <c r="DX82" s="63">
        <v>6.6239999999999997</v>
      </c>
      <c r="DY82" s="63">
        <v>6.6183100000000001</v>
      </c>
      <c r="DZ82" s="63">
        <v>6.61226</v>
      </c>
      <c r="EA82" s="63">
        <v>6.6058500000000002</v>
      </c>
      <c r="EB82" s="63">
        <v>6.5990799999999998</v>
      </c>
      <c r="EC82" s="63">
        <v>6.5919600000000003</v>
      </c>
      <c r="ED82" s="63">
        <v>6.5844800000000001</v>
      </c>
      <c r="EE82" s="63">
        <v>6.5766499999999999</v>
      </c>
      <c r="EF82" s="63">
        <v>6.5687100000000003</v>
      </c>
      <c r="EG82" s="63">
        <v>6.5224299999999999</v>
      </c>
      <c r="EH82" s="63">
        <v>6.4600999999999997</v>
      </c>
      <c r="EI82" s="63">
        <v>6.3956999999999997</v>
      </c>
      <c r="EJ82" s="63">
        <v>6.3281200000000002</v>
      </c>
      <c r="EK82" s="63">
        <v>6.2571199999999996</v>
      </c>
      <c r="EL82" s="63">
        <v>6.1829099999999997</v>
      </c>
      <c r="EM82" s="63">
        <v>6.1051700000000002</v>
      </c>
      <c r="EN82" s="63">
        <v>6.0236200000000002</v>
      </c>
      <c r="EO82" s="63">
        <v>5.9383800000000004</v>
      </c>
      <c r="EP82" s="63">
        <v>5.8491999999999997</v>
      </c>
      <c r="EQ82" s="63">
        <v>5.7554400000000001</v>
      </c>
      <c r="ER82" s="63">
        <v>5.6565500000000002</v>
      </c>
      <c r="ES82" s="63">
        <v>5.5789799999999996</v>
      </c>
      <c r="ET82" s="63">
        <v>5.5657199999999998</v>
      </c>
      <c r="EU82" s="63">
        <v>5.5518700000000001</v>
      </c>
      <c r="EV82" s="63">
        <v>5.5376399999999997</v>
      </c>
      <c r="EW82" s="63">
        <v>5.5230399999999999</v>
      </c>
      <c r="EX82" s="63">
        <v>5.50807</v>
      </c>
      <c r="EY82" s="63">
        <v>5.4927299999999999</v>
      </c>
      <c r="EZ82" s="63">
        <v>5.4770300000000001</v>
      </c>
      <c r="FA82" s="63">
        <v>5.4609500000000004</v>
      </c>
      <c r="FB82" s="63">
        <v>5.4444999999999997</v>
      </c>
      <c r="FC82" s="63">
        <v>5.4276799999999996</v>
      </c>
      <c r="FD82" s="63">
        <v>5.4104900000000002</v>
      </c>
      <c r="FE82" s="63">
        <v>5.3929200000000002</v>
      </c>
      <c r="FF82" s="63">
        <v>5.375</v>
      </c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pans="1:256" ht="3" customHeight="1" x14ac:dyDescent="0.25">
      <c r="A83" s="1"/>
      <c r="B83" s="22">
        <f t="shared" si="280"/>
        <v>29</v>
      </c>
      <c r="C83" s="10">
        <v>0</v>
      </c>
      <c r="D83" s="10">
        <v>0</v>
      </c>
      <c r="E83" s="10">
        <v>10</v>
      </c>
      <c r="F83" s="27"/>
      <c r="G83" s="27" t="s">
        <v>45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63">
        <v>6.6666699999999999</v>
      </c>
      <c r="DJ83" s="63">
        <v>6.6663100000000002</v>
      </c>
      <c r="DK83" s="63">
        <v>6.6656000000000004</v>
      </c>
      <c r="DL83" s="63">
        <v>6.6645399999999997</v>
      </c>
      <c r="DM83" s="63">
        <v>6.6631200000000002</v>
      </c>
      <c r="DN83" s="63">
        <v>6.66134</v>
      </c>
      <c r="DO83" s="63">
        <v>6.6592099999999999</v>
      </c>
      <c r="DP83" s="63">
        <v>6.65672</v>
      </c>
      <c r="DQ83" s="63">
        <v>6.65388</v>
      </c>
      <c r="DR83" s="63">
        <v>6.6506800000000004</v>
      </c>
      <c r="DS83" s="63">
        <v>6.6471200000000001</v>
      </c>
      <c r="DT83" s="63">
        <v>6.6432099999999998</v>
      </c>
      <c r="DU83" s="63">
        <v>6.6389399999999998</v>
      </c>
      <c r="DV83" s="63">
        <v>6.6343199999999998</v>
      </c>
      <c r="DW83" s="63">
        <v>6.62934</v>
      </c>
      <c r="DX83" s="63">
        <v>6.6239999999999997</v>
      </c>
      <c r="DY83" s="63">
        <v>6.6182999999999996</v>
      </c>
      <c r="DZ83" s="63">
        <v>6.6122500000000004</v>
      </c>
      <c r="EA83" s="63">
        <v>6.6058399999999997</v>
      </c>
      <c r="EB83" s="63">
        <v>6.5990799999999998</v>
      </c>
      <c r="EC83" s="63">
        <v>6.5919499999999998</v>
      </c>
      <c r="ED83" s="63">
        <v>6.5844699999999996</v>
      </c>
      <c r="EE83" s="63">
        <v>6.5766499999999999</v>
      </c>
      <c r="EF83" s="63">
        <v>6.5687199999999999</v>
      </c>
      <c r="EG83" s="63">
        <v>6.5224799999999998</v>
      </c>
      <c r="EH83" s="63">
        <v>6.4600299999999997</v>
      </c>
      <c r="EI83" s="63">
        <v>6.3956099999999996</v>
      </c>
      <c r="EJ83" s="63">
        <v>6.3280200000000004</v>
      </c>
      <c r="EK83" s="63">
        <v>6.2570199999999998</v>
      </c>
      <c r="EL83" s="63">
        <v>6.1828000000000003</v>
      </c>
      <c r="EM83" s="63">
        <v>6.1050599999999999</v>
      </c>
      <c r="EN83" s="63">
        <v>6.0235099999999999</v>
      </c>
      <c r="EO83" s="63">
        <v>5.9382599999999996</v>
      </c>
      <c r="EP83" s="63">
        <v>5.8490599999999997</v>
      </c>
      <c r="EQ83" s="63">
        <v>5.7553200000000002</v>
      </c>
      <c r="ER83" s="63">
        <v>5.6563100000000004</v>
      </c>
      <c r="ES83" s="63">
        <v>5.5789600000000004</v>
      </c>
      <c r="ET83" s="63">
        <v>5.5657100000000002</v>
      </c>
      <c r="EU83" s="63">
        <v>5.5518599999999996</v>
      </c>
      <c r="EV83" s="63">
        <v>5.5376300000000001</v>
      </c>
      <c r="EW83" s="63">
        <v>5.5230399999999999</v>
      </c>
      <c r="EX83" s="63">
        <v>5.50807</v>
      </c>
      <c r="EY83" s="63">
        <v>5.4927299999999999</v>
      </c>
      <c r="EZ83" s="63">
        <v>5.4770200000000004</v>
      </c>
      <c r="FA83" s="63">
        <v>5.4609399999999999</v>
      </c>
      <c r="FB83" s="63">
        <v>5.4444900000000001</v>
      </c>
      <c r="FC83" s="63">
        <v>5.42767</v>
      </c>
      <c r="FD83" s="63">
        <v>5.4104799999999997</v>
      </c>
      <c r="FE83" s="63">
        <v>5.3929200000000002</v>
      </c>
      <c r="FF83" s="63">
        <v>5.375</v>
      </c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pans="1:256" ht="6" customHeight="1" x14ac:dyDescent="0.25">
      <c r="A84" s="1"/>
      <c r="B84" s="1"/>
      <c r="C84" s="1"/>
      <c r="D84" s="1"/>
      <c r="E84" s="1"/>
      <c r="F84" s="27"/>
      <c r="G84" s="27" t="s">
        <v>45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63">
        <v>6.6666600000000003</v>
      </c>
      <c r="DJ84" s="63">
        <v>6.6663100000000002</v>
      </c>
      <c r="DK84" s="63">
        <v>6.6656000000000004</v>
      </c>
      <c r="DL84" s="63">
        <v>6.6645300000000001</v>
      </c>
      <c r="DM84" s="63">
        <v>6.6631099999999996</v>
      </c>
      <c r="DN84" s="63">
        <v>6.66134</v>
      </c>
      <c r="DO84" s="63">
        <v>6.6592000000000002</v>
      </c>
      <c r="DP84" s="63">
        <v>6.65672</v>
      </c>
      <c r="DQ84" s="63">
        <v>6.6538700000000004</v>
      </c>
      <c r="DR84" s="63">
        <v>6.6506699999999999</v>
      </c>
      <c r="DS84" s="63">
        <v>6.6471200000000001</v>
      </c>
      <c r="DT84" s="63">
        <v>6.6432099999999998</v>
      </c>
      <c r="DU84" s="63">
        <v>6.6389399999999998</v>
      </c>
      <c r="DV84" s="63">
        <v>6.6343100000000002</v>
      </c>
      <c r="DW84" s="63">
        <v>6.6293300000000004</v>
      </c>
      <c r="DX84" s="63">
        <v>6.6239999999999997</v>
      </c>
      <c r="DY84" s="63">
        <v>6.6182999999999996</v>
      </c>
      <c r="DZ84" s="63">
        <v>6.6122500000000004</v>
      </c>
      <c r="EA84" s="63">
        <v>6.6058399999999997</v>
      </c>
      <c r="EB84" s="63">
        <v>6.5990700000000002</v>
      </c>
      <c r="EC84" s="63">
        <v>6.5919499999999998</v>
      </c>
      <c r="ED84" s="63">
        <v>6.5844699999999996</v>
      </c>
      <c r="EE84" s="63">
        <v>6.5766499999999999</v>
      </c>
      <c r="EF84" s="63">
        <v>6.5687300000000004</v>
      </c>
      <c r="EG84" s="63">
        <v>6.5224700000000002</v>
      </c>
      <c r="EH84" s="63">
        <v>6.4599599999999997</v>
      </c>
      <c r="EI84" s="63">
        <v>6.3955200000000003</v>
      </c>
      <c r="EJ84" s="63">
        <v>6.3279300000000003</v>
      </c>
      <c r="EK84" s="63">
        <v>6.2569299999999997</v>
      </c>
      <c r="EL84" s="63">
        <v>6.1826999999999996</v>
      </c>
      <c r="EM84" s="63">
        <v>6.1049600000000002</v>
      </c>
      <c r="EN84" s="63">
        <v>6.0234100000000002</v>
      </c>
      <c r="EO84" s="63">
        <v>5.9381500000000003</v>
      </c>
      <c r="EP84" s="63">
        <v>5.8489399999999998</v>
      </c>
      <c r="EQ84" s="63">
        <v>5.7552099999999999</v>
      </c>
      <c r="ER84" s="63">
        <v>5.6561899999999996</v>
      </c>
      <c r="ES84" s="63">
        <v>5.5789499999999999</v>
      </c>
      <c r="ET84" s="63">
        <v>5.5657100000000002</v>
      </c>
      <c r="EU84" s="63">
        <v>5.5518599999999996</v>
      </c>
      <c r="EV84" s="63">
        <v>5.5376300000000001</v>
      </c>
      <c r="EW84" s="63">
        <v>5.5230300000000003</v>
      </c>
      <c r="EX84" s="63">
        <v>5.5080600000000004</v>
      </c>
      <c r="EY84" s="63">
        <v>5.4927200000000003</v>
      </c>
      <c r="EZ84" s="63">
        <v>5.4770200000000004</v>
      </c>
      <c r="FA84" s="63">
        <v>5.4609399999999999</v>
      </c>
      <c r="FB84" s="63">
        <v>5.4444900000000001</v>
      </c>
      <c r="FC84" s="63">
        <v>5.42767</v>
      </c>
      <c r="FD84" s="63">
        <v>5.4104799999999997</v>
      </c>
      <c r="FE84" s="63">
        <v>5.3929099999999996</v>
      </c>
      <c r="FF84" s="63">
        <v>5.375</v>
      </c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pans="1:256" ht="6" customHeight="1" x14ac:dyDescent="0.25">
      <c r="A85" s="1"/>
      <c r="B85" s="1"/>
      <c r="C85" s="1"/>
      <c r="D85" s="1"/>
      <c r="E85" s="1"/>
      <c r="F85" s="27"/>
      <c r="G85" s="27" t="s">
        <v>45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63">
        <v>6.6666600000000003</v>
      </c>
      <c r="DJ85" s="63">
        <v>6.6663100000000002</v>
      </c>
      <c r="DK85" s="63">
        <v>6.6656000000000004</v>
      </c>
      <c r="DL85" s="63">
        <v>6.6645300000000001</v>
      </c>
      <c r="DM85" s="63">
        <v>6.6631099999999996</v>
      </c>
      <c r="DN85" s="63">
        <v>6.6613300000000004</v>
      </c>
      <c r="DO85" s="63">
        <v>6.6592000000000002</v>
      </c>
      <c r="DP85" s="63">
        <v>6.6567100000000003</v>
      </c>
      <c r="DQ85" s="63">
        <v>6.6538700000000004</v>
      </c>
      <c r="DR85" s="63">
        <v>6.6506699999999999</v>
      </c>
      <c r="DS85" s="63">
        <v>6.6471200000000001</v>
      </c>
      <c r="DT85" s="63">
        <v>6.6432000000000002</v>
      </c>
      <c r="DU85" s="63">
        <v>6.6389399999999998</v>
      </c>
      <c r="DV85" s="63">
        <v>6.6343100000000002</v>
      </c>
      <c r="DW85" s="63">
        <v>6.6293300000000004</v>
      </c>
      <c r="DX85" s="63">
        <v>6.62399</v>
      </c>
      <c r="DY85" s="63">
        <v>6.6182999999999996</v>
      </c>
      <c r="DZ85" s="63">
        <v>6.6122500000000004</v>
      </c>
      <c r="EA85" s="63">
        <v>6.6058399999999997</v>
      </c>
      <c r="EB85" s="63">
        <v>6.5990700000000002</v>
      </c>
      <c r="EC85" s="63">
        <v>6.5919400000000001</v>
      </c>
      <c r="ED85" s="63">
        <v>6.58446</v>
      </c>
      <c r="EE85" s="63">
        <v>6.5766499999999999</v>
      </c>
      <c r="EF85" s="63">
        <v>6.5687199999999999</v>
      </c>
      <c r="EG85" s="63">
        <v>6.5223899999999997</v>
      </c>
      <c r="EH85" s="63">
        <v>6.4598899999999997</v>
      </c>
      <c r="EI85" s="63">
        <v>6.3954399999999998</v>
      </c>
      <c r="EJ85" s="63">
        <v>6.3278499999999998</v>
      </c>
      <c r="EK85" s="63">
        <v>6.25685</v>
      </c>
      <c r="EL85" s="63">
        <v>6.18262</v>
      </c>
      <c r="EM85" s="63">
        <v>6.1048600000000004</v>
      </c>
      <c r="EN85" s="63">
        <v>6.02332</v>
      </c>
      <c r="EO85" s="63">
        <v>5.9380499999999996</v>
      </c>
      <c r="EP85" s="63">
        <v>5.8488300000000004</v>
      </c>
      <c r="EQ85" s="63">
        <v>5.7551100000000002</v>
      </c>
      <c r="ER85" s="63">
        <v>5.6562000000000001</v>
      </c>
      <c r="ES85" s="63">
        <v>5.5789600000000004</v>
      </c>
      <c r="ET85" s="63">
        <v>5.5656999999999996</v>
      </c>
      <c r="EU85" s="63">
        <v>5.5518599999999996</v>
      </c>
      <c r="EV85" s="63">
        <v>5.5376300000000001</v>
      </c>
      <c r="EW85" s="63">
        <v>5.5230300000000003</v>
      </c>
      <c r="EX85" s="63">
        <v>5.5080600000000004</v>
      </c>
      <c r="EY85" s="63">
        <v>5.4927200000000003</v>
      </c>
      <c r="EZ85" s="63">
        <v>5.4770099999999999</v>
      </c>
      <c r="FA85" s="63">
        <v>5.4609399999999999</v>
      </c>
      <c r="FB85" s="63">
        <v>5.4444900000000001</v>
      </c>
      <c r="FC85" s="63">
        <v>5.42767</v>
      </c>
      <c r="FD85" s="63">
        <v>5.4104700000000001</v>
      </c>
      <c r="FE85" s="63">
        <v>5.3929099999999996</v>
      </c>
      <c r="FF85" s="63">
        <v>5.375</v>
      </c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pans="1:256" ht="6" customHeight="1" x14ac:dyDescent="0.25">
      <c r="A86" s="1"/>
      <c r="B86" s="10">
        <v>1</v>
      </c>
      <c r="C86" s="10">
        <v>0</v>
      </c>
      <c r="D86" s="10">
        <v>0</v>
      </c>
      <c r="E86" s="10">
        <v>0</v>
      </c>
      <c r="F86" s="27"/>
      <c r="G86" s="27" t="s">
        <v>45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63">
        <v>6.6666600000000003</v>
      </c>
      <c r="DJ86" s="63">
        <v>6.6662999999999997</v>
      </c>
      <c r="DK86" s="63">
        <v>6.6655899999999999</v>
      </c>
      <c r="DL86" s="63">
        <v>6.6645300000000001</v>
      </c>
      <c r="DM86" s="63">
        <v>6.6631099999999996</v>
      </c>
      <c r="DN86" s="63">
        <v>6.6613300000000004</v>
      </c>
      <c r="DO86" s="63">
        <v>6.6592000000000002</v>
      </c>
      <c r="DP86" s="63">
        <v>6.6567100000000003</v>
      </c>
      <c r="DQ86" s="63">
        <v>6.6538700000000004</v>
      </c>
      <c r="DR86" s="63">
        <v>6.6506699999999999</v>
      </c>
      <c r="DS86" s="63">
        <v>6.6471099999999996</v>
      </c>
      <c r="DT86" s="63">
        <v>6.6432000000000002</v>
      </c>
      <c r="DU86" s="63">
        <v>6.6389300000000002</v>
      </c>
      <c r="DV86" s="63">
        <v>6.6343100000000002</v>
      </c>
      <c r="DW86" s="63">
        <v>6.6293300000000004</v>
      </c>
      <c r="DX86" s="63">
        <v>6.62399</v>
      </c>
      <c r="DY86" s="63">
        <v>6.6182999999999996</v>
      </c>
      <c r="DZ86" s="63">
        <v>6.6122399999999999</v>
      </c>
      <c r="EA86" s="63">
        <v>6.6058300000000001</v>
      </c>
      <c r="EB86" s="63">
        <v>6.5990700000000002</v>
      </c>
      <c r="EC86" s="63">
        <v>6.5919400000000001</v>
      </c>
      <c r="ED86" s="63">
        <v>6.58446</v>
      </c>
      <c r="EE86" s="63">
        <v>6.5766400000000003</v>
      </c>
      <c r="EF86" s="63">
        <v>6.5687100000000003</v>
      </c>
      <c r="EG86" s="63">
        <v>6.5222499999999997</v>
      </c>
      <c r="EH86" s="63">
        <v>6.4598300000000002</v>
      </c>
      <c r="EI86" s="63">
        <v>6.3953699999999998</v>
      </c>
      <c r="EJ86" s="63">
        <v>6.3277700000000001</v>
      </c>
      <c r="EK86" s="63">
        <v>6.2567700000000004</v>
      </c>
      <c r="EL86" s="63">
        <v>6.1825400000000004</v>
      </c>
      <c r="EM86" s="63">
        <v>6.1047799999999999</v>
      </c>
      <c r="EN86" s="63">
        <v>6.0232299999999999</v>
      </c>
      <c r="EO86" s="63">
        <v>5.9379600000000003</v>
      </c>
      <c r="EP86" s="63">
        <v>5.8487299999999998</v>
      </c>
      <c r="EQ86" s="63">
        <v>5.75502</v>
      </c>
      <c r="ER86" s="63">
        <v>5.65632</v>
      </c>
      <c r="ES86" s="63">
        <v>5.5789799999999996</v>
      </c>
      <c r="ET86" s="63">
        <v>5.5656999999999996</v>
      </c>
      <c r="EU86" s="63">
        <v>5.55185</v>
      </c>
      <c r="EV86" s="63">
        <v>5.5376200000000004</v>
      </c>
      <c r="EW86" s="63">
        <v>5.5230300000000003</v>
      </c>
      <c r="EX86" s="63">
        <v>5.5080600000000004</v>
      </c>
      <c r="EY86" s="63">
        <v>5.4927200000000003</v>
      </c>
      <c r="EZ86" s="63">
        <v>5.4770099999999999</v>
      </c>
      <c r="FA86" s="63">
        <v>5.4609300000000003</v>
      </c>
      <c r="FB86" s="63">
        <v>5.4444900000000001</v>
      </c>
      <c r="FC86" s="63">
        <v>5.4276600000000004</v>
      </c>
      <c r="FD86" s="63">
        <v>5.4104700000000001</v>
      </c>
      <c r="FE86" s="63">
        <v>5.3929099999999996</v>
      </c>
      <c r="FF86" s="63">
        <v>5.375</v>
      </c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pans="1:256" ht="6" customHeight="1" x14ac:dyDescent="0.25">
      <c r="A87" s="1"/>
      <c r="B87" s="10">
        <f>B86+1</f>
        <v>2</v>
      </c>
      <c r="C87" s="10">
        <v>0</v>
      </c>
      <c r="D87" s="10">
        <v>0</v>
      </c>
      <c r="E87" s="10">
        <v>0</v>
      </c>
      <c r="F87" s="27"/>
      <c r="G87" s="27" t="s">
        <v>45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63">
        <v>6.6666600000000003</v>
      </c>
      <c r="DJ87" s="63">
        <v>6.6662999999999997</v>
      </c>
      <c r="DK87" s="63">
        <v>6.6655899999999999</v>
      </c>
      <c r="DL87" s="63">
        <v>6.6645300000000001</v>
      </c>
      <c r="DM87" s="63">
        <v>6.6631099999999996</v>
      </c>
      <c r="DN87" s="63">
        <v>6.6613300000000004</v>
      </c>
      <c r="DO87" s="63">
        <v>6.6592000000000002</v>
      </c>
      <c r="DP87" s="63">
        <v>6.6567100000000003</v>
      </c>
      <c r="DQ87" s="63">
        <v>6.6538700000000004</v>
      </c>
      <c r="DR87" s="63">
        <v>6.6506699999999999</v>
      </c>
      <c r="DS87" s="63">
        <v>6.6471099999999996</v>
      </c>
      <c r="DT87" s="63">
        <v>6.6432000000000002</v>
      </c>
      <c r="DU87" s="63">
        <v>6.6389300000000002</v>
      </c>
      <c r="DV87" s="63">
        <v>6.6343100000000002</v>
      </c>
      <c r="DW87" s="63">
        <v>6.6293300000000004</v>
      </c>
      <c r="DX87" s="63">
        <v>6.62399</v>
      </c>
      <c r="DY87" s="63">
        <v>6.61829</v>
      </c>
      <c r="DZ87" s="63">
        <v>6.6122399999999999</v>
      </c>
      <c r="EA87" s="63">
        <v>6.6058300000000001</v>
      </c>
      <c r="EB87" s="63">
        <v>6.5990700000000002</v>
      </c>
      <c r="EC87" s="63">
        <v>6.5919400000000001</v>
      </c>
      <c r="ED87" s="63">
        <v>6.58446</v>
      </c>
      <c r="EE87" s="63">
        <v>6.5766400000000003</v>
      </c>
      <c r="EF87" s="63">
        <v>6.5686799999999996</v>
      </c>
      <c r="EG87" s="63">
        <v>6.5220399999999996</v>
      </c>
      <c r="EH87" s="63">
        <v>6.4597800000000003</v>
      </c>
      <c r="EI87" s="63">
        <v>6.3953100000000003</v>
      </c>
      <c r="EJ87" s="63">
        <v>6.3277000000000001</v>
      </c>
      <c r="EK87" s="63">
        <v>6.25671</v>
      </c>
      <c r="EL87" s="63">
        <v>6.1824700000000004</v>
      </c>
      <c r="EM87" s="63">
        <v>6.1047000000000002</v>
      </c>
      <c r="EN87" s="63">
        <v>6.0231599999999998</v>
      </c>
      <c r="EO87" s="63">
        <v>5.9378799999999998</v>
      </c>
      <c r="EP87" s="63">
        <v>5.8486399999999996</v>
      </c>
      <c r="EQ87" s="63">
        <v>5.75495</v>
      </c>
      <c r="ER87" s="63">
        <v>5.6565599999999998</v>
      </c>
      <c r="ES87" s="63">
        <v>5.5790199999999999</v>
      </c>
      <c r="ET87" s="63">
        <v>5.5656999999999996</v>
      </c>
      <c r="EU87" s="63">
        <v>5.55185</v>
      </c>
      <c r="EV87" s="63">
        <v>5.5376200000000004</v>
      </c>
      <c r="EW87" s="63">
        <v>5.5230300000000003</v>
      </c>
      <c r="EX87" s="63">
        <v>5.5080600000000004</v>
      </c>
      <c r="EY87" s="63">
        <v>5.4927200000000003</v>
      </c>
      <c r="EZ87" s="63">
        <v>5.4770099999999999</v>
      </c>
      <c r="FA87" s="63">
        <v>5.4609300000000003</v>
      </c>
      <c r="FB87" s="63">
        <v>5.4444800000000004</v>
      </c>
      <c r="FC87" s="63">
        <v>5.4276600000000004</v>
      </c>
      <c r="FD87" s="63">
        <v>5.4104700000000001</v>
      </c>
      <c r="FE87" s="63">
        <v>5.3929099999999996</v>
      </c>
      <c r="FF87" s="63">
        <v>5.375</v>
      </c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pans="1:256" ht="6" customHeight="1" x14ac:dyDescent="0.25">
      <c r="A88" s="1"/>
      <c r="B88" s="10">
        <f t="shared" ref="B88:B114" si="281">B87+1</f>
        <v>3</v>
      </c>
      <c r="C88" s="10">
        <v>0</v>
      </c>
      <c r="D88" s="10">
        <v>0</v>
      </c>
      <c r="E88" s="10">
        <v>0</v>
      </c>
      <c r="F88" s="27"/>
      <c r="G88" s="27" t="s">
        <v>45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63">
        <v>6.6666499999999997</v>
      </c>
      <c r="DJ88" s="63">
        <v>6.6662999999999997</v>
      </c>
      <c r="DK88" s="63">
        <v>6.6655899999999999</v>
      </c>
      <c r="DL88" s="63">
        <v>6.6645200000000004</v>
      </c>
      <c r="DM88" s="63">
        <v>6.6631</v>
      </c>
      <c r="DN88" s="63">
        <v>6.6613300000000004</v>
      </c>
      <c r="DO88" s="63">
        <v>6.6591899999999997</v>
      </c>
      <c r="DP88" s="63">
        <v>6.6567100000000003</v>
      </c>
      <c r="DQ88" s="63">
        <v>6.6538599999999999</v>
      </c>
      <c r="DR88" s="63">
        <v>6.6506600000000002</v>
      </c>
      <c r="DS88" s="63">
        <v>6.6471099999999996</v>
      </c>
      <c r="DT88" s="63">
        <v>6.6432000000000002</v>
      </c>
      <c r="DU88" s="63">
        <v>6.6389300000000002</v>
      </c>
      <c r="DV88" s="63">
        <v>6.6342999999999996</v>
      </c>
      <c r="DW88" s="63">
        <v>6.6293199999999999</v>
      </c>
      <c r="DX88" s="63">
        <v>6.62399</v>
      </c>
      <c r="DY88" s="63">
        <v>6.61829</v>
      </c>
      <c r="DZ88" s="63">
        <v>6.6122399999999999</v>
      </c>
      <c r="EA88" s="63">
        <v>6.6058300000000001</v>
      </c>
      <c r="EB88" s="63">
        <v>6.5990599999999997</v>
      </c>
      <c r="EC88" s="63">
        <v>6.5919400000000001</v>
      </c>
      <c r="ED88" s="63">
        <v>6.58446</v>
      </c>
      <c r="EE88" s="63">
        <v>6.5766299999999998</v>
      </c>
      <c r="EF88" s="63">
        <v>6.5683499999999997</v>
      </c>
      <c r="EG88" s="63">
        <v>6.5217599999999996</v>
      </c>
      <c r="EH88" s="63">
        <v>6.4597300000000004</v>
      </c>
      <c r="EI88" s="63">
        <v>6.3952499999999999</v>
      </c>
      <c r="EJ88" s="63">
        <v>6.3276399999999997</v>
      </c>
      <c r="EK88" s="63">
        <v>6.2566499999999996</v>
      </c>
      <c r="EL88" s="63">
        <v>6.1824000000000003</v>
      </c>
      <c r="EM88" s="63">
        <v>6.1046399999999998</v>
      </c>
      <c r="EN88" s="63">
        <v>6.0230899999999998</v>
      </c>
      <c r="EO88" s="63">
        <v>5.9378099999999998</v>
      </c>
      <c r="EP88" s="63">
        <v>5.8485699999999996</v>
      </c>
      <c r="EQ88" s="63">
        <v>5.7548899999999996</v>
      </c>
      <c r="ER88" s="63">
        <v>5.65693</v>
      </c>
      <c r="ES88" s="63">
        <v>5.5795700000000004</v>
      </c>
      <c r="ET88" s="63">
        <v>5.5657199999999998</v>
      </c>
      <c r="EU88" s="63">
        <v>5.55185</v>
      </c>
      <c r="EV88" s="63">
        <v>5.5376200000000004</v>
      </c>
      <c r="EW88" s="63">
        <v>5.5230199999999998</v>
      </c>
      <c r="EX88" s="63">
        <v>5.5080499999999999</v>
      </c>
      <c r="EY88" s="63">
        <v>5.4927099999999998</v>
      </c>
      <c r="EZ88" s="63">
        <v>5.4770099999999999</v>
      </c>
      <c r="FA88" s="63">
        <v>5.4609300000000003</v>
      </c>
      <c r="FB88" s="63">
        <v>5.4444800000000004</v>
      </c>
      <c r="FC88" s="63">
        <v>5.4276600000000004</v>
      </c>
      <c r="FD88" s="63">
        <v>5.4104700000000001</v>
      </c>
      <c r="FE88" s="63">
        <v>5.3929099999999996</v>
      </c>
      <c r="FF88" s="63">
        <v>5.375</v>
      </c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pans="1:256" ht="6" customHeight="1" x14ac:dyDescent="0.25">
      <c r="A89" s="1"/>
      <c r="B89" s="10">
        <f t="shared" si="281"/>
        <v>4</v>
      </c>
      <c r="C89" s="10">
        <v>0</v>
      </c>
      <c r="D89" s="10">
        <v>0</v>
      </c>
      <c r="E89" s="10">
        <v>0</v>
      </c>
      <c r="F89" s="27"/>
      <c r="G89" s="27" t="s">
        <v>45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63">
        <v>6.6666499999999997</v>
      </c>
      <c r="DJ89" s="63">
        <v>6.66629</v>
      </c>
      <c r="DK89" s="63">
        <v>6.6655800000000003</v>
      </c>
      <c r="DL89" s="63">
        <v>6.6645200000000004</v>
      </c>
      <c r="DM89" s="63">
        <v>6.6631</v>
      </c>
      <c r="DN89" s="63">
        <v>6.6613199999999999</v>
      </c>
      <c r="DO89" s="63">
        <v>6.6591899999999997</v>
      </c>
      <c r="DP89" s="63">
        <v>6.6566999999999998</v>
      </c>
      <c r="DQ89" s="63">
        <v>6.6538599999999999</v>
      </c>
      <c r="DR89" s="63">
        <v>6.6506600000000002</v>
      </c>
      <c r="DS89" s="63">
        <v>6.6471</v>
      </c>
      <c r="DT89" s="63">
        <v>6.6431899999999997</v>
      </c>
      <c r="DU89" s="63">
        <v>6.6389199999999997</v>
      </c>
      <c r="DV89" s="63">
        <v>6.6342999999999996</v>
      </c>
      <c r="DW89" s="63">
        <v>6.6293199999999999</v>
      </c>
      <c r="DX89" s="63">
        <v>6.6239800000000004</v>
      </c>
      <c r="DY89" s="63">
        <v>6.61829</v>
      </c>
      <c r="DZ89" s="63">
        <v>6.6122300000000003</v>
      </c>
      <c r="EA89" s="63">
        <v>6.6058199999999996</v>
      </c>
      <c r="EB89" s="63">
        <v>6.5990599999999997</v>
      </c>
      <c r="EC89" s="63">
        <v>6.5919299999999996</v>
      </c>
      <c r="ED89" s="63">
        <v>6.5844500000000004</v>
      </c>
      <c r="EE89" s="63">
        <v>6.5766</v>
      </c>
      <c r="EF89" s="63">
        <v>6.5678000000000001</v>
      </c>
      <c r="EG89" s="63">
        <v>6.5215300000000003</v>
      </c>
      <c r="EH89" s="63">
        <v>6.4596799999999996</v>
      </c>
      <c r="EI89" s="63">
        <v>6.3952099999999996</v>
      </c>
      <c r="EJ89" s="63">
        <v>6.3275899999999998</v>
      </c>
      <c r="EK89" s="63">
        <v>6.2565999999999997</v>
      </c>
      <c r="EL89" s="63">
        <v>6.1823499999999996</v>
      </c>
      <c r="EM89" s="63">
        <v>6.1045800000000003</v>
      </c>
      <c r="EN89" s="63">
        <v>6.0230399999999999</v>
      </c>
      <c r="EO89" s="63">
        <v>5.9377500000000003</v>
      </c>
      <c r="EP89" s="63">
        <v>5.8484999999999996</v>
      </c>
      <c r="EQ89" s="63">
        <v>5.7548399999999997</v>
      </c>
      <c r="ER89" s="63">
        <v>5.6572500000000003</v>
      </c>
      <c r="ES89" s="63">
        <v>5.58047</v>
      </c>
      <c r="ET89" s="63">
        <v>5.5657500000000004</v>
      </c>
      <c r="EU89" s="63">
        <v>5.55185</v>
      </c>
      <c r="EV89" s="63">
        <v>5.5376099999999999</v>
      </c>
      <c r="EW89" s="63">
        <v>5.5230199999999998</v>
      </c>
      <c r="EX89" s="63">
        <v>5.5080499999999999</v>
      </c>
      <c r="EY89" s="63">
        <v>5.4927099999999998</v>
      </c>
      <c r="EZ89" s="63">
        <v>5.4770000000000003</v>
      </c>
      <c r="FA89" s="63">
        <v>5.4609199999999998</v>
      </c>
      <c r="FB89" s="63">
        <v>5.4444699999999999</v>
      </c>
      <c r="FC89" s="63">
        <v>5.4276499999999999</v>
      </c>
      <c r="FD89" s="63">
        <v>5.4104599999999996</v>
      </c>
      <c r="FE89" s="63">
        <v>5.3929</v>
      </c>
      <c r="FF89" s="63">
        <v>5.375</v>
      </c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pans="1:256" ht="6" customHeight="1" x14ac:dyDescent="0.25">
      <c r="A90" s="1"/>
      <c r="B90" s="10">
        <f t="shared" si="281"/>
        <v>5</v>
      </c>
      <c r="C90" s="10">
        <v>0</v>
      </c>
      <c r="D90" s="10">
        <v>0</v>
      </c>
      <c r="E90" s="10">
        <v>0</v>
      </c>
      <c r="F90" s="27"/>
      <c r="G90" s="27" t="s">
        <v>45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63">
        <v>6.6666400000000001</v>
      </c>
      <c r="DJ90" s="63">
        <v>6.66629</v>
      </c>
      <c r="DK90" s="63">
        <v>6.6655800000000003</v>
      </c>
      <c r="DL90" s="63">
        <v>6.6645099999999999</v>
      </c>
      <c r="DM90" s="63">
        <v>6.6630900000000004</v>
      </c>
      <c r="DN90" s="63">
        <v>6.6613199999999999</v>
      </c>
      <c r="DO90" s="63">
        <v>6.6591800000000001</v>
      </c>
      <c r="DP90" s="63">
        <v>6.6566999999999998</v>
      </c>
      <c r="DQ90" s="63">
        <v>6.6538500000000003</v>
      </c>
      <c r="DR90" s="63">
        <v>6.6506499999999997</v>
      </c>
      <c r="DS90" s="63">
        <v>6.6471</v>
      </c>
      <c r="DT90" s="63">
        <v>6.6431899999999997</v>
      </c>
      <c r="DU90" s="63">
        <v>6.6389199999999997</v>
      </c>
      <c r="DV90" s="63">
        <v>6.63429</v>
      </c>
      <c r="DW90" s="63">
        <v>6.6293100000000003</v>
      </c>
      <c r="DX90" s="63">
        <v>6.6239800000000004</v>
      </c>
      <c r="DY90" s="63">
        <v>6.6182800000000004</v>
      </c>
      <c r="DZ90" s="63">
        <v>6.6122300000000003</v>
      </c>
      <c r="EA90" s="63">
        <v>6.6058199999999996</v>
      </c>
      <c r="EB90" s="63">
        <v>6.5990500000000001</v>
      </c>
      <c r="EC90" s="63">
        <v>6.5919299999999996</v>
      </c>
      <c r="ED90" s="63">
        <v>6.5844500000000004</v>
      </c>
      <c r="EE90" s="63">
        <v>6.5765799999999999</v>
      </c>
      <c r="EF90" s="63">
        <v>6.5673500000000002</v>
      </c>
      <c r="EG90" s="63">
        <v>6.5213299999999998</v>
      </c>
      <c r="EH90" s="63">
        <v>6.4596499999999999</v>
      </c>
      <c r="EI90" s="63">
        <v>6.3951700000000002</v>
      </c>
      <c r="EJ90" s="63">
        <v>6.3275499999999996</v>
      </c>
      <c r="EK90" s="63">
        <v>6.2565600000000003</v>
      </c>
      <c r="EL90" s="63">
        <v>6.1823100000000002</v>
      </c>
      <c r="EM90" s="63">
        <v>6.1045299999999996</v>
      </c>
      <c r="EN90" s="63">
        <v>6.0229900000000001</v>
      </c>
      <c r="EO90" s="63">
        <v>5.9377000000000004</v>
      </c>
      <c r="EP90" s="63">
        <v>5.8484499999999997</v>
      </c>
      <c r="EQ90" s="63">
        <v>5.7547899999999998</v>
      </c>
      <c r="ER90" s="63">
        <v>5.6575100000000003</v>
      </c>
      <c r="ES90" s="63">
        <v>5.5812200000000001</v>
      </c>
      <c r="ET90" s="63">
        <v>5.5657800000000002</v>
      </c>
      <c r="EU90" s="63">
        <v>5.5518400000000003</v>
      </c>
      <c r="EV90" s="63">
        <v>5.5376099999999999</v>
      </c>
      <c r="EW90" s="63">
        <v>5.5230100000000002</v>
      </c>
      <c r="EX90" s="63">
        <v>5.5080400000000003</v>
      </c>
      <c r="EY90" s="63">
        <v>5.4927000000000001</v>
      </c>
      <c r="EZ90" s="63">
        <v>5.4770000000000003</v>
      </c>
      <c r="FA90" s="63">
        <v>5.4609199999999998</v>
      </c>
      <c r="FB90" s="63">
        <v>5.4444699999999999</v>
      </c>
      <c r="FC90" s="63">
        <v>5.4276499999999999</v>
      </c>
      <c r="FD90" s="63">
        <v>5.4104599999999996</v>
      </c>
      <c r="FE90" s="63">
        <v>5.3929</v>
      </c>
      <c r="FF90" s="63">
        <v>5.375</v>
      </c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pans="1:256" ht="6" customHeight="1" x14ac:dyDescent="0.25">
      <c r="A91" s="1"/>
      <c r="B91" s="10">
        <f t="shared" si="281"/>
        <v>6</v>
      </c>
      <c r="C91" s="10">
        <v>0</v>
      </c>
      <c r="D91" s="10">
        <v>0</v>
      </c>
      <c r="E91" s="10">
        <v>0</v>
      </c>
      <c r="F91" s="27"/>
      <c r="G91" s="27" t="s">
        <v>45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63">
        <v>6.6666400000000001</v>
      </c>
      <c r="DJ91" s="63">
        <v>6.66629</v>
      </c>
      <c r="DK91" s="63">
        <v>6.6655800000000003</v>
      </c>
      <c r="DL91" s="63">
        <v>6.6645099999999999</v>
      </c>
      <c r="DM91" s="63">
        <v>6.6630900000000004</v>
      </c>
      <c r="DN91" s="63">
        <v>6.6613100000000003</v>
      </c>
      <c r="DO91" s="63">
        <v>6.6591800000000001</v>
      </c>
      <c r="DP91" s="63">
        <v>6.6566900000000002</v>
      </c>
      <c r="DQ91" s="63">
        <v>6.6538500000000003</v>
      </c>
      <c r="DR91" s="63">
        <v>6.6506499999999997</v>
      </c>
      <c r="DS91" s="63">
        <v>6.6471</v>
      </c>
      <c r="DT91" s="63">
        <v>6.6431800000000001</v>
      </c>
      <c r="DU91" s="63">
        <v>6.6389199999999997</v>
      </c>
      <c r="DV91" s="63">
        <v>6.63429</v>
      </c>
      <c r="DW91" s="63">
        <v>6.6293100000000003</v>
      </c>
      <c r="DX91" s="63">
        <v>6.6239699999999999</v>
      </c>
      <c r="DY91" s="63">
        <v>6.6182800000000004</v>
      </c>
      <c r="DZ91" s="63">
        <v>6.6122300000000003</v>
      </c>
      <c r="EA91" s="63">
        <v>6.6058199999999996</v>
      </c>
      <c r="EB91" s="63">
        <v>6.5990500000000001</v>
      </c>
      <c r="EC91" s="63">
        <v>6.59192</v>
      </c>
      <c r="ED91" s="63">
        <v>6.5844399999999998</v>
      </c>
      <c r="EE91" s="63">
        <v>6.5765599999999997</v>
      </c>
      <c r="EF91" s="63">
        <v>6.5670000000000002</v>
      </c>
      <c r="EG91" s="63">
        <v>6.5211699999999997</v>
      </c>
      <c r="EH91" s="63">
        <v>6.4596200000000001</v>
      </c>
      <c r="EI91" s="63">
        <v>6.39513</v>
      </c>
      <c r="EJ91" s="63">
        <v>6.3275199999999998</v>
      </c>
      <c r="EK91" s="63">
        <v>6.2565299999999997</v>
      </c>
      <c r="EL91" s="63">
        <v>6.1822699999999999</v>
      </c>
      <c r="EM91" s="63">
        <v>6.1044999999999998</v>
      </c>
      <c r="EN91" s="63">
        <v>6.0229499999999998</v>
      </c>
      <c r="EO91" s="63">
        <v>5.9376600000000002</v>
      </c>
      <c r="EP91" s="63">
        <v>5.8483999999999998</v>
      </c>
      <c r="EQ91" s="63">
        <v>5.7547600000000001</v>
      </c>
      <c r="ER91" s="63">
        <v>5.6577299999999999</v>
      </c>
      <c r="ES91" s="63">
        <v>5.5818099999999999</v>
      </c>
      <c r="ET91" s="63">
        <v>5.5658000000000003</v>
      </c>
      <c r="EU91" s="63">
        <v>5.5518400000000003</v>
      </c>
      <c r="EV91" s="63">
        <v>5.5376099999999999</v>
      </c>
      <c r="EW91" s="63">
        <v>5.5230100000000002</v>
      </c>
      <c r="EX91" s="63">
        <v>5.5080400000000003</v>
      </c>
      <c r="EY91" s="63">
        <v>5.4927000000000001</v>
      </c>
      <c r="EZ91" s="63">
        <v>5.4769899999999998</v>
      </c>
      <c r="FA91" s="63">
        <v>5.4609199999999998</v>
      </c>
      <c r="FB91" s="63">
        <v>5.4444699999999999</v>
      </c>
      <c r="FC91" s="63">
        <v>5.4276499999999999</v>
      </c>
      <c r="FD91" s="63">
        <v>5.41045</v>
      </c>
      <c r="FE91" s="63">
        <v>5.3928900000000004</v>
      </c>
      <c r="FF91" s="63">
        <v>5.375</v>
      </c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pans="1:256" ht="6" customHeight="1" x14ac:dyDescent="0.25">
      <c r="A92" s="1"/>
      <c r="B92" s="10">
        <f t="shared" si="281"/>
        <v>7</v>
      </c>
      <c r="C92" s="10">
        <v>0</v>
      </c>
      <c r="D92" s="10">
        <v>0</v>
      </c>
      <c r="E92" s="10">
        <v>0</v>
      </c>
      <c r="F92" s="27"/>
      <c r="G92" s="27" t="s">
        <v>45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63">
        <v>6.6666400000000001</v>
      </c>
      <c r="DJ92" s="63">
        <v>6.6662800000000004</v>
      </c>
      <c r="DK92" s="63">
        <v>6.6655699999999998</v>
      </c>
      <c r="DL92" s="63">
        <v>6.6645099999999999</v>
      </c>
      <c r="DM92" s="63">
        <v>6.6630900000000004</v>
      </c>
      <c r="DN92" s="63">
        <v>6.6613100000000003</v>
      </c>
      <c r="DO92" s="63">
        <v>6.6591800000000001</v>
      </c>
      <c r="DP92" s="63">
        <v>6.6566900000000002</v>
      </c>
      <c r="DQ92" s="63">
        <v>6.6538500000000003</v>
      </c>
      <c r="DR92" s="63">
        <v>6.6506499999999997</v>
      </c>
      <c r="DS92" s="63">
        <v>6.6470900000000004</v>
      </c>
      <c r="DT92" s="63">
        <v>6.6431800000000001</v>
      </c>
      <c r="DU92" s="63">
        <v>6.6389100000000001</v>
      </c>
      <c r="DV92" s="63">
        <v>6.63429</v>
      </c>
      <c r="DW92" s="63">
        <v>6.6293100000000003</v>
      </c>
      <c r="DX92" s="63">
        <v>6.6239699999999999</v>
      </c>
      <c r="DY92" s="63">
        <v>6.6182699999999999</v>
      </c>
      <c r="DZ92" s="63">
        <v>6.6122199999999998</v>
      </c>
      <c r="EA92" s="63">
        <v>6.60581</v>
      </c>
      <c r="EB92" s="63">
        <v>6.5990500000000001</v>
      </c>
      <c r="EC92" s="63">
        <v>6.59192</v>
      </c>
      <c r="ED92" s="63">
        <v>6.5844399999999998</v>
      </c>
      <c r="EE92" s="63">
        <v>6.5765500000000001</v>
      </c>
      <c r="EF92" s="63">
        <v>6.5667299999999997</v>
      </c>
      <c r="EG92" s="63">
        <v>6.5210499999999998</v>
      </c>
      <c r="EH92" s="63">
        <v>6.4595900000000004</v>
      </c>
      <c r="EI92" s="63">
        <v>6.3951099999999999</v>
      </c>
      <c r="EJ92" s="63">
        <v>6.3274900000000001</v>
      </c>
      <c r="EK92" s="63">
        <v>6.2565</v>
      </c>
      <c r="EL92" s="63">
        <v>6.1822499999999998</v>
      </c>
      <c r="EM92" s="63">
        <v>6.1044700000000001</v>
      </c>
      <c r="EN92" s="63">
        <v>6.0229200000000001</v>
      </c>
      <c r="EO92" s="63">
        <v>5.9376300000000004</v>
      </c>
      <c r="EP92" s="63">
        <v>5.8483700000000001</v>
      </c>
      <c r="EQ92" s="63">
        <v>5.75474</v>
      </c>
      <c r="ER92" s="63">
        <v>5.6578900000000001</v>
      </c>
      <c r="ES92" s="63">
        <v>5.5822500000000002</v>
      </c>
      <c r="ET92" s="63">
        <v>5.5658200000000004</v>
      </c>
      <c r="EU92" s="63">
        <v>5.5518400000000003</v>
      </c>
      <c r="EV92" s="63">
        <v>5.5376000000000003</v>
      </c>
      <c r="EW92" s="63">
        <v>5.5230100000000002</v>
      </c>
      <c r="EX92" s="63">
        <v>5.5080400000000003</v>
      </c>
      <c r="EY92" s="63">
        <v>5.4927000000000001</v>
      </c>
      <c r="EZ92" s="63">
        <v>5.4769899999999998</v>
      </c>
      <c r="FA92" s="63">
        <v>5.4609100000000002</v>
      </c>
      <c r="FB92" s="63">
        <v>5.4444600000000003</v>
      </c>
      <c r="FC92" s="63">
        <v>5.4276400000000002</v>
      </c>
      <c r="FD92" s="63">
        <v>5.41045</v>
      </c>
      <c r="FE92" s="63">
        <v>5.3928900000000004</v>
      </c>
      <c r="FF92" s="63">
        <v>5.375</v>
      </c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pans="1:256" ht="6" customHeight="1" x14ac:dyDescent="0.25">
      <c r="A93" s="1"/>
      <c r="B93" s="10">
        <f t="shared" si="281"/>
        <v>8</v>
      </c>
      <c r="C93" s="10">
        <v>0</v>
      </c>
      <c r="D93" s="10">
        <v>0</v>
      </c>
      <c r="E93" s="10">
        <v>0</v>
      </c>
      <c r="F93" s="27"/>
      <c r="G93" s="27" t="s">
        <v>45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63">
        <v>6.6666400000000001</v>
      </c>
      <c r="DJ93" s="63">
        <v>6.6662800000000004</v>
      </c>
      <c r="DK93" s="63">
        <v>6.6655699999999998</v>
      </c>
      <c r="DL93" s="63">
        <v>6.6645099999999999</v>
      </c>
      <c r="DM93" s="63">
        <v>6.6630799999999999</v>
      </c>
      <c r="DN93" s="63">
        <v>6.6613100000000003</v>
      </c>
      <c r="DO93" s="63">
        <v>6.6591800000000001</v>
      </c>
      <c r="DP93" s="63">
        <v>6.6566900000000002</v>
      </c>
      <c r="DQ93" s="63">
        <v>6.6538500000000003</v>
      </c>
      <c r="DR93" s="63">
        <v>6.6506499999999997</v>
      </c>
      <c r="DS93" s="63">
        <v>6.6470900000000004</v>
      </c>
      <c r="DT93" s="63">
        <v>6.6431800000000001</v>
      </c>
      <c r="DU93" s="63">
        <v>6.6389100000000001</v>
      </c>
      <c r="DV93" s="63">
        <v>6.63429</v>
      </c>
      <c r="DW93" s="63">
        <v>6.6293100000000003</v>
      </c>
      <c r="DX93" s="63">
        <v>6.6239699999999999</v>
      </c>
      <c r="DY93" s="63">
        <v>6.6182699999999999</v>
      </c>
      <c r="DZ93" s="63">
        <v>6.6122199999999998</v>
      </c>
      <c r="EA93" s="63">
        <v>6.60581</v>
      </c>
      <c r="EB93" s="63">
        <v>6.5990399999999996</v>
      </c>
      <c r="EC93" s="63">
        <v>6.59192</v>
      </c>
      <c r="ED93" s="63">
        <v>6.5844399999999998</v>
      </c>
      <c r="EE93" s="63">
        <v>6.57653</v>
      </c>
      <c r="EF93" s="63">
        <v>6.5665500000000003</v>
      </c>
      <c r="EG93" s="63">
        <v>6.5209700000000002</v>
      </c>
      <c r="EH93" s="63">
        <v>6.4595799999999999</v>
      </c>
      <c r="EI93" s="63">
        <v>6.3951000000000002</v>
      </c>
      <c r="EJ93" s="63">
        <v>6.3274699999999999</v>
      </c>
      <c r="EK93" s="63">
        <v>6.2564900000000003</v>
      </c>
      <c r="EL93" s="63">
        <v>6.1822299999999997</v>
      </c>
      <c r="EM93" s="63">
        <v>6.1044499999999999</v>
      </c>
      <c r="EN93" s="63">
        <v>6.0228999999999999</v>
      </c>
      <c r="EO93" s="63">
        <v>5.9376100000000003</v>
      </c>
      <c r="EP93" s="63">
        <v>5.8483499999999999</v>
      </c>
      <c r="EQ93" s="63">
        <v>5.7547199999999998</v>
      </c>
      <c r="ER93" s="63">
        <v>5.6579899999999999</v>
      </c>
      <c r="ES93" s="63">
        <v>5.5825399999999998</v>
      </c>
      <c r="ET93" s="63">
        <v>5.5658399999999997</v>
      </c>
      <c r="EU93" s="63">
        <v>5.5518400000000003</v>
      </c>
      <c r="EV93" s="63">
        <v>5.5376000000000003</v>
      </c>
      <c r="EW93" s="63">
        <v>5.5229999999999997</v>
      </c>
      <c r="EX93" s="63">
        <v>5.5080299999999998</v>
      </c>
      <c r="EY93" s="63">
        <v>5.4927000000000001</v>
      </c>
      <c r="EZ93" s="63">
        <v>5.4769899999999998</v>
      </c>
      <c r="FA93" s="63">
        <v>5.4609100000000002</v>
      </c>
      <c r="FB93" s="63">
        <v>5.4444600000000003</v>
      </c>
      <c r="FC93" s="63">
        <v>5.4276400000000002</v>
      </c>
      <c r="FD93" s="63">
        <v>5.41045</v>
      </c>
      <c r="FE93" s="63">
        <v>5.3928900000000004</v>
      </c>
      <c r="FF93" s="63">
        <v>5.375</v>
      </c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pans="1:256" ht="6" customHeight="1" x14ac:dyDescent="0.25">
      <c r="A94" s="1"/>
      <c r="B94" s="10">
        <f t="shared" si="281"/>
        <v>9</v>
      </c>
      <c r="C94" s="10">
        <v>0</v>
      </c>
      <c r="D94" s="10">
        <v>0</v>
      </c>
      <c r="E94" s="10">
        <v>0</v>
      </c>
      <c r="F94" s="27"/>
      <c r="G94" s="27" t="s">
        <v>45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63">
        <v>6.6666400000000001</v>
      </c>
      <c r="DJ94" s="63">
        <v>6.6662800000000004</v>
      </c>
      <c r="DK94" s="63">
        <v>6.6655699999999998</v>
      </c>
      <c r="DL94" s="63">
        <v>6.6645000000000003</v>
      </c>
      <c r="DM94" s="63">
        <v>6.6630799999999999</v>
      </c>
      <c r="DN94" s="63">
        <v>6.6613100000000003</v>
      </c>
      <c r="DO94" s="63">
        <v>6.6591800000000001</v>
      </c>
      <c r="DP94" s="63">
        <v>6.6566900000000002</v>
      </c>
      <c r="DQ94" s="63">
        <v>6.6538399999999998</v>
      </c>
      <c r="DR94" s="63">
        <v>6.6506499999999997</v>
      </c>
      <c r="DS94" s="63">
        <v>6.6470900000000004</v>
      </c>
      <c r="DT94" s="63">
        <v>6.6431800000000001</v>
      </c>
      <c r="DU94" s="63">
        <v>6.6389100000000001</v>
      </c>
      <c r="DV94" s="63">
        <v>6.63429</v>
      </c>
      <c r="DW94" s="63">
        <v>6.6292999999999997</v>
      </c>
      <c r="DX94" s="63">
        <v>6.6239699999999999</v>
      </c>
      <c r="DY94" s="63">
        <v>6.6182699999999999</v>
      </c>
      <c r="DZ94" s="63">
        <v>6.6122199999999998</v>
      </c>
      <c r="EA94" s="63">
        <v>6.60581</v>
      </c>
      <c r="EB94" s="63">
        <v>6.5990399999999996</v>
      </c>
      <c r="EC94" s="63">
        <v>6.59192</v>
      </c>
      <c r="ED94" s="63">
        <v>6.5844399999999998</v>
      </c>
      <c r="EE94" s="63">
        <v>6.57653</v>
      </c>
      <c r="EF94" s="63">
        <v>6.5664600000000002</v>
      </c>
      <c r="EG94" s="63">
        <v>6.5209400000000004</v>
      </c>
      <c r="EH94" s="63">
        <v>6.4595700000000003</v>
      </c>
      <c r="EI94" s="63">
        <v>6.3950899999999997</v>
      </c>
      <c r="EJ94" s="63">
        <v>6.3274699999999999</v>
      </c>
      <c r="EK94" s="63">
        <v>6.2564799999999998</v>
      </c>
      <c r="EL94" s="63">
        <v>6.18222</v>
      </c>
      <c r="EM94" s="63">
        <v>6.1044400000000003</v>
      </c>
      <c r="EN94" s="63">
        <v>6.0228900000000003</v>
      </c>
      <c r="EO94" s="63">
        <v>5.9375999999999998</v>
      </c>
      <c r="EP94" s="63">
        <v>5.8483400000000003</v>
      </c>
      <c r="EQ94" s="63">
        <v>5.7547199999999998</v>
      </c>
      <c r="ER94" s="63">
        <v>5.6580500000000002</v>
      </c>
      <c r="ES94" s="63">
        <v>5.5826900000000004</v>
      </c>
      <c r="ET94" s="63">
        <v>5.5658500000000002</v>
      </c>
      <c r="EU94" s="63">
        <v>5.5518400000000003</v>
      </c>
      <c r="EV94" s="63">
        <v>5.5376000000000003</v>
      </c>
      <c r="EW94" s="63">
        <v>5.5229999999999997</v>
      </c>
      <c r="EX94" s="63">
        <v>5.5080299999999998</v>
      </c>
      <c r="EY94" s="63">
        <v>5.4927000000000001</v>
      </c>
      <c r="EZ94" s="63">
        <v>5.4769899999999998</v>
      </c>
      <c r="FA94" s="63">
        <v>5.4609100000000002</v>
      </c>
      <c r="FB94" s="63">
        <v>5.4444600000000003</v>
      </c>
      <c r="FC94" s="63">
        <v>5.4276400000000002</v>
      </c>
      <c r="FD94" s="63">
        <v>5.41045</v>
      </c>
      <c r="FE94" s="63">
        <v>5.3928900000000004</v>
      </c>
      <c r="FF94" s="63">
        <v>5.375</v>
      </c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pans="1:256" ht="6" customHeight="1" x14ac:dyDescent="0.25">
      <c r="A95" s="1"/>
      <c r="B95" s="10">
        <f t="shared" si="281"/>
        <v>10</v>
      </c>
      <c r="C95" s="10">
        <v>0</v>
      </c>
      <c r="D95" s="10">
        <v>0</v>
      </c>
      <c r="E95" s="10">
        <v>0</v>
      </c>
      <c r="F95" s="27"/>
      <c r="G95" s="27" t="s">
        <v>45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pans="1:256" ht="6" customHeight="1" x14ac:dyDescent="0.25">
      <c r="A96" s="1"/>
      <c r="B96" s="10">
        <f t="shared" si="281"/>
        <v>11</v>
      </c>
      <c r="C96" s="10">
        <v>0</v>
      </c>
      <c r="D96" s="10">
        <v>0</v>
      </c>
      <c r="E96" s="10">
        <v>0</v>
      </c>
      <c r="F96" s="27"/>
      <c r="G96" s="27" t="s">
        <v>45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22" t="s">
        <v>55</v>
      </c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pans="1:336" ht="6" customHeight="1" x14ac:dyDescent="0.25">
      <c r="A97" s="1"/>
      <c r="B97" s="10">
        <f t="shared" si="281"/>
        <v>12</v>
      </c>
      <c r="C97" s="10">
        <v>0</v>
      </c>
      <c r="D97" s="10">
        <v>0</v>
      </c>
      <c r="E97" s="10">
        <v>0</v>
      </c>
      <c r="F97" s="27"/>
      <c r="G97" s="27" t="s">
        <v>45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61">
        <f>DU60</f>
        <v>1</v>
      </c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pans="1:336" ht="6" customHeight="1" x14ac:dyDescent="0.25">
      <c r="A98" s="1"/>
      <c r="B98" s="10">
        <f t="shared" si="281"/>
        <v>13</v>
      </c>
      <c r="C98" s="10">
        <v>0</v>
      </c>
      <c r="D98" s="10">
        <v>0</v>
      </c>
      <c r="E98" s="10">
        <v>0</v>
      </c>
      <c r="F98" s="27"/>
      <c r="G98" s="27" t="s">
        <v>45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61">
        <f>EW42</f>
        <v>0</v>
      </c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pans="1:336" ht="6" customHeight="1" x14ac:dyDescent="0.25">
      <c r="A99" s="1"/>
      <c r="B99" s="10">
        <f t="shared" si="281"/>
        <v>14</v>
      </c>
      <c r="C99" s="10">
        <v>0</v>
      </c>
      <c r="D99" s="10">
        <v>0</v>
      </c>
      <c r="E99" s="10">
        <v>0</v>
      </c>
      <c r="F99" s="27"/>
      <c r="G99" s="27" t="s">
        <v>45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61">
        <f>FF53</f>
        <v>-1</v>
      </c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pans="1:336" ht="6" customHeight="1" x14ac:dyDescent="0.25">
      <c r="A100" s="1"/>
      <c r="B100" s="10">
        <f t="shared" si="281"/>
        <v>15</v>
      </c>
      <c r="C100" s="10">
        <v>0</v>
      </c>
      <c r="D100" s="10">
        <v>0</v>
      </c>
      <c r="E100" s="10">
        <v>0</v>
      </c>
      <c r="F100" s="27"/>
      <c r="G100" s="27" t="s">
        <v>45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pans="1:336" ht="6" customHeight="1" x14ac:dyDescent="0.25">
      <c r="A101" s="1"/>
      <c r="B101" s="10">
        <f t="shared" si="281"/>
        <v>16</v>
      </c>
      <c r="C101" s="10">
        <v>0</v>
      </c>
      <c r="D101" s="10">
        <v>0</v>
      </c>
      <c r="E101" s="10">
        <v>0</v>
      </c>
      <c r="F101" s="27"/>
      <c r="G101" s="27" t="s">
        <v>45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pans="1:336" ht="6" customHeight="1" x14ac:dyDescent="0.25">
      <c r="A102" s="1"/>
      <c r="B102" s="10">
        <f t="shared" si="281"/>
        <v>17</v>
      </c>
      <c r="C102" s="10">
        <v>0</v>
      </c>
      <c r="D102" s="10">
        <v>0</v>
      </c>
      <c r="E102" s="10">
        <v>0</v>
      </c>
      <c r="F102" s="27"/>
      <c r="G102" s="27" t="s">
        <v>45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pans="1:336" ht="6" customHeight="1" x14ac:dyDescent="0.25">
      <c r="A103" s="1"/>
      <c r="B103" s="10">
        <f t="shared" si="281"/>
        <v>18</v>
      </c>
      <c r="C103" s="10">
        <v>0</v>
      </c>
      <c r="D103" s="10">
        <v>0</v>
      </c>
      <c r="E103" s="10">
        <v>0</v>
      </c>
      <c r="F103" s="27"/>
      <c r="G103" s="27" t="s">
        <v>45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pans="1:336" ht="6" customHeight="1" x14ac:dyDescent="0.25">
      <c r="A104" s="1"/>
      <c r="B104" s="10">
        <f t="shared" si="281"/>
        <v>19</v>
      </c>
      <c r="C104" s="10">
        <v>0</v>
      </c>
      <c r="D104" s="10">
        <v>0</v>
      </c>
      <c r="E104" s="10">
        <v>0</v>
      </c>
      <c r="F104" s="27"/>
      <c r="G104" s="27" t="s">
        <v>45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pans="1:336" ht="6" customHeight="1" x14ac:dyDescent="0.25">
      <c r="A105" s="1"/>
      <c r="B105" s="10">
        <f t="shared" si="281"/>
        <v>20</v>
      </c>
      <c r="C105" s="10">
        <v>0</v>
      </c>
      <c r="D105" s="10">
        <v>0</v>
      </c>
      <c r="E105" s="10">
        <v>0</v>
      </c>
      <c r="F105" s="27"/>
      <c r="G105" s="27" t="s">
        <v>45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pans="1:336" ht="6" customHeight="1" x14ac:dyDescent="0.25">
      <c r="A106" s="1"/>
      <c r="B106" s="10">
        <f t="shared" si="281"/>
        <v>21</v>
      </c>
      <c r="C106" s="10">
        <v>0</v>
      </c>
      <c r="D106" s="10">
        <v>0</v>
      </c>
      <c r="E106" s="10">
        <v>0</v>
      </c>
      <c r="F106" s="27"/>
      <c r="G106" s="27" t="s">
        <v>45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pans="1:336" ht="6" customHeight="1" x14ac:dyDescent="0.25">
      <c r="A107" s="1"/>
      <c r="B107" s="10">
        <f t="shared" si="281"/>
        <v>22</v>
      </c>
      <c r="C107" s="10">
        <v>0</v>
      </c>
      <c r="D107" s="10">
        <v>0</v>
      </c>
      <c r="E107" s="10">
        <v>0</v>
      </c>
      <c r="F107" s="27"/>
      <c r="G107" s="27" t="s">
        <v>45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pans="1:336" ht="6" customHeight="1" x14ac:dyDescent="0.25">
      <c r="A108" s="1"/>
      <c r="B108" s="10">
        <f t="shared" si="281"/>
        <v>23</v>
      </c>
      <c r="C108" s="10">
        <v>0</v>
      </c>
      <c r="D108" s="10">
        <v>0</v>
      </c>
      <c r="E108" s="10">
        <v>0</v>
      </c>
      <c r="F108" s="27"/>
      <c r="G108" s="27" t="s">
        <v>45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</row>
    <row r="109" spans="1:336" ht="6" customHeight="1" x14ac:dyDescent="0.25">
      <c r="A109" s="1"/>
      <c r="B109" s="10">
        <f t="shared" si="281"/>
        <v>24</v>
      </c>
      <c r="C109" s="10">
        <v>0</v>
      </c>
      <c r="D109" s="10">
        <v>0</v>
      </c>
      <c r="E109" s="10">
        <v>0</v>
      </c>
      <c r="F109" s="27"/>
      <c r="G109" s="27" t="s">
        <v>45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</row>
    <row r="110" spans="1:336" ht="6" customHeight="1" x14ac:dyDescent="0.25">
      <c r="A110" s="1"/>
      <c r="B110" s="10">
        <f t="shared" si="281"/>
        <v>25</v>
      </c>
      <c r="C110" s="10">
        <v>0</v>
      </c>
      <c r="D110" s="10">
        <v>0</v>
      </c>
      <c r="E110" s="10">
        <v>0</v>
      </c>
      <c r="F110" s="27"/>
      <c r="G110" s="27" t="s">
        <v>45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</row>
    <row r="111" spans="1:336" ht="1.5" customHeight="1" x14ac:dyDescent="0.25">
      <c r="A111" s="1"/>
      <c r="B111" s="10">
        <f t="shared" si="281"/>
        <v>26</v>
      </c>
      <c r="C111" s="10">
        <v>0</v>
      </c>
      <c r="D111" s="10">
        <v>0</v>
      </c>
      <c r="E111" s="10">
        <v>0</v>
      </c>
      <c r="F111" s="27"/>
      <c r="G111" s="27" t="s">
        <v>45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</row>
    <row r="112" spans="1:336" ht="1.5" customHeight="1" x14ac:dyDescent="0.25">
      <c r="A112" s="1"/>
      <c r="B112" s="10">
        <f t="shared" si="281"/>
        <v>27</v>
      </c>
      <c r="C112" s="10">
        <v>0</v>
      </c>
      <c r="D112" s="10">
        <v>0</v>
      </c>
      <c r="E112" s="10">
        <v>0</v>
      </c>
      <c r="F112" s="27"/>
      <c r="G112" s="27" t="s">
        <v>45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</row>
    <row r="113" spans="1:336" ht="1.5" customHeight="1" x14ac:dyDescent="0.25">
      <c r="A113" s="1"/>
      <c r="B113" s="10">
        <f t="shared" si="281"/>
        <v>28</v>
      </c>
      <c r="C113" s="10">
        <v>0</v>
      </c>
      <c r="D113" s="10">
        <v>0</v>
      </c>
      <c r="E113" s="10">
        <v>0</v>
      </c>
      <c r="F113" s="27"/>
      <c r="G113" s="27" t="s">
        <v>45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</row>
    <row r="114" spans="1:336" ht="1.5" customHeight="1" x14ac:dyDescent="0.25">
      <c r="A114" s="1"/>
      <c r="B114" s="22">
        <f t="shared" si="281"/>
        <v>29</v>
      </c>
      <c r="C114" s="10">
        <v>0</v>
      </c>
      <c r="D114" s="10">
        <v>0</v>
      </c>
      <c r="E114" s="10">
        <v>0</v>
      </c>
      <c r="F114" s="27"/>
      <c r="G114" s="27" t="s">
        <v>45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</row>
    <row r="115" spans="1:336" ht="1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</row>
    <row r="116" spans="1:336" ht="1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</row>
    <row r="117" spans="1:336" ht="1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</row>
    <row r="118" spans="1:336" ht="1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</row>
    <row r="119" spans="1:336" ht="1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</row>
    <row r="120" spans="1:336" ht="1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</row>
    <row r="121" spans="1:336" ht="1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</row>
    <row r="122" spans="1:336" ht="1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</row>
    <row r="123" spans="1:336" ht="1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</row>
    <row r="124" spans="1:336" ht="1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</row>
    <row r="125" spans="1:336" ht="1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</row>
    <row r="126" spans="1:336" ht="1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</row>
    <row r="127" spans="1:336" ht="1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</row>
    <row r="128" spans="1:336" ht="1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</row>
    <row r="129" spans="1:336" ht="1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</row>
    <row r="130" spans="1:336" ht="1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</row>
    <row r="131" spans="1:336" ht="1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</row>
    <row r="132" spans="1:336" ht="1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</row>
    <row r="133" spans="1:336" ht="1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</row>
    <row r="134" spans="1:336" ht="1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</row>
    <row r="135" spans="1:336" ht="1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</row>
    <row r="136" spans="1:336" ht="1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</row>
    <row r="137" spans="1:336" ht="1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</row>
    <row r="138" spans="1:336" ht="1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</row>
    <row r="139" spans="1:336" ht="1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</row>
    <row r="140" spans="1:336" ht="1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</row>
    <row r="141" spans="1:336" ht="1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</row>
    <row r="142" spans="1:336" ht="1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</row>
    <row r="143" spans="1:336" ht="1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</row>
    <row r="144" spans="1:336" ht="1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</row>
    <row r="145" spans="1:336" ht="1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</row>
    <row r="146" spans="1:336" ht="1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</row>
    <row r="147" spans="1:336" ht="1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</row>
    <row r="148" spans="1:336" ht="1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</row>
    <row r="149" spans="1:336" ht="1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</row>
    <row r="150" spans="1:336" ht="1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</row>
    <row r="151" spans="1:336" ht="1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</row>
    <row r="152" spans="1:336" ht="1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</row>
    <row r="153" spans="1:336" ht="1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</row>
    <row r="154" spans="1:336" ht="1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</row>
    <row r="155" spans="1:336" ht="1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</row>
    <row r="156" spans="1:336" ht="1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</row>
    <row r="157" spans="1:336" ht="1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</row>
    <row r="158" spans="1:336" ht="1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</row>
    <row r="159" spans="1:336" ht="1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</row>
    <row r="160" spans="1:336" ht="1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</row>
    <row r="161" spans="1:336" ht="1.5" customHeight="1" x14ac:dyDescent="0.25">
      <c r="A161" s="1"/>
      <c r="B161" s="1"/>
      <c r="C161" s="1"/>
      <c r="D161" s="1"/>
      <c r="E161" s="1"/>
      <c r="F161" s="1"/>
      <c r="G161" s="1"/>
      <c r="H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</row>
    <row r="162" spans="1:336" ht="1.5" customHeight="1" x14ac:dyDescent="0.25">
      <c r="A162" s="1"/>
      <c r="B162" s="1"/>
      <c r="C162" s="1"/>
      <c r="D162" s="1"/>
      <c r="E162" s="1"/>
      <c r="F162" s="1"/>
      <c r="G162" s="1"/>
      <c r="H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</row>
    <row r="163" spans="1:336" ht="1.5" customHeight="1" x14ac:dyDescent="0.25">
      <c r="A163" s="1"/>
      <c r="B163" s="1"/>
      <c r="C163" s="1"/>
      <c r="D163" s="1"/>
      <c r="E163" s="1"/>
      <c r="F163" s="1"/>
      <c r="G163" s="1"/>
      <c r="H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N163" s="1"/>
      <c r="FO163" s="1"/>
      <c r="FP163" s="1"/>
      <c r="FQ163" s="1"/>
      <c r="FR163" s="1"/>
      <c r="GA163" s="1"/>
    </row>
    <row r="164" spans="1:336" ht="1.5" customHeight="1" x14ac:dyDescent="0.25">
      <c r="A164" s="1"/>
      <c r="B164" s="1"/>
      <c r="C164" s="1"/>
      <c r="D164" s="1"/>
      <c r="E164" s="1"/>
      <c r="F164" s="1"/>
      <c r="G164" s="1"/>
      <c r="H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N164" s="1"/>
      <c r="FO164" s="1"/>
      <c r="FP164" s="1"/>
      <c r="FQ164" s="1"/>
      <c r="FR164" s="1"/>
      <c r="GA164" s="1"/>
    </row>
    <row r="165" spans="1:336" ht="1.5" customHeight="1" x14ac:dyDescent="0.25">
      <c r="A165" s="1"/>
      <c r="B165" s="1"/>
      <c r="C165" s="1"/>
      <c r="D165" s="1"/>
      <c r="E165" s="1"/>
      <c r="F165" s="1"/>
      <c r="G165" s="1"/>
      <c r="H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GA165" s="1"/>
    </row>
    <row r="166" spans="1:336" ht="1.5" customHeight="1" x14ac:dyDescent="0.25">
      <c r="A166" s="1"/>
      <c r="B166" s="1"/>
      <c r="C166" s="1"/>
      <c r="D166" s="1"/>
      <c r="E166" s="1"/>
      <c r="F166" s="1"/>
      <c r="G166" s="1"/>
      <c r="H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GA166" s="1"/>
    </row>
    <row r="167" spans="1:336" ht="1.5" customHeight="1" x14ac:dyDescent="0.25">
      <c r="A167" s="1"/>
      <c r="B167" s="1"/>
      <c r="C167" s="1"/>
      <c r="D167" s="1"/>
      <c r="E167" s="1"/>
      <c r="F167" s="1"/>
      <c r="G167" s="1"/>
      <c r="H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GA167" s="1"/>
    </row>
    <row r="168" spans="1:336" ht="1.5" customHeight="1" x14ac:dyDescent="0.25">
      <c r="A168" s="1"/>
      <c r="B168" s="1"/>
      <c r="C168" s="1"/>
      <c r="D168" s="1"/>
      <c r="E168" s="1"/>
      <c r="F168" s="1"/>
      <c r="G168" s="1"/>
      <c r="H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</row>
    <row r="169" spans="1:336" ht="1.5" customHeight="1" x14ac:dyDescent="0.25">
      <c r="A169" s="1"/>
      <c r="B169" s="1"/>
      <c r="C169" s="1"/>
      <c r="D169" s="1"/>
      <c r="E169" s="1"/>
      <c r="F169" s="1"/>
      <c r="G169" s="1"/>
      <c r="H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</row>
    <row r="170" spans="1:336" ht="1.5" customHeight="1" x14ac:dyDescent="0.25">
      <c r="A170" s="1"/>
      <c r="B170" s="1"/>
      <c r="C170" s="1"/>
      <c r="D170" s="1"/>
      <c r="E170" s="1"/>
      <c r="F170" s="1"/>
      <c r="G170" s="1"/>
      <c r="H170" s="1"/>
      <c r="DH170" s="1"/>
    </row>
    <row r="171" spans="1:336" ht="1.5" customHeight="1" x14ac:dyDescent="0.25">
      <c r="A171" s="1"/>
      <c r="B171" s="1"/>
      <c r="C171" s="1"/>
      <c r="D171" s="1"/>
      <c r="E171" s="1"/>
      <c r="F171" s="1"/>
      <c r="G171" s="1"/>
      <c r="H171" s="1"/>
      <c r="DH171" s="1"/>
    </row>
    <row r="172" spans="1:336" ht="1.5" customHeight="1" x14ac:dyDescent="0.25">
      <c r="A172" s="1"/>
      <c r="B172" s="1"/>
      <c r="C172" s="1"/>
      <c r="D172" s="1"/>
      <c r="E172" s="1"/>
      <c r="F172" s="1"/>
      <c r="G172" s="1"/>
      <c r="H172" s="1"/>
      <c r="DH172" s="1"/>
    </row>
    <row r="173" spans="1:336" ht="1.5" customHeight="1" x14ac:dyDescent="0.25">
      <c r="A173" s="1"/>
      <c r="B173" s="1"/>
      <c r="C173" s="1"/>
      <c r="D173" s="1"/>
      <c r="E173" s="1"/>
      <c r="F173" s="1"/>
      <c r="G173" s="1"/>
      <c r="H173" s="1"/>
      <c r="DH173" s="1"/>
    </row>
    <row r="174" spans="1:336" ht="1.5" customHeight="1" x14ac:dyDescent="0.25">
      <c r="A174" s="1"/>
      <c r="B174" s="1"/>
      <c r="C174" s="1"/>
      <c r="D174" s="1"/>
      <c r="E174" s="1"/>
      <c r="F174" s="1"/>
      <c r="G174" s="1"/>
      <c r="H174" s="1"/>
      <c r="DH174" s="1"/>
    </row>
    <row r="175" spans="1:336" ht="1.5" customHeight="1" x14ac:dyDescent="0.25">
      <c r="A175" s="1"/>
      <c r="B175" s="1"/>
      <c r="C175" s="1"/>
      <c r="D175" s="1"/>
      <c r="E175" s="1"/>
      <c r="F175" s="1"/>
      <c r="G175" s="1"/>
      <c r="H175" s="1"/>
      <c r="DH175" s="1"/>
    </row>
    <row r="176" spans="1:336" ht="1.5" customHeight="1" x14ac:dyDescent="0.25">
      <c r="A176" s="1"/>
      <c r="B176" s="1"/>
      <c r="C176" s="1"/>
      <c r="D176" s="1"/>
      <c r="E176" s="1"/>
      <c r="F176" s="1"/>
      <c r="G176" s="1"/>
      <c r="H176" s="1"/>
      <c r="DH176" s="1"/>
    </row>
    <row r="177" spans="1:112" ht="1.5" customHeight="1" x14ac:dyDescent="0.25">
      <c r="A177" s="1"/>
      <c r="B177" s="1"/>
      <c r="C177" s="1"/>
      <c r="D177" s="1"/>
      <c r="E177" s="1"/>
      <c r="F177" s="1"/>
      <c r="G177" s="1"/>
      <c r="H177" s="1"/>
      <c r="DH177" s="1"/>
    </row>
    <row r="178" spans="1:112" ht="1.5" customHeight="1" x14ac:dyDescent="0.25">
      <c r="A178" s="1"/>
      <c r="B178" s="1"/>
      <c r="C178" s="1"/>
      <c r="D178" s="1"/>
      <c r="E178" s="1"/>
      <c r="F178" s="1"/>
      <c r="G178" s="1"/>
      <c r="H178" s="1"/>
      <c r="DH178" s="1"/>
    </row>
    <row r="179" spans="1:112" ht="1.5" customHeight="1" x14ac:dyDescent="0.25">
      <c r="A179" s="1"/>
      <c r="B179" s="1"/>
      <c r="C179" s="1"/>
      <c r="D179" s="1"/>
      <c r="E179" s="1"/>
      <c r="F179" s="1"/>
      <c r="G179" s="1"/>
      <c r="H179" s="1"/>
      <c r="DH179" s="1"/>
    </row>
    <row r="180" spans="1:112" ht="1.5" customHeight="1" x14ac:dyDescent="0.25">
      <c r="A180" s="1"/>
      <c r="B180" s="1"/>
      <c r="C180" s="1"/>
      <c r="D180" s="1"/>
      <c r="E180" s="1"/>
      <c r="F180" s="1"/>
      <c r="G180" s="1"/>
      <c r="H180" s="1"/>
      <c r="DH180" s="1"/>
    </row>
    <row r="181" spans="1:112" ht="1.5" customHeight="1" x14ac:dyDescent="0.25">
      <c r="A181" s="1"/>
      <c r="B181" s="1"/>
      <c r="C181" s="1"/>
      <c r="D181" s="1"/>
      <c r="E181" s="1"/>
      <c r="F181" s="1"/>
      <c r="G181" s="1"/>
      <c r="H181" s="1"/>
      <c r="DH181" s="1"/>
    </row>
    <row r="182" spans="1:112" ht="1.5" customHeight="1" x14ac:dyDescent="0.25">
      <c r="A182" s="1"/>
      <c r="B182" s="1"/>
      <c r="C182" s="1"/>
      <c r="D182" s="1"/>
      <c r="E182" s="1"/>
      <c r="F182" s="1"/>
      <c r="G182" s="1"/>
      <c r="H182" s="1"/>
      <c r="DH182" s="1"/>
    </row>
    <row r="183" spans="1:112" ht="1.5" customHeight="1" x14ac:dyDescent="0.25">
      <c r="A183" s="1"/>
      <c r="B183" s="1"/>
      <c r="C183" s="1"/>
      <c r="D183" s="1"/>
      <c r="E183" s="1"/>
      <c r="F183" s="1"/>
      <c r="G183" s="1"/>
      <c r="H183" s="1"/>
      <c r="DH183" s="1"/>
    </row>
    <row r="184" spans="1:112" ht="1.5" customHeight="1" x14ac:dyDescent="0.25">
      <c r="A184" s="1"/>
      <c r="B184" s="1"/>
      <c r="C184" s="1"/>
      <c r="D184" s="1"/>
      <c r="E184" s="1"/>
      <c r="F184" s="1"/>
      <c r="G184" s="1"/>
      <c r="H184" s="1"/>
      <c r="DH184" s="1"/>
    </row>
    <row r="185" spans="1:112" ht="1.5" customHeight="1" x14ac:dyDescent="0.25">
      <c r="A185" s="1"/>
      <c r="B185" s="1"/>
      <c r="C185" s="1"/>
      <c r="D185" s="1"/>
      <c r="E185" s="1"/>
      <c r="F185" s="1"/>
      <c r="G185" s="1"/>
      <c r="DH185" s="1"/>
    </row>
    <row r="186" spans="1:112" ht="1.5" customHeight="1" x14ac:dyDescent="0.25">
      <c r="A186" s="1"/>
      <c r="B186" s="1"/>
      <c r="C186" s="1"/>
      <c r="D186" s="1"/>
      <c r="E186" s="1"/>
      <c r="F186" s="1"/>
      <c r="G186" s="1"/>
      <c r="DH186" s="1"/>
    </row>
    <row r="187" spans="1:112" ht="1.5" customHeight="1" x14ac:dyDescent="0.25">
      <c r="A187" s="1"/>
      <c r="B187" s="1"/>
      <c r="C187" s="1"/>
      <c r="D187" s="1"/>
      <c r="E187" s="1"/>
      <c r="F187" s="1"/>
      <c r="G187" s="1"/>
      <c r="DH187" s="1"/>
    </row>
    <row r="188" spans="1:112" ht="1.5" customHeight="1" x14ac:dyDescent="0.25">
      <c r="A188" s="1"/>
      <c r="B188" s="1"/>
      <c r="C188" s="1"/>
      <c r="D188" s="1"/>
      <c r="E188" s="1"/>
      <c r="F188" s="1"/>
      <c r="G188" s="1"/>
      <c r="DH188" s="1"/>
    </row>
    <row r="189" spans="1:112" ht="1.5" customHeight="1" x14ac:dyDescent="0.25">
      <c r="A189" s="1"/>
      <c r="B189" s="1"/>
      <c r="C189" s="1"/>
      <c r="D189" s="1"/>
      <c r="E189" s="1"/>
      <c r="F189" s="1"/>
      <c r="G189" s="1"/>
      <c r="DH189" s="1"/>
    </row>
    <row r="190" spans="1:112" ht="1.5" customHeight="1" x14ac:dyDescent="0.25">
      <c r="B190" s="1"/>
      <c r="C190" s="1"/>
      <c r="D190" s="1"/>
      <c r="E190" s="1"/>
      <c r="F190" s="1"/>
      <c r="G190" s="1"/>
      <c r="DH190" s="1"/>
    </row>
    <row r="191" spans="1:112" ht="1.5" customHeight="1" x14ac:dyDescent="0.25">
      <c r="B191" s="1"/>
      <c r="C191" s="1"/>
      <c r="D191" s="1"/>
      <c r="E191" s="1"/>
      <c r="F191" s="1"/>
      <c r="G191" s="1"/>
      <c r="DH191" s="1"/>
    </row>
    <row r="192" spans="1:112" ht="1.5" customHeight="1" x14ac:dyDescent="0.25">
      <c r="B192" s="1"/>
      <c r="C192" s="1"/>
      <c r="D192" s="1"/>
      <c r="E192" s="1"/>
      <c r="F192" s="1"/>
      <c r="G192" s="1"/>
      <c r="DH192" s="1"/>
    </row>
    <row r="193" spans="2:112" ht="1.5" customHeight="1" x14ac:dyDescent="0.25">
      <c r="B193" s="1"/>
      <c r="C193" s="1"/>
      <c r="D193" s="1"/>
      <c r="E193" s="1"/>
      <c r="F193" s="1"/>
      <c r="G193" s="1"/>
      <c r="DH193" s="1"/>
    </row>
    <row r="194" spans="2:112" ht="1.5" customHeight="1" x14ac:dyDescent="0.25">
      <c r="B194" s="1"/>
      <c r="C194" s="1"/>
      <c r="D194" s="1"/>
      <c r="E194" s="1"/>
      <c r="F194" s="1"/>
      <c r="G194" s="1"/>
      <c r="DH194" s="1"/>
    </row>
    <row r="195" spans="2:112" ht="1.5" customHeight="1" x14ac:dyDescent="0.25">
      <c r="B195" s="1"/>
      <c r="C195" s="1"/>
      <c r="D195" s="1"/>
      <c r="E195" s="1"/>
      <c r="F195" s="1"/>
      <c r="G195" s="1"/>
      <c r="DH195" s="1"/>
    </row>
    <row r="196" spans="2:112" ht="1.5" customHeight="1" x14ac:dyDescent="0.25">
      <c r="B196" s="1"/>
      <c r="C196" s="1"/>
      <c r="D196" s="1"/>
      <c r="E196" s="1"/>
      <c r="F196" s="1"/>
      <c r="G196" s="1"/>
      <c r="DH196" s="1"/>
    </row>
    <row r="197" spans="2:112" ht="1.5" customHeight="1" x14ac:dyDescent="0.25">
      <c r="E197" s="1"/>
      <c r="G197" s="1"/>
      <c r="DH197" s="1"/>
    </row>
    <row r="198" spans="2:112" ht="1.5" customHeight="1" x14ac:dyDescent="0.25">
      <c r="E198" s="1"/>
      <c r="G198" s="1"/>
      <c r="DH198" s="1"/>
    </row>
    <row r="199" spans="2:112" ht="1.5" customHeight="1" x14ac:dyDescent="0.25">
      <c r="E199" s="1"/>
      <c r="G199" s="1"/>
      <c r="DH199" s="1"/>
    </row>
    <row r="200" spans="2:112" ht="1.5" customHeight="1" x14ac:dyDescent="0.25">
      <c r="E200" s="1"/>
      <c r="G200" s="1"/>
      <c r="DH200" s="1"/>
    </row>
    <row r="201" spans="2:112" ht="1.5" customHeight="1" x14ac:dyDescent="0.25">
      <c r="E201" s="1"/>
      <c r="G201" s="1"/>
      <c r="DH201" s="1"/>
    </row>
    <row r="202" spans="2:112" ht="1.5" customHeight="1" x14ac:dyDescent="0.25">
      <c r="E202" s="1"/>
      <c r="G202" s="1"/>
      <c r="DH202" s="1"/>
    </row>
    <row r="203" spans="2:112" ht="1.5" customHeight="1" x14ac:dyDescent="0.25">
      <c r="G203" s="1"/>
      <c r="DH203" s="1"/>
    </row>
    <row r="204" spans="2:112" ht="1.5" customHeight="1" x14ac:dyDescent="0.25">
      <c r="G204" s="1"/>
      <c r="DH204" s="1"/>
    </row>
    <row r="205" spans="2:112" ht="1.5" customHeight="1" x14ac:dyDescent="0.25">
      <c r="G205" s="1"/>
      <c r="DH205" s="1"/>
    </row>
    <row r="206" spans="2:112" ht="1.5" customHeight="1" x14ac:dyDescent="0.25">
      <c r="G206" s="1"/>
      <c r="DH206" s="1"/>
    </row>
    <row r="207" spans="2:112" ht="1.5" customHeight="1" x14ac:dyDescent="0.25">
      <c r="G207" s="1"/>
      <c r="DH207" s="1"/>
    </row>
    <row r="208" spans="2:112" ht="1.5" customHeight="1" x14ac:dyDescent="0.25">
      <c r="G208" s="1"/>
      <c r="DH208" s="1"/>
    </row>
    <row r="209" spans="7:112" ht="1.5" customHeight="1" x14ac:dyDescent="0.25">
      <c r="G209" s="1"/>
      <c r="DH209" s="1"/>
    </row>
    <row r="210" spans="7:112" ht="1.5" customHeight="1" x14ac:dyDescent="0.25">
      <c r="G210" s="1"/>
      <c r="DH210" s="1"/>
    </row>
    <row r="211" spans="7:112" ht="1.5" customHeight="1" x14ac:dyDescent="0.25">
      <c r="G211" s="1"/>
      <c r="DH211" s="1"/>
    </row>
    <row r="212" spans="7:112" ht="1.5" customHeight="1" x14ac:dyDescent="0.25">
      <c r="G212" s="1"/>
      <c r="DH212" s="1"/>
    </row>
    <row r="213" spans="7:112" ht="1.5" customHeight="1" x14ac:dyDescent="0.25">
      <c r="G213" s="1"/>
      <c r="DH213" s="1"/>
    </row>
    <row r="214" spans="7:112" ht="1.5" customHeight="1" x14ac:dyDescent="0.25">
      <c r="G214" s="1"/>
      <c r="DH214" s="1"/>
    </row>
    <row r="215" spans="7:112" ht="1.5" customHeight="1" x14ac:dyDescent="0.25">
      <c r="G215" s="1"/>
      <c r="DH215" s="1"/>
    </row>
    <row r="216" spans="7:112" ht="1.5" customHeight="1" x14ac:dyDescent="0.25">
      <c r="G216" s="1"/>
      <c r="DH216" s="1"/>
    </row>
    <row r="217" spans="7:112" ht="1.5" customHeight="1" x14ac:dyDescent="0.25">
      <c r="DH217" s="1"/>
    </row>
    <row r="218" spans="7:112" ht="1.5" customHeight="1" x14ac:dyDescent="0.25">
      <c r="DH218" s="1"/>
    </row>
    <row r="219" spans="7:112" ht="1.5" customHeight="1" x14ac:dyDescent="0.25">
      <c r="DH219" s="1"/>
    </row>
    <row r="220" spans="7:112" ht="1.5" customHeight="1" x14ac:dyDescent="0.25">
      <c r="DH220" s="1"/>
    </row>
    <row r="221" spans="7:112" ht="1.5" customHeight="1" x14ac:dyDescent="0.25">
      <c r="DH221" s="1"/>
    </row>
    <row r="222" spans="7:112" ht="1.5" customHeight="1" x14ac:dyDescent="0.25">
      <c r="DH222" s="1"/>
    </row>
    <row r="223" spans="7:112" ht="1.5" customHeight="1" x14ac:dyDescent="0.25">
      <c r="DH223" s="1"/>
    </row>
    <row r="224" spans="7:112" ht="1.5" customHeight="1" x14ac:dyDescent="0.25">
      <c r="DH224" s="1"/>
    </row>
    <row r="225" spans="112:112" ht="1.5" customHeight="1" x14ac:dyDescent="0.25">
      <c r="DH225" s="1"/>
    </row>
    <row r="226" spans="112:112" ht="1.5" customHeight="1" x14ac:dyDescent="0.25">
      <c r="DH226" s="1"/>
    </row>
    <row r="227" spans="112:112" ht="1.5" customHeight="1" x14ac:dyDescent="0.25">
      <c r="DH227" s="1"/>
    </row>
    <row r="228" spans="112:112" ht="1.5" customHeight="1" x14ac:dyDescent="0.25"/>
    <row r="229" spans="112:112" ht="1.5" customHeight="1" x14ac:dyDescent="0.25"/>
    <row r="230" spans="112:112" ht="1.5" customHeight="1" x14ac:dyDescent="0.25"/>
    <row r="231" spans="112:112" ht="1.5" customHeight="1" x14ac:dyDescent="0.25"/>
    <row r="232" spans="112:112" ht="1.5" customHeight="1" x14ac:dyDescent="0.25"/>
    <row r="233" spans="112:112" ht="1.5" customHeight="1" x14ac:dyDescent="0.25"/>
    <row r="234" spans="112:112" ht="1.5" customHeight="1" x14ac:dyDescent="0.25"/>
    <row r="235" spans="112:112" ht="1.5" customHeight="1" x14ac:dyDescent="0.25"/>
    <row r="236" spans="112:112" ht="1.5" customHeight="1" x14ac:dyDescent="0.25"/>
    <row r="237" spans="112:112" ht="1.5" customHeight="1" x14ac:dyDescent="0.25"/>
    <row r="238" spans="112:112" ht="1.5" customHeight="1" x14ac:dyDescent="0.25"/>
    <row r="239" spans="112:112" ht="1.5" customHeight="1" x14ac:dyDescent="0.25"/>
    <row r="240" spans="112:112" ht="1.5" customHeight="1" x14ac:dyDescent="0.25"/>
    <row r="241" ht="1.5" customHeight="1" x14ac:dyDescent="0.25"/>
    <row r="242" ht="1.5" customHeight="1" x14ac:dyDescent="0.25"/>
    <row r="243" ht="1.5" customHeight="1" x14ac:dyDescent="0.25"/>
    <row r="244" ht="1.5" customHeight="1" x14ac:dyDescent="0.25"/>
    <row r="245" ht="1.5" customHeight="1" x14ac:dyDescent="0.25"/>
    <row r="246" ht="1.5" customHeight="1" x14ac:dyDescent="0.25"/>
    <row r="247" ht="1.5" customHeight="1" x14ac:dyDescent="0.25"/>
    <row r="248" ht="1.5" customHeight="1" x14ac:dyDescent="0.25"/>
    <row r="249" ht="1.5" customHeight="1" x14ac:dyDescent="0.25"/>
    <row r="250" ht="1.5" customHeight="1" x14ac:dyDescent="0.25"/>
    <row r="251" ht="1.5" customHeight="1" x14ac:dyDescent="0.25"/>
    <row r="252" ht="1.5" customHeight="1" x14ac:dyDescent="0.25"/>
    <row r="253" ht="1.5" customHeight="1" x14ac:dyDescent="0.25"/>
    <row r="254" ht="1.5" customHeight="1" x14ac:dyDescent="0.25"/>
    <row r="255" ht="1.5" customHeight="1" x14ac:dyDescent="0.25"/>
    <row r="256" ht="1.5" customHeight="1" x14ac:dyDescent="0.25"/>
    <row r="257" ht="1.5" customHeight="1" x14ac:dyDescent="0.25"/>
    <row r="258" ht="1.5" customHeight="1" x14ac:dyDescent="0.25"/>
    <row r="259" ht="1.5" customHeight="1" x14ac:dyDescent="0.25"/>
    <row r="260" ht="1.5" customHeight="1" x14ac:dyDescent="0.25"/>
    <row r="261" ht="1.5" customHeight="1" x14ac:dyDescent="0.25"/>
    <row r="262" ht="1.5" customHeight="1" x14ac:dyDescent="0.25"/>
    <row r="263" ht="1.5" customHeight="1" x14ac:dyDescent="0.25"/>
    <row r="264" ht="1.5" customHeight="1" x14ac:dyDescent="0.25"/>
    <row r="265" ht="1.5" customHeight="1" x14ac:dyDescent="0.25"/>
    <row r="266" ht="1.5" customHeight="1" x14ac:dyDescent="0.25"/>
    <row r="267" ht="1.5" customHeight="1" x14ac:dyDescent="0.25"/>
    <row r="268" ht="1.5" customHeight="1" x14ac:dyDescent="0.25"/>
    <row r="269" ht="1.5" customHeight="1" x14ac:dyDescent="0.25"/>
    <row r="270" ht="1.5" customHeight="1" x14ac:dyDescent="0.25"/>
    <row r="271" ht="1.5" customHeight="1" x14ac:dyDescent="0.25"/>
    <row r="272" ht="1.5" customHeight="1" x14ac:dyDescent="0.25"/>
    <row r="273" ht="1.5" customHeight="1" x14ac:dyDescent="0.25"/>
    <row r="274" ht="1.5" customHeight="1" x14ac:dyDescent="0.25"/>
    <row r="275" ht="1.5" customHeight="1" x14ac:dyDescent="0.25"/>
    <row r="276" ht="1.5" customHeight="1" x14ac:dyDescent="0.25"/>
    <row r="277" ht="1.5" customHeight="1" x14ac:dyDescent="0.25"/>
    <row r="278" ht="1.5" customHeight="1" x14ac:dyDescent="0.25"/>
    <row r="279" ht="1.5" customHeight="1" x14ac:dyDescent="0.25"/>
    <row r="280" ht="1.5" customHeight="1" x14ac:dyDescent="0.25"/>
    <row r="281" ht="1.5" customHeight="1" x14ac:dyDescent="0.25"/>
    <row r="282" ht="1.5" customHeight="1" x14ac:dyDescent="0.25"/>
    <row r="283" ht="1.5" customHeight="1" x14ac:dyDescent="0.25"/>
    <row r="284" ht="1.5" customHeight="1" x14ac:dyDescent="0.25"/>
    <row r="285" ht="1.5" customHeight="1" x14ac:dyDescent="0.25"/>
    <row r="286" ht="1.5" customHeight="1" x14ac:dyDescent="0.25"/>
    <row r="287" ht="1.5" customHeight="1" x14ac:dyDescent="0.25"/>
    <row r="288" ht="1.5" customHeight="1" x14ac:dyDescent="0.25"/>
    <row r="289" ht="1.5" customHeight="1" x14ac:dyDescent="0.25"/>
    <row r="290" ht="1.5" customHeight="1" x14ac:dyDescent="0.25"/>
    <row r="291" ht="1.5" customHeight="1" x14ac:dyDescent="0.25"/>
    <row r="292" ht="1.5" customHeight="1" x14ac:dyDescent="0.25"/>
    <row r="293" ht="1.5" customHeight="1" x14ac:dyDescent="0.25"/>
    <row r="294" ht="1.5" customHeight="1" x14ac:dyDescent="0.25"/>
    <row r="295" ht="1.5" customHeight="1" x14ac:dyDescent="0.25"/>
    <row r="296" ht="1.5" customHeight="1" x14ac:dyDescent="0.25"/>
    <row r="297" ht="1.5" customHeight="1" x14ac:dyDescent="0.25"/>
    <row r="298" ht="1.5" customHeight="1" x14ac:dyDescent="0.25"/>
    <row r="299" ht="1.5" customHeight="1" x14ac:dyDescent="0.25"/>
    <row r="300" ht="1.5" customHeight="1" x14ac:dyDescent="0.25"/>
    <row r="301" ht="1.5" customHeight="1" x14ac:dyDescent="0.25"/>
    <row r="302" ht="1.5" customHeight="1" x14ac:dyDescent="0.25"/>
    <row r="303" ht="1.5" customHeight="1" x14ac:dyDescent="0.25"/>
    <row r="304" ht="1.5" customHeight="1" x14ac:dyDescent="0.25"/>
    <row r="305" ht="1.5" customHeight="1" x14ac:dyDescent="0.25"/>
    <row r="306" ht="1.5" customHeight="1" x14ac:dyDescent="0.25"/>
    <row r="307" ht="1.5" customHeight="1" x14ac:dyDescent="0.25"/>
    <row r="308" ht="1.5" customHeight="1" x14ac:dyDescent="0.25"/>
    <row r="309" ht="1.5" customHeight="1" x14ac:dyDescent="0.25"/>
    <row r="310" ht="1.5" customHeight="1" x14ac:dyDescent="0.25"/>
    <row r="311" ht="1.5" customHeight="1" x14ac:dyDescent="0.25"/>
    <row r="312" ht="1.5" customHeight="1" x14ac:dyDescent="0.25"/>
    <row r="313" ht="1.5" customHeight="1" x14ac:dyDescent="0.25"/>
    <row r="314" ht="1.5" customHeight="1" x14ac:dyDescent="0.25"/>
    <row r="315" ht="1.5" customHeight="1" x14ac:dyDescent="0.25"/>
    <row r="316" ht="1.5" customHeight="1" x14ac:dyDescent="0.25"/>
    <row r="317" ht="1.5" customHeight="1" x14ac:dyDescent="0.25"/>
    <row r="318" ht="1.5" customHeight="1" x14ac:dyDescent="0.25"/>
    <row r="319" ht="1.5" customHeight="1" x14ac:dyDescent="0.25"/>
    <row r="320" ht="1.5" customHeight="1" x14ac:dyDescent="0.25"/>
    <row r="321" ht="1.5" customHeight="1" x14ac:dyDescent="0.25"/>
    <row r="322" ht="1.5" customHeight="1" x14ac:dyDescent="0.25"/>
    <row r="323" ht="1.5" customHeight="1" x14ac:dyDescent="0.25"/>
    <row r="324" ht="1.5" customHeight="1" x14ac:dyDescent="0.25"/>
    <row r="325" ht="1.5" customHeight="1" x14ac:dyDescent="0.25"/>
    <row r="326" ht="1.5" customHeight="1" x14ac:dyDescent="0.25"/>
    <row r="327" ht="1.5" customHeight="1" x14ac:dyDescent="0.25"/>
    <row r="328" ht="1.5" customHeight="1" x14ac:dyDescent="0.25"/>
    <row r="329" ht="1.5" customHeight="1" x14ac:dyDescent="0.25"/>
    <row r="330" ht="1.5" customHeight="1" x14ac:dyDescent="0.25"/>
    <row r="331" ht="1.5" customHeight="1" x14ac:dyDescent="0.25"/>
    <row r="332" ht="1.5" customHeight="1" x14ac:dyDescent="0.25"/>
    <row r="333" ht="1.5" customHeight="1" x14ac:dyDescent="0.25"/>
    <row r="334" ht="1.5" customHeight="1" x14ac:dyDescent="0.25"/>
    <row r="335" ht="1.5" customHeight="1" x14ac:dyDescent="0.25"/>
    <row r="336" ht="1.5" customHeight="1" x14ac:dyDescent="0.25"/>
    <row r="337" ht="1.5" customHeight="1" x14ac:dyDescent="0.25"/>
    <row r="338" ht="1.5" customHeight="1" x14ac:dyDescent="0.25"/>
    <row r="339" ht="1.5" customHeight="1" x14ac:dyDescent="0.25"/>
    <row r="340" ht="1.5" customHeight="1" x14ac:dyDescent="0.25"/>
    <row r="341" ht="1.5" customHeight="1" x14ac:dyDescent="0.25"/>
    <row r="342" ht="1.5" customHeight="1" x14ac:dyDescent="0.25"/>
    <row r="343" ht="1.5" customHeight="1" x14ac:dyDescent="0.25"/>
    <row r="344" ht="1.5" customHeight="1" x14ac:dyDescent="0.25"/>
    <row r="345" ht="1.5" customHeight="1" x14ac:dyDescent="0.25"/>
    <row r="346" ht="1.5" customHeight="1" x14ac:dyDescent="0.25"/>
    <row r="347" ht="1.5" customHeight="1" x14ac:dyDescent="0.25"/>
    <row r="348" ht="1.5" customHeight="1" x14ac:dyDescent="0.25"/>
    <row r="349" ht="1.5" customHeight="1" x14ac:dyDescent="0.25"/>
    <row r="350" ht="1.5" customHeight="1" x14ac:dyDescent="0.25"/>
    <row r="351" ht="1.5" customHeight="1" x14ac:dyDescent="0.25"/>
    <row r="352" ht="1.5" customHeight="1" x14ac:dyDescent="0.25"/>
    <row r="353" ht="1.5" customHeight="1" x14ac:dyDescent="0.25"/>
    <row r="354" ht="1.5" customHeight="1" x14ac:dyDescent="0.25"/>
    <row r="355" ht="1.5" customHeight="1" x14ac:dyDescent="0.25"/>
    <row r="356" ht="1.5" customHeight="1" x14ac:dyDescent="0.25"/>
    <row r="357" ht="1.5" customHeight="1" x14ac:dyDescent="0.25"/>
    <row r="358" ht="1.5" customHeight="1" x14ac:dyDescent="0.25"/>
    <row r="359" ht="1.5" customHeight="1" x14ac:dyDescent="0.25"/>
    <row r="360" ht="1.5" customHeight="1" x14ac:dyDescent="0.25"/>
    <row r="361" ht="1.5" customHeight="1" x14ac:dyDescent="0.25"/>
    <row r="362" ht="1.5" customHeight="1" x14ac:dyDescent="0.25"/>
    <row r="363" ht="1.5" customHeight="1" x14ac:dyDescent="0.25"/>
    <row r="364" ht="1.5" customHeight="1" x14ac:dyDescent="0.25"/>
    <row r="365" ht="1.5" customHeight="1" x14ac:dyDescent="0.25"/>
    <row r="366" ht="1.5" customHeight="1" x14ac:dyDescent="0.25"/>
    <row r="367" ht="1.5" customHeight="1" x14ac:dyDescent="0.25"/>
    <row r="368" ht="1.5" customHeight="1" x14ac:dyDescent="0.25"/>
  </sheetData>
  <conditionalFormatting sqref="A48:A5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5:B4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48:B49 B6:B46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5:D82 C83:D83 B86:D113 C114:D1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5:E82 C83:E83 B86:D113 C114:D114 E86:E114 E55:E8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G2 I5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D49 C35 C6:D34">
    <cfRule type="colorScale" priority="19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55:D58 D55:D83 C86:D89 D86:D114">
    <cfRule type="colorScale" priority="18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86:E1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54:G1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9:G53 G115:G1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8:H5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18:H123 E7:G29 B48:G48 E36:E47 E30:E34 G6:G34 F30:G47 A48:A120 F6:G6 B49:F49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3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1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1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DF35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4:L47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0:DF69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97:DI9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6:FF38">
    <cfRule type="cellIs" dxfId="1" priority="25" operator="equal">
      <formula>$AT$5</formula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40:FF6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I68:FF94">
    <cfRule type="cellIs" dxfId="0" priority="21" operator="equal">
      <formula>$AT$5</formula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I8:FI27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O8:FO31">
    <cfRule type="colorScale" priority="2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Jocope</vt:lpstr>
      <vt:lpstr>44_Beta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2026-01-15T08:40:34Z</dcterms:created>
  <dcterms:modified xsi:type="dcterms:W3CDTF">2026-01-26T10:43:19Z</dcterms:modified>
</cp:coreProperties>
</file>
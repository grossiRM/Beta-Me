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E:\15_REPOS\02_Beta-Me\mfsetuo\Tacho\"/>
    </mc:Choice>
  </mc:AlternateContent>
  <xr:revisionPtr revIDLastSave="0" documentId="13_ncr:1_{5BBDC013-7698-41D0-86C6-B0BADCB6C8BC}" xr6:coauthVersionLast="47" xr6:coauthVersionMax="47" xr10:uidLastSave="{00000000-0000-0000-0000-000000000000}"/>
  <bookViews>
    <workbookView xWindow="-120" yWindow="-120" windowWidth="29040" windowHeight="16440" firstSheet="1" activeTab="1" xr2:uid="{37870328-F481-4CC0-81A6-CA4AF4B0A544}"/>
  </bookViews>
  <sheets>
    <sheet name="T1" sheetId="7" state="hidden" r:id="rId1"/>
    <sheet name="T2" sheetId="8" r:id="rId2"/>
  </sheets>
  <calcPr calcId="191029"/>
</workbook>
</file>

<file path=xl/calcChain.xml><?xml version="1.0" encoding="utf-8"?>
<calcChain xmlns="http://schemas.openxmlformats.org/spreadsheetml/2006/main">
  <c r="BI3" i="8" l="1"/>
  <c r="BF1" i="8"/>
  <c r="BL35" i="8"/>
  <c r="BL34" i="8"/>
  <c r="BL33" i="8"/>
  <c r="BL32" i="8"/>
  <c r="BL31" i="8"/>
  <c r="BL30" i="8"/>
  <c r="BL29" i="8"/>
  <c r="BL28" i="8"/>
  <c r="BL27" i="8"/>
  <c r="BL26" i="8"/>
  <c r="BL25" i="8"/>
  <c r="BL24" i="8"/>
  <c r="BL23" i="8"/>
  <c r="BL22" i="8"/>
  <c r="BL21" i="8"/>
  <c r="BL20" i="8"/>
  <c r="BL19" i="8"/>
  <c r="BL18" i="8"/>
  <c r="BL17" i="8"/>
  <c r="BL16" i="8"/>
  <c r="BL15" i="8"/>
  <c r="BL14" i="8"/>
  <c r="BL13" i="8"/>
  <c r="BL12" i="8"/>
  <c r="BL11" i="8"/>
  <c r="BL10" i="8"/>
  <c r="BL9" i="8"/>
  <c r="BL8" i="8"/>
  <c r="BL7" i="8"/>
  <c r="BH42" i="8" l="1"/>
  <c r="BG42" i="8"/>
  <c r="BE42" i="8"/>
  <c r="BD42" i="8"/>
  <c r="AZ42" i="8"/>
  <c r="AY42" i="8"/>
  <c r="Z42" i="8"/>
  <c r="AX42" i="8" s="1"/>
  <c r="Y42" i="8"/>
  <c r="X42" i="8"/>
  <c r="W42" i="8"/>
  <c r="Q42" i="8"/>
  <c r="O42" i="8" s="1"/>
  <c r="N42" i="8" s="1"/>
  <c r="L42" i="8"/>
  <c r="BH41" i="8"/>
  <c r="BG41" i="8"/>
  <c r="BE41" i="8"/>
  <c r="BD41" i="8"/>
  <c r="AZ41" i="8"/>
  <c r="AY41" i="8"/>
  <c r="Z41" i="8"/>
  <c r="AX41" i="8" s="1"/>
  <c r="Y41" i="8"/>
  <c r="X41" i="8"/>
  <c r="W41" i="8"/>
  <c r="Q41" i="8"/>
  <c r="O41" i="8" s="1"/>
  <c r="N41" i="8" s="1"/>
  <c r="L41" i="8"/>
  <c r="BH40" i="8"/>
  <c r="BG40" i="8"/>
  <c r="BE40" i="8"/>
  <c r="BD40" i="8"/>
  <c r="AZ40" i="8"/>
  <c r="AY40" i="8"/>
  <c r="Z40" i="8"/>
  <c r="AX40" i="8" s="1"/>
  <c r="Y40" i="8"/>
  <c r="X40" i="8"/>
  <c r="W40" i="8"/>
  <c r="Q40" i="8"/>
  <c r="O40" i="8" s="1"/>
  <c r="N40" i="8" s="1"/>
  <c r="L40" i="8"/>
  <c r="BH39" i="8"/>
  <c r="BG39" i="8"/>
  <c r="BE39" i="8"/>
  <c r="BD39" i="8"/>
  <c r="AZ39" i="8"/>
  <c r="AY39" i="8"/>
  <c r="Z39" i="8"/>
  <c r="AX39" i="8" s="1"/>
  <c r="Y39" i="8"/>
  <c r="X39" i="8"/>
  <c r="W39" i="8"/>
  <c r="Q39" i="8"/>
  <c r="O39" i="8" s="1"/>
  <c r="N39" i="8" s="1"/>
  <c r="L39" i="8"/>
  <c r="BH38" i="8"/>
  <c r="BG38" i="8"/>
  <c r="BE38" i="8"/>
  <c r="BD38" i="8"/>
  <c r="AZ38" i="8"/>
  <c r="AY38" i="8"/>
  <c r="Z38" i="8"/>
  <c r="AX38" i="8" s="1"/>
  <c r="Y38" i="8"/>
  <c r="X38" i="8"/>
  <c r="W38" i="8"/>
  <c r="Q38" i="8"/>
  <c r="O38" i="8" s="1"/>
  <c r="N38" i="8" s="1"/>
  <c r="L38" i="8"/>
  <c r="BE37" i="8"/>
  <c r="BD37" i="8"/>
  <c r="AZ37" i="8"/>
  <c r="AY37" i="8"/>
  <c r="Z37" i="8"/>
  <c r="AX37" i="8" s="1"/>
  <c r="Y37" i="8"/>
  <c r="X37" i="8"/>
  <c r="W37" i="8"/>
  <c r="Q37" i="8"/>
  <c r="O37" i="8" s="1"/>
  <c r="N37" i="8" s="1"/>
  <c r="L37" i="8"/>
  <c r="BE36" i="8"/>
  <c r="BD36" i="8"/>
  <c r="AY36" i="8"/>
  <c r="Z36" i="8"/>
  <c r="AX36" i="8" s="1"/>
  <c r="Y36" i="8"/>
  <c r="X36" i="8"/>
  <c r="W36" i="8"/>
  <c r="Q36" i="8"/>
  <c r="O36" i="8" s="1"/>
  <c r="N36" i="8" s="1"/>
  <c r="L36" i="8"/>
  <c r="Z35" i="8"/>
  <c r="AX35" i="8" s="1"/>
  <c r="X35" i="8"/>
  <c r="W35" i="8"/>
  <c r="L35" i="8"/>
  <c r="Z34" i="8"/>
  <c r="X34" i="8"/>
  <c r="W34" i="8"/>
  <c r="L34" i="8"/>
  <c r="Z33" i="8"/>
  <c r="AX33" i="8" s="1"/>
  <c r="X33" i="8"/>
  <c r="W33" i="8"/>
  <c r="L33" i="8"/>
  <c r="Z32" i="8"/>
  <c r="AX32" i="8" s="1"/>
  <c r="X32" i="8"/>
  <c r="W32" i="8"/>
  <c r="L32" i="8"/>
  <c r="Z31" i="8"/>
  <c r="X31" i="8"/>
  <c r="W31" i="8"/>
  <c r="L31" i="8"/>
  <c r="Z30" i="8"/>
  <c r="AX30" i="8" s="1"/>
  <c r="X30" i="8"/>
  <c r="W30" i="8"/>
  <c r="L30" i="8"/>
  <c r="Z29" i="8"/>
  <c r="X29" i="8"/>
  <c r="W29" i="8"/>
  <c r="L29" i="8"/>
  <c r="Z28" i="8"/>
  <c r="AX28" i="8" s="1"/>
  <c r="X28" i="8"/>
  <c r="W28" i="8"/>
  <c r="L28" i="8"/>
  <c r="Z27" i="8"/>
  <c r="AX27" i="8" s="1"/>
  <c r="X27" i="8"/>
  <c r="W27" i="8"/>
  <c r="L27" i="8"/>
  <c r="Z26" i="8"/>
  <c r="X26" i="8"/>
  <c r="W26" i="8"/>
  <c r="L26" i="8"/>
  <c r="BB25" i="8"/>
  <c r="BB26" i="8" s="1"/>
  <c r="BB27" i="8" s="1"/>
  <c r="BB28" i="8" s="1"/>
  <c r="BB29" i="8" s="1"/>
  <c r="BB30" i="8" s="1"/>
  <c r="BB31" i="8" s="1"/>
  <c r="BB32" i="8" s="1"/>
  <c r="BB33" i="8" s="1"/>
  <c r="BB34" i="8" s="1"/>
  <c r="BB35" i="8" s="1"/>
  <c r="Z25" i="8"/>
  <c r="AX25" i="8" s="1"/>
  <c r="X25" i="8"/>
  <c r="W25" i="8"/>
  <c r="L25" i="8"/>
  <c r="Z24" i="8"/>
  <c r="AX24" i="8" s="1"/>
  <c r="X24" i="8"/>
  <c r="W24" i="8"/>
  <c r="L24" i="8"/>
  <c r="BB23" i="8"/>
  <c r="Z23" i="8"/>
  <c r="X23" i="8"/>
  <c r="W23" i="8"/>
  <c r="L23" i="8"/>
  <c r="Z22" i="8"/>
  <c r="AX22" i="8" s="1"/>
  <c r="X22" i="8"/>
  <c r="W22" i="8"/>
  <c r="L22" i="8"/>
  <c r="Z21" i="8"/>
  <c r="AX21" i="8" s="1"/>
  <c r="X21" i="8"/>
  <c r="W21" i="8"/>
  <c r="L21" i="8"/>
  <c r="Z20" i="8"/>
  <c r="X20" i="8"/>
  <c r="W20" i="8"/>
  <c r="L20" i="8"/>
  <c r="Z19" i="8"/>
  <c r="X19" i="8"/>
  <c r="W19" i="8"/>
  <c r="L19" i="8"/>
  <c r="Z18" i="8"/>
  <c r="AX18" i="8" s="1"/>
  <c r="X18" i="8"/>
  <c r="W18" i="8"/>
  <c r="L18" i="8"/>
  <c r="Z17" i="8"/>
  <c r="AX17" i="8" s="1"/>
  <c r="X17" i="8"/>
  <c r="W17" i="8"/>
  <c r="L17" i="8"/>
  <c r="Z16" i="8"/>
  <c r="X16" i="8"/>
  <c r="W16" i="8"/>
  <c r="L16" i="8"/>
  <c r="Z15" i="8"/>
  <c r="X15" i="8"/>
  <c r="W15" i="8"/>
  <c r="L15" i="8"/>
  <c r="Z14" i="8"/>
  <c r="X14" i="8"/>
  <c r="W14" i="8"/>
  <c r="L14" i="8"/>
  <c r="Z13" i="8"/>
  <c r="X13" i="8"/>
  <c r="W13" i="8"/>
  <c r="L13" i="8"/>
  <c r="Z12" i="8"/>
  <c r="X12" i="8"/>
  <c r="W12" i="8"/>
  <c r="L12" i="8"/>
  <c r="Z11" i="8"/>
  <c r="X11" i="8"/>
  <c r="W11" i="8"/>
  <c r="L11" i="8"/>
  <c r="Z10" i="8"/>
  <c r="X10" i="8"/>
  <c r="W10" i="8"/>
  <c r="L10" i="8"/>
  <c r="Z9" i="8"/>
  <c r="X9" i="8"/>
  <c r="W9" i="8"/>
  <c r="L9" i="8"/>
  <c r="Z8" i="8"/>
  <c r="Z7" i="8" s="1"/>
  <c r="AX7" i="8" s="1"/>
  <c r="X8" i="8"/>
  <c r="W8" i="8"/>
  <c r="L8" i="8"/>
  <c r="BE7" i="8"/>
  <c r="X7" i="8"/>
  <c r="W7" i="8"/>
  <c r="Q7" i="8"/>
  <c r="Q8" i="8" s="1"/>
  <c r="B7" i="8"/>
  <c r="B8" i="8" s="1"/>
  <c r="B9" i="8" s="1"/>
  <c r="B10" i="8" s="1"/>
  <c r="B11" i="8" s="1"/>
  <c r="B12" i="8" s="1"/>
  <c r="B13" i="8" s="1"/>
  <c r="B14" i="8" s="1"/>
  <c r="B15" i="8" s="1"/>
  <c r="B16" i="8" s="1"/>
  <c r="B17" i="8" s="1"/>
  <c r="B18" i="8" s="1"/>
  <c r="B19" i="8" s="1"/>
  <c r="B20" i="8" s="1"/>
  <c r="B21" i="8" s="1"/>
  <c r="B22" i="8" s="1"/>
  <c r="B23" i="8" s="1"/>
  <c r="B24" i="8" s="1"/>
  <c r="B25" i="8" s="1"/>
  <c r="B26" i="8" s="1"/>
  <c r="B27" i="8" s="1"/>
  <c r="B28" i="8" s="1"/>
  <c r="B29" i="8" s="1"/>
  <c r="B30" i="8" s="1"/>
  <c r="B31" i="8" s="1"/>
  <c r="B32" i="8" s="1"/>
  <c r="B33" i="8" s="1"/>
  <c r="B34" i="8" s="1"/>
  <c r="B35" i="8" s="1"/>
  <c r="B36" i="8" s="1"/>
  <c r="B37" i="8" s="1"/>
  <c r="B38" i="8" s="1"/>
  <c r="B39" i="8" s="1"/>
  <c r="B40" i="8" s="1"/>
  <c r="B41" i="8" s="1"/>
  <c r="B42" i="8" s="1"/>
  <c r="AY6" i="8"/>
  <c r="AM5" i="8"/>
  <c r="AN5" i="8" s="1"/>
  <c r="AO5" i="8" s="1"/>
  <c r="AP5" i="8" s="1"/>
  <c r="AQ5" i="8" s="1"/>
  <c r="AR5" i="8" s="1"/>
  <c r="AS5" i="8" s="1"/>
  <c r="AT5" i="8" s="1"/>
  <c r="AU5" i="8" s="1"/>
  <c r="AV5" i="8" s="1"/>
  <c r="AC5" i="8"/>
  <c r="AD5" i="8" s="1"/>
  <c r="P4" i="8"/>
  <c r="Q4" i="8" s="1"/>
  <c r="BK3" i="8"/>
  <c r="BJ3" i="8"/>
  <c r="BG3" i="8"/>
  <c r="BE3" i="8"/>
  <c r="AZ3" i="8"/>
  <c r="AY3" i="8"/>
  <c r="X3" i="8"/>
  <c r="W3" i="8"/>
  <c r="V3" i="8"/>
  <c r="O3" i="8"/>
  <c r="AW1" i="8"/>
  <c r="AL1" i="8"/>
  <c r="BA1" i="8"/>
  <c r="M1" i="8"/>
  <c r="K1" i="8"/>
  <c r="BH3" i="7"/>
  <c r="BH8" i="7"/>
  <c r="BH9" i="7" s="1"/>
  <c r="BH10" i="7" s="1"/>
  <c r="BH11" i="7" s="1"/>
  <c r="BI9" i="7"/>
  <c r="BI10" i="7" s="1"/>
  <c r="BI11" i="7" s="1"/>
  <c r="BI12" i="7" s="1"/>
  <c r="BI13" i="7" s="1"/>
  <c r="BI14" i="7" s="1"/>
  <c r="BI16" i="7" s="1"/>
  <c r="BI18" i="7" s="1"/>
  <c r="BI19" i="7" s="1"/>
  <c r="BI20" i="7" s="1"/>
  <c r="BI21" i="7" s="1"/>
  <c r="BI23" i="7" s="1"/>
  <c r="BI24" i="7" s="1"/>
  <c r="BI25" i="7" s="1"/>
  <c r="BI26" i="7" s="1"/>
  <c r="BI27" i="7" s="1"/>
  <c r="BI28" i="7" s="1"/>
  <c r="BI29" i="7" s="1"/>
  <c r="BI30" i="7" s="1"/>
  <c r="BI31" i="7" s="1"/>
  <c r="BI32" i="7" s="1"/>
  <c r="BI33" i="7" s="1"/>
  <c r="BI34" i="7" s="1"/>
  <c r="BI35" i="7" s="1"/>
  <c r="Y42" i="7"/>
  <c r="Y41" i="7"/>
  <c r="Y40" i="7"/>
  <c r="Y39" i="7"/>
  <c r="Y38" i="7"/>
  <c r="Y37" i="7"/>
  <c r="Y36" i="7"/>
  <c r="BF3" i="7"/>
  <c r="BJ3" i="7"/>
  <c r="BI3" i="7"/>
  <c r="BG42" i="7"/>
  <c r="BF42" i="7"/>
  <c r="BG41" i="7"/>
  <c r="BF41" i="7"/>
  <c r="BG40" i="7"/>
  <c r="BF40" i="7"/>
  <c r="BG39" i="7"/>
  <c r="BF39" i="7"/>
  <c r="BG38" i="7"/>
  <c r="BF38" i="7"/>
  <c r="AH3" i="7"/>
  <c r="AC3" i="7"/>
  <c r="AB3" i="7"/>
  <c r="Q7" i="7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42" i="7"/>
  <c r="Q41" i="7"/>
  <c r="Q40" i="7"/>
  <c r="Q39" i="7"/>
  <c r="Q38" i="7"/>
  <c r="Q37" i="7"/>
  <c r="Q36" i="7"/>
  <c r="AC37" i="7"/>
  <c r="AC38" i="7"/>
  <c r="AC39" i="7"/>
  <c r="AC40" i="7"/>
  <c r="AC41" i="7"/>
  <c r="AC42" i="7"/>
  <c r="L42" i="7"/>
  <c r="L41" i="7"/>
  <c r="L40" i="7"/>
  <c r="L39" i="7"/>
  <c r="L38" i="7"/>
  <c r="L37" i="7"/>
  <c r="L36" i="7"/>
  <c r="L35" i="7"/>
  <c r="L34" i="7"/>
  <c r="L33" i="7"/>
  <c r="L32" i="7"/>
  <c r="L31" i="7"/>
  <c r="L30" i="7"/>
  <c r="L29" i="7"/>
  <c r="L28" i="7"/>
  <c r="L27" i="7"/>
  <c r="L26" i="7"/>
  <c r="L25" i="7"/>
  <c r="L24" i="7"/>
  <c r="L23" i="7"/>
  <c r="L22" i="7"/>
  <c r="L21" i="7"/>
  <c r="L20" i="7"/>
  <c r="L19" i="7"/>
  <c r="L18" i="7"/>
  <c r="L17" i="7"/>
  <c r="L16" i="7"/>
  <c r="L15" i="7"/>
  <c r="L14" i="7"/>
  <c r="L13" i="7"/>
  <c r="L12" i="7"/>
  <c r="L11" i="7"/>
  <c r="L10" i="7"/>
  <c r="L9" i="7"/>
  <c r="X42" i="7"/>
  <c r="W42" i="7"/>
  <c r="X41" i="7"/>
  <c r="W41" i="7"/>
  <c r="X40" i="7"/>
  <c r="W40" i="7"/>
  <c r="X39" i="7"/>
  <c r="W39" i="7"/>
  <c r="X38" i="7"/>
  <c r="W38" i="7"/>
  <c r="X37" i="7"/>
  <c r="W37" i="7"/>
  <c r="X36" i="7"/>
  <c r="W36" i="7"/>
  <c r="X35" i="7"/>
  <c r="W35" i="7"/>
  <c r="X34" i="7"/>
  <c r="W34" i="7"/>
  <c r="X33" i="7"/>
  <c r="W33" i="7"/>
  <c r="Z42" i="7"/>
  <c r="AA42" i="7" s="1"/>
  <c r="Z41" i="7"/>
  <c r="AA41" i="7" s="1"/>
  <c r="Z40" i="7"/>
  <c r="AA40" i="7" s="1"/>
  <c r="Z39" i="7"/>
  <c r="AA39" i="7" s="1"/>
  <c r="Z38" i="7"/>
  <c r="AA38" i="7" s="1"/>
  <c r="Z37" i="7"/>
  <c r="AA37" i="7" s="1"/>
  <c r="Z36" i="7"/>
  <c r="AA36" i="7" s="1"/>
  <c r="X32" i="7"/>
  <c r="W32" i="7"/>
  <c r="X31" i="7"/>
  <c r="W31" i="7"/>
  <c r="X30" i="7"/>
  <c r="W30" i="7"/>
  <c r="X29" i="7"/>
  <c r="W29" i="7"/>
  <c r="X28" i="7"/>
  <c r="W28" i="7"/>
  <c r="X27" i="7"/>
  <c r="W27" i="7"/>
  <c r="X26" i="7"/>
  <c r="W26" i="7"/>
  <c r="X25" i="7"/>
  <c r="W25" i="7"/>
  <c r="X24" i="7"/>
  <c r="W24" i="7"/>
  <c r="X23" i="7"/>
  <c r="W23" i="7"/>
  <c r="X22" i="7"/>
  <c r="W22" i="7"/>
  <c r="X21" i="7"/>
  <c r="W21" i="7"/>
  <c r="X20" i="7"/>
  <c r="W20" i="7"/>
  <c r="X19" i="7"/>
  <c r="W19" i="7"/>
  <c r="X18" i="7"/>
  <c r="W18" i="7"/>
  <c r="X17" i="7"/>
  <c r="W17" i="7"/>
  <c r="X16" i="7"/>
  <c r="W16" i="7"/>
  <c r="X15" i="7"/>
  <c r="W15" i="7"/>
  <c r="X14" i="7"/>
  <c r="W14" i="7"/>
  <c r="X13" i="7"/>
  <c r="W13" i="7"/>
  <c r="X12" i="7"/>
  <c r="W12" i="7"/>
  <c r="X11" i="7"/>
  <c r="W11" i="7"/>
  <c r="X10" i="7"/>
  <c r="W10" i="7"/>
  <c r="X9" i="7"/>
  <c r="W9" i="7"/>
  <c r="X8" i="7"/>
  <c r="W8" i="7"/>
  <c r="X7" i="7"/>
  <c r="W7" i="7"/>
  <c r="Z35" i="7"/>
  <c r="Z34" i="7"/>
  <c r="Z33" i="7"/>
  <c r="Z32" i="7"/>
  <c r="Z31" i="7"/>
  <c r="Z30" i="7"/>
  <c r="Z29" i="7"/>
  <c r="Z28" i="7"/>
  <c r="Z27" i="7"/>
  <c r="Z26" i="7"/>
  <c r="Z25" i="7"/>
  <c r="Z24" i="7"/>
  <c r="Z23" i="7"/>
  <c r="Z22" i="7"/>
  <c r="Z21" i="7"/>
  <c r="Z20" i="7"/>
  <c r="Z19" i="7"/>
  <c r="Z18" i="7"/>
  <c r="Z17" i="7"/>
  <c r="Z16" i="7"/>
  <c r="Z15" i="7"/>
  <c r="Z14" i="7"/>
  <c r="Z13" i="7"/>
  <c r="Z12" i="7"/>
  <c r="Z11" i="7"/>
  <c r="Z10" i="7"/>
  <c r="Z9" i="7"/>
  <c r="Z8" i="7"/>
  <c r="Z7" i="7" s="1"/>
  <c r="P3" i="8" l="1"/>
  <c r="AY7" i="8"/>
  <c r="Q3" i="8"/>
  <c r="R4" i="8"/>
  <c r="Q9" i="8"/>
  <c r="O8" i="8"/>
  <c r="O7" i="8"/>
  <c r="AE5" i="8"/>
  <c r="AX8" i="8"/>
  <c r="B7" i="7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AA35" i="7"/>
  <c r="AA33" i="7"/>
  <c r="AA32" i="7"/>
  <c r="AA31" i="7"/>
  <c r="AA30" i="7"/>
  <c r="AA28" i="7"/>
  <c r="AA27" i="7"/>
  <c r="AA26" i="7"/>
  <c r="AE25" i="7"/>
  <c r="AE26" i="7" s="1"/>
  <c r="AE27" i="7" s="1"/>
  <c r="AE28" i="7" s="1"/>
  <c r="AE29" i="7" s="1"/>
  <c r="AE30" i="7" s="1"/>
  <c r="AE31" i="7" s="1"/>
  <c r="AE32" i="7" s="1"/>
  <c r="AE33" i="7" s="1"/>
  <c r="AE34" i="7" s="1"/>
  <c r="AE35" i="7" s="1"/>
  <c r="AA25" i="7"/>
  <c r="AA24" i="7"/>
  <c r="AE23" i="7"/>
  <c r="AA22" i="7"/>
  <c r="AA21" i="7"/>
  <c r="AA20" i="7"/>
  <c r="AA18" i="7"/>
  <c r="AA17" i="7"/>
  <c r="AA16" i="7"/>
  <c r="AA14" i="7"/>
  <c r="AA13" i="7"/>
  <c r="AA11" i="7"/>
  <c r="AA9" i="7"/>
  <c r="AA7" i="7"/>
  <c r="L8" i="7"/>
  <c r="AH7" i="7"/>
  <c r="O7" i="7"/>
  <c r="N7" i="7" s="1"/>
  <c r="AB6" i="7"/>
  <c r="AK5" i="7"/>
  <c r="AL5" i="7" s="1"/>
  <c r="AM5" i="7" s="1"/>
  <c r="AN5" i="7" s="1"/>
  <c r="AO5" i="7" s="1"/>
  <c r="AU5" i="7"/>
  <c r="AV5" i="7" s="1"/>
  <c r="AW5" i="7" s="1"/>
  <c r="AX5" i="7" s="1"/>
  <c r="AY5" i="7" s="1"/>
  <c r="AZ5" i="7" s="1"/>
  <c r="BA5" i="7" s="1"/>
  <c r="BB5" i="7" s="1"/>
  <c r="BC5" i="7" s="1"/>
  <c r="BD5" i="7" s="1"/>
  <c r="P4" i="7"/>
  <c r="X3" i="7"/>
  <c r="W3" i="7"/>
  <c r="V3" i="7"/>
  <c r="O3" i="7"/>
  <c r="BE1" i="7"/>
  <c r="AT1" i="7"/>
  <c r="AD1" i="7"/>
  <c r="M1" i="7"/>
  <c r="K1" i="7"/>
  <c r="AX9" i="8" l="1"/>
  <c r="AX11" i="8" s="1"/>
  <c r="BD7" i="8"/>
  <c r="AZ8" i="8"/>
  <c r="AY8" i="8"/>
  <c r="N7" i="8"/>
  <c r="R3" i="8"/>
  <c r="S4" i="8"/>
  <c r="AF5" i="8"/>
  <c r="Q10" i="8"/>
  <c r="O9" i="8"/>
  <c r="N8" i="8"/>
  <c r="AB7" i="7"/>
  <c r="AA8" i="7"/>
  <c r="P3" i="7"/>
  <c r="Q4" i="7"/>
  <c r="O8" i="7"/>
  <c r="N8" i="7" s="1"/>
  <c r="AP5" i="7"/>
  <c r="AX10" i="8" l="1"/>
  <c r="AX13" i="8"/>
  <c r="S3" i="8"/>
  <c r="T4" i="8"/>
  <c r="BD8" i="8"/>
  <c r="AY9" i="8"/>
  <c r="BE8" i="8"/>
  <c r="Y8" i="8" s="1"/>
  <c r="AZ9" i="8"/>
  <c r="N9" i="8"/>
  <c r="Q11" i="8"/>
  <c r="O10" i="8"/>
  <c r="AX15" i="8"/>
  <c r="Y7" i="8"/>
  <c r="AG5" i="8"/>
  <c r="AB8" i="7"/>
  <c r="AC8" i="7"/>
  <c r="AC9" i="7" s="1"/>
  <c r="AG7" i="7"/>
  <c r="Y7" i="7" s="1"/>
  <c r="AB9" i="7"/>
  <c r="AA10" i="7"/>
  <c r="AA12" i="7" s="1"/>
  <c r="Q3" i="7"/>
  <c r="R4" i="7"/>
  <c r="AG8" i="7"/>
  <c r="AG9" i="7"/>
  <c r="O9" i="7"/>
  <c r="N9" i="7" s="1"/>
  <c r="AQ5" i="7"/>
  <c r="AX12" i="8" l="1"/>
  <c r="AX14" i="8" s="1"/>
  <c r="Q12" i="8"/>
  <c r="O11" i="8"/>
  <c r="BE9" i="8"/>
  <c r="AZ10" i="8"/>
  <c r="AH5" i="8"/>
  <c r="BD9" i="8"/>
  <c r="Y9" i="8"/>
  <c r="AY10" i="8"/>
  <c r="AX19" i="8"/>
  <c r="AX23" i="8" s="1"/>
  <c r="T3" i="8"/>
  <c r="U4" i="8"/>
  <c r="N10" i="8"/>
  <c r="AA15" i="7"/>
  <c r="AB15" i="7" s="1"/>
  <c r="AC10" i="7"/>
  <c r="AC11" i="7" s="1"/>
  <c r="AC12" i="7" s="1"/>
  <c r="AC13" i="7" s="1"/>
  <c r="AC14" i="7" s="1"/>
  <c r="AH8" i="7"/>
  <c r="Y8" i="7" s="1"/>
  <c r="AH9" i="7"/>
  <c r="Y9" i="7" s="1"/>
  <c r="AB10" i="7"/>
  <c r="R3" i="7"/>
  <c r="S4" i="7"/>
  <c r="O10" i="7"/>
  <c r="N10" i="7" s="1"/>
  <c r="AR5" i="7"/>
  <c r="AX16" i="8" l="1"/>
  <c r="AX20" i="8"/>
  <c r="AY16" i="8"/>
  <c r="U3" i="8"/>
  <c r="V4" i="8"/>
  <c r="W4" i="8" s="1"/>
  <c r="X4" i="8" s="1"/>
  <c r="M3" i="8"/>
  <c r="P10" i="8" s="1"/>
  <c r="AI5" i="8"/>
  <c r="BE10" i="8"/>
  <c r="Y10" i="8" s="1"/>
  <c r="AZ11" i="8"/>
  <c r="AZ16" i="8"/>
  <c r="N11" i="8"/>
  <c r="BD10" i="8"/>
  <c r="AY11" i="8"/>
  <c r="AY12" i="8" s="1"/>
  <c r="AX29" i="8"/>
  <c r="Q13" i="8"/>
  <c r="O12" i="8"/>
  <c r="AH10" i="7"/>
  <c r="AG15" i="7"/>
  <c r="AB16" i="7"/>
  <c r="AA19" i="7"/>
  <c r="AC15" i="7"/>
  <c r="AB11" i="7"/>
  <c r="AG10" i="7"/>
  <c r="Y10" i="7" s="1"/>
  <c r="AG16" i="7"/>
  <c r="AB12" i="7"/>
  <c r="O11" i="7"/>
  <c r="N11" i="7" s="1"/>
  <c r="AH11" i="7"/>
  <c r="S3" i="7"/>
  <c r="T4" i="7"/>
  <c r="AS5" i="7"/>
  <c r="AX26" i="8" l="1"/>
  <c r="AX31" i="8" s="1"/>
  <c r="AY13" i="8"/>
  <c r="BD12" i="8"/>
  <c r="BE11" i="8"/>
  <c r="AZ12" i="8"/>
  <c r="AJ5" i="8"/>
  <c r="P39" i="8"/>
  <c r="P37" i="8"/>
  <c r="K3" i="8"/>
  <c r="P42" i="8"/>
  <c r="P38" i="8"/>
  <c r="P40" i="8"/>
  <c r="P36" i="8"/>
  <c r="P41" i="8"/>
  <c r="P7" i="8"/>
  <c r="P8" i="8"/>
  <c r="P9" i="8"/>
  <c r="P12" i="8"/>
  <c r="AY20" i="8"/>
  <c r="Q14" i="8"/>
  <c r="O13" i="8"/>
  <c r="N12" i="8"/>
  <c r="AX34" i="8"/>
  <c r="AZ20" i="8"/>
  <c r="P13" i="8"/>
  <c r="P11" i="8"/>
  <c r="BD11" i="8"/>
  <c r="Y11" i="8" s="1"/>
  <c r="P16" i="8"/>
  <c r="BD16" i="8"/>
  <c r="AY17" i="8"/>
  <c r="BE16" i="8"/>
  <c r="AZ17" i="8"/>
  <c r="AG11" i="7"/>
  <c r="AB17" i="7"/>
  <c r="AC19" i="7"/>
  <c r="AB19" i="7"/>
  <c r="AA23" i="7"/>
  <c r="AA29" i="7" s="1"/>
  <c r="AC16" i="7"/>
  <c r="AH15" i="7"/>
  <c r="O12" i="7"/>
  <c r="N12" i="7" s="1"/>
  <c r="AH12" i="7"/>
  <c r="AG12" i="7"/>
  <c r="Y12" i="7" s="1"/>
  <c r="AB13" i="7"/>
  <c r="U4" i="7"/>
  <c r="T3" i="7"/>
  <c r="BD13" i="8" l="1"/>
  <c r="AY14" i="8"/>
  <c r="AY15" i="8" s="1"/>
  <c r="BE12" i="8"/>
  <c r="Y12" i="8" s="1"/>
  <c r="AZ13" i="8"/>
  <c r="AZ14" i="8" s="1"/>
  <c r="AZ34" i="8"/>
  <c r="AY34" i="8"/>
  <c r="AZ18" i="8"/>
  <c r="BE17" i="8"/>
  <c r="N13" i="8"/>
  <c r="BD20" i="8"/>
  <c r="AY21" i="8"/>
  <c r="BE20" i="8"/>
  <c r="AZ21" i="8"/>
  <c r="Q15" i="8"/>
  <c r="O14" i="8"/>
  <c r="AK5" i="8"/>
  <c r="P17" i="8"/>
  <c r="BD17" i="8"/>
  <c r="AY18" i="8"/>
  <c r="AY19" i="8" s="1"/>
  <c r="BD19" i="8" s="1"/>
  <c r="AG17" i="7"/>
  <c r="Y11" i="7"/>
  <c r="AB18" i="7"/>
  <c r="AC17" i="7"/>
  <c r="AH16" i="7"/>
  <c r="AB23" i="7"/>
  <c r="AC23" i="7"/>
  <c r="AA34" i="7"/>
  <c r="AC29" i="7"/>
  <c r="AB29" i="7"/>
  <c r="AG19" i="7"/>
  <c r="AB20" i="7"/>
  <c r="AC20" i="7"/>
  <c r="AH19" i="7"/>
  <c r="AG36" i="7"/>
  <c r="AB37" i="7"/>
  <c r="AH36" i="7"/>
  <c r="AG13" i="7"/>
  <c r="AB14" i="7"/>
  <c r="O13" i="7"/>
  <c r="N13" i="7" s="1"/>
  <c r="AH13" i="7"/>
  <c r="V4" i="7"/>
  <c r="W4" i="7" s="1"/>
  <c r="X4" i="7" s="1"/>
  <c r="U3" i="7"/>
  <c r="M3" i="7" s="1"/>
  <c r="BD15" i="8" l="1"/>
  <c r="P15" i="8"/>
  <c r="BE14" i="8"/>
  <c r="AZ15" i="8"/>
  <c r="BE15" i="8" s="1"/>
  <c r="BE18" i="8"/>
  <c r="AZ19" i="8"/>
  <c r="BE19" i="8" s="1"/>
  <c r="P14" i="8"/>
  <c r="BD14" i="8"/>
  <c r="BE13" i="8"/>
  <c r="Y13" i="8"/>
  <c r="Q16" i="8"/>
  <c r="O15" i="8"/>
  <c r="BD21" i="8"/>
  <c r="AY22" i="8"/>
  <c r="AY23" i="8" s="1"/>
  <c r="AY31" i="8"/>
  <c r="N14" i="8"/>
  <c r="BE21" i="8"/>
  <c r="AZ22" i="8"/>
  <c r="BD34" i="8"/>
  <c r="AY35" i="8"/>
  <c r="AY26" i="8"/>
  <c r="AZ26" i="8"/>
  <c r="BE34" i="8"/>
  <c r="AZ35" i="8"/>
  <c r="BD18" i="8"/>
  <c r="P18" i="8"/>
  <c r="AZ31" i="8"/>
  <c r="Y13" i="7"/>
  <c r="AG18" i="7"/>
  <c r="AG20" i="7"/>
  <c r="AB21" i="7"/>
  <c r="AC24" i="7"/>
  <c r="AH23" i="7"/>
  <c r="AC21" i="7"/>
  <c r="AH20" i="7"/>
  <c r="AG23" i="7"/>
  <c r="AB24" i="7"/>
  <c r="AC30" i="7"/>
  <c r="AH29" i="7"/>
  <c r="AC34" i="7"/>
  <c r="AB34" i="7"/>
  <c r="AB30" i="7"/>
  <c r="AG29" i="7"/>
  <c r="AC18" i="7"/>
  <c r="AH17" i="7"/>
  <c r="AH14" i="7"/>
  <c r="AH37" i="7"/>
  <c r="AG37" i="7"/>
  <c r="AB38" i="7"/>
  <c r="P38" i="7" s="1"/>
  <c r="K3" i="7"/>
  <c r="P7" i="7"/>
  <c r="P37" i="7"/>
  <c r="P9" i="7"/>
  <c r="P8" i="7"/>
  <c r="P10" i="7"/>
  <c r="P15" i="7"/>
  <c r="P19" i="7"/>
  <c r="P23" i="7"/>
  <c r="P20" i="7"/>
  <c r="P11" i="7"/>
  <c r="P16" i="7"/>
  <c r="P17" i="7"/>
  <c r="P12" i="7"/>
  <c r="P14" i="7"/>
  <c r="AG14" i="7"/>
  <c r="O14" i="7"/>
  <c r="N14" i="7" s="1"/>
  <c r="P18" i="7"/>
  <c r="P13" i="7"/>
  <c r="BE22" i="8" l="1"/>
  <c r="AZ23" i="8"/>
  <c r="BD23" i="8"/>
  <c r="AY24" i="8"/>
  <c r="Y14" i="8"/>
  <c r="P31" i="8"/>
  <c r="BD31" i="8"/>
  <c r="AY32" i="8"/>
  <c r="BE26" i="8"/>
  <c r="AZ27" i="8"/>
  <c r="BD22" i="8"/>
  <c r="BD26" i="8"/>
  <c r="AY27" i="8"/>
  <c r="BD35" i="8"/>
  <c r="N15" i="8"/>
  <c r="Y15" i="8" s="1"/>
  <c r="Q17" i="8"/>
  <c r="O16" i="8"/>
  <c r="N16" i="8" s="1"/>
  <c r="Y16" i="8" s="1"/>
  <c r="BE35" i="8"/>
  <c r="AZ36" i="8"/>
  <c r="BE31" i="8"/>
  <c r="AZ32" i="8"/>
  <c r="Y14" i="7"/>
  <c r="P21" i="7"/>
  <c r="AH18" i="7"/>
  <c r="P24" i="7"/>
  <c r="AC35" i="7"/>
  <c r="AH34" i="7"/>
  <c r="AC22" i="7"/>
  <c r="AH22" i="7" s="1"/>
  <c r="AH21" i="7"/>
  <c r="AC31" i="7"/>
  <c r="AH30" i="7"/>
  <c r="AC25" i="7"/>
  <c r="AH24" i="7"/>
  <c r="AB22" i="7"/>
  <c r="AG21" i="7"/>
  <c r="AG24" i="7"/>
  <c r="AB25" i="7"/>
  <c r="AB31" i="7"/>
  <c r="AG30" i="7"/>
  <c r="AG34" i="7"/>
  <c r="AB35" i="7"/>
  <c r="AB39" i="7"/>
  <c r="AG38" i="7"/>
  <c r="AH38" i="7"/>
  <c r="O15" i="7"/>
  <c r="N15" i="7" s="1"/>
  <c r="Y15" i="7" s="1"/>
  <c r="AZ24" i="8" l="1"/>
  <c r="BE23" i="8"/>
  <c r="BD24" i="8"/>
  <c r="AY25" i="8"/>
  <c r="BD25" i="8" s="1"/>
  <c r="O17" i="8"/>
  <c r="N17" i="8" s="1"/>
  <c r="Y17" i="8" s="1"/>
  <c r="Q18" i="8"/>
  <c r="BE27" i="8"/>
  <c r="AZ28" i="8"/>
  <c r="P32" i="8"/>
  <c r="BD32" i="8"/>
  <c r="AY33" i="8"/>
  <c r="AZ33" i="8"/>
  <c r="BE33" i="8" s="1"/>
  <c r="BE32" i="8"/>
  <c r="BD27" i="8"/>
  <c r="AY28" i="8"/>
  <c r="AY29" i="8" s="1"/>
  <c r="AC26" i="7"/>
  <c r="AH25" i="7"/>
  <c r="AG22" i="7"/>
  <c r="P22" i="7"/>
  <c r="AG31" i="7"/>
  <c r="AB32" i="7"/>
  <c r="AC32" i="7"/>
  <c r="AH31" i="7"/>
  <c r="AB36" i="7"/>
  <c r="P36" i="7" s="1"/>
  <c r="AG35" i="7"/>
  <c r="AG25" i="7"/>
  <c r="AB26" i="7"/>
  <c r="P25" i="7"/>
  <c r="AC36" i="7"/>
  <c r="AH35" i="7"/>
  <c r="AH39" i="7"/>
  <c r="AG39" i="7"/>
  <c r="AB40" i="7"/>
  <c r="P39" i="7"/>
  <c r="O16" i="7"/>
  <c r="N16" i="7" s="1"/>
  <c r="Y16" i="7" s="1"/>
  <c r="BE28" i="8" l="1"/>
  <c r="AZ29" i="8"/>
  <c r="P29" i="8"/>
  <c r="AY30" i="8"/>
  <c r="BD29" i="8"/>
  <c r="AZ25" i="8"/>
  <c r="BE25" i="8" s="1"/>
  <c r="BE24" i="8"/>
  <c r="BD33" i="8"/>
  <c r="P33" i="8"/>
  <c r="AY5" i="8"/>
  <c r="AC4" i="8"/>
  <c r="AI4" i="8"/>
  <c r="AF4" i="8"/>
  <c r="O18" i="8"/>
  <c r="N18" i="8" s="1"/>
  <c r="Y18" i="8" s="1"/>
  <c r="Q19" i="8"/>
  <c r="BD28" i="8"/>
  <c r="AK4" i="8"/>
  <c r="AH4" i="8"/>
  <c r="AB4" i="8"/>
  <c r="AD4" i="8"/>
  <c r="AE4" i="8"/>
  <c r="AJ4" i="8"/>
  <c r="AC33" i="7"/>
  <c r="AH33" i="7" s="1"/>
  <c r="AH32" i="7"/>
  <c r="AB33" i="7"/>
  <c r="AG32" i="7"/>
  <c r="AG26" i="7"/>
  <c r="AB27" i="7"/>
  <c r="P26" i="7"/>
  <c r="AC27" i="7"/>
  <c r="AH26" i="7"/>
  <c r="AH40" i="7"/>
  <c r="AG40" i="7"/>
  <c r="AB41" i="7"/>
  <c r="P40" i="7"/>
  <c r="O17" i="7"/>
  <c r="N17" i="7" s="1"/>
  <c r="Y17" i="7" s="1"/>
  <c r="BD30" i="8" l="1"/>
  <c r="P30" i="8"/>
  <c r="AG4" i="8"/>
  <c r="BD5" i="8"/>
  <c r="BD6" i="8" s="1"/>
  <c r="AZ30" i="8"/>
  <c r="BE30" i="8" s="1"/>
  <c r="BE29" i="8"/>
  <c r="AF13" i="8"/>
  <c r="AF14" i="8"/>
  <c r="AF15" i="8"/>
  <c r="AB8" i="8"/>
  <c r="AB7" i="8"/>
  <c r="AB9" i="8"/>
  <c r="AB10" i="8"/>
  <c r="AB11" i="8"/>
  <c r="AB12" i="8"/>
  <c r="AB13" i="8"/>
  <c r="AB14" i="8"/>
  <c r="AB15" i="8"/>
  <c r="AI13" i="8"/>
  <c r="AI14" i="8"/>
  <c r="AI15" i="8"/>
  <c r="AC12" i="8"/>
  <c r="AC13" i="8"/>
  <c r="AC14" i="8"/>
  <c r="AC15" i="8"/>
  <c r="AK9" i="8"/>
  <c r="AK10" i="8"/>
  <c r="AK11" i="8"/>
  <c r="AK12" i="8"/>
  <c r="AK13" i="8"/>
  <c r="AK14" i="8"/>
  <c r="AK15" i="8"/>
  <c r="AH13" i="8"/>
  <c r="AH14" i="8"/>
  <c r="AH15" i="8"/>
  <c r="Q20" i="8"/>
  <c r="O19" i="8"/>
  <c r="AJ12" i="8"/>
  <c r="AJ13" i="8"/>
  <c r="AJ14" i="8"/>
  <c r="AJ15" i="8"/>
  <c r="AE13" i="8"/>
  <c r="AE14" i="8"/>
  <c r="AE15" i="8"/>
  <c r="AD11" i="8"/>
  <c r="AD12" i="8"/>
  <c r="AD13" i="8"/>
  <c r="AD14" i="8"/>
  <c r="AD15" i="8"/>
  <c r="AC28" i="7"/>
  <c r="AH28" i="7" s="1"/>
  <c r="AH27" i="7"/>
  <c r="AG33" i="7"/>
  <c r="P27" i="7"/>
  <c r="AG27" i="7"/>
  <c r="AB28" i="7"/>
  <c r="AG41" i="7"/>
  <c r="AB42" i="7"/>
  <c r="AQ4" i="7" s="1"/>
  <c r="P41" i="7"/>
  <c r="AR4" i="7"/>
  <c r="AH41" i="7"/>
  <c r="AH42" i="7"/>
  <c r="O18" i="7"/>
  <c r="N18" i="7" s="1"/>
  <c r="Y18" i="7" s="1"/>
  <c r="AG12" i="8" l="1"/>
  <c r="AG15" i="8"/>
  <c r="AG13" i="8"/>
  <c r="AG14" i="8"/>
  <c r="N19" i="8"/>
  <c r="Y19" i="8" s="1"/>
  <c r="P19" i="8"/>
  <c r="AB6" i="8"/>
  <c r="AB19" i="8"/>
  <c r="AM19" i="8" s="1"/>
  <c r="AB29" i="8"/>
  <c r="AM7" i="8"/>
  <c r="AM8" i="8" s="1"/>
  <c r="AM9" i="8" s="1"/>
  <c r="AM10" i="8" s="1"/>
  <c r="AM11" i="8" s="1"/>
  <c r="AM12" i="8" s="1"/>
  <c r="AM13" i="8" s="1"/>
  <c r="AM14" i="8" s="1"/>
  <c r="AM15" i="8" s="1"/>
  <c r="AB30" i="8"/>
  <c r="AB20" i="8"/>
  <c r="AM20" i="8" s="1"/>
  <c r="AC36" i="8"/>
  <c r="AC26" i="8"/>
  <c r="AF27" i="8"/>
  <c r="AF37" i="8"/>
  <c r="AH26" i="8"/>
  <c r="AH36" i="8"/>
  <c r="AC35" i="8"/>
  <c r="AC25" i="8"/>
  <c r="AD34" i="8"/>
  <c r="AD24" i="8"/>
  <c r="AF26" i="8"/>
  <c r="AF36" i="8"/>
  <c r="AC34" i="8"/>
  <c r="AC24" i="8"/>
  <c r="AJ34" i="8"/>
  <c r="AJ24" i="8"/>
  <c r="AK35" i="8"/>
  <c r="AK25" i="8"/>
  <c r="AF35" i="8"/>
  <c r="AF25" i="8"/>
  <c r="AB31" i="8"/>
  <c r="AB21" i="8"/>
  <c r="AK36" i="8"/>
  <c r="AK26" i="8"/>
  <c r="AE35" i="8"/>
  <c r="AE25" i="8"/>
  <c r="AK34" i="8"/>
  <c r="AK24" i="8"/>
  <c r="AB37" i="8"/>
  <c r="AB27" i="8"/>
  <c r="AC27" i="8"/>
  <c r="AC37" i="8"/>
  <c r="AJ36" i="8"/>
  <c r="BH36" i="8" s="1"/>
  <c r="AJ26" i="8"/>
  <c r="AJ25" i="8"/>
  <c r="AJ35" i="8"/>
  <c r="AD23" i="8"/>
  <c r="AD33" i="8"/>
  <c r="AK33" i="8"/>
  <c r="AK23" i="8"/>
  <c r="AB36" i="8"/>
  <c r="AB26" i="8"/>
  <c r="AH37" i="8"/>
  <c r="AH27" i="8"/>
  <c r="AJ37" i="8"/>
  <c r="BH37" i="8" s="1"/>
  <c r="AJ27" i="8"/>
  <c r="AE36" i="8"/>
  <c r="AE26" i="8"/>
  <c r="AK22" i="8"/>
  <c r="AK32" i="8"/>
  <c r="AB35" i="8"/>
  <c r="AB25" i="8"/>
  <c r="AK31" i="8"/>
  <c r="AK21" i="8"/>
  <c r="AI37" i="8"/>
  <c r="BG37" i="8" s="1"/>
  <c r="AI27" i="8"/>
  <c r="AB34" i="8"/>
  <c r="AB24" i="8"/>
  <c r="AD36" i="8"/>
  <c r="AD26" i="8"/>
  <c r="AD35" i="8"/>
  <c r="AD25" i="8"/>
  <c r="AE27" i="8"/>
  <c r="AE37" i="8"/>
  <c r="AI26" i="8"/>
  <c r="AI36" i="8"/>
  <c r="BG36" i="8" s="1"/>
  <c r="AB23" i="8"/>
  <c r="AB33" i="8"/>
  <c r="AD27" i="8"/>
  <c r="AD37" i="8"/>
  <c r="AH25" i="8"/>
  <c r="AH35" i="8"/>
  <c r="AK37" i="8"/>
  <c r="AK27" i="8"/>
  <c r="Q21" i="8"/>
  <c r="O20" i="8"/>
  <c r="AI25" i="8"/>
  <c r="AI35" i="8"/>
  <c r="AB32" i="8"/>
  <c r="AB22" i="8"/>
  <c r="AM4" i="7"/>
  <c r="AM12" i="7" s="1"/>
  <c r="AN4" i="7"/>
  <c r="AN14" i="7" s="1"/>
  <c r="AG28" i="7"/>
  <c r="P28" i="7"/>
  <c r="AP4" i="7"/>
  <c r="AO4" i="7"/>
  <c r="AO13" i="7" s="1"/>
  <c r="AB5" i="7"/>
  <c r="AJ4" i="7"/>
  <c r="AJ13" i="7" s="1"/>
  <c r="AS4" i="7"/>
  <c r="AS8" i="7" s="1"/>
  <c r="AL4" i="7"/>
  <c r="AL15" i="7" s="1"/>
  <c r="AR8" i="7"/>
  <c r="AR13" i="7"/>
  <c r="AR9" i="7"/>
  <c r="AR14" i="7"/>
  <c r="AR10" i="7"/>
  <c r="AR15" i="7"/>
  <c r="AR11" i="7"/>
  <c r="AR7" i="7"/>
  <c r="AR12" i="7"/>
  <c r="AG42" i="7"/>
  <c r="P42" i="7"/>
  <c r="AK4" i="7"/>
  <c r="AM15" i="7"/>
  <c r="AQ10" i="7"/>
  <c r="AQ13" i="7"/>
  <c r="AQ14" i="7"/>
  <c r="AQ15" i="7"/>
  <c r="AQ12" i="7"/>
  <c r="AQ9" i="7"/>
  <c r="AQ11" i="7"/>
  <c r="O19" i="7"/>
  <c r="N19" i="7" s="1"/>
  <c r="Y19" i="7" s="1"/>
  <c r="AG26" i="8" l="1"/>
  <c r="AG36" i="8"/>
  <c r="AG35" i="8"/>
  <c r="AG25" i="8"/>
  <c r="AG27" i="8"/>
  <c r="AG37" i="8"/>
  <c r="AG34" i="8"/>
  <c r="AG24" i="8"/>
  <c r="AC11" i="8"/>
  <c r="AC10" i="8"/>
  <c r="AM21" i="8"/>
  <c r="AM22" i="8" s="1"/>
  <c r="AM23" i="8" s="1"/>
  <c r="AM24" i="8" s="1"/>
  <c r="AM25" i="8" s="1"/>
  <c r="AM26" i="8" s="1"/>
  <c r="AM27" i="8" s="1"/>
  <c r="N20" i="8"/>
  <c r="Y20" i="8" s="1"/>
  <c r="P20" i="8"/>
  <c r="Q22" i="8"/>
  <c r="O21" i="8"/>
  <c r="AC8" i="8"/>
  <c r="AC7" i="8"/>
  <c r="AC9" i="8"/>
  <c r="AM14" i="7"/>
  <c r="AM11" i="7"/>
  <c r="AM13" i="7"/>
  <c r="AG5" i="7"/>
  <c r="AG6" i="7" s="1"/>
  <c r="AN15" i="7"/>
  <c r="AN13" i="7"/>
  <c r="AN25" i="7" s="1"/>
  <c r="AO15" i="7"/>
  <c r="AO27" i="7" s="1"/>
  <c r="AJ12" i="7"/>
  <c r="AJ24" i="7" s="1"/>
  <c r="AS7" i="7"/>
  <c r="AS29" i="7" s="1"/>
  <c r="AS14" i="7"/>
  <c r="AS26" i="7" s="1"/>
  <c r="AJ15" i="7"/>
  <c r="AJ37" i="7" s="1"/>
  <c r="AL12" i="7"/>
  <c r="AL24" i="7" s="1"/>
  <c r="AL13" i="7"/>
  <c r="AL35" i="7" s="1"/>
  <c r="AS11" i="7"/>
  <c r="AS23" i="7" s="1"/>
  <c r="AJ10" i="7"/>
  <c r="AJ22" i="7" s="1"/>
  <c r="AJ11" i="7"/>
  <c r="AJ33" i="7" s="1"/>
  <c r="AJ8" i="7"/>
  <c r="AU8" i="7" s="1"/>
  <c r="AL14" i="7"/>
  <c r="AL36" i="7" s="1"/>
  <c r="AL11" i="7"/>
  <c r="AL33" i="7" s="1"/>
  <c r="AS10" i="7"/>
  <c r="AS32" i="7" s="1"/>
  <c r="AO14" i="7"/>
  <c r="AO26" i="7" s="1"/>
  <c r="AS13" i="7"/>
  <c r="AS25" i="7" s="1"/>
  <c r="AS12" i="7"/>
  <c r="AS24" i="7" s="1"/>
  <c r="AS15" i="7"/>
  <c r="AS27" i="7" s="1"/>
  <c r="AJ7" i="7"/>
  <c r="AU7" i="7" s="1"/>
  <c r="AJ14" i="7"/>
  <c r="AJ36" i="7" s="1"/>
  <c r="AS9" i="7"/>
  <c r="AS21" i="7" s="1"/>
  <c r="AJ9" i="7"/>
  <c r="AJ31" i="7" s="1"/>
  <c r="BC7" i="7"/>
  <c r="BC8" i="7" s="1"/>
  <c r="BC9" i="7" s="1"/>
  <c r="BC10" i="7" s="1"/>
  <c r="BC11" i="7" s="1"/>
  <c r="BC12" i="7" s="1"/>
  <c r="BC13" i="7" s="1"/>
  <c r="BC14" i="7" s="1"/>
  <c r="BC15" i="7" s="1"/>
  <c r="AR19" i="7"/>
  <c r="BC19" i="7" s="1"/>
  <c r="AR29" i="7"/>
  <c r="AR6" i="7"/>
  <c r="AS30" i="7"/>
  <c r="AS20" i="7"/>
  <c r="AQ26" i="7"/>
  <c r="AQ36" i="7"/>
  <c r="BF36" i="7" s="1"/>
  <c r="AM36" i="7"/>
  <c r="AM26" i="7"/>
  <c r="AR23" i="7"/>
  <c r="AR33" i="7"/>
  <c r="AR30" i="7"/>
  <c r="AR20" i="7"/>
  <c r="AR27" i="7"/>
  <c r="AR37" i="7"/>
  <c r="BG37" i="7" s="1"/>
  <c r="AQ22" i="7"/>
  <c r="AQ32" i="7"/>
  <c r="AR31" i="7"/>
  <c r="AR21" i="7"/>
  <c r="AM33" i="7"/>
  <c r="AM23" i="7"/>
  <c r="AQ23" i="7"/>
  <c r="AQ33" i="7"/>
  <c r="AM24" i="7"/>
  <c r="AM34" i="7"/>
  <c r="AJ35" i="7"/>
  <c r="AJ25" i="7"/>
  <c r="AR36" i="7"/>
  <c r="BG36" i="7" s="1"/>
  <c r="AR26" i="7"/>
  <c r="AM35" i="7"/>
  <c r="AM25" i="7"/>
  <c r="AQ31" i="7"/>
  <c r="AQ21" i="7"/>
  <c r="AM37" i="7"/>
  <c r="AM27" i="7"/>
  <c r="AR35" i="7"/>
  <c r="AR25" i="7"/>
  <c r="AQ34" i="7"/>
  <c r="AQ24" i="7"/>
  <c r="AN37" i="7"/>
  <c r="AN27" i="7"/>
  <c r="AO35" i="7"/>
  <c r="AO25" i="7"/>
  <c r="AQ35" i="7"/>
  <c r="AQ25" i="7"/>
  <c r="AR32" i="7"/>
  <c r="AR22" i="7"/>
  <c r="AK14" i="7"/>
  <c r="AK12" i="7"/>
  <c r="AK13" i="7"/>
  <c r="AK15" i="7"/>
  <c r="AQ37" i="7"/>
  <c r="BF37" i="7" s="1"/>
  <c r="AQ27" i="7"/>
  <c r="AR24" i="7"/>
  <c r="AR34" i="7"/>
  <c r="AL37" i="7"/>
  <c r="AL27" i="7"/>
  <c r="AN36" i="7"/>
  <c r="AN26" i="7"/>
  <c r="O20" i="7"/>
  <c r="N20" i="7" s="1"/>
  <c r="Y20" i="7" s="1"/>
  <c r="AC32" i="8" l="1"/>
  <c r="AC22" i="8"/>
  <c r="AC23" i="8"/>
  <c r="AC33" i="8"/>
  <c r="N21" i="8"/>
  <c r="Y21" i="8" s="1"/>
  <c r="P21" i="8"/>
  <c r="AC30" i="8"/>
  <c r="AC20" i="8"/>
  <c r="Q23" i="8"/>
  <c r="O22" i="8"/>
  <c r="AC6" i="8"/>
  <c r="AC19" i="8"/>
  <c r="AN19" i="8" s="1"/>
  <c r="AN7" i="8"/>
  <c r="AN8" i="8" s="1"/>
  <c r="AN9" i="8" s="1"/>
  <c r="AN10" i="8" s="1"/>
  <c r="AN11" i="8" s="1"/>
  <c r="AN12" i="8" s="1"/>
  <c r="AN13" i="8" s="1"/>
  <c r="AN14" i="8" s="1"/>
  <c r="AN15" i="8" s="1"/>
  <c r="AC29" i="8"/>
  <c r="AC31" i="8"/>
  <c r="AC21" i="8"/>
  <c r="AO37" i="7"/>
  <c r="AO36" i="7"/>
  <c r="AS22" i="7"/>
  <c r="AJ34" i="7"/>
  <c r="AN35" i="7"/>
  <c r="AS34" i="7"/>
  <c r="AS36" i="7"/>
  <c r="BD7" i="7"/>
  <c r="BD8" i="7" s="1"/>
  <c r="AJ27" i="7"/>
  <c r="AS19" i="7"/>
  <c r="BD19" i="7" s="1"/>
  <c r="BD20" i="7" s="1"/>
  <c r="BD21" i="7" s="1"/>
  <c r="BD22" i="7" s="1"/>
  <c r="BD23" i="7" s="1"/>
  <c r="BD24" i="7" s="1"/>
  <c r="BD25" i="7" s="1"/>
  <c r="BD26" i="7" s="1"/>
  <c r="BD27" i="7" s="1"/>
  <c r="BD9" i="7"/>
  <c r="BD10" i="7" s="1"/>
  <c r="BD11" i="7" s="1"/>
  <c r="BD12" i="7" s="1"/>
  <c r="BD13" i="7" s="1"/>
  <c r="BD14" i="7" s="1"/>
  <c r="BD15" i="7" s="1"/>
  <c r="AS35" i="7"/>
  <c r="AS31" i="7"/>
  <c r="AS37" i="7"/>
  <c r="AL25" i="7"/>
  <c r="AS33" i="7"/>
  <c r="AJ29" i="7"/>
  <c r="AU9" i="7"/>
  <c r="AU10" i="7" s="1"/>
  <c r="AU11" i="7" s="1"/>
  <c r="AU12" i="7" s="1"/>
  <c r="AU13" i="7" s="1"/>
  <c r="AU14" i="7" s="1"/>
  <c r="AU15" i="7" s="1"/>
  <c r="AL26" i="7"/>
  <c r="AJ23" i="7"/>
  <c r="AJ19" i="7"/>
  <c r="AU19" i="7" s="1"/>
  <c r="AJ20" i="7"/>
  <c r="AU20" i="7" s="1"/>
  <c r="AJ6" i="7"/>
  <c r="AK10" i="7" s="1"/>
  <c r="AK32" i="7" s="1"/>
  <c r="AJ30" i="7"/>
  <c r="AL34" i="7"/>
  <c r="AJ32" i="7"/>
  <c r="AS6" i="7"/>
  <c r="AJ26" i="7"/>
  <c r="AJ21" i="7"/>
  <c r="AU21" i="7" s="1"/>
  <c r="AU22" i="7" s="1"/>
  <c r="AL23" i="7"/>
  <c r="AK36" i="7"/>
  <c r="AK26" i="7"/>
  <c r="AK37" i="7"/>
  <c r="AK27" i="7"/>
  <c r="AK25" i="7"/>
  <c r="AK35" i="7"/>
  <c r="AK34" i="7"/>
  <c r="AK24" i="7"/>
  <c r="BC20" i="7"/>
  <c r="BC21" i="7" s="1"/>
  <c r="BC22" i="7" s="1"/>
  <c r="BC23" i="7" s="1"/>
  <c r="BC24" i="7" s="1"/>
  <c r="BC25" i="7" s="1"/>
  <c r="BC26" i="7" s="1"/>
  <c r="BC27" i="7" s="1"/>
  <c r="O21" i="7"/>
  <c r="N21" i="7" s="1"/>
  <c r="Y21" i="7" s="1"/>
  <c r="N22" i="8" l="1"/>
  <c r="Y22" i="8" s="1"/>
  <c r="P22" i="8"/>
  <c r="AN20" i="8"/>
  <c r="AN21" i="8" s="1"/>
  <c r="AN22" i="8" s="1"/>
  <c r="AN23" i="8" s="1"/>
  <c r="AN24" i="8" s="1"/>
  <c r="AN25" i="8" s="1"/>
  <c r="AN26" i="8" s="1"/>
  <c r="AN27" i="8" s="1"/>
  <c r="AD8" i="8"/>
  <c r="AD9" i="8"/>
  <c r="AD7" i="8"/>
  <c r="AD10" i="8"/>
  <c r="Q24" i="8"/>
  <c r="O23" i="8"/>
  <c r="AK7" i="7"/>
  <c r="AU23" i="7"/>
  <c r="AU24" i="7" s="1"/>
  <c r="AU25" i="7" s="1"/>
  <c r="AU26" i="7" s="1"/>
  <c r="AU27" i="7" s="1"/>
  <c r="AK11" i="7"/>
  <c r="AK33" i="7" s="1"/>
  <c r="AK9" i="7"/>
  <c r="AK21" i="7" s="1"/>
  <c r="AK8" i="7"/>
  <c r="AV8" i="7" s="1"/>
  <c r="AV9" i="7" s="1"/>
  <c r="AV10" i="7" s="1"/>
  <c r="AV11" i="7" s="1"/>
  <c r="AV12" i="7" s="1"/>
  <c r="AV13" i="7" s="1"/>
  <c r="AV14" i="7" s="1"/>
  <c r="AV15" i="7" s="1"/>
  <c r="AK22" i="7"/>
  <c r="AK20" i="7"/>
  <c r="AV20" i="7" s="1"/>
  <c r="AK19" i="7"/>
  <c r="AV19" i="7" s="1"/>
  <c r="AK6" i="7"/>
  <c r="AK29" i="7"/>
  <c r="AV7" i="7"/>
  <c r="O22" i="7"/>
  <c r="N22" i="7" s="1"/>
  <c r="Y22" i="7" s="1"/>
  <c r="N23" i="8" l="1"/>
  <c r="Y23" i="8" s="1"/>
  <c r="P23" i="8"/>
  <c r="Q25" i="8"/>
  <c r="O24" i="8"/>
  <c r="AD32" i="8"/>
  <c r="AD22" i="8"/>
  <c r="AD6" i="8"/>
  <c r="AD19" i="8"/>
  <c r="AO19" i="8" s="1"/>
  <c r="AO7" i="8"/>
  <c r="AO8" i="8" s="1"/>
  <c r="AO9" i="8" s="1"/>
  <c r="AO10" i="8" s="1"/>
  <c r="AO11" i="8" s="1"/>
  <c r="AO12" i="8" s="1"/>
  <c r="AO13" i="8" s="1"/>
  <c r="AO14" i="8" s="1"/>
  <c r="AO15" i="8" s="1"/>
  <c r="AD29" i="8"/>
  <c r="AD31" i="8"/>
  <c r="AD21" i="8"/>
  <c r="AD30" i="8"/>
  <c r="AD20" i="8"/>
  <c r="AK30" i="7"/>
  <c r="AV21" i="7"/>
  <c r="AV22" i="7" s="1"/>
  <c r="AK31" i="7"/>
  <c r="AK23" i="7"/>
  <c r="AL10" i="7"/>
  <c r="AL7" i="7"/>
  <c r="AL9" i="7"/>
  <c r="AL8" i="7"/>
  <c r="O23" i="7"/>
  <c r="N23" i="7" s="1"/>
  <c r="Y23" i="7" s="1"/>
  <c r="AE11" i="8" l="1"/>
  <c r="AE12" i="8"/>
  <c r="AO20" i="8"/>
  <c r="AO21" i="8" s="1"/>
  <c r="AO22" i="8" s="1"/>
  <c r="AO23" i="8" s="1"/>
  <c r="AO24" i="8" s="1"/>
  <c r="AO25" i="8" s="1"/>
  <c r="AO26" i="8" s="1"/>
  <c r="AO27" i="8" s="1"/>
  <c r="N24" i="8"/>
  <c r="Y24" i="8" s="1"/>
  <c r="P24" i="8"/>
  <c r="AE8" i="8"/>
  <c r="AE9" i="8"/>
  <c r="AE10" i="8"/>
  <c r="AE7" i="8"/>
  <c r="Q26" i="8"/>
  <c r="O25" i="8"/>
  <c r="AV23" i="7"/>
  <c r="AV24" i="7" s="1"/>
  <c r="AV25" i="7" s="1"/>
  <c r="AV26" i="7" s="1"/>
  <c r="AV27" i="7" s="1"/>
  <c r="AW7" i="7"/>
  <c r="AL6" i="7"/>
  <c r="AL19" i="7"/>
  <c r="AW19" i="7" s="1"/>
  <c r="AL29" i="7"/>
  <c r="AW8" i="7"/>
  <c r="AW9" i="7" s="1"/>
  <c r="AW10" i="7" s="1"/>
  <c r="AW11" i="7" s="1"/>
  <c r="AW12" i="7" s="1"/>
  <c r="AW13" i="7" s="1"/>
  <c r="AW14" i="7" s="1"/>
  <c r="AW15" i="7" s="1"/>
  <c r="AL20" i="7"/>
  <c r="AW20" i="7" s="1"/>
  <c r="AL30" i="7"/>
  <c r="AL21" i="7"/>
  <c r="AW21" i="7" s="1"/>
  <c r="AL31" i="7"/>
  <c r="AL32" i="7"/>
  <c r="AL22" i="7"/>
  <c r="O24" i="7"/>
  <c r="N24" i="7" s="1"/>
  <c r="Y24" i="7" s="1"/>
  <c r="AE24" i="8" l="1"/>
  <c r="AE23" i="8"/>
  <c r="AE33" i="8"/>
  <c r="N25" i="8"/>
  <c r="Y25" i="8" s="1"/>
  <c r="AE34" i="8" s="1"/>
  <c r="P25" i="8"/>
  <c r="Q27" i="8"/>
  <c r="O26" i="8"/>
  <c r="AE6" i="8"/>
  <c r="AE19" i="8"/>
  <c r="AP19" i="8" s="1"/>
  <c r="AP7" i="8"/>
  <c r="AP8" i="8" s="1"/>
  <c r="AP9" i="8" s="1"/>
  <c r="AP10" i="8" s="1"/>
  <c r="AP11" i="8" s="1"/>
  <c r="AP12" i="8" s="1"/>
  <c r="AP13" i="8" s="1"/>
  <c r="AP14" i="8" s="1"/>
  <c r="AP15" i="8" s="1"/>
  <c r="AE29" i="8"/>
  <c r="AE22" i="8"/>
  <c r="AE32" i="8"/>
  <c r="AE31" i="8"/>
  <c r="AE21" i="8"/>
  <c r="AE30" i="8"/>
  <c r="AE20" i="8"/>
  <c r="AW22" i="7"/>
  <c r="AW23" i="7" s="1"/>
  <c r="AW24" i="7" s="1"/>
  <c r="AW25" i="7" s="1"/>
  <c r="AW26" i="7" s="1"/>
  <c r="AW27" i="7" s="1"/>
  <c r="AM10" i="7"/>
  <c r="AM7" i="7"/>
  <c r="AM8" i="7"/>
  <c r="AM9" i="7"/>
  <c r="O25" i="7"/>
  <c r="N25" i="7" s="1"/>
  <c r="Y25" i="7" s="1"/>
  <c r="AP20" i="8" l="1"/>
  <c r="N26" i="8"/>
  <c r="Y26" i="8" s="1"/>
  <c r="P26" i="8"/>
  <c r="AP21" i="8"/>
  <c r="AP22" i="8" s="1"/>
  <c r="AP23" i="8" s="1"/>
  <c r="AP24" i="8" s="1"/>
  <c r="AP25" i="8" s="1"/>
  <c r="AP26" i="8" s="1"/>
  <c r="AP27" i="8" s="1"/>
  <c r="AF7" i="8"/>
  <c r="AF8" i="8"/>
  <c r="AF9" i="8"/>
  <c r="AF10" i="8"/>
  <c r="AF11" i="8"/>
  <c r="AF12" i="8"/>
  <c r="Q28" i="8"/>
  <c r="O27" i="8"/>
  <c r="AM20" i="7"/>
  <c r="AX20" i="7" s="1"/>
  <c r="AM30" i="7"/>
  <c r="AM29" i="7"/>
  <c r="AM19" i="7"/>
  <c r="AX19" i="7" s="1"/>
  <c r="AM6" i="7"/>
  <c r="AX7" i="7"/>
  <c r="AX8" i="7" s="1"/>
  <c r="AX9" i="7" s="1"/>
  <c r="AX10" i="7" s="1"/>
  <c r="AX11" i="7" s="1"/>
  <c r="AX12" i="7" s="1"/>
  <c r="AX13" i="7" s="1"/>
  <c r="AX14" i="7" s="1"/>
  <c r="AX15" i="7" s="1"/>
  <c r="AM22" i="7"/>
  <c r="AM32" i="7"/>
  <c r="AM21" i="7"/>
  <c r="AM31" i="7"/>
  <c r="O26" i="7"/>
  <c r="N26" i="7" s="1"/>
  <c r="Y26" i="7" s="1"/>
  <c r="N27" i="8" l="1"/>
  <c r="Y27" i="8" s="1"/>
  <c r="AF30" i="8" s="1"/>
  <c r="P27" i="8"/>
  <c r="O28" i="8"/>
  <c r="Q29" i="8"/>
  <c r="AF24" i="8"/>
  <c r="AF23" i="8"/>
  <c r="AF22" i="8"/>
  <c r="AF21" i="8"/>
  <c r="AF20" i="8"/>
  <c r="AF6" i="8"/>
  <c r="AF19" i="8"/>
  <c r="AQ19" i="8" s="1"/>
  <c r="AQ7" i="8"/>
  <c r="AQ8" i="8" s="1"/>
  <c r="AQ9" i="8" s="1"/>
  <c r="AQ10" i="8" s="1"/>
  <c r="AQ11" i="8" s="1"/>
  <c r="AQ12" i="8" s="1"/>
  <c r="AQ13" i="8" s="1"/>
  <c r="AQ14" i="8" s="1"/>
  <c r="AQ15" i="8" s="1"/>
  <c r="AF29" i="8"/>
  <c r="AN10" i="7"/>
  <c r="AN11" i="7"/>
  <c r="AN9" i="7"/>
  <c r="AN7" i="7"/>
  <c r="AN12" i="7"/>
  <c r="AN8" i="7"/>
  <c r="AX21" i="7"/>
  <c r="AX22" i="7" s="1"/>
  <c r="AX23" i="7" s="1"/>
  <c r="AX24" i="7" s="1"/>
  <c r="AX25" i="7" s="1"/>
  <c r="AX26" i="7" s="1"/>
  <c r="AX27" i="7" s="1"/>
  <c r="O27" i="7"/>
  <c r="N27" i="7" s="1"/>
  <c r="Y27" i="7" s="1"/>
  <c r="N28" i="8" l="1"/>
  <c r="Y28" i="8" s="1"/>
  <c r="P28" i="8"/>
  <c r="AQ20" i="8"/>
  <c r="AQ21" i="8" s="1"/>
  <c r="AQ22" i="8" s="1"/>
  <c r="AQ23" i="8" s="1"/>
  <c r="AQ24" i="8" s="1"/>
  <c r="AQ25" i="8" s="1"/>
  <c r="AQ26" i="8" s="1"/>
  <c r="AQ27" i="8" s="1"/>
  <c r="AG10" i="8"/>
  <c r="AG11" i="8"/>
  <c r="AG7" i="8"/>
  <c r="AG9" i="8"/>
  <c r="AG8" i="8"/>
  <c r="O29" i="8"/>
  <c r="N29" i="8" s="1"/>
  <c r="Y29" i="8" s="1"/>
  <c r="AF32" i="8" s="1"/>
  <c r="Q30" i="8"/>
  <c r="AN29" i="7"/>
  <c r="AN6" i="7"/>
  <c r="AO12" i="7" s="1"/>
  <c r="AY7" i="7"/>
  <c r="AN19" i="7"/>
  <c r="AY19" i="7" s="1"/>
  <c r="AN20" i="7"/>
  <c r="AY20" i="7" s="1"/>
  <c r="AY8" i="7"/>
  <c r="AY9" i="7" s="1"/>
  <c r="AY10" i="7" s="1"/>
  <c r="AY11" i="7" s="1"/>
  <c r="AY12" i="7" s="1"/>
  <c r="AY13" i="7" s="1"/>
  <c r="AY14" i="7" s="1"/>
  <c r="AY15" i="7" s="1"/>
  <c r="AN30" i="7"/>
  <c r="AN24" i="7"/>
  <c r="AN21" i="7"/>
  <c r="AY21" i="7" s="1"/>
  <c r="AY22" i="7" s="1"/>
  <c r="AN31" i="7"/>
  <c r="AN33" i="7"/>
  <c r="AN23" i="7"/>
  <c r="AN22" i="7"/>
  <c r="AN32" i="7"/>
  <c r="O28" i="7"/>
  <c r="N28" i="7" s="1"/>
  <c r="AF34" i="8" l="1"/>
  <c r="AF31" i="8"/>
  <c r="Q31" i="8"/>
  <c r="O30" i="8"/>
  <c r="N30" i="8" s="1"/>
  <c r="Y30" i="8" s="1"/>
  <c r="AG20" i="8"/>
  <c r="AG21" i="8"/>
  <c r="AG6" i="8"/>
  <c r="AG19" i="8"/>
  <c r="AR19" i="8" s="1"/>
  <c r="AR7" i="8"/>
  <c r="AR8" i="8" s="1"/>
  <c r="AR9" i="8" s="1"/>
  <c r="AR10" i="8" s="1"/>
  <c r="AR11" i="8" s="1"/>
  <c r="AR12" i="8" s="1"/>
  <c r="AR13" i="8" s="1"/>
  <c r="AR14" i="8" s="1"/>
  <c r="AR15" i="8" s="1"/>
  <c r="AG23" i="8"/>
  <c r="AG22" i="8"/>
  <c r="AO24" i="7"/>
  <c r="AY23" i="7"/>
  <c r="AY24" i="7" s="1"/>
  <c r="AY25" i="7" s="1"/>
  <c r="AY26" i="7" s="1"/>
  <c r="AY27" i="7" s="1"/>
  <c r="Y28" i="7"/>
  <c r="AN34" i="7" s="1"/>
  <c r="AO11" i="7"/>
  <c r="AO8" i="7"/>
  <c r="AO9" i="7"/>
  <c r="AO7" i="7"/>
  <c r="AO10" i="7"/>
  <c r="O29" i="7"/>
  <c r="AF33" i="8" l="1"/>
  <c r="AR20" i="8"/>
  <c r="AR21" i="8" s="1"/>
  <c r="AR22" i="8" s="1"/>
  <c r="AR23" i="8" s="1"/>
  <c r="AR24" i="8" s="1"/>
  <c r="AR25" i="8" s="1"/>
  <c r="AR26" i="8" s="1"/>
  <c r="AR27" i="8" s="1"/>
  <c r="AH11" i="8"/>
  <c r="AH12" i="8"/>
  <c r="AH9" i="8"/>
  <c r="AH10" i="8"/>
  <c r="AH7" i="8"/>
  <c r="AH8" i="8"/>
  <c r="Q32" i="8"/>
  <c r="O31" i="8"/>
  <c r="N31" i="8" s="1"/>
  <c r="Y31" i="8" s="1"/>
  <c r="N29" i="7"/>
  <c r="Y29" i="7" s="1"/>
  <c r="AO29" i="7" s="1"/>
  <c r="P29" i="7"/>
  <c r="AO34" i="7"/>
  <c r="AZ7" i="7"/>
  <c r="AZ8" i="7" s="1"/>
  <c r="AZ9" i="7" s="1"/>
  <c r="AZ10" i="7" s="1"/>
  <c r="AZ11" i="7" s="1"/>
  <c r="AZ12" i="7" s="1"/>
  <c r="AZ13" i="7" s="1"/>
  <c r="AZ14" i="7" s="1"/>
  <c r="AZ15" i="7" s="1"/>
  <c r="AO19" i="7"/>
  <c r="AZ19" i="7" s="1"/>
  <c r="AO6" i="7"/>
  <c r="AO22" i="7"/>
  <c r="AZ22" i="7" s="1"/>
  <c r="AO21" i="7"/>
  <c r="AZ21" i="7" s="1"/>
  <c r="AO20" i="7"/>
  <c r="AZ20" i="7" s="1"/>
  <c r="AO23" i="7"/>
  <c r="O30" i="7"/>
  <c r="AG31" i="8" l="1"/>
  <c r="AG29" i="8"/>
  <c r="AH34" i="8"/>
  <c r="AH24" i="8"/>
  <c r="AH23" i="8"/>
  <c r="AH33" i="8"/>
  <c r="AH32" i="8"/>
  <c r="AH22" i="8"/>
  <c r="AH21" i="8"/>
  <c r="AH31" i="8"/>
  <c r="O32" i="8"/>
  <c r="N32" i="8" s="1"/>
  <c r="Y32" i="8" s="1"/>
  <c r="Q33" i="8"/>
  <c r="AH20" i="8"/>
  <c r="AH6" i="8"/>
  <c r="AH19" i="8"/>
  <c r="AS19" i="8" s="1"/>
  <c r="AS7" i="8"/>
  <c r="AS8" i="8" s="1"/>
  <c r="AS9" i="8" s="1"/>
  <c r="AS10" i="8" s="1"/>
  <c r="AS11" i="8" s="1"/>
  <c r="AS12" i="8" s="1"/>
  <c r="AS13" i="8" s="1"/>
  <c r="AS14" i="8" s="1"/>
  <c r="AS15" i="8" s="1"/>
  <c r="N30" i="7"/>
  <c r="Y30" i="7" s="1"/>
  <c r="AO30" i="7" s="1"/>
  <c r="P30" i="7"/>
  <c r="AZ23" i="7"/>
  <c r="AZ24" i="7" s="1"/>
  <c r="AZ25" i="7" s="1"/>
  <c r="AZ26" i="7" s="1"/>
  <c r="AZ27" i="7" s="1"/>
  <c r="AP12" i="7"/>
  <c r="AP13" i="7"/>
  <c r="AP14" i="7"/>
  <c r="AP10" i="7"/>
  <c r="AP9" i="7"/>
  <c r="AP11" i="7"/>
  <c r="AP15" i="7"/>
  <c r="AP7" i="7"/>
  <c r="AP8" i="7"/>
  <c r="O31" i="7"/>
  <c r="AG32" i="8" l="1"/>
  <c r="AG30" i="8"/>
  <c r="AS20" i="8"/>
  <c r="AS21" i="8" s="1"/>
  <c r="AS22" i="8" s="1"/>
  <c r="AS23" i="8" s="1"/>
  <c r="AS24" i="8" s="1"/>
  <c r="AS25" i="8" s="1"/>
  <c r="AS26" i="8" s="1"/>
  <c r="AS27" i="8" s="1"/>
  <c r="AI8" i="8"/>
  <c r="AI7" i="8"/>
  <c r="AI9" i="8"/>
  <c r="AI12" i="8"/>
  <c r="AI10" i="8"/>
  <c r="AI11" i="8"/>
  <c r="O33" i="8"/>
  <c r="N33" i="8" s="1"/>
  <c r="Y33" i="8" s="1"/>
  <c r="AG33" i="8" s="1"/>
  <c r="Q34" i="8"/>
  <c r="N31" i="7"/>
  <c r="P31" i="7"/>
  <c r="Y31" i="7"/>
  <c r="AO31" i="7" s="1"/>
  <c r="AP20" i="7"/>
  <c r="BA20" i="7" s="1"/>
  <c r="AP6" i="7"/>
  <c r="AP19" i="7"/>
  <c r="BA19" i="7" s="1"/>
  <c r="BA7" i="7"/>
  <c r="BA8" i="7" s="1"/>
  <c r="BA9" i="7" s="1"/>
  <c r="BA10" i="7" s="1"/>
  <c r="BA11" i="7" s="1"/>
  <c r="BA12" i="7" s="1"/>
  <c r="BA13" i="7" s="1"/>
  <c r="BA14" i="7" s="1"/>
  <c r="BA15" i="7" s="1"/>
  <c r="AP21" i="7"/>
  <c r="AP35" i="7"/>
  <c r="AP25" i="7"/>
  <c r="AP37" i="7"/>
  <c r="AP27" i="7"/>
  <c r="AP22" i="7"/>
  <c r="AP34" i="7"/>
  <c r="AP24" i="7"/>
  <c r="AP23" i="7"/>
  <c r="AP36" i="7"/>
  <c r="AP26" i="7"/>
  <c r="O32" i="7"/>
  <c r="AI34" i="8" l="1"/>
  <c r="AI24" i="8"/>
  <c r="AI23" i="8"/>
  <c r="AI33" i="8"/>
  <c r="AI22" i="8"/>
  <c r="AI32" i="8"/>
  <c r="AI21" i="8"/>
  <c r="AI31" i="8"/>
  <c r="AI6" i="8"/>
  <c r="AT7" i="8"/>
  <c r="AT8" i="8" s="1"/>
  <c r="AT9" i="8" s="1"/>
  <c r="AT10" i="8" s="1"/>
  <c r="AT11" i="8" s="1"/>
  <c r="AT12" i="8" s="1"/>
  <c r="AT13" i="8" s="1"/>
  <c r="AT14" i="8" s="1"/>
  <c r="AT15" i="8" s="1"/>
  <c r="AI19" i="8"/>
  <c r="AT19" i="8" s="1"/>
  <c r="AI29" i="8"/>
  <c r="AI20" i="8"/>
  <c r="AI30" i="8"/>
  <c r="Q35" i="8"/>
  <c r="O35" i="8" s="1"/>
  <c r="O34" i="8"/>
  <c r="AP31" i="7"/>
  <c r="N32" i="7"/>
  <c r="P32" i="7"/>
  <c r="AQ7" i="7"/>
  <c r="AQ8" i="7"/>
  <c r="Y32" i="7"/>
  <c r="BA21" i="7"/>
  <c r="BA22" i="7" s="1"/>
  <c r="BA23" i="7" s="1"/>
  <c r="BA24" i="7" s="1"/>
  <c r="BA25" i="7" s="1"/>
  <c r="BA26" i="7" s="1"/>
  <c r="BA27" i="7" s="1"/>
  <c r="O33" i="7"/>
  <c r="AT20" i="8" l="1"/>
  <c r="AT21" i="8" s="1"/>
  <c r="AT22" i="8" s="1"/>
  <c r="AT23" i="8" s="1"/>
  <c r="AT24" i="8" s="1"/>
  <c r="AT25" i="8" s="1"/>
  <c r="AT26" i="8" s="1"/>
  <c r="AT27" i="8" s="1"/>
  <c r="AJ7" i="8"/>
  <c r="AJ8" i="8"/>
  <c r="AJ9" i="8"/>
  <c r="AJ11" i="8"/>
  <c r="AJ10" i="8"/>
  <c r="N34" i="8"/>
  <c r="Y34" i="8" s="1"/>
  <c r="AH29" i="8" s="1"/>
  <c r="P34" i="8"/>
  <c r="N35" i="8"/>
  <c r="Y35" i="8" s="1"/>
  <c r="AH30" i="8" s="1"/>
  <c r="P35" i="8"/>
  <c r="N33" i="7"/>
  <c r="P33" i="7"/>
  <c r="AQ30" i="7"/>
  <c r="AQ20" i="7"/>
  <c r="AO32" i="7"/>
  <c r="AP32" i="7"/>
  <c r="BB7" i="7"/>
  <c r="BB8" i="7" s="1"/>
  <c r="BB9" i="7" s="1"/>
  <c r="BB10" i="7" s="1"/>
  <c r="BB11" i="7" s="1"/>
  <c r="BB12" i="7" s="1"/>
  <c r="BB13" i="7" s="1"/>
  <c r="BB14" i="7" s="1"/>
  <c r="BB15" i="7" s="1"/>
  <c r="AQ6" i="7"/>
  <c r="AQ19" i="7"/>
  <c r="BB19" i="7" s="1"/>
  <c r="AQ29" i="7"/>
  <c r="Y33" i="7"/>
  <c r="O34" i="7"/>
  <c r="AJ22" i="8" l="1"/>
  <c r="AJ32" i="8"/>
  <c r="AJ23" i="8"/>
  <c r="AJ33" i="8"/>
  <c r="AJ21" i="8"/>
  <c r="AJ31" i="8"/>
  <c r="AJ30" i="8"/>
  <c r="AJ20" i="8"/>
  <c r="AJ29" i="8"/>
  <c r="AJ19" i="8"/>
  <c r="AU19" i="8" s="1"/>
  <c r="AU7" i="8"/>
  <c r="AU8" i="8" s="1"/>
  <c r="AU9" i="8" s="1"/>
  <c r="AU10" i="8" s="1"/>
  <c r="AU11" i="8" s="1"/>
  <c r="AU12" i="8" s="1"/>
  <c r="AU13" i="8" s="1"/>
  <c r="AU14" i="8" s="1"/>
  <c r="AU15" i="8" s="1"/>
  <c r="AJ6" i="8"/>
  <c r="BB20" i="7"/>
  <c r="BB21" i="7" s="1"/>
  <c r="BB22" i="7" s="1"/>
  <c r="BB23" i="7" s="1"/>
  <c r="BB24" i="7" s="1"/>
  <c r="BB25" i="7" s="1"/>
  <c r="BB26" i="7" s="1"/>
  <c r="BB27" i="7" s="1"/>
  <c r="AO33" i="7"/>
  <c r="AP33" i="7"/>
  <c r="P34" i="7"/>
  <c r="N34" i="7"/>
  <c r="O35" i="7"/>
  <c r="AU20" i="8" l="1"/>
  <c r="AU21" i="8" s="1"/>
  <c r="AU22" i="8" s="1"/>
  <c r="AU23" i="8" s="1"/>
  <c r="AU24" i="8" s="1"/>
  <c r="AU25" i="8" s="1"/>
  <c r="AU26" i="8" s="1"/>
  <c r="AU27" i="8" s="1"/>
  <c r="AK8" i="8"/>
  <c r="AK7" i="8"/>
  <c r="Y34" i="7"/>
  <c r="AP29" i="7" s="1"/>
  <c r="P35" i="7"/>
  <c r="N35" i="7"/>
  <c r="O36" i="7"/>
  <c r="N36" i="7" s="1"/>
  <c r="AV7" i="8" l="1"/>
  <c r="AV8" i="8" s="1"/>
  <c r="AV9" i="8" s="1"/>
  <c r="AV10" i="8" s="1"/>
  <c r="AV11" i="8" s="1"/>
  <c r="AV12" i="8" s="1"/>
  <c r="AV13" i="8" s="1"/>
  <c r="AV14" i="8" s="1"/>
  <c r="AV15" i="8" s="1"/>
  <c r="AK29" i="8"/>
  <c r="AK6" i="8"/>
  <c r="AK19" i="8"/>
  <c r="AV19" i="8" s="1"/>
  <c r="AK30" i="8"/>
  <c r="AK20" i="8"/>
  <c r="Y35" i="7"/>
  <c r="AP30" i="7" s="1"/>
  <c r="O37" i="7"/>
  <c r="N37" i="7" s="1"/>
  <c r="AV20" i="8" l="1"/>
  <c r="AV21" i="8" s="1"/>
  <c r="AV22" i="8" s="1"/>
  <c r="AV23" i="8" s="1"/>
  <c r="AV24" i="8" s="1"/>
  <c r="AV25" i="8" s="1"/>
  <c r="AV26" i="8" s="1"/>
  <c r="AV27" i="8" s="1"/>
  <c r="O38" i="7"/>
  <c r="N38" i="7" s="1"/>
  <c r="O39" i="7" l="1"/>
  <c r="N39" i="7" s="1"/>
  <c r="O40" i="7" l="1"/>
  <c r="N40" i="7" s="1"/>
  <c r="O42" i="7" l="1"/>
  <c r="N42" i="7" s="1"/>
  <c r="O41" i="7"/>
  <c r="N41" i="7" s="1"/>
</calcChain>
</file>

<file path=xl/sharedStrings.xml><?xml version="1.0" encoding="utf-8"?>
<sst xmlns="http://schemas.openxmlformats.org/spreadsheetml/2006/main" count="380" uniqueCount="74">
  <si>
    <t>i</t>
  </si>
  <si>
    <t>-</t>
  </si>
  <si>
    <t>geometry</t>
  </si>
  <si>
    <t xml:space="preserve"> </t>
  </si>
  <si>
    <t>POINT (464172.2813 7607930.25)</t>
  </si>
  <si>
    <t>POINT (464822.2813 7609305.25)</t>
  </si>
  <si>
    <t>POINT (464784.7813 7609967.75)</t>
  </si>
  <si>
    <t>POINT (464297.2813 7610630.25)</t>
  </si>
  <si>
    <t>POINT (464909.7813 7609892.75)</t>
  </si>
  <si>
    <t>POINT (465534.7813 7610505.25)</t>
  </si>
  <si>
    <t>POINT (466097.2813 7610467.75)</t>
  </si>
  <si>
    <t>POINT (466622.2813 7609955.25)</t>
  </si>
  <si>
    <t>POINT (468284.7813 7609942.75)</t>
  </si>
  <si>
    <t>POINT (464384.7813 7611405.25)</t>
  </si>
  <si>
    <t>POINT (465284.7813 7611667.75)</t>
  </si>
  <si>
    <t>POINT (465422.2813 7612830.25)</t>
  </si>
  <si>
    <t>POINT (464872.2813 7613880.25)</t>
  </si>
  <si>
    <t>POINT (465672.2813 7613092.75)</t>
  </si>
  <si>
    <t>POINT (466597.2813 7613155.25)</t>
  </si>
  <si>
    <t>POINT (467384.7813 7612080.25)</t>
  </si>
  <si>
    <t>POINT (468434.7813 7611380.25)</t>
  </si>
  <si>
    <t>POINT (467172.2813 7613492.75)</t>
  </si>
  <si>
    <t>POINT (467797.2813 7613980.25)</t>
  </si>
  <si>
    <t>POINT (468797.2813 7612842.75)</t>
  </si>
  <si>
    <t>POINT (469934.7813 7612342.75)</t>
  </si>
  <si>
    <t>POINT (468047.2813 7614180.25)</t>
  </si>
  <si>
    <t>POINT (468834.7813 7614292.75)</t>
  </si>
  <si>
    <t>POINT (468397.2813 7614955.25)</t>
  </si>
  <si>
    <t>POINT (468334.7813 7615805.25)</t>
  </si>
  <si>
    <t>POINT (468059.7813 7616642.75)</t>
  </si>
  <si>
    <t>POINT (467509.7813 7616967.75)</t>
  </si>
  <si>
    <t>POINT (469922.2813 7614405.25)</t>
  </si>
  <si>
    <t>POINT (471134.7813 7613992.75)</t>
  </si>
  <si>
    <t>x</t>
  </si>
  <si>
    <t>y</t>
  </si>
  <si>
    <t>DRN_L.csv</t>
  </si>
  <si>
    <t>X</t>
  </si>
  <si>
    <t>Y</t>
  </si>
  <si>
    <t>Z</t>
  </si>
  <si>
    <t>Z2</t>
  </si>
  <si>
    <t>[1001]</t>
  </si>
  <si>
    <t>[976]</t>
  </si>
  <si>
    <t>[907]</t>
  </si>
  <si>
    <t>[989]</t>
  </si>
  <si>
    <t>[961]</t>
  </si>
  <si>
    <t>[937]</t>
  </si>
  <si>
    <t>[903]</t>
  </si>
  <si>
    <t>[889]</t>
  </si>
  <si>
    <t>[969]</t>
  </si>
  <si>
    <t>[911]</t>
  </si>
  <si>
    <t>[888]</t>
  </si>
  <si>
    <t>[880]</t>
  </si>
  <si>
    <t>[896]</t>
  </si>
  <si>
    <t>[890]</t>
  </si>
  <si>
    <t>[877]</t>
  </si>
  <si>
    <t>[863]</t>
  </si>
  <si>
    <t>[854]</t>
  </si>
  <si>
    <t>[847]</t>
  </si>
  <si>
    <t>[844]</t>
  </si>
  <si>
    <t>[928]</t>
  </si>
  <si>
    <t>[895]</t>
  </si>
  <si>
    <t>[865]</t>
  </si>
  <si>
    <t>[856]</t>
  </si>
  <si>
    <t>[846]</t>
  </si>
  <si>
    <t>[842]</t>
  </si>
  <si>
    <t>new tests</t>
  </si>
  <si>
    <t>REF.</t>
  </si>
  <si>
    <t>Tacho</t>
  </si>
  <si>
    <t>B</t>
  </si>
  <si>
    <t>S_D</t>
  </si>
  <si>
    <t>→</t>
  </si>
  <si>
    <t>←</t>
  </si>
  <si>
    <t>C</t>
  </si>
  <si>
    <t>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</si>
</sst>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6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5"/>
      <color theme="1"/>
      <name val="Calibri"/>
      <family val="2"/>
      <scheme val="minor"/>
    </font>
    <font>
      <sz val="11"/>
      <color rgb="FF0000FF"/>
      <name val="Calibri"/>
      <family val="2"/>
      <scheme val="minor"/>
    </font>
    <font>
      <sz val="7"/>
      <color theme="1"/>
      <name val="Calibri"/>
      <family val="2"/>
      <scheme val="minor"/>
    </font>
    <font>
      <sz val="4"/>
      <color theme="1"/>
      <name val="Calibri"/>
      <family val="2"/>
      <scheme val="minor"/>
    </font>
    <font>
      <sz val="5"/>
      <color rgb="FF0000FF"/>
      <name val="Calibri"/>
      <family val="2"/>
      <scheme val="minor"/>
    </font>
    <font>
      <sz val="6"/>
      <color rgb="FF0000FF"/>
      <name val="Calibri"/>
      <family val="2"/>
      <scheme val="minor"/>
    </font>
    <font>
      <sz val="5"/>
      <color rgb="FFFF0000"/>
      <name val="Calibri"/>
      <family val="2"/>
      <scheme val="minor"/>
    </font>
    <font>
      <sz val="6"/>
      <name val="Calibri"/>
      <family val="2"/>
      <scheme val="minor"/>
    </font>
    <font>
      <b/>
      <sz val="6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b/>
      <sz val="7"/>
      <color theme="0"/>
      <name val="Calibri"/>
      <family val="2"/>
      <scheme val="minor"/>
    </font>
    <font>
      <sz val="6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6"/>
      <color theme="1"/>
      <name val="Calibri"/>
      <family val="2"/>
    </font>
    <font>
      <sz val="7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5"/>
      <color theme="1"/>
      <name val="Calibri"/>
      <family val="2"/>
      <scheme val="minor"/>
    </font>
    <font>
      <b/>
      <sz val="7"/>
      <color rgb="FF0000FF"/>
      <name val="Calibri"/>
      <family val="2"/>
      <scheme val="minor"/>
    </font>
    <font>
      <b/>
      <sz val="7"/>
      <color theme="1"/>
      <name val="Calibri"/>
      <family val="2"/>
      <scheme val="minor"/>
    </font>
  </fonts>
  <fills count="4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66FF99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99FF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0" fillId="35" borderId="0" xfId="0" applyFill="1" applyAlignment="1">
      <alignment horizontal="center"/>
    </xf>
    <xf numFmtId="0" fontId="0" fillId="33" borderId="0" xfId="0" applyFill="1" applyAlignment="1">
      <alignment horizontal="center"/>
    </xf>
    <xf numFmtId="0" fontId="19" fillId="33" borderId="0" xfId="0" applyFont="1" applyFill="1" applyAlignment="1">
      <alignment horizontal="center"/>
    </xf>
    <xf numFmtId="0" fontId="17" fillId="34" borderId="0" xfId="0" applyFont="1" applyFill="1" applyAlignment="1">
      <alignment horizontal="left"/>
    </xf>
    <xf numFmtId="0" fontId="21" fillId="35" borderId="0" xfId="0" applyFont="1" applyFill="1" applyAlignment="1">
      <alignment horizontal="center"/>
    </xf>
    <xf numFmtId="0" fontId="22" fillId="35" borderId="0" xfId="0" applyFont="1" applyFill="1"/>
    <xf numFmtId="0" fontId="22" fillId="35" borderId="0" xfId="0" applyFont="1" applyFill="1" applyAlignment="1">
      <alignment horizontal="center"/>
    </xf>
    <xf numFmtId="0" fontId="19" fillId="35" borderId="0" xfId="0" applyFont="1" applyFill="1" applyAlignment="1">
      <alignment horizontal="center"/>
    </xf>
    <xf numFmtId="0" fontId="23" fillId="35" borderId="0" xfId="0" applyFont="1" applyFill="1" applyAlignment="1">
      <alignment horizontal="center"/>
    </xf>
    <xf numFmtId="0" fontId="24" fillId="35" borderId="0" xfId="0" applyFont="1" applyFill="1" applyAlignment="1">
      <alignment horizontal="center"/>
    </xf>
    <xf numFmtId="0" fontId="25" fillId="35" borderId="0" xfId="0" applyFont="1" applyFill="1"/>
    <xf numFmtId="0" fontId="0" fillId="35" borderId="0" xfId="0" applyFill="1" applyAlignment="1">
      <alignment horizontal="center" vertical="center"/>
    </xf>
    <xf numFmtId="0" fontId="21" fillId="35" borderId="0" xfId="0" applyFont="1" applyFill="1"/>
    <xf numFmtId="0" fontId="24" fillId="35" borderId="0" xfId="0" applyFont="1" applyFill="1"/>
    <xf numFmtId="0" fontId="19" fillId="35" borderId="0" xfId="0" applyFont="1" applyFill="1"/>
    <xf numFmtId="0" fontId="23" fillId="35" borderId="0" xfId="0" applyFont="1" applyFill="1"/>
    <xf numFmtId="0" fontId="19" fillId="37" borderId="0" xfId="0" applyFont="1" applyFill="1" applyAlignment="1">
      <alignment horizontal="center" vertical="center"/>
    </xf>
    <xf numFmtId="0" fontId="19" fillId="33" borderId="0" xfId="0" applyFont="1" applyFill="1" applyAlignment="1">
      <alignment horizontal="center" vertical="center"/>
    </xf>
    <xf numFmtId="0" fontId="26" fillId="33" borderId="0" xfId="0" applyFont="1" applyFill="1"/>
    <xf numFmtId="0" fontId="26" fillId="33" borderId="0" xfId="0" applyFont="1" applyFill="1" applyAlignment="1">
      <alignment horizontal="center"/>
    </xf>
    <xf numFmtId="0" fontId="22" fillId="33" borderId="0" xfId="0" applyFont="1" applyFill="1" applyAlignment="1">
      <alignment horizontal="center"/>
    </xf>
    <xf numFmtId="0" fontId="18" fillId="33" borderId="0" xfId="0" applyFont="1" applyFill="1" applyAlignment="1">
      <alignment horizontal="center"/>
    </xf>
    <xf numFmtId="0" fontId="26" fillId="35" borderId="0" xfId="0" applyFont="1" applyFill="1"/>
    <xf numFmtId="1" fontId="19" fillId="33" borderId="0" xfId="0" applyNumberFormat="1" applyFont="1" applyFill="1" applyAlignment="1">
      <alignment horizontal="center"/>
    </xf>
    <xf numFmtId="0" fontId="25" fillId="33" borderId="0" xfId="0" applyFont="1" applyFill="1" applyAlignment="1">
      <alignment horizontal="center"/>
    </xf>
    <xf numFmtId="0" fontId="18" fillId="35" borderId="0" xfId="0" applyFont="1" applyFill="1"/>
    <xf numFmtId="0" fontId="18" fillId="35" borderId="0" xfId="0" applyFont="1" applyFill="1" applyAlignment="1">
      <alignment horizontal="center"/>
    </xf>
    <xf numFmtId="0" fontId="27" fillId="35" borderId="0" xfId="0" applyFont="1" applyFill="1" applyAlignment="1">
      <alignment horizontal="center" vertical="center"/>
    </xf>
    <xf numFmtId="0" fontId="19" fillId="0" borderId="0" xfId="0" applyFont="1" applyAlignment="1">
      <alignment horizontal="center"/>
    </xf>
    <xf numFmtId="0" fontId="22" fillId="0" borderId="0" xfId="0" applyFont="1"/>
    <xf numFmtId="0" fontId="22" fillId="0" borderId="0" xfId="0" applyFont="1" applyAlignment="1">
      <alignment horizontal="center"/>
    </xf>
    <xf numFmtId="0" fontId="21" fillId="0" borderId="0" xfId="0" applyFont="1"/>
    <xf numFmtId="0" fontId="24" fillId="0" borderId="0" xfId="0" applyFont="1"/>
    <xf numFmtId="0" fontId="25" fillId="0" borderId="0" xfId="0" applyFont="1"/>
    <xf numFmtId="0" fontId="23" fillId="33" borderId="0" xfId="0" applyFont="1" applyFill="1" applyAlignment="1">
      <alignment horizontal="center"/>
    </xf>
    <xf numFmtId="0" fontId="23" fillId="33" borderId="0" xfId="0" applyFont="1" applyFill="1" applyAlignment="1">
      <alignment horizontal="center" vertical="center"/>
    </xf>
    <xf numFmtId="0" fontId="18" fillId="33" borderId="0" xfId="0" applyFont="1" applyFill="1" applyAlignment="1">
      <alignment horizontal="center" vertical="center"/>
    </xf>
    <xf numFmtId="0" fontId="20" fillId="35" borderId="0" xfId="0" applyFont="1" applyFill="1"/>
    <xf numFmtId="0" fontId="28" fillId="33" borderId="0" xfId="0" applyFont="1" applyFill="1" applyAlignment="1">
      <alignment horizontal="center"/>
    </xf>
    <xf numFmtId="0" fontId="29" fillId="39" borderId="0" xfId="0" applyFont="1" applyFill="1" applyAlignment="1">
      <alignment horizontal="center" vertical="center"/>
    </xf>
    <xf numFmtId="0" fontId="17" fillId="34" borderId="0" xfId="0" applyFont="1" applyFill="1" applyAlignment="1">
      <alignment horizontal="right"/>
    </xf>
    <xf numFmtId="0" fontId="25" fillId="35" borderId="0" xfId="0" applyFont="1" applyFill="1" applyAlignment="1">
      <alignment horizontal="center" vertical="center"/>
    </xf>
    <xf numFmtId="0" fontId="30" fillId="38" borderId="0" xfId="0" applyFont="1" applyFill="1" applyAlignment="1">
      <alignment horizontal="center" vertical="center"/>
    </xf>
    <xf numFmtId="0" fontId="31" fillId="40" borderId="0" xfId="0" applyFont="1" applyFill="1" applyAlignment="1">
      <alignment horizontal="center"/>
    </xf>
    <xf numFmtId="0" fontId="32" fillId="36" borderId="0" xfId="0" applyFont="1" applyFill="1" applyAlignment="1">
      <alignment horizontal="center"/>
    </xf>
    <xf numFmtId="0" fontId="33" fillId="35" borderId="0" xfId="0" applyFont="1" applyFill="1" applyAlignment="1">
      <alignment vertical="center"/>
    </xf>
    <xf numFmtId="0" fontId="24" fillId="35" borderId="0" xfId="0" applyFont="1" applyFill="1" applyAlignment="1">
      <alignment horizontal="center" vertical="center"/>
    </xf>
    <xf numFmtId="0" fontId="34" fillId="34" borderId="0" xfId="0" applyFont="1" applyFill="1" applyAlignment="1">
      <alignment vertical="center"/>
    </xf>
    <xf numFmtId="0" fontId="34" fillId="34" borderId="0" xfId="0" applyFont="1" applyFill="1"/>
    <xf numFmtId="0" fontId="23" fillId="39" borderId="0" xfId="0" applyFont="1" applyFill="1" applyAlignment="1">
      <alignment horizontal="center" vertical="center"/>
    </xf>
    <xf numFmtId="0" fontId="18" fillId="41" borderId="0" xfId="0" applyFont="1" applyFill="1" applyAlignment="1">
      <alignment horizontal="center" vertical="center"/>
    </xf>
    <xf numFmtId="0" fontId="23" fillId="42" borderId="0" xfId="0" applyFont="1" applyFill="1" applyAlignment="1">
      <alignment horizontal="center" vertical="center"/>
    </xf>
    <xf numFmtId="0" fontId="35" fillId="41" borderId="0" xfId="0" applyFont="1" applyFill="1" applyAlignment="1">
      <alignment horizontal="center" vertical="center"/>
    </xf>
    <xf numFmtId="0" fontId="32" fillId="40" borderId="0" xfId="0" applyFont="1" applyFill="1" applyAlignment="1">
      <alignment horizontal="center" vertical="center"/>
    </xf>
    <xf numFmtId="0" fontId="17" fillId="38" borderId="0" xfId="0" applyFont="1" applyFill="1" applyAlignment="1">
      <alignment horizontal="center"/>
    </xf>
    <xf numFmtId="1" fontId="36" fillId="38" borderId="0" xfId="0" applyNumberFormat="1" applyFont="1" applyFill="1" applyAlignment="1">
      <alignment horizontal="center"/>
    </xf>
    <xf numFmtId="0" fontId="37" fillId="35" borderId="0" xfId="0" applyFont="1" applyFill="1" applyAlignment="1">
      <alignment horizontal="center" vertical="center"/>
    </xf>
    <xf numFmtId="0" fontId="38" fillId="35" borderId="0" xfId="0" applyFont="1" applyFill="1"/>
    <xf numFmtId="0" fontId="39" fillId="35" borderId="0" xfId="0" applyFont="1" applyFill="1" applyAlignment="1">
      <alignment horizontal="center"/>
    </xf>
    <xf numFmtId="0" fontId="24" fillId="33" borderId="0" xfId="0" applyFont="1" applyFill="1" applyAlignment="1">
      <alignment horizontal="center" vertical="center"/>
    </xf>
    <xf numFmtId="0" fontId="24" fillId="37" borderId="0" xfId="0" applyFont="1" applyFill="1" applyAlignment="1">
      <alignment horizontal="center" vertical="center"/>
    </xf>
    <xf numFmtId="0" fontId="40" fillId="33" borderId="0" xfId="0" applyFont="1" applyFill="1" applyAlignment="1">
      <alignment horizontal="center" vertical="center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"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ill>
        <patternFill>
          <bgColor rgb="FFFFFF00"/>
        </patternFill>
      </fill>
    </dxf>
    <dxf>
      <fill>
        <patternFill>
          <bgColor theme="0" tint="-0.24994659260841701"/>
        </patternFill>
      </fill>
    </dxf>
    <dxf>
      <fill>
        <patternFill>
          <bgColor theme="0" tint="-0.2499465926084170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ont>
        <color theme="0" tint="-0.14996795556505021"/>
      </font>
      <fill>
        <patternFill>
          <bgColor theme="0" tint="-0.14996795556505021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0000FF"/>
      <color rgb="FFFFCCFF"/>
      <color rgb="FF66FF99"/>
      <color rgb="FFFF66FF"/>
      <color rgb="FFB6FCB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rgbClr val="FF0000"/>
                </a:solidFill>
                <a:prstDash val="dash"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1919B46B-505D-4202-BA2F-534350A1D26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265-4534-9E52-E736748D72F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EA80514-1202-4712-AD72-29EABBD32D8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265-4534-9E52-E736748D72F1}"/>
                </c:ext>
              </c:extLst>
            </c:dLbl>
            <c:dLbl>
              <c:idx val="2"/>
              <c:layout>
                <c:manualLayout>
                  <c:x val="-2.498449376070995E-2"/>
                  <c:y val="0"/>
                </c:manualLayout>
              </c:layout>
              <c:tx>
                <c:rich>
                  <a:bodyPr/>
                  <a:lstStyle/>
                  <a:p>
                    <a:fld id="{962D8B6C-050F-4ED5-B0A9-D5BAB05732A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5265-4534-9E52-E736748D72F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286DB5AA-E405-41E7-8E6B-DA606FF0ED6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265-4534-9E52-E736748D72F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FE513E7-3B5E-4A27-9164-5AEC3E378D7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265-4534-9E52-E736748D72F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8332960-CB07-4FB5-A905-9D6F363DF47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265-4534-9E52-E736748D72F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25FD7A0-4697-443E-9405-0ED560EACB0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265-4534-9E52-E736748D72F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0B46412-DF73-4BE1-8755-3C9EDD13F52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265-4534-9E52-E736748D72F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23DDF3A-3244-4570-956A-FC3499D6273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265-4534-9E52-E736748D72F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10EA9114-403E-4FC3-BA10-AD2723754C1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265-4534-9E52-E736748D72F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5CA53F88-182B-4657-A4B7-7A4C9FE5CCE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265-4534-9E52-E736748D72F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84169DEA-6E7B-4A84-92B5-F6E70EB916D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265-4534-9E52-E736748D72F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BDD5E604-4A5C-4D2F-BCEC-B72A3E1CA7C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265-4534-9E52-E736748D72F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A052EBE-D82A-475C-AE96-D6623065CCB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265-4534-9E52-E736748D72F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4C13619-9887-4095-BE3A-DB3EB108F6C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265-4534-9E52-E736748D72F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4B2FBCDD-4D05-4155-8BEA-52CBEA266BF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265-4534-9E52-E736748D72F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D3738ACE-9F38-485C-8153-F9A9CA00600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265-4534-9E52-E736748D72F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5407BE2-4F40-4388-80A7-FC78D1E05A5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265-4534-9E52-E736748D72F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FAD2C167-63F3-4633-A0C4-B4A40489A53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265-4534-9E52-E736748D72F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E2F89D07-FB3B-4EDD-9B64-C86952CF03E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265-4534-9E52-E736748D72F1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82C5009B-29B8-4979-9C4F-77C015AE6AA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5265-4534-9E52-E736748D72F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1D768AAD-E984-4CC4-AC87-D193F8FB467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5265-4534-9E52-E736748D72F1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D811565B-43A8-4432-AF46-0B875D42236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265-4534-9E52-E736748D72F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26C02158-4CB1-480A-8E58-8E4F1666E28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265-4534-9E52-E736748D72F1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19FE5BAC-0D44-48CD-B48B-E4D2A24B959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265-4534-9E52-E736748D72F1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96A58108-6F39-4657-80FE-0DA745692A7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5265-4534-9E52-E736748D72F1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1CE40E24-DABC-4324-AB20-82C49F4BB54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5265-4534-9E52-E736748D72F1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082C1AA9-C2B7-4FB4-8C66-C53BBA4FE92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5265-4534-9E52-E736748D72F1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61AC15F8-EF4A-4818-850F-E607D538401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5265-4534-9E52-E736748D72F1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5265-4534-9E52-E736748D72F1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5265-4534-9E52-E736748D72F1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5265-4534-9E52-E736748D72F1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5265-4534-9E52-E736748D72F1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5265-4534-9E52-E736748D72F1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5265-4534-9E52-E736748D72F1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5265-4534-9E52-E736748D72F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468047.28129999997</c:v>
                </c:pt>
                <c:pt idx="5">
                  <c:v>471134.78129999997</c:v>
                </c:pt>
                <c:pt idx="6">
                  <c:v>469922.28129999997</c:v>
                </c:pt>
                <c:pt idx="7">
                  <c:v>468834.78129999997</c:v>
                </c:pt>
                <c:pt idx="8">
                  <c:v>469934.78129999997</c:v>
                </c:pt>
                <c:pt idx="9">
                  <c:v>468797.28129999997</c:v>
                </c:pt>
                <c:pt idx="10">
                  <c:v>467797.28129999997</c:v>
                </c:pt>
                <c:pt idx="11">
                  <c:v>467172.28129999997</c:v>
                </c:pt>
                <c:pt idx="12">
                  <c:v>468434.78129999997</c:v>
                </c:pt>
                <c:pt idx="13">
                  <c:v>467384.78129999997</c:v>
                </c:pt>
                <c:pt idx="14">
                  <c:v>466597.28129999997</c:v>
                </c:pt>
                <c:pt idx="15">
                  <c:v>465672.28129999997</c:v>
                </c:pt>
                <c:pt idx="16">
                  <c:v>464872.28129999997</c:v>
                </c:pt>
                <c:pt idx="17">
                  <c:v>465422.28129999997</c:v>
                </c:pt>
                <c:pt idx="18">
                  <c:v>465284.78129999997</c:v>
                </c:pt>
                <c:pt idx="19">
                  <c:v>464384.78129999997</c:v>
                </c:pt>
                <c:pt idx="20">
                  <c:v>464297.28129999997</c:v>
                </c:pt>
                <c:pt idx="21">
                  <c:v>464784.78129999997</c:v>
                </c:pt>
                <c:pt idx="22">
                  <c:v>468284.78129999997</c:v>
                </c:pt>
                <c:pt idx="23">
                  <c:v>466622.28129999997</c:v>
                </c:pt>
                <c:pt idx="24">
                  <c:v>466097.28129999997</c:v>
                </c:pt>
                <c:pt idx="25">
                  <c:v>465534.78129999997</c:v>
                </c:pt>
                <c:pt idx="26">
                  <c:v>464909.78129999997</c:v>
                </c:pt>
                <c:pt idx="27">
                  <c:v>464822.28129999997</c:v>
                </c:pt>
                <c:pt idx="28">
                  <c:v>464172.28129999997</c:v>
                </c:pt>
              </c:numCache>
            </c:numRef>
          </c:xVal>
          <c:yVal>
            <c:numRef>
              <c:f>'T1'!$S$7:$S$42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7614180.25</c:v>
                </c:pt>
                <c:pt idx="5">
                  <c:v>7613992.75</c:v>
                </c:pt>
                <c:pt idx="6">
                  <c:v>7614405.25</c:v>
                </c:pt>
                <c:pt idx="7">
                  <c:v>7614292.75</c:v>
                </c:pt>
                <c:pt idx="8">
                  <c:v>7612342.75</c:v>
                </c:pt>
                <c:pt idx="9">
                  <c:v>7612842.75</c:v>
                </c:pt>
                <c:pt idx="10">
                  <c:v>7613980.25</c:v>
                </c:pt>
                <c:pt idx="11">
                  <c:v>7613492.75</c:v>
                </c:pt>
                <c:pt idx="12">
                  <c:v>7611380.25</c:v>
                </c:pt>
                <c:pt idx="13">
                  <c:v>7612080.25</c:v>
                </c:pt>
                <c:pt idx="14">
                  <c:v>7613155.25</c:v>
                </c:pt>
                <c:pt idx="15">
                  <c:v>7613092.75</c:v>
                </c:pt>
                <c:pt idx="16">
                  <c:v>7613880.25</c:v>
                </c:pt>
                <c:pt idx="17">
                  <c:v>7612830.25</c:v>
                </c:pt>
                <c:pt idx="18">
                  <c:v>7611667.75</c:v>
                </c:pt>
                <c:pt idx="19">
                  <c:v>7611405.25</c:v>
                </c:pt>
                <c:pt idx="20">
                  <c:v>7610630.25</c:v>
                </c:pt>
                <c:pt idx="21">
                  <c:v>7609967.75</c:v>
                </c:pt>
                <c:pt idx="22">
                  <c:v>7609942.75</c:v>
                </c:pt>
                <c:pt idx="23">
                  <c:v>7609955.25</c:v>
                </c:pt>
                <c:pt idx="24">
                  <c:v>7610467.75</c:v>
                </c:pt>
                <c:pt idx="25">
                  <c:v>7610505.25</c:v>
                </c:pt>
                <c:pt idx="26">
                  <c:v>7609892.75</c:v>
                </c:pt>
                <c:pt idx="27">
                  <c:v>7609305.25</c:v>
                </c:pt>
                <c:pt idx="28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  <c:pt idx="26">
                    <c:v>27</c:v>
                  </c:pt>
                  <c:pt idx="27">
                    <c:v>28</c:v>
                  </c:pt>
                  <c:pt idx="28">
                    <c:v>29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5265-4534-9E52-E736748D72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10"/>
          <c:order val="0"/>
          <c:tx>
            <c:strRef>
              <c:f>'T1'!$D$5</c:f>
              <c:strCache>
                <c:ptCount val="1"/>
                <c:pt idx="0">
                  <c:v>B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9C60-4EC4-9D10-1958F74269E9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9C60-4EC4-9D10-1958F74269E9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9C60-4EC4-9D10-1958F74269E9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9C60-4EC4-9D10-1958F74269E9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9C60-4EC4-9D10-1958F74269E9}"/>
              </c:ext>
            </c:extLst>
          </c:dPt>
          <c:xVal>
            <c:numRef>
              <c:f>'T1'!$C$7:$C$42</c:f>
              <c:numCache>
                <c:formatCode>General</c:formatCode>
                <c:ptCount val="36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467509.78129999997</c:v>
                </c:pt>
                <c:pt idx="4">
                  <c:v>468059.78129999997</c:v>
                </c:pt>
                <c:pt idx="5">
                  <c:v>468334.78129999997</c:v>
                </c:pt>
                <c:pt idx="6">
                  <c:v>468397.28129999997</c:v>
                </c:pt>
                <c:pt idx="7">
                  <c:v>468047.28129999997</c:v>
                </c:pt>
                <c:pt idx="8">
                  <c:v>468834.78129999997</c:v>
                </c:pt>
                <c:pt idx="9">
                  <c:v>468047.28129999997</c:v>
                </c:pt>
                <c:pt idx="10">
                  <c:v>467797.28129999997</c:v>
                </c:pt>
                <c:pt idx="11">
                  <c:v>469934.78129999997</c:v>
                </c:pt>
                <c:pt idx="12">
                  <c:v>468797.28129999997</c:v>
                </c:pt>
                <c:pt idx="13">
                  <c:v>467797.28129999997</c:v>
                </c:pt>
                <c:pt idx="14">
                  <c:v>467172.28129999997</c:v>
                </c:pt>
                <c:pt idx="15">
                  <c:v>466597.28129999997</c:v>
                </c:pt>
                <c:pt idx="16">
                  <c:v>468434.78129999997</c:v>
                </c:pt>
                <c:pt idx="17">
                  <c:v>467384.78129999997</c:v>
                </c:pt>
                <c:pt idx="18">
                  <c:v>466597.28129999997</c:v>
                </c:pt>
                <c:pt idx="19">
                  <c:v>465672.28129999997</c:v>
                </c:pt>
                <c:pt idx="20">
                  <c:v>465422.28129999997</c:v>
                </c:pt>
                <c:pt idx="21">
                  <c:v>464872.28129999997</c:v>
                </c:pt>
                <c:pt idx="22">
                  <c:v>465422.28129999997</c:v>
                </c:pt>
                <c:pt idx="23">
                  <c:v>465284.78129999997</c:v>
                </c:pt>
                <c:pt idx="24">
                  <c:v>464384.78129999997</c:v>
                </c:pt>
                <c:pt idx="25">
                  <c:v>464297.28129999997</c:v>
                </c:pt>
                <c:pt idx="26">
                  <c:v>468284.78129999997</c:v>
                </c:pt>
                <c:pt idx="27">
                  <c:v>466622.28129999997</c:v>
                </c:pt>
                <c:pt idx="28">
                  <c:v>466097.28129999997</c:v>
                </c:pt>
                <c:pt idx="29">
                  <c:v>465534.78129999997</c:v>
                </c:pt>
                <c:pt idx="30">
                  <c:v>464909.78129999997</c:v>
                </c:pt>
                <c:pt idx="31">
                  <c:v>464822.28129999997</c:v>
                </c:pt>
                <c:pt idx="32">
                  <c:v>464297.28129999997</c:v>
                </c:pt>
                <c:pt idx="33">
                  <c:v>464784.78129999997</c:v>
                </c:pt>
                <c:pt idx="34">
                  <c:v>464822.28129999997</c:v>
                </c:pt>
                <c:pt idx="35">
                  <c:v>464172.28129999997</c:v>
                </c:pt>
              </c:numCache>
            </c:numRef>
          </c:xVal>
          <c:yVal>
            <c:numRef>
              <c:f>'T1'!$D$7:$D$42</c:f>
              <c:numCache>
                <c:formatCode>General</c:formatCode>
                <c:ptCount val="36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7616967.75</c:v>
                </c:pt>
                <c:pt idx="4">
                  <c:v>7616642.75</c:v>
                </c:pt>
                <c:pt idx="5">
                  <c:v>7615805.25</c:v>
                </c:pt>
                <c:pt idx="6">
                  <c:v>7614955.25</c:v>
                </c:pt>
                <c:pt idx="7">
                  <c:v>7614180.25</c:v>
                </c:pt>
                <c:pt idx="8">
                  <c:v>7614292.75</c:v>
                </c:pt>
                <c:pt idx="9">
                  <c:v>7614180.25</c:v>
                </c:pt>
                <c:pt idx="10">
                  <c:v>7613980.25</c:v>
                </c:pt>
                <c:pt idx="11">
                  <c:v>7612342.75</c:v>
                </c:pt>
                <c:pt idx="12">
                  <c:v>7612842.75</c:v>
                </c:pt>
                <c:pt idx="13">
                  <c:v>7613980.25</c:v>
                </c:pt>
                <c:pt idx="14">
                  <c:v>7613492.75</c:v>
                </c:pt>
                <c:pt idx="15">
                  <c:v>7613155.25</c:v>
                </c:pt>
                <c:pt idx="16">
                  <c:v>7611380.25</c:v>
                </c:pt>
                <c:pt idx="17">
                  <c:v>7612080.25</c:v>
                </c:pt>
                <c:pt idx="18">
                  <c:v>7613155.25</c:v>
                </c:pt>
                <c:pt idx="19">
                  <c:v>7613092.75</c:v>
                </c:pt>
                <c:pt idx="20">
                  <c:v>7612830.25</c:v>
                </c:pt>
                <c:pt idx="21">
                  <c:v>7613880.25</c:v>
                </c:pt>
                <c:pt idx="22">
                  <c:v>7612830.25</c:v>
                </c:pt>
                <c:pt idx="23">
                  <c:v>7611667.75</c:v>
                </c:pt>
                <c:pt idx="24">
                  <c:v>7611405.25</c:v>
                </c:pt>
                <c:pt idx="25">
                  <c:v>7610630.25</c:v>
                </c:pt>
                <c:pt idx="26">
                  <c:v>7609942.75</c:v>
                </c:pt>
                <c:pt idx="27">
                  <c:v>7609955.25</c:v>
                </c:pt>
                <c:pt idx="28">
                  <c:v>7610467.75</c:v>
                </c:pt>
                <c:pt idx="29">
                  <c:v>7610505.25</c:v>
                </c:pt>
                <c:pt idx="30">
                  <c:v>7609892.75</c:v>
                </c:pt>
                <c:pt idx="31">
                  <c:v>7609305.25</c:v>
                </c:pt>
                <c:pt idx="32">
                  <c:v>7610630.25</c:v>
                </c:pt>
                <c:pt idx="33">
                  <c:v>7609967.75</c:v>
                </c:pt>
                <c:pt idx="34">
                  <c:v>7609305.25</c:v>
                </c:pt>
                <c:pt idx="35">
                  <c:v>7607930.25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9C60-4EC4-9D10-1958F74269E9}"/>
            </c:ext>
          </c:extLst>
        </c:ser>
        <c:ser>
          <c:idx val="0"/>
          <c:order val="1"/>
          <c:tx>
            <c:strRef>
              <c:f>'T1'!$AU$5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7888E88-7A9C-47DB-8BA7-B0706A6C17E3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3A6D1BA-1591-457B-AF84-8F9D1BF273C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9C60-4EC4-9D10-1958F74269E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6E7455B-C7F6-4E0C-9F1D-D1A753A2B43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E966619-7D78-4343-805F-2602910E20B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9C60-4EC4-9D10-1958F74269E9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12F02CF-6CD5-47E6-AF98-C268F8F89314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5369DF08-4274-4FCF-A3A5-DA0472CFF88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531FDF6-CCF6-4575-9447-CAC42A05AFF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5317E677-1BD6-41EC-A7D8-3968AA77FCA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057C7B8-7037-4111-92F7-238CCF96AFF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'T1'!$AU$7:$AU$15</c:f>
              <c:numCache>
                <c:formatCode>General</c:formatCode>
                <c:ptCount val="9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468047.28129999997</c:v>
                </c:pt>
                <c:pt idx="5">
                  <c:v>468047.28129999997</c:v>
                </c:pt>
                <c:pt idx="6">
                  <c:v>468047.28129999997</c:v>
                </c:pt>
                <c:pt idx="7">
                  <c:v>468047.28129999997</c:v>
                </c:pt>
                <c:pt idx="8">
                  <c:v>468047.28129999997</c:v>
                </c:pt>
              </c:numCache>
            </c:numRef>
          </c:xVal>
          <c:yVal>
            <c:numRef>
              <c:f>'T1'!$AU$19:$AU$27</c:f>
              <c:numCache>
                <c:formatCode>General</c:formatCode>
                <c:ptCount val="9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7614180.25</c:v>
                </c:pt>
                <c:pt idx="5">
                  <c:v>7614180.25</c:v>
                </c:pt>
                <c:pt idx="6">
                  <c:v>7614180.25</c:v>
                </c:pt>
                <c:pt idx="7">
                  <c:v>7614180.25</c:v>
                </c:pt>
                <c:pt idx="8">
                  <c:v>7614180.25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'T1'!$AJ$29:$AJ$37</c15:f>
                <c15:dlblRangeCache>
                  <c:ptCount val="9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A-9C60-4EC4-9D10-1958F74269E9}"/>
            </c:ext>
          </c:extLst>
        </c:ser>
        <c:ser>
          <c:idx val="1"/>
          <c:order val="2"/>
          <c:tx>
            <c:strRef>
              <c:f>'T1'!$AV$5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DE80676-4819-4B45-A755-8C24AAB3512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B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71AFAF4-A7C3-470C-B47E-C5CE95A1085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C-9C60-4EC4-9D10-1958F74269E9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804F765-B482-47B8-ACD8-A7286A23ADD5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D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C674147E-1CD9-4C5C-B804-418364F9EAE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E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3C7F785-5335-46F2-B4CA-1455325F20B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F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ADEBAB8D-F5DA-4184-858B-CA9A0A5B7E9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0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232C771-6A54-414B-802E-19FB5EFA0C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1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34D277B-01A0-486E-B714-E9A336E2056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2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7F0E3EE-72CB-44C8-93A8-2F643E79843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b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b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'T1'!$AV$7:$AV$15</c:f>
              <c:numCache>
                <c:formatCode>General</c:formatCode>
                <c:ptCount val="9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468834.78129999997</c:v>
                </c:pt>
                <c:pt idx="4">
                  <c:v>468834.78129999997</c:v>
                </c:pt>
                <c:pt idx="5">
                  <c:v>468834.78129999997</c:v>
                </c:pt>
                <c:pt idx="6">
                  <c:v>468834.78129999997</c:v>
                </c:pt>
                <c:pt idx="7">
                  <c:v>468834.78129999997</c:v>
                </c:pt>
                <c:pt idx="8">
                  <c:v>468834.78129999997</c:v>
                </c:pt>
              </c:numCache>
            </c:numRef>
          </c:xVal>
          <c:yVal>
            <c:numRef>
              <c:f>'T1'!$AV$19:$AV$27</c:f>
              <c:numCache>
                <c:formatCode>General</c:formatCode>
                <c:ptCount val="9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7614292.75</c:v>
                </c:pt>
                <c:pt idx="4">
                  <c:v>7614292.75</c:v>
                </c:pt>
                <c:pt idx="5">
                  <c:v>7614292.75</c:v>
                </c:pt>
                <c:pt idx="6">
                  <c:v>7614292.75</c:v>
                </c:pt>
                <c:pt idx="7">
                  <c:v>7614292.75</c:v>
                </c:pt>
                <c:pt idx="8">
                  <c:v>7614292.75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'T1'!$AK$29:$AK$37</c15:f>
                <c15:dlblRangeCache>
                  <c:ptCount val="9"/>
                  <c:pt idx="0">
                    <c:v>5</c:v>
                  </c:pt>
                  <c:pt idx="1">
                    <c:v>6</c:v>
                  </c:pt>
                  <c:pt idx="2">
                    <c:v>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F-9C60-4EC4-9D10-1958F74269E9}"/>
            </c:ext>
          </c:extLst>
        </c:ser>
        <c:ser>
          <c:idx val="2"/>
          <c:order val="3"/>
          <c:tx>
            <c:strRef>
              <c:f>'T1'!$AW$5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CAF7F8D-3CA1-44A3-A7F7-3F0ED0156F38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0-9C60-4EC4-9D10-1958F74269E9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7F9338B-CFC0-4AB7-9B9B-CEF68CA90743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1-9C60-4EC4-9D10-1958F74269E9}"/>
                </c:ext>
              </c:extLst>
            </c:dLbl>
            <c:dLbl>
              <c:idx val="2"/>
              <c:layout>
                <c:manualLayout>
                  <c:x val="-6.3263567860469133E-2"/>
                  <c:y val="-2.6200879368446485E-2"/>
                </c:manualLayout>
              </c:layout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8D6EF38-5BC5-4419-8957-8BA43E807EC7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2-9C60-4EC4-9D10-1958F74269E9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A9FE40B7-78FC-4D4F-A9DB-4517F00B3A92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53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E3C5754-307C-4241-A1DC-B509EFB4750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4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3FB991E1-FB33-41D3-BB4E-88931569396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5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5654471-EADD-4CF3-B7EB-3E06AAF648C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6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292BCAB-EB7D-4F3F-AFD5-DBC926D9F9E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7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54BF2E1-C16A-400F-874E-2EADB13EBF2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58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'T1'!$AW$7:$AW$15</c:f>
              <c:numCache>
                <c:formatCode>General</c:formatCode>
                <c:ptCount val="9"/>
                <c:pt idx="0">
                  <c:v>469934.78129999997</c:v>
                </c:pt>
                <c:pt idx="1">
                  <c:v>468797.28129999997</c:v>
                </c:pt>
                <c:pt idx="2">
                  <c:v>467797.28129999997</c:v>
                </c:pt>
                <c:pt idx="3">
                  <c:v>467172.28129999997</c:v>
                </c:pt>
                <c:pt idx="4">
                  <c:v>467172.28129999997</c:v>
                </c:pt>
                <c:pt idx="5">
                  <c:v>467172.28129999997</c:v>
                </c:pt>
                <c:pt idx="6">
                  <c:v>467172.28129999997</c:v>
                </c:pt>
                <c:pt idx="7">
                  <c:v>467172.28129999997</c:v>
                </c:pt>
                <c:pt idx="8">
                  <c:v>467172.28129999997</c:v>
                </c:pt>
              </c:numCache>
            </c:numRef>
          </c:xVal>
          <c:yVal>
            <c:numRef>
              <c:f>'T1'!$AW$19:$AW$27</c:f>
              <c:numCache>
                <c:formatCode>General</c:formatCode>
                <c:ptCount val="9"/>
                <c:pt idx="0">
                  <c:v>7612342.75</c:v>
                </c:pt>
                <c:pt idx="1">
                  <c:v>7612842.75</c:v>
                </c:pt>
                <c:pt idx="2">
                  <c:v>7613980.25</c:v>
                </c:pt>
                <c:pt idx="3">
                  <c:v>7613492.75</c:v>
                </c:pt>
                <c:pt idx="4">
                  <c:v>7613492.75</c:v>
                </c:pt>
                <c:pt idx="5">
                  <c:v>7613492.75</c:v>
                </c:pt>
                <c:pt idx="6">
                  <c:v>7613492.75</c:v>
                </c:pt>
                <c:pt idx="7">
                  <c:v>7613492.75</c:v>
                </c:pt>
                <c:pt idx="8">
                  <c:v>7613492.75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'T1'!$AL$29:$AL$37</c15:f>
                <c15:dlblRangeCache>
                  <c:ptCount val="9"/>
                  <c:pt idx="0">
                    <c:v>8</c:v>
                  </c:pt>
                  <c:pt idx="1">
                    <c:v>9</c:v>
                  </c:pt>
                  <c:pt idx="2">
                    <c:v>10</c:v>
                  </c:pt>
                  <c:pt idx="3">
                    <c:v>11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74-9C60-4EC4-9D10-1958F74269E9}"/>
            </c:ext>
          </c:extLst>
        </c:ser>
        <c:ser>
          <c:idx val="5"/>
          <c:order val="4"/>
          <c:tx>
            <c:strRef>
              <c:f>'T1'!$AX$5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3D2D65D-6FEC-47D9-912A-5F61F98B28E8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5-9C60-4EC4-9D10-1958F74269E9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A5EAE28-62D7-4CE1-8F70-82D53646AF1B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6-9C60-4EC4-9D10-1958F74269E9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BC88CA0-6F1C-44DC-B34C-5A26471C5F18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7-9C60-4EC4-9D10-1958F74269E9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E8B4E35-06A4-4775-8DBF-48E9ADF1D60D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78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288BF014-E464-49FC-ADC3-AF5C652A263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9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FD9DC5D8-1372-4F12-8207-766D9816DBF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A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EA11A72-9775-46DF-ADFB-822D51C0350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B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9197A051-E28B-403F-8BCB-8CA92CD924B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C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F563B110-FCB4-45E5-B444-A691B510AB9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7D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'T1'!$AX$7:$AX$15</c:f>
              <c:numCache>
                <c:formatCode>General</c:formatCode>
                <c:ptCount val="9"/>
                <c:pt idx="0">
                  <c:v>468434.78129999997</c:v>
                </c:pt>
                <c:pt idx="1">
                  <c:v>467384.78129999997</c:v>
                </c:pt>
                <c:pt idx="2">
                  <c:v>466597.28129999997</c:v>
                </c:pt>
                <c:pt idx="3">
                  <c:v>465672.28129999997</c:v>
                </c:pt>
                <c:pt idx="4">
                  <c:v>465672.28129999997</c:v>
                </c:pt>
                <c:pt idx="5">
                  <c:v>465672.28129999997</c:v>
                </c:pt>
                <c:pt idx="6">
                  <c:v>465672.28129999997</c:v>
                </c:pt>
                <c:pt idx="7">
                  <c:v>465672.28129999997</c:v>
                </c:pt>
                <c:pt idx="8">
                  <c:v>465672.28129999997</c:v>
                </c:pt>
              </c:numCache>
            </c:numRef>
          </c:xVal>
          <c:yVal>
            <c:numRef>
              <c:f>'T1'!$AX$19:$AX$27</c:f>
              <c:numCache>
                <c:formatCode>General</c:formatCode>
                <c:ptCount val="9"/>
                <c:pt idx="0">
                  <c:v>7611380.25</c:v>
                </c:pt>
                <c:pt idx="1">
                  <c:v>7612080.25</c:v>
                </c:pt>
                <c:pt idx="2">
                  <c:v>7613155.25</c:v>
                </c:pt>
                <c:pt idx="3">
                  <c:v>7613092.75</c:v>
                </c:pt>
                <c:pt idx="4">
                  <c:v>7613092.75</c:v>
                </c:pt>
                <c:pt idx="5">
                  <c:v>7613092.75</c:v>
                </c:pt>
                <c:pt idx="6">
                  <c:v>7613092.75</c:v>
                </c:pt>
                <c:pt idx="7">
                  <c:v>7613092.75</c:v>
                </c:pt>
                <c:pt idx="8">
                  <c:v>7613092.75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'T1'!$AM$29:$AM$37</c15:f>
                <c15:dlblRangeCache>
                  <c:ptCount val="9"/>
                  <c:pt idx="0">
                    <c:v>12</c:v>
                  </c:pt>
                  <c:pt idx="1">
                    <c:v>13</c:v>
                  </c:pt>
                  <c:pt idx="2">
                    <c:v>14</c:v>
                  </c:pt>
                  <c:pt idx="3">
                    <c:v>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99-9C60-4EC4-9D10-1958F74269E9}"/>
            </c:ext>
          </c:extLst>
        </c:ser>
        <c:ser>
          <c:idx val="6"/>
          <c:order val="5"/>
          <c:tx>
            <c:strRef>
              <c:f>'T1'!$AY$5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rgbClr val="0000FF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B911A5C-7DE9-4B05-970E-7EF418CE3A2F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A-9C60-4EC4-9D10-1958F74269E9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40AD846-B0D2-49EE-92F7-FE16AB08D2FC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B-9C60-4EC4-9D10-1958F74269E9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78A4AA6-8DC4-470A-AEFE-6C13E4F521B9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C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318633C4-6B21-4650-8823-DF2D7706803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D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1C9CBD6D-DD12-4893-85E3-F439C2A2105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E-9C60-4EC4-9D10-1958F74269E9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anchor="ctr" anchorCtr="1"/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24D635C2-22EB-49EE-887A-42D86F1B159E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9F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659F33C-1EBC-4F97-BABE-2283E92A07B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0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8F4A66D6-0551-4F46-9288-5DCD3F6AE30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1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AFA5DA49-D3AE-446A-89BF-53ECA3A47B6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A2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'T1'!$AY$7:$AY$15</c:f>
              <c:numCache>
                <c:formatCode>General</c:formatCode>
                <c:ptCount val="9"/>
                <c:pt idx="0">
                  <c:v>464872.28129999997</c:v>
                </c:pt>
                <c:pt idx="1">
                  <c:v>465422.28129999997</c:v>
                </c:pt>
                <c:pt idx="2">
                  <c:v>465284.78129999997</c:v>
                </c:pt>
                <c:pt idx="3">
                  <c:v>464384.78129999997</c:v>
                </c:pt>
                <c:pt idx="4">
                  <c:v>464297.28129999997</c:v>
                </c:pt>
                <c:pt idx="5">
                  <c:v>464784.78129999997</c:v>
                </c:pt>
                <c:pt idx="6">
                  <c:v>464784.78129999997</c:v>
                </c:pt>
                <c:pt idx="7">
                  <c:v>464784.78129999997</c:v>
                </c:pt>
                <c:pt idx="8">
                  <c:v>464784.78129999997</c:v>
                </c:pt>
              </c:numCache>
            </c:numRef>
          </c:xVal>
          <c:yVal>
            <c:numRef>
              <c:f>'T1'!$AY$19:$AY$27</c:f>
              <c:numCache>
                <c:formatCode>General</c:formatCode>
                <c:ptCount val="9"/>
                <c:pt idx="0">
                  <c:v>7613880.25</c:v>
                </c:pt>
                <c:pt idx="1">
                  <c:v>7612830.25</c:v>
                </c:pt>
                <c:pt idx="2">
                  <c:v>7611667.75</c:v>
                </c:pt>
                <c:pt idx="3">
                  <c:v>7611405.25</c:v>
                </c:pt>
                <c:pt idx="4">
                  <c:v>7610630.25</c:v>
                </c:pt>
                <c:pt idx="5">
                  <c:v>7609967.75</c:v>
                </c:pt>
                <c:pt idx="6">
                  <c:v>7609967.75</c:v>
                </c:pt>
                <c:pt idx="7">
                  <c:v>7609967.75</c:v>
                </c:pt>
                <c:pt idx="8">
                  <c:v>7609967.75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'T1'!$AN$29:$AN$38</c15:f>
                <c15:dlblRangeCache>
                  <c:ptCount val="10"/>
                  <c:pt idx="0">
                    <c:v>16</c:v>
                  </c:pt>
                  <c:pt idx="1">
                    <c:v>17</c:v>
                  </c:pt>
                  <c:pt idx="2">
                    <c:v>18</c:v>
                  </c:pt>
                  <c:pt idx="3">
                    <c:v>19</c:v>
                  </c:pt>
                  <c:pt idx="4">
                    <c:v>20</c:v>
                  </c:pt>
                  <c:pt idx="5">
                    <c:v>21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BE-9C60-4EC4-9D10-1958F74269E9}"/>
            </c:ext>
          </c:extLst>
        </c:ser>
        <c:ser>
          <c:idx val="7"/>
          <c:order val="6"/>
          <c:tx>
            <c:strRef>
              <c:f>'T1'!$AZ$5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CBAA8ED-23FF-4132-ABC6-598F465BE907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BF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DF9E10C8-505C-405D-983F-4D6FED951FA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0-9C60-4EC4-9D10-1958F74269E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EB387FF1-BC2D-4AA9-B963-3AF113CD3F4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1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1F5DAACF-6181-4EE2-81FC-3B2B3A07AB8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2-9C60-4EC4-9D10-1958F74269E9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5166D6F-7213-43F1-B43A-4ABB320678C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C3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47EE8D3-135B-4D76-BE7D-A4B5FC2B9E4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C4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3A6C6FF4-667C-499A-913D-081831F7E23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C5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E72CB88B-B2B2-4FC6-B381-23BA1AC92F5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C6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DBD38A96-2F44-4B2C-8230-D558AFF3A37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C7-9C60-4EC4-9D10-1958F74269E9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'T1'!$AZ$7:$AZ$15</c:f>
              <c:numCache>
                <c:formatCode>General</c:formatCode>
                <c:ptCount val="9"/>
                <c:pt idx="0">
                  <c:v>468284.78129999997</c:v>
                </c:pt>
                <c:pt idx="1">
                  <c:v>466622.28129999997</c:v>
                </c:pt>
                <c:pt idx="2">
                  <c:v>466097.28129999997</c:v>
                </c:pt>
                <c:pt idx="3">
                  <c:v>465534.78129999997</c:v>
                </c:pt>
                <c:pt idx="4">
                  <c:v>464909.78129999997</c:v>
                </c:pt>
                <c:pt idx="5">
                  <c:v>464909.78129999997</c:v>
                </c:pt>
                <c:pt idx="6">
                  <c:v>464909.78129999997</c:v>
                </c:pt>
                <c:pt idx="7">
                  <c:v>464909.78129999997</c:v>
                </c:pt>
                <c:pt idx="8">
                  <c:v>464909.78129999997</c:v>
                </c:pt>
              </c:numCache>
            </c:numRef>
          </c:xVal>
          <c:yVal>
            <c:numRef>
              <c:f>'T1'!$AZ$19:$AZ$27</c:f>
              <c:numCache>
                <c:formatCode>General</c:formatCode>
                <c:ptCount val="9"/>
                <c:pt idx="0">
                  <c:v>7609942.75</c:v>
                </c:pt>
                <c:pt idx="1">
                  <c:v>7609955.25</c:v>
                </c:pt>
                <c:pt idx="2">
                  <c:v>7610467.75</c:v>
                </c:pt>
                <c:pt idx="3">
                  <c:v>7610505.25</c:v>
                </c:pt>
                <c:pt idx="4">
                  <c:v>7609892.75</c:v>
                </c:pt>
                <c:pt idx="5">
                  <c:v>7609892.75</c:v>
                </c:pt>
                <c:pt idx="6">
                  <c:v>7609892.75</c:v>
                </c:pt>
                <c:pt idx="7">
                  <c:v>7609892.75</c:v>
                </c:pt>
                <c:pt idx="8">
                  <c:v>7609892.75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'T1'!$AO$29:$AO$37</c15:f>
                <c15:dlblRangeCache>
                  <c:ptCount val="9"/>
                  <c:pt idx="0">
                    <c:v>22</c:v>
                  </c:pt>
                  <c:pt idx="1">
                    <c:v>23</c:v>
                  </c:pt>
                  <c:pt idx="2">
                    <c:v>24</c:v>
                  </c:pt>
                  <c:pt idx="3">
                    <c:v>25</c:v>
                  </c:pt>
                  <c:pt idx="4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E3-9C60-4EC4-9D10-1958F74269E9}"/>
            </c:ext>
          </c:extLst>
        </c:ser>
        <c:ser>
          <c:idx val="8"/>
          <c:order val="7"/>
          <c:tx>
            <c:strRef>
              <c:f>'T1'!$BA$5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50FA89A-DD65-4E10-A4BD-3A789A4EA080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B6FCB8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4-9C60-4EC4-9D10-1958F74269E9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188D62EB-86EE-49A0-AB0E-14C28625923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E5-9C60-4EC4-9D10-1958F74269E9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A5584F0E-0DF5-4824-B57B-6784B498A8D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E6-9C60-4EC4-9D10-1958F74269E9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40697DE-CA29-4E83-BB78-F8E7C6B9E12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E7-9C60-4EC4-9D10-1958F74269E9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BF42D744-E257-46B1-BEDF-96B07EDDC79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E8-9C60-4EC4-9D10-1958F74269E9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4EBA8DD-17EC-43DC-BD96-33B606F1E47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E9-9C60-4EC4-9D10-1958F74269E9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D8314A3-003F-4AFC-92A4-5FEA394F4C2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EA-9C60-4EC4-9D10-1958F74269E9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347E777-86FB-4BE2-8516-F6E3EE857E4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EB-9C60-4EC4-9D10-1958F74269E9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8082102-E2A9-4193-A244-FA5C866CE1E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EC-9C60-4EC4-9D10-1958F74269E9}"/>
                </c:ext>
              </c:extLst>
            </c:dLbl>
            <c:spPr>
              <a:solidFill>
                <a:srgbClr val="FFCCFF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'T1'!$BA$7:$BA$15</c:f>
              <c:numCache>
                <c:formatCode>General</c:formatCode>
                <c:ptCount val="9"/>
                <c:pt idx="0">
                  <c:v>464822.28129999997</c:v>
                </c:pt>
                <c:pt idx="1">
                  <c:v>464172.28129999997</c:v>
                </c:pt>
                <c:pt idx="2">
                  <c:v>464172.28129999997</c:v>
                </c:pt>
                <c:pt idx="3">
                  <c:v>464172.28129999997</c:v>
                </c:pt>
                <c:pt idx="4">
                  <c:v>464172.28129999997</c:v>
                </c:pt>
                <c:pt idx="5">
                  <c:v>464172.28129999997</c:v>
                </c:pt>
                <c:pt idx="6">
                  <c:v>464172.28129999997</c:v>
                </c:pt>
                <c:pt idx="7">
                  <c:v>464172.28129999997</c:v>
                </c:pt>
                <c:pt idx="8">
                  <c:v>464172.28129999997</c:v>
                </c:pt>
              </c:numCache>
            </c:numRef>
          </c:xVal>
          <c:yVal>
            <c:numRef>
              <c:f>'T1'!$BA$19:$BA$27</c:f>
              <c:numCache>
                <c:formatCode>General</c:formatCode>
                <c:ptCount val="9"/>
                <c:pt idx="0">
                  <c:v>7609305.25</c:v>
                </c:pt>
                <c:pt idx="1">
                  <c:v>7607930.25</c:v>
                </c:pt>
                <c:pt idx="2">
                  <c:v>7607930.25</c:v>
                </c:pt>
                <c:pt idx="3">
                  <c:v>7607930.25</c:v>
                </c:pt>
                <c:pt idx="4">
                  <c:v>7607930.25</c:v>
                </c:pt>
                <c:pt idx="5">
                  <c:v>7607930.25</c:v>
                </c:pt>
                <c:pt idx="6">
                  <c:v>7607930.25</c:v>
                </c:pt>
                <c:pt idx="7">
                  <c:v>7607930.25</c:v>
                </c:pt>
                <c:pt idx="8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'T1'!$AP$29:$AP$37</c15:f>
                <c15:dlblRangeCache>
                  <c:ptCount val="9"/>
                  <c:pt idx="0">
                    <c:v>27</c:v>
                  </c:pt>
                  <c:pt idx="1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108-9C60-4EC4-9D10-1958F74269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203115739564811"/>
          <c:y val="0.92960513693111368"/>
          <c:w val="0.76796884260435183"/>
          <c:h val="6.78041164492696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EE2661D8-396D-4512-A626-E24B46A633D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57D5-4680-BADC-700D57B5941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A44EEA-509E-45ED-8974-C9C99372920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57D5-4680-BADC-700D57B5941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F0A54380-A77D-41B0-AE50-B889BB18FF8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57D5-4680-BADC-700D57B5941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9BE8845F-7160-4C34-AD2D-7BBB30D35CF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57D5-4680-BADC-700D57B5941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8EFD1D2E-9B65-42A7-B771-C14F0CE63BA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57D5-4680-BADC-700D57B5941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4D2A86C1-A831-4321-BDC7-472AC63F37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57D5-4680-BADC-700D57B5941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077CAE5-4BF6-4E41-BA82-068EFA7E6DB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57D5-4680-BADC-700D57B5941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6EB250FC-C029-4759-BBF0-7917544AB16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57D5-4680-BADC-700D57B5941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B214BBA-CC52-464D-92D7-6DB0D6303B8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57D5-4680-BADC-700D57B5941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920CE209-7CAB-4D60-BFFE-AC1173C6DD3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57D5-4680-BADC-700D57B5941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D8389998-D4B5-434B-B3FC-32B114D3DFE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57D5-4680-BADC-700D57B5941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A2EEE339-E855-4D6D-9D16-C6DC6E7A489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57D5-4680-BADC-700D57B5941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70FD9A4-0347-4E44-83CF-A94A2D824F0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57D5-4680-BADC-700D57B5941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395F9758-3E40-4137-A34C-61C5B8B120F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57D5-4680-BADC-700D57B5941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62DB1C9B-39E1-42AA-AF6A-270F260880E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57D5-4680-BADC-700D57B5941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1C150740-EE9B-4157-9D72-FB7717CDFA2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57D5-4680-BADC-700D57B5941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F8BBD784-9286-46CD-9BF6-549C311A559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57D5-4680-BADC-700D57B5941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0C4A82F2-5C3F-4709-A6FA-98C43908E0B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57D5-4680-BADC-700D57B5941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473540A0-DF37-4033-9E88-1F731786EAF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57D5-4680-BADC-700D57B5941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4B5BFBD9-4B80-4875-9F49-6CABD677D58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57D5-4680-BADC-700D57B5941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135F51AD-C484-4E47-B6CD-CFA765C8A43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57D5-4680-BADC-700D57B5941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E4DDE01F-0B08-4EDB-A310-9973B1A63A9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57D5-4680-BADC-700D57B5941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0C427249-DB6C-4E43-A242-F5439D621F9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57D5-4680-BADC-700D57B5941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C0C11891-688C-43A0-ADBA-90C2FDD820F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57D5-4680-BADC-700D57B5941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0F09E51C-2771-4697-A4D4-5D72A5DD1C2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57D5-4680-BADC-700D57B5941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75012FAE-CA6E-41ED-8244-6C29BFFBDFC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57D5-4680-BADC-700D57B59418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fld id="{FB68B534-ADFD-41B1-ACDF-C1D4DB1ED2A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57D5-4680-BADC-700D57B59418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fld id="{45311A67-98FB-438B-8634-4E6C4E8DFD9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57D5-4680-BADC-700D57B59418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fld id="{25929BE5-AEF9-4EAD-A7A3-B9E02177E74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57D5-4680-BADC-700D57B59418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strRef>
              <c:f>'T1'!$O$7:$O$42</c:f>
              <c:strCache>
                <c:ptCount val="2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</c:strCache>
            </c:strRef>
          </c:xVal>
          <c:yVal>
            <c:numRef>
              <c:f>'T1'!$V$7:$V$42</c:f>
              <c:numCache>
                <c:formatCode>General</c:formatCode>
                <c:ptCount val="36"/>
                <c:pt idx="0">
                  <c:v>989</c:v>
                </c:pt>
                <c:pt idx="1">
                  <c:v>961</c:v>
                </c:pt>
                <c:pt idx="2">
                  <c:v>937</c:v>
                </c:pt>
                <c:pt idx="3">
                  <c:v>903</c:v>
                </c:pt>
                <c:pt idx="4">
                  <c:v>889</c:v>
                </c:pt>
                <c:pt idx="5">
                  <c:v>1001</c:v>
                </c:pt>
                <c:pt idx="6">
                  <c:v>976</c:v>
                </c:pt>
                <c:pt idx="7">
                  <c:v>907</c:v>
                </c:pt>
                <c:pt idx="8">
                  <c:v>969</c:v>
                </c:pt>
                <c:pt idx="9">
                  <c:v>911</c:v>
                </c:pt>
                <c:pt idx="10">
                  <c:v>888</c:v>
                </c:pt>
                <c:pt idx="11">
                  <c:v>880</c:v>
                </c:pt>
                <c:pt idx="12">
                  <c:v>911</c:v>
                </c:pt>
                <c:pt idx="13">
                  <c:v>896</c:v>
                </c:pt>
                <c:pt idx="14">
                  <c:v>880</c:v>
                </c:pt>
                <c:pt idx="15">
                  <c:v>880</c:v>
                </c:pt>
                <c:pt idx="16">
                  <c:v>890</c:v>
                </c:pt>
                <c:pt idx="17">
                  <c:v>877</c:v>
                </c:pt>
                <c:pt idx="18">
                  <c:v>863</c:v>
                </c:pt>
                <c:pt idx="19">
                  <c:v>854</c:v>
                </c:pt>
                <c:pt idx="20">
                  <c:v>847</c:v>
                </c:pt>
                <c:pt idx="21">
                  <c:v>844</c:v>
                </c:pt>
                <c:pt idx="22">
                  <c:v>928</c:v>
                </c:pt>
                <c:pt idx="23">
                  <c:v>895</c:v>
                </c:pt>
                <c:pt idx="24">
                  <c:v>865</c:v>
                </c:pt>
                <c:pt idx="25">
                  <c:v>856</c:v>
                </c:pt>
                <c:pt idx="26">
                  <c:v>844</c:v>
                </c:pt>
                <c:pt idx="27">
                  <c:v>846</c:v>
                </c:pt>
                <c:pt idx="28">
                  <c:v>842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'T1'!$Y$7:$Y$42</c15:f>
                <c15:dlblRangeCache>
                  <c:ptCount val="36"/>
                  <c:pt idx="0">
                    <c:v>0</c:v>
                  </c:pt>
                  <c:pt idx="1">
                    <c:v>1</c:v>
                  </c:pt>
                  <c:pt idx="2">
                    <c:v>2</c:v>
                  </c:pt>
                  <c:pt idx="3">
                    <c:v>3</c:v>
                  </c:pt>
                  <c:pt idx="4">
                    <c:v>4</c:v>
                  </c:pt>
                  <c:pt idx="5">
                    <c:v>5</c:v>
                  </c:pt>
                  <c:pt idx="6">
                    <c:v>6</c:v>
                  </c:pt>
                  <c:pt idx="7">
                    <c:v>7</c:v>
                  </c:pt>
                  <c:pt idx="8">
                    <c:v>8</c:v>
                  </c:pt>
                  <c:pt idx="9">
                    <c:v>9</c:v>
                  </c:pt>
                  <c:pt idx="10">
                    <c:v>10</c:v>
                  </c:pt>
                  <c:pt idx="11">
                    <c:v>11</c:v>
                  </c:pt>
                  <c:pt idx="12">
                    <c:v>12</c:v>
                  </c:pt>
                  <c:pt idx="13">
                    <c:v>13</c:v>
                  </c:pt>
                  <c:pt idx="14">
                    <c:v>14</c:v>
                  </c:pt>
                  <c:pt idx="15">
                    <c:v>15</c:v>
                  </c:pt>
                  <c:pt idx="16">
                    <c:v>16</c:v>
                  </c:pt>
                  <c:pt idx="17">
                    <c:v>17</c:v>
                  </c:pt>
                  <c:pt idx="18">
                    <c:v>18</c:v>
                  </c:pt>
                  <c:pt idx="19">
                    <c:v>19</c:v>
                  </c:pt>
                  <c:pt idx="20">
                    <c:v>20</c:v>
                  </c:pt>
                  <c:pt idx="21">
                    <c:v>21</c:v>
                  </c:pt>
                  <c:pt idx="22">
                    <c:v>22</c:v>
                  </c:pt>
                  <c:pt idx="23">
                    <c:v>23</c:v>
                  </c:pt>
                  <c:pt idx="24">
                    <c:v>24</c:v>
                  </c:pt>
                  <c:pt idx="25">
                    <c:v>25</c:v>
                  </c:pt>
                  <c:pt idx="26">
                    <c:v>26</c:v>
                  </c:pt>
                  <c:pt idx="27">
                    <c:v>27</c:v>
                  </c:pt>
                  <c:pt idx="28">
                    <c:v>28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57D5-4680-BADC-700D57B594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</c:valAx>
      <c:valAx>
        <c:axId val="1753610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1"/>
          <c:order val="0"/>
          <c:spPr>
            <a:ln w="635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rgbClr val="FF0000"/>
                </a:solidFill>
                <a:prstDash val="dash"/>
              </a:ln>
              <a:effectLst/>
            </c:spPr>
          </c:marker>
          <c:dLbls>
            <c:dLbl>
              <c:idx val="0"/>
              <c:tx>
                <c:rich>
                  <a:bodyPr/>
                  <a:lstStyle/>
                  <a:p>
                    <a:fld id="{8BD4ED0E-AD5F-45F2-B5C0-8D2A1A38D48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D447-42D8-88E9-FBEBEC674651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64674367-E1F3-46E2-9619-1352F8B04CF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D447-42D8-88E9-FBEBEC674651}"/>
                </c:ext>
              </c:extLst>
            </c:dLbl>
            <c:dLbl>
              <c:idx val="2"/>
              <c:layout>
                <c:manualLayout>
                  <c:x val="-2.498449376070995E-2"/>
                  <c:y val="0"/>
                </c:manualLayout>
              </c:layout>
              <c:tx>
                <c:rich>
                  <a:bodyPr/>
                  <a:lstStyle/>
                  <a:p>
                    <a:fld id="{48407E0C-3DA3-4366-AF41-38A82939319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2-D447-42D8-88E9-FBEBEC674651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9EBFF7B-CB0A-46C9-B9E2-F710314EADB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D447-42D8-88E9-FBEBEC674651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FD8344CD-F757-4605-B87D-B4EB6A7A7CD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D447-42D8-88E9-FBEBEC674651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C224E1C6-29F4-4BE1-862A-A1492514907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D447-42D8-88E9-FBEBEC674651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41768C71-9102-4E45-971E-9DD9F581281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D447-42D8-88E9-FBEBEC674651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26ACD368-8664-473F-BAB3-4408E486FD3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D447-42D8-88E9-FBEBEC674651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B6D3203-EBD3-4C57-BAE1-6A244536342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D447-42D8-88E9-FBEBEC674651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BD9419FE-98A0-4BFD-A534-4FF56ADD2DF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D447-42D8-88E9-FBEBEC674651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4EB41341-A970-4181-97A3-56B1DC6D417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D447-42D8-88E9-FBEBEC674651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0379E834-C616-4C3B-8AD5-6E1B27B28A3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D447-42D8-88E9-FBEBEC674651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2B3C9ADE-ECEE-4B9A-B7D4-7D4B9251E7C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D447-42D8-88E9-FBEBEC674651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14131A1E-DF55-48B3-90CE-2002CEF00F2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D447-42D8-88E9-FBEBEC674651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D4B689A8-BA9C-41A0-A05A-19D417E58A3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D447-42D8-88E9-FBEBEC674651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BA9972AB-4410-4F2E-8D59-737DFBF8995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D447-42D8-88E9-FBEBEC674651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F2F05A14-6117-4475-A661-A26073707EE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D447-42D8-88E9-FBEBEC674651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B86298F2-9933-4ACF-B987-DD85D2E0ED8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D447-42D8-88E9-FBEBEC674651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813BBBE7-8C8C-4692-80EF-031372029FC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D447-42D8-88E9-FBEBEC674651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97FC0406-A0AC-40DA-A7D3-2A7E44B88B8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D447-42D8-88E9-FBEBEC674651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0EE589E4-236F-491C-A698-73E3EFF2A3E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D447-42D8-88E9-FBEBEC674651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8B9BDAE5-C57F-4743-9C47-FE821E7B31E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D447-42D8-88E9-FBEBEC674651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CABF5F05-3B58-43CE-9785-468809B8D66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D447-42D8-88E9-FBEBEC674651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82799F7F-43B2-49E8-84D2-9B5FBABD877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D447-42D8-88E9-FBEBEC674651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4E0177A0-BBFB-45C3-8A42-B40BB2387F0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D447-42D8-88E9-FBEBEC674651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17E2A45A-9420-4531-A5FB-E8306805B2E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D447-42D8-88E9-FBEBEC674651}"/>
                </c:ext>
              </c:extLst>
            </c:dLbl>
            <c:dLbl>
              <c:idx val="26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D447-42D8-88E9-FBEBEC674651}"/>
                </c:ext>
              </c:extLst>
            </c:dLbl>
            <c:dLbl>
              <c:idx val="27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D447-42D8-88E9-FBEBEC674651}"/>
                </c:ext>
              </c:extLst>
            </c:dLbl>
            <c:dLbl>
              <c:idx val="28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D447-42D8-88E9-FBEBEC674651}"/>
                </c:ext>
              </c:extLst>
            </c:dLbl>
            <c:dLbl>
              <c:idx val="29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D447-42D8-88E9-FBEBEC674651}"/>
                </c:ext>
              </c:extLst>
            </c:dLbl>
            <c:dLbl>
              <c:idx val="30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E-D447-42D8-88E9-FBEBEC674651}"/>
                </c:ext>
              </c:extLst>
            </c:dLbl>
            <c:dLbl>
              <c:idx val="31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F-D447-42D8-88E9-FBEBEC674651}"/>
                </c:ext>
              </c:extLst>
            </c:dLbl>
            <c:dLbl>
              <c:idx val="32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0-D447-42D8-88E9-FBEBEC674651}"/>
                </c:ext>
              </c:extLst>
            </c:dLbl>
            <c:dLbl>
              <c:idx val="33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1-D447-42D8-88E9-FBEBEC674651}"/>
                </c:ext>
              </c:extLst>
            </c:dLbl>
            <c:dLbl>
              <c:idx val="34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2-D447-42D8-88E9-FBEBEC674651}"/>
                </c:ext>
              </c:extLst>
            </c:dLbl>
            <c:dLbl>
              <c:idx val="35"/>
              <c:tx>
                <c:rich>
                  <a:bodyPr/>
                  <a:lstStyle/>
                  <a:p>
                    <a:endParaRPr lang="en-US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3-D447-42D8-88E9-FBEBEC674651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'T2'!$R$7:$R$42</c:f>
              <c:numCache>
                <c:formatCode>General</c:formatCode>
                <c:ptCount val="36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468047.28129999997</c:v>
                </c:pt>
                <c:pt idx="5">
                  <c:v>469934.78129999997</c:v>
                </c:pt>
                <c:pt idx="6">
                  <c:v>468797.28129999997</c:v>
                </c:pt>
                <c:pt idx="7">
                  <c:v>467797.28129999997</c:v>
                </c:pt>
                <c:pt idx="8">
                  <c:v>467172.28129999997</c:v>
                </c:pt>
                <c:pt idx="9">
                  <c:v>468434.78129999997</c:v>
                </c:pt>
                <c:pt idx="10">
                  <c:v>467384.78129999997</c:v>
                </c:pt>
                <c:pt idx="11">
                  <c:v>466597.28129999997</c:v>
                </c:pt>
                <c:pt idx="12">
                  <c:v>465672.28129999997</c:v>
                </c:pt>
                <c:pt idx="13">
                  <c:v>464872.28129999997</c:v>
                </c:pt>
                <c:pt idx="14">
                  <c:v>465422.28129999997</c:v>
                </c:pt>
                <c:pt idx="15">
                  <c:v>465284.78129999997</c:v>
                </c:pt>
                <c:pt idx="16">
                  <c:v>464384.78129999997</c:v>
                </c:pt>
                <c:pt idx="17">
                  <c:v>464297.28129999997</c:v>
                </c:pt>
                <c:pt idx="18">
                  <c:v>464784.78129999997</c:v>
                </c:pt>
                <c:pt idx="19">
                  <c:v>468284.78129999997</c:v>
                </c:pt>
                <c:pt idx="20">
                  <c:v>466622.28129999997</c:v>
                </c:pt>
                <c:pt idx="21">
                  <c:v>466097.28129999997</c:v>
                </c:pt>
                <c:pt idx="22">
                  <c:v>465534.78129999997</c:v>
                </c:pt>
                <c:pt idx="23">
                  <c:v>464909.78129999997</c:v>
                </c:pt>
                <c:pt idx="24">
                  <c:v>464822.28129999997</c:v>
                </c:pt>
                <c:pt idx="25">
                  <c:v>464172.28129999997</c:v>
                </c:pt>
              </c:numCache>
            </c:numRef>
          </c:xVal>
          <c:yVal>
            <c:numRef>
              <c:f>'T2'!$S$7:$S$42</c:f>
              <c:numCache>
                <c:formatCode>General</c:formatCode>
                <c:ptCount val="36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7614180.25</c:v>
                </c:pt>
                <c:pt idx="5">
                  <c:v>7612342.75</c:v>
                </c:pt>
                <c:pt idx="6">
                  <c:v>7612842.75</c:v>
                </c:pt>
                <c:pt idx="7">
                  <c:v>7613980.25</c:v>
                </c:pt>
                <c:pt idx="8">
                  <c:v>7613492.75</c:v>
                </c:pt>
                <c:pt idx="9">
                  <c:v>7611380.25</c:v>
                </c:pt>
                <c:pt idx="10">
                  <c:v>7612080.25</c:v>
                </c:pt>
                <c:pt idx="11">
                  <c:v>7613155.25</c:v>
                </c:pt>
                <c:pt idx="12">
                  <c:v>7613092.75</c:v>
                </c:pt>
                <c:pt idx="13">
                  <c:v>7613880.25</c:v>
                </c:pt>
                <c:pt idx="14">
                  <c:v>7612830.25</c:v>
                </c:pt>
                <c:pt idx="15">
                  <c:v>7611667.75</c:v>
                </c:pt>
                <c:pt idx="16">
                  <c:v>7611405.25</c:v>
                </c:pt>
                <c:pt idx="17">
                  <c:v>7610630.25</c:v>
                </c:pt>
                <c:pt idx="18">
                  <c:v>7609967.75</c:v>
                </c:pt>
                <c:pt idx="19">
                  <c:v>7609942.75</c:v>
                </c:pt>
                <c:pt idx="20">
                  <c:v>7609955.25</c:v>
                </c:pt>
                <c:pt idx="21">
                  <c:v>7610467.75</c:v>
                </c:pt>
                <c:pt idx="22">
                  <c:v>7610505.25</c:v>
                </c:pt>
                <c:pt idx="23">
                  <c:v>7609892.75</c:v>
                </c:pt>
                <c:pt idx="24">
                  <c:v>7609305.25</c:v>
                </c:pt>
                <c:pt idx="25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'T2'!$O$7:$O$42</c15:f>
                <c15:dlblRangeCache>
                  <c:ptCount val="36"/>
                  <c:pt idx="0">
                    <c:v>1</c:v>
                  </c:pt>
                  <c:pt idx="1">
                    <c:v>2</c:v>
                  </c:pt>
                  <c:pt idx="2">
                    <c:v>3</c:v>
                  </c:pt>
                  <c:pt idx="3">
                    <c:v>4</c:v>
                  </c:pt>
                  <c:pt idx="4">
                    <c:v>5</c:v>
                  </c:pt>
                  <c:pt idx="5">
                    <c:v>6</c:v>
                  </c:pt>
                  <c:pt idx="6">
                    <c:v>7</c:v>
                  </c:pt>
                  <c:pt idx="7">
                    <c:v>8</c:v>
                  </c:pt>
                  <c:pt idx="8">
                    <c:v>9</c:v>
                  </c:pt>
                  <c:pt idx="9">
                    <c:v>10</c:v>
                  </c:pt>
                  <c:pt idx="10">
                    <c:v>11</c:v>
                  </c:pt>
                  <c:pt idx="11">
                    <c:v>12</c:v>
                  </c:pt>
                  <c:pt idx="12">
                    <c:v>13</c:v>
                  </c:pt>
                  <c:pt idx="13">
                    <c:v>14</c:v>
                  </c:pt>
                  <c:pt idx="14">
                    <c:v>15</c:v>
                  </c:pt>
                  <c:pt idx="15">
                    <c:v>16</c:v>
                  </c:pt>
                  <c:pt idx="16">
                    <c:v>17</c:v>
                  </c:pt>
                  <c:pt idx="17">
                    <c:v>18</c:v>
                  </c:pt>
                  <c:pt idx="18">
                    <c:v>19</c:v>
                  </c:pt>
                  <c:pt idx="19">
                    <c:v>20</c:v>
                  </c:pt>
                  <c:pt idx="20">
                    <c:v>21</c:v>
                  </c:pt>
                  <c:pt idx="21">
                    <c:v>22</c:v>
                  </c:pt>
                  <c:pt idx="22">
                    <c:v>23</c:v>
                  </c:pt>
                  <c:pt idx="23">
                    <c:v>24</c:v>
                  </c:pt>
                  <c:pt idx="24">
                    <c:v>25</c:v>
                  </c:pt>
                  <c:pt idx="25">
                    <c:v>26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4-D447-42D8-88E9-FBEBEC6746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0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"/>
          <c:y val="0"/>
          <c:w val="1"/>
          <c:h val="1"/>
        </c:manualLayout>
      </c:layout>
      <c:scatterChart>
        <c:scatterStyle val="lineMarker"/>
        <c:varyColors val="0"/>
        <c:ser>
          <c:idx val="10"/>
          <c:order val="0"/>
          <c:tx>
            <c:strRef>
              <c:f>'T2'!$D$5</c:f>
              <c:strCache>
                <c:ptCount val="1"/>
                <c:pt idx="0">
                  <c:v>B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0-1616-47CC-834B-90BA1A27B8CD}"/>
              </c:ext>
            </c:extLst>
          </c:dPt>
          <c:dPt>
            <c:idx val="1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1616-47CC-834B-90BA1A27B8CD}"/>
              </c:ext>
            </c:extLst>
          </c:dPt>
          <c:dPt>
            <c:idx val="1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2-1616-47CC-834B-90BA1A27B8CD}"/>
              </c:ext>
            </c:extLst>
          </c:dPt>
          <c:dPt>
            <c:idx val="26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3-1616-47CC-834B-90BA1A27B8CD}"/>
              </c:ext>
            </c:extLst>
          </c:dPt>
          <c:dPt>
            <c:idx val="32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4-1616-47CC-834B-90BA1A27B8CD}"/>
              </c:ext>
            </c:extLst>
          </c:dPt>
          <c:xVal>
            <c:numRef>
              <c:f>'T2'!$C$7:$C$42</c:f>
              <c:numCache>
                <c:formatCode>General</c:formatCode>
                <c:ptCount val="36"/>
                <c:pt idx="0">
                  <c:v>471134.78129999997</c:v>
                </c:pt>
                <c:pt idx="1">
                  <c:v>469922.28129999997</c:v>
                </c:pt>
                <c:pt idx="2">
                  <c:v>468834.78129999997</c:v>
                </c:pt>
                <c:pt idx="3">
                  <c:v>467509.78129999997</c:v>
                </c:pt>
                <c:pt idx="4">
                  <c:v>468059.78129999997</c:v>
                </c:pt>
                <c:pt idx="5">
                  <c:v>468334.78129999997</c:v>
                </c:pt>
                <c:pt idx="6">
                  <c:v>468397.28129999997</c:v>
                </c:pt>
                <c:pt idx="7">
                  <c:v>468047.28129999997</c:v>
                </c:pt>
                <c:pt idx="8">
                  <c:v>468834.78129999997</c:v>
                </c:pt>
                <c:pt idx="9">
                  <c:v>468047.28129999997</c:v>
                </c:pt>
                <c:pt idx="10">
                  <c:v>467797.28129999997</c:v>
                </c:pt>
                <c:pt idx="11">
                  <c:v>469934.78129999997</c:v>
                </c:pt>
                <c:pt idx="12">
                  <c:v>468797.28129999997</c:v>
                </c:pt>
                <c:pt idx="13">
                  <c:v>467797.28129999997</c:v>
                </c:pt>
                <c:pt idx="14">
                  <c:v>467172.28129999997</c:v>
                </c:pt>
                <c:pt idx="15">
                  <c:v>466597.28129999997</c:v>
                </c:pt>
                <c:pt idx="16">
                  <c:v>468434.78129999997</c:v>
                </c:pt>
                <c:pt idx="17">
                  <c:v>467384.78129999997</c:v>
                </c:pt>
                <c:pt idx="18">
                  <c:v>466597.28129999997</c:v>
                </c:pt>
                <c:pt idx="19">
                  <c:v>465672.28129999997</c:v>
                </c:pt>
                <c:pt idx="20">
                  <c:v>465422.28129999997</c:v>
                </c:pt>
                <c:pt idx="21">
                  <c:v>464872.28129999997</c:v>
                </c:pt>
                <c:pt idx="22">
                  <c:v>465422.28129999997</c:v>
                </c:pt>
                <c:pt idx="23">
                  <c:v>465284.78129999997</c:v>
                </c:pt>
                <c:pt idx="24">
                  <c:v>464384.78129999997</c:v>
                </c:pt>
                <c:pt idx="25">
                  <c:v>464297.28129999997</c:v>
                </c:pt>
                <c:pt idx="26">
                  <c:v>468284.78129999997</c:v>
                </c:pt>
                <c:pt idx="27">
                  <c:v>466622.28129999997</c:v>
                </c:pt>
                <c:pt idx="28">
                  <c:v>466097.28129999997</c:v>
                </c:pt>
                <c:pt idx="29">
                  <c:v>465534.78129999997</c:v>
                </c:pt>
                <c:pt idx="30">
                  <c:v>464909.78129999997</c:v>
                </c:pt>
                <c:pt idx="31">
                  <c:v>464822.28129999997</c:v>
                </c:pt>
                <c:pt idx="32">
                  <c:v>464297.28129999997</c:v>
                </c:pt>
                <c:pt idx="33">
                  <c:v>464784.78129999997</c:v>
                </c:pt>
                <c:pt idx="34">
                  <c:v>464822.28129999997</c:v>
                </c:pt>
                <c:pt idx="35">
                  <c:v>464172.28129999997</c:v>
                </c:pt>
              </c:numCache>
            </c:numRef>
          </c:xVal>
          <c:yVal>
            <c:numRef>
              <c:f>'T2'!$D$7:$D$42</c:f>
              <c:numCache>
                <c:formatCode>General</c:formatCode>
                <c:ptCount val="36"/>
                <c:pt idx="0">
                  <c:v>7613992.75</c:v>
                </c:pt>
                <c:pt idx="1">
                  <c:v>7614405.25</c:v>
                </c:pt>
                <c:pt idx="2">
                  <c:v>7614292.75</c:v>
                </c:pt>
                <c:pt idx="3">
                  <c:v>7616967.75</c:v>
                </c:pt>
                <c:pt idx="4">
                  <c:v>7616642.75</c:v>
                </c:pt>
                <c:pt idx="5">
                  <c:v>7615805.25</c:v>
                </c:pt>
                <c:pt idx="6">
                  <c:v>7614955.25</c:v>
                </c:pt>
                <c:pt idx="7">
                  <c:v>7614180.25</c:v>
                </c:pt>
                <c:pt idx="8">
                  <c:v>7614292.75</c:v>
                </c:pt>
                <c:pt idx="9">
                  <c:v>7614180.25</c:v>
                </c:pt>
                <c:pt idx="10">
                  <c:v>7613980.25</c:v>
                </c:pt>
                <c:pt idx="11">
                  <c:v>7612342.75</c:v>
                </c:pt>
                <c:pt idx="12">
                  <c:v>7612842.75</c:v>
                </c:pt>
                <c:pt idx="13">
                  <c:v>7613980.25</c:v>
                </c:pt>
                <c:pt idx="14">
                  <c:v>7613492.75</c:v>
                </c:pt>
                <c:pt idx="15">
                  <c:v>7613155.25</c:v>
                </c:pt>
                <c:pt idx="16">
                  <c:v>7611380.25</c:v>
                </c:pt>
                <c:pt idx="17">
                  <c:v>7612080.25</c:v>
                </c:pt>
                <c:pt idx="18">
                  <c:v>7613155.25</c:v>
                </c:pt>
                <c:pt idx="19">
                  <c:v>7613092.75</c:v>
                </c:pt>
                <c:pt idx="20">
                  <c:v>7612830.25</c:v>
                </c:pt>
                <c:pt idx="21">
                  <c:v>7613880.25</c:v>
                </c:pt>
                <c:pt idx="22">
                  <c:v>7612830.25</c:v>
                </c:pt>
                <c:pt idx="23">
                  <c:v>7611667.75</c:v>
                </c:pt>
                <c:pt idx="24">
                  <c:v>7611405.25</c:v>
                </c:pt>
                <c:pt idx="25">
                  <c:v>7610630.25</c:v>
                </c:pt>
                <c:pt idx="26">
                  <c:v>7609942.75</c:v>
                </c:pt>
                <c:pt idx="27">
                  <c:v>7609955.25</c:v>
                </c:pt>
                <c:pt idx="28">
                  <c:v>7610467.75</c:v>
                </c:pt>
                <c:pt idx="29">
                  <c:v>7610505.25</c:v>
                </c:pt>
                <c:pt idx="30">
                  <c:v>7609892.75</c:v>
                </c:pt>
                <c:pt idx="31">
                  <c:v>7609305.25</c:v>
                </c:pt>
                <c:pt idx="32">
                  <c:v>7610630.25</c:v>
                </c:pt>
                <c:pt idx="33">
                  <c:v>7609967.75</c:v>
                </c:pt>
                <c:pt idx="34">
                  <c:v>7609305.25</c:v>
                </c:pt>
                <c:pt idx="35">
                  <c:v>7607930.25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1616-47CC-834B-90BA1A27B8CD}"/>
            </c:ext>
          </c:extLst>
        </c:ser>
        <c:ser>
          <c:idx val="0"/>
          <c:order val="1"/>
          <c:tx>
            <c:strRef>
              <c:f>'T2'!$AM$5</c:f>
              <c:strCache>
                <c:ptCount val="1"/>
                <c:pt idx="0">
                  <c:v>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0">
                    <a:spAutoFit/>
                  </a:bodyPr>
                  <a:lstStyle/>
                  <a:p>
                    <a:pPr algn="ctr">
                      <a:defRPr lang="en-US"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BCE74117-11D4-41B1-9445-C1ADDC32B00F}" type="CELLRANGE">
                      <a:rPr lang="en-US"/>
                      <a:pPr algn="ctr">
                        <a:defRPr lang="en-US"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ctr">
                    <a:defRPr lang="en-US"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1616-47CC-834B-90BA1A27B8C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F54E604D-3239-4D81-A41F-861199A74A8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1616-47CC-834B-90BA1A27B8C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DADB5668-24B4-4D2C-B769-95587162B7B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1616-47CC-834B-90BA1A27B8C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5D502992-DB16-4858-A030-D07311EBD53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1616-47CC-834B-90BA1A27B8CD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4F757FA-AE5D-428D-A6EC-B05140D16689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1616-47CC-834B-90BA1A27B8C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77C35051-93BA-45A9-AFF7-BB371FAA189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B-1616-47CC-834B-90BA1A27B8C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510F59FE-F2FC-4B7E-B582-52F853275D0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C-1616-47CC-834B-90BA1A27B8C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1F38ECB8-C57A-434B-9A2A-D88F1107877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D-1616-47CC-834B-90BA1A27B8C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6E5BE807-5644-4631-AD0C-F808DA08287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0E-1616-47CC-834B-90BA1A27B8CD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'T2'!$AM$7:$AM$15</c:f>
              <c:numCache>
                <c:formatCode>General</c:formatCode>
                <c:ptCount val="9"/>
                <c:pt idx="0">
                  <c:v>467509.78129999997</c:v>
                </c:pt>
                <c:pt idx="1">
                  <c:v>468059.78129999997</c:v>
                </c:pt>
                <c:pt idx="2">
                  <c:v>468334.78129999997</c:v>
                </c:pt>
                <c:pt idx="3">
                  <c:v>468397.28129999997</c:v>
                </c:pt>
                <c:pt idx="4">
                  <c:v>468047.28129999997</c:v>
                </c:pt>
                <c:pt idx="5">
                  <c:v>468047.28129999997</c:v>
                </c:pt>
                <c:pt idx="6">
                  <c:v>468047.28129999997</c:v>
                </c:pt>
                <c:pt idx="7">
                  <c:v>468047.28129999997</c:v>
                </c:pt>
                <c:pt idx="8">
                  <c:v>468047.28129999997</c:v>
                </c:pt>
              </c:numCache>
            </c:numRef>
          </c:xVal>
          <c:yVal>
            <c:numRef>
              <c:f>'T2'!$AM$19:$AM$27</c:f>
              <c:numCache>
                <c:formatCode>General</c:formatCode>
                <c:ptCount val="9"/>
                <c:pt idx="0">
                  <c:v>7616967.75</c:v>
                </c:pt>
                <c:pt idx="1">
                  <c:v>7616642.75</c:v>
                </c:pt>
                <c:pt idx="2">
                  <c:v>7615805.25</c:v>
                </c:pt>
                <c:pt idx="3">
                  <c:v>7614955.25</c:v>
                </c:pt>
                <c:pt idx="4">
                  <c:v>7614180.25</c:v>
                </c:pt>
                <c:pt idx="5">
                  <c:v>7614180.25</c:v>
                </c:pt>
                <c:pt idx="6">
                  <c:v>7614180.25</c:v>
                </c:pt>
                <c:pt idx="7">
                  <c:v>7614180.25</c:v>
                </c:pt>
                <c:pt idx="8">
                  <c:v>7614180.25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'T2'!$AB$29:$AB$37</c15:f>
                <c15:dlblRangeCache>
                  <c:ptCount val="9"/>
                  <c:pt idx="0">
                    <c:v>→</c:v>
                  </c:pt>
                  <c:pt idx="1">
                    <c:v>-2</c:v>
                  </c:pt>
                  <c:pt idx="2">
                    <c:v>-3</c:v>
                  </c:pt>
                  <c:pt idx="3">
                    <c:v>-4</c:v>
                  </c:pt>
                  <c:pt idx="4">
                    <c:v>-5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0F-1616-47CC-834B-90BA1A27B8CD}"/>
            </c:ext>
          </c:extLst>
        </c:ser>
        <c:ser>
          <c:idx val="1"/>
          <c:order val="2"/>
          <c:tx>
            <c:strRef>
              <c:f>'T2'!$AN$5</c:f>
              <c:strCache>
                <c:ptCount val="1"/>
                <c:pt idx="0">
                  <c:v>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DD74542-2070-4D72-9A02-DE465CF84778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1616-47CC-834B-90BA1A27B8CD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2DFA52D-FB16-443D-B1A4-1F0543769446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1616-47CC-834B-90BA1A27B8CD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1260E52-CB33-401C-8961-71BD51FD86FB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1616-47CC-834B-90BA1A27B8CD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FDF06246-8B6A-4436-A767-5DE27B4C9078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1616-47CC-834B-90BA1A27B8C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CF5B7C5E-27AE-4188-AE1F-524DA2F2ABF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4-1616-47CC-834B-90BA1A27B8C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0AB778EA-3240-453F-8547-637AB387DB6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5-1616-47CC-834B-90BA1A27B8C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9D4627E0-53FA-4DE0-83D7-6A035F86064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6-1616-47CC-834B-90BA1A27B8C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3CA3124A-3BB5-4B8C-9941-2697B8175BE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7-1616-47CC-834B-90BA1A27B8C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97E4C054-CDCF-4425-A305-4585B501BD3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8-1616-47CC-834B-90BA1A27B8CD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'T2'!$AN$7:$AN$15</c:f>
              <c:numCache>
                <c:formatCode>General</c:formatCode>
                <c:ptCount val="9"/>
                <c:pt idx="0">
                  <c:v>469934.78129999997</c:v>
                </c:pt>
                <c:pt idx="1">
                  <c:v>468797.28129999997</c:v>
                </c:pt>
                <c:pt idx="2">
                  <c:v>467797.28129999997</c:v>
                </c:pt>
                <c:pt idx="3">
                  <c:v>467172.28129999997</c:v>
                </c:pt>
                <c:pt idx="4">
                  <c:v>467172.28129999997</c:v>
                </c:pt>
                <c:pt idx="5">
                  <c:v>467172.28129999997</c:v>
                </c:pt>
                <c:pt idx="6">
                  <c:v>467172.28129999997</c:v>
                </c:pt>
                <c:pt idx="7">
                  <c:v>467172.28129999997</c:v>
                </c:pt>
                <c:pt idx="8">
                  <c:v>467172.28129999997</c:v>
                </c:pt>
              </c:numCache>
            </c:numRef>
          </c:xVal>
          <c:yVal>
            <c:numRef>
              <c:f>'T2'!$AN$19:$AN$27</c:f>
              <c:numCache>
                <c:formatCode>General</c:formatCode>
                <c:ptCount val="9"/>
                <c:pt idx="0">
                  <c:v>7612342.75</c:v>
                </c:pt>
                <c:pt idx="1">
                  <c:v>7612842.75</c:v>
                </c:pt>
                <c:pt idx="2">
                  <c:v>7613980.25</c:v>
                </c:pt>
                <c:pt idx="3">
                  <c:v>7613492.75</c:v>
                </c:pt>
                <c:pt idx="4">
                  <c:v>7613492.75</c:v>
                </c:pt>
                <c:pt idx="5">
                  <c:v>7613492.75</c:v>
                </c:pt>
                <c:pt idx="6">
                  <c:v>7613492.75</c:v>
                </c:pt>
                <c:pt idx="7">
                  <c:v>7613492.75</c:v>
                </c:pt>
                <c:pt idx="8">
                  <c:v>7613492.75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'T2'!$AC$29:$AC$37</c15:f>
                <c15:dlblRangeCache>
                  <c:ptCount val="9"/>
                  <c:pt idx="0">
                    <c:v>4</c:v>
                  </c:pt>
                  <c:pt idx="1">
                    <c:v>-5</c:v>
                  </c:pt>
                  <c:pt idx="2">
                    <c:v>-6</c:v>
                  </c:pt>
                  <c:pt idx="3">
                    <c:v>-7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9-1616-47CC-834B-90BA1A27B8CD}"/>
            </c:ext>
          </c:extLst>
        </c:ser>
        <c:ser>
          <c:idx val="2"/>
          <c:order val="3"/>
          <c:tx>
            <c:strRef>
              <c:f>'T2'!$AO$5</c:f>
              <c:strCache>
                <c:ptCount val="1"/>
                <c:pt idx="0">
                  <c:v>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281D8A3-216C-4861-BB02-4CC21C09AE57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A-1616-47CC-834B-90BA1A27B8CD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B8AFF8B-F6CF-410A-9CDB-D4CA51443A2C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B-1616-47CC-834B-90BA1A27B8CD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1D9328C9-7818-4B60-91B8-D996EB072273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C-1616-47CC-834B-90BA1A27B8CD}"/>
                </c:ext>
              </c:extLst>
            </c:dLbl>
            <c:dLbl>
              <c:idx val="3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219FBDE-B5A5-4544-B3EB-19F76DB2F6C2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D-1616-47CC-834B-90BA1A27B8C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01CA3BF-BE3A-4B3B-9E3F-9C220D7A7BD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E-1616-47CC-834B-90BA1A27B8C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68E49B64-4DEE-485E-80A6-EBBC70F22AD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1F-1616-47CC-834B-90BA1A27B8C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137C7309-083B-4992-9EF4-588F03207B78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0-1616-47CC-834B-90BA1A27B8C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EB07942-7552-4539-80A4-BAA79999569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1-1616-47CC-834B-90BA1A27B8C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C4346D0F-E782-4740-8193-A580C4297EF9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2-1616-47CC-834B-90BA1A27B8CD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'T2'!$AO$7:$AO$15</c:f>
              <c:numCache>
                <c:formatCode>General</c:formatCode>
                <c:ptCount val="9"/>
                <c:pt idx="0">
                  <c:v>468434.78129999997</c:v>
                </c:pt>
                <c:pt idx="1">
                  <c:v>467384.78129999997</c:v>
                </c:pt>
                <c:pt idx="2">
                  <c:v>466597.28129999997</c:v>
                </c:pt>
                <c:pt idx="3">
                  <c:v>465672.28129999997</c:v>
                </c:pt>
                <c:pt idx="4">
                  <c:v>465672.28129999997</c:v>
                </c:pt>
                <c:pt idx="5">
                  <c:v>465672.28129999997</c:v>
                </c:pt>
                <c:pt idx="6">
                  <c:v>465672.28129999997</c:v>
                </c:pt>
                <c:pt idx="7">
                  <c:v>465672.28129999997</c:v>
                </c:pt>
                <c:pt idx="8">
                  <c:v>465672.28129999997</c:v>
                </c:pt>
              </c:numCache>
            </c:numRef>
          </c:xVal>
          <c:yVal>
            <c:numRef>
              <c:f>'T2'!$AO$19:$AO$27</c:f>
              <c:numCache>
                <c:formatCode>General</c:formatCode>
                <c:ptCount val="9"/>
                <c:pt idx="0">
                  <c:v>7611380.25</c:v>
                </c:pt>
                <c:pt idx="1">
                  <c:v>7612080.25</c:v>
                </c:pt>
                <c:pt idx="2">
                  <c:v>7613155.25</c:v>
                </c:pt>
                <c:pt idx="3">
                  <c:v>7613092.75</c:v>
                </c:pt>
                <c:pt idx="4">
                  <c:v>7613092.75</c:v>
                </c:pt>
                <c:pt idx="5">
                  <c:v>7613092.75</c:v>
                </c:pt>
                <c:pt idx="6">
                  <c:v>7613092.75</c:v>
                </c:pt>
                <c:pt idx="7">
                  <c:v>7613092.75</c:v>
                </c:pt>
                <c:pt idx="8">
                  <c:v>7613092.75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'T2'!$AD$29:$AD$37</c15:f>
                <c15:dlblRangeCache>
                  <c:ptCount val="9"/>
                  <c:pt idx="0">
                    <c:v>8</c:v>
                  </c:pt>
                  <c:pt idx="1">
                    <c:v>-7</c:v>
                  </c:pt>
                  <c:pt idx="2">
                    <c:v>-8</c:v>
                  </c:pt>
                  <c:pt idx="3">
                    <c:v>-9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3-1616-47CC-834B-90BA1A27B8CD}"/>
            </c:ext>
          </c:extLst>
        </c:ser>
        <c:ser>
          <c:idx val="5"/>
          <c:order val="4"/>
          <c:tx>
            <c:strRef>
              <c:f>'T2'!$AP$5</c:f>
              <c:strCache>
                <c:ptCount val="1"/>
                <c:pt idx="0">
                  <c:v>4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317AD760-E5EF-4131-B609-6E492E7421A9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4-1616-47CC-834B-90BA1A27B8CD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CFD2E090-AC9D-4C52-8FA1-AEB85DED38E2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5-1616-47CC-834B-90BA1A27B8CD}"/>
                </c:ext>
              </c:extLst>
            </c:dLbl>
            <c:dLbl>
              <c:idx val="2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96D4C792-A699-463E-BD21-55FA072ED659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6-1616-47CC-834B-90BA1A27B8C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4ECB1AB3-964E-419C-AB10-103A7A94103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7-1616-47CC-834B-90BA1A27B8CD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75086BF6-3137-4853-A832-A5FE43DC502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8-1616-47CC-834B-90BA1A27B8CD}"/>
                </c:ext>
              </c:extLst>
            </c:dLbl>
            <c:dLbl>
              <c:idx val="5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6C84918E-2B93-45B8-B8E9-B892CB8CF333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9-1616-47CC-834B-90BA1A27B8C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003DC7BB-7D52-44D5-9A95-80FA8A91D3C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A-1616-47CC-834B-90BA1A27B8C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DFBECBF6-DB05-4EDF-B0E5-D7F3A271FAB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B-1616-47CC-834B-90BA1A27B8C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09888077-A817-4044-9E33-5D7019E025A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l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2C-1616-47CC-834B-90BA1A27B8CD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l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'T2'!$AP$7:$AP$15</c:f>
              <c:numCache>
                <c:formatCode>General</c:formatCode>
                <c:ptCount val="9"/>
                <c:pt idx="0">
                  <c:v>464872.28129999997</c:v>
                </c:pt>
                <c:pt idx="1">
                  <c:v>465422.28129999997</c:v>
                </c:pt>
                <c:pt idx="2">
                  <c:v>465284.78129999997</c:v>
                </c:pt>
                <c:pt idx="3">
                  <c:v>464384.78129999997</c:v>
                </c:pt>
                <c:pt idx="4">
                  <c:v>464297.28129999997</c:v>
                </c:pt>
                <c:pt idx="5">
                  <c:v>464784.78129999997</c:v>
                </c:pt>
                <c:pt idx="6">
                  <c:v>464784.78129999997</c:v>
                </c:pt>
                <c:pt idx="7">
                  <c:v>464784.78129999997</c:v>
                </c:pt>
                <c:pt idx="8">
                  <c:v>464784.78129999997</c:v>
                </c:pt>
              </c:numCache>
            </c:numRef>
          </c:xVal>
          <c:yVal>
            <c:numRef>
              <c:f>'T2'!$AP$19:$AP$27</c:f>
              <c:numCache>
                <c:formatCode>General</c:formatCode>
                <c:ptCount val="9"/>
                <c:pt idx="0">
                  <c:v>7613880.25</c:v>
                </c:pt>
                <c:pt idx="1">
                  <c:v>7612830.25</c:v>
                </c:pt>
                <c:pt idx="2">
                  <c:v>7611667.75</c:v>
                </c:pt>
                <c:pt idx="3">
                  <c:v>7611405.25</c:v>
                </c:pt>
                <c:pt idx="4">
                  <c:v>7610630.25</c:v>
                </c:pt>
                <c:pt idx="5">
                  <c:v>7609967.75</c:v>
                </c:pt>
                <c:pt idx="6">
                  <c:v>7609967.75</c:v>
                </c:pt>
                <c:pt idx="7">
                  <c:v>7609967.75</c:v>
                </c:pt>
                <c:pt idx="8">
                  <c:v>7609967.75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'T2'!$AE$29:$AE$37</c15:f>
                <c15:dlblRangeCache>
                  <c:ptCount val="9"/>
                  <c:pt idx="0">
                    <c:v>10</c:v>
                  </c:pt>
                  <c:pt idx="1">
                    <c:v>-9</c:v>
                  </c:pt>
                  <c:pt idx="2">
                    <c:v>-10</c:v>
                  </c:pt>
                  <c:pt idx="3">
                    <c:v>-11</c:v>
                  </c:pt>
                  <c:pt idx="4">
                    <c:v>-12</c:v>
                  </c:pt>
                  <c:pt idx="5">
                    <c:v>-13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2D-1616-47CC-834B-90BA1A27B8CD}"/>
            </c:ext>
          </c:extLst>
        </c:ser>
        <c:ser>
          <c:idx val="6"/>
          <c:order val="5"/>
          <c:tx>
            <c:strRef>
              <c:f>'T2'!$AQ$5</c:f>
              <c:strCache>
                <c:ptCount val="1"/>
                <c:pt idx="0">
                  <c:v>5</c:v>
                </c:pt>
              </c:strCache>
            </c:strRef>
          </c:tx>
          <c:spPr>
            <a:ln w="19050" cap="rnd">
              <a:solidFill>
                <a:srgbClr val="0000FF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rgbClr val="0000FF"/>
                </a:solidFill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45F18262-3F4B-4007-9FAA-413E1E55B789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66FF99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E-1616-47CC-834B-90BA1A27B8CD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CF402E61-F962-48EA-81C0-6372D16759C0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2F-1616-47CC-834B-90BA1A27B8C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68090097-2455-4993-84AA-A89E7B16F0F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0-1616-47CC-834B-90BA1A27B8C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666AC5E4-1F0B-4E43-B049-4633684D077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1-1616-47CC-834B-90BA1A27B8CD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F445C23-7B06-4798-854C-8D4BA3D5C15A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2-1616-47CC-834B-90BA1A27B8C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833DF0A6-2C0C-441E-8CB2-9BCB39155B8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3-1616-47CC-834B-90BA1A27B8C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C8D7F1E1-033E-4E24-8A33-25479B4772E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4-1616-47CC-834B-90BA1A27B8C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BC18CF5D-8DD4-44F1-BB25-A6FFE20FD72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5-1616-47CC-834B-90BA1A27B8C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7A5DB88F-4D61-4227-8376-1B0424A4E93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6-1616-47CC-834B-90BA1A27B8CD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'T2'!$AQ$7:$AQ$15</c:f>
              <c:numCache>
                <c:formatCode>General</c:formatCode>
                <c:ptCount val="9"/>
                <c:pt idx="0">
                  <c:v>468284.78129999997</c:v>
                </c:pt>
                <c:pt idx="1">
                  <c:v>466622.28129999997</c:v>
                </c:pt>
                <c:pt idx="2">
                  <c:v>466097.28129999997</c:v>
                </c:pt>
                <c:pt idx="3">
                  <c:v>465534.78129999997</c:v>
                </c:pt>
                <c:pt idx="4">
                  <c:v>464909.78129999997</c:v>
                </c:pt>
                <c:pt idx="5">
                  <c:v>464909.78129999997</c:v>
                </c:pt>
                <c:pt idx="6">
                  <c:v>464909.78129999997</c:v>
                </c:pt>
                <c:pt idx="7">
                  <c:v>464909.78129999997</c:v>
                </c:pt>
                <c:pt idx="8">
                  <c:v>464909.78129999997</c:v>
                </c:pt>
              </c:numCache>
            </c:numRef>
          </c:xVal>
          <c:yVal>
            <c:numRef>
              <c:f>'T2'!$AQ$19:$AQ$27</c:f>
              <c:numCache>
                <c:formatCode>General</c:formatCode>
                <c:ptCount val="9"/>
                <c:pt idx="0">
                  <c:v>7609942.75</c:v>
                </c:pt>
                <c:pt idx="1">
                  <c:v>7609955.25</c:v>
                </c:pt>
                <c:pt idx="2">
                  <c:v>7610467.75</c:v>
                </c:pt>
                <c:pt idx="3">
                  <c:v>7610505.25</c:v>
                </c:pt>
                <c:pt idx="4">
                  <c:v>7609892.75</c:v>
                </c:pt>
                <c:pt idx="5">
                  <c:v>7609892.75</c:v>
                </c:pt>
                <c:pt idx="6">
                  <c:v>7609892.75</c:v>
                </c:pt>
                <c:pt idx="7">
                  <c:v>7609892.75</c:v>
                </c:pt>
                <c:pt idx="8">
                  <c:v>7609892.75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'T2'!$AF$29:$AF$38</c15:f>
                <c15:dlblRangeCache>
                  <c:ptCount val="10"/>
                  <c:pt idx="0">
                    <c:v>8</c:v>
                  </c:pt>
                  <c:pt idx="1">
                    <c:v>9</c:v>
                  </c:pt>
                  <c:pt idx="2">
                    <c:v>10</c:v>
                  </c:pt>
                  <c:pt idx="3">
                    <c:v>11</c:v>
                  </c:pt>
                  <c:pt idx="4">
                    <c:v>-13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37-1616-47CC-834B-90BA1A27B8CD}"/>
            </c:ext>
          </c:extLst>
        </c:ser>
        <c:ser>
          <c:idx val="7"/>
          <c:order val="6"/>
          <c:tx>
            <c:strRef>
              <c:f>'T2'!$AR$5</c:f>
              <c:strCache>
                <c:ptCount val="1"/>
                <c:pt idx="0">
                  <c:v>6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circle"/>
            <c:size val="4"/>
            <c:spPr>
              <a:solidFill>
                <a:srgbClr val="FF0000"/>
              </a:solidFill>
              <a:ln w="9525">
                <a:noFill/>
              </a:ln>
              <a:effectLst/>
            </c:spPr>
          </c:marker>
          <c:dLbls>
            <c:dLbl>
              <c:idx val="0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bg1"/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5AE53D82-B845-42E3-9A98-62EB1BBAE6F3}" type="CELLRANGE">
                      <a:rPr lang="en-US"/>
                      <a:pPr>
                        <a:defRPr>
                          <a:solidFill>
                            <a:schemeClr val="bg1"/>
                          </a:solidFill>
                        </a:defRPr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0000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bg1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8-1616-47CC-834B-90BA1A27B8CD}"/>
                </c:ext>
              </c:extLst>
            </c:dLbl>
            <c:dLbl>
              <c:idx val="1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8D780E25-790B-42EB-89BF-DBAE9C7A0E4F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39-1616-47CC-834B-90BA1A27B8CD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CC527E3C-7586-4D9A-85B2-369BF4557C8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A-1616-47CC-834B-90BA1A27B8CD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E6195A7A-FE02-4404-89F3-97D8646D006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B-1616-47CC-834B-90BA1A27B8CD}"/>
                </c:ext>
              </c:extLst>
            </c:dLbl>
            <c:dLbl>
              <c:idx val="4"/>
              <c:tx>
                <c:rich>
                  <a:bodyPr rot="0" spcFirstLastPara="1" vertOverflow="ellipsis" vert="horz" wrap="square" lIns="38100" tIns="19050" rIns="38100" bIns="19050" anchor="ctr" anchorCtr="1">
                    <a:spAutoFit/>
                  </a:bodyPr>
                  <a:lstStyle/>
                  <a:p>
                    <a:pPr>
                      <a:defRPr sz="1200" b="1" i="0" u="none" strike="noStrike" kern="1200" baseline="0">
                        <a:solidFill>
                          <a:schemeClr val="tx1">
                            <a:lumMod val="75000"/>
                            <a:lumOff val="25000"/>
                          </a:schemeClr>
                        </a:solidFill>
                        <a:latin typeface="+mn-lt"/>
                        <a:ea typeface="+mn-ea"/>
                        <a:cs typeface="+mn-cs"/>
                      </a:defRPr>
                    </a:pPr>
                    <a:fld id="{ED7EC3E6-4179-4DD1-AC73-FF3D849F1790}" type="CELLRANGE">
                      <a:rPr lang="en-US"/>
                      <a:pPr>
                        <a:defRPr/>
                      </a:pPr>
                      <a:t>[CELLRANGE]</a:t>
                    </a:fld>
                    <a:endParaRPr lang="LID4096"/>
                  </a:p>
                </c:rich>
              </c:tx>
              <c:spPr>
                <a:solidFill>
                  <a:srgbClr val="FFCCFF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LID4096"/>
                </a:p>
              </c:txPr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C-1616-47CC-834B-90BA1A27B8CD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DCC23FFE-8374-432D-8061-211421FC128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D-1616-47CC-834B-90BA1A27B8CD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DED9BFEE-4EA9-4A72-90EA-14DF28A63BF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E-1616-47CC-834B-90BA1A27B8CD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AE05FC2B-790F-489F-9660-1D3B9E4280F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3F-1616-47CC-834B-90BA1A27B8CD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5C9C535B-51A9-4F80-8326-061F11AFADB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showDataLabelsRange val="1"/>
                </c:ext>
                <c:ext xmlns:c16="http://schemas.microsoft.com/office/drawing/2014/chart" uri="{C3380CC4-5D6E-409C-BE32-E72D297353CC}">
                  <c16:uniqueId val="{00000040-1616-47CC-834B-90BA1A27B8CD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'T2'!$AR$7:$AR$15</c:f>
              <c:numCache>
                <c:formatCode>General</c:formatCode>
                <c:ptCount val="9"/>
                <c:pt idx="0">
                  <c:v>464822.28129999997</c:v>
                </c:pt>
                <c:pt idx="1">
                  <c:v>464172.28129999997</c:v>
                </c:pt>
                <c:pt idx="2">
                  <c:v>464172.28129999997</c:v>
                </c:pt>
                <c:pt idx="3">
                  <c:v>464172.28129999997</c:v>
                </c:pt>
                <c:pt idx="4">
                  <c:v>464172.28129999997</c:v>
                </c:pt>
                <c:pt idx="5">
                  <c:v>464172.28129999997</c:v>
                </c:pt>
                <c:pt idx="6">
                  <c:v>464172.28129999997</c:v>
                </c:pt>
                <c:pt idx="7">
                  <c:v>464172.28129999997</c:v>
                </c:pt>
                <c:pt idx="8">
                  <c:v>464172.28129999997</c:v>
                </c:pt>
              </c:numCache>
            </c:numRef>
          </c:xVal>
          <c:yVal>
            <c:numRef>
              <c:f>'T2'!$AR$19:$AR$27</c:f>
              <c:numCache>
                <c:formatCode>General</c:formatCode>
                <c:ptCount val="9"/>
                <c:pt idx="0">
                  <c:v>7609305.25</c:v>
                </c:pt>
                <c:pt idx="1">
                  <c:v>7607930.25</c:v>
                </c:pt>
                <c:pt idx="2">
                  <c:v>7607930.25</c:v>
                </c:pt>
                <c:pt idx="3">
                  <c:v>7607930.25</c:v>
                </c:pt>
                <c:pt idx="4">
                  <c:v>7607930.25</c:v>
                </c:pt>
                <c:pt idx="5">
                  <c:v>7607930.25</c:v>
                </c:pt>
                <c:pt idx="6">
                  <c:v>7607930.25</c:v>
                </c:pt>
                <c:pt idx="7">
                  <c:v>7607930.25</c:v>
                </c:pt>
                <c:pt idx="8">
                  <c:v>7607930.25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'T2'!$AG$29:$AG$37</c15:f>
                <c15:dlblRangeCache>
                  <c:ptCount val="9"/>
                  <c:pt idx="0">
                    <c:v>-14</c:v>
                  </c:pt>
                  <c:pt idx="1">
                    <c:v>-15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41-1616-47CC-834B-90BA1A27B8CD}"/>
            </c:ext>
          </c:extLst>
        </c:ser>
        <c:ser>
          <c:idx val="8"/>
          <c:order val="7"/>
          <c:tx>
            <c:strRef>
              <c:f>'T2'!$AS$5</c:f>
              <c:strCache>
                <c:ptCount val="1"/>
                <c:pt idx="0">
                  <c:v>7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dLbls>
            <c:dLbl>
              <c:idx val="0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2-1616-47CC-834B-90BA1A27B8CD}"/>
                </c:ext>
              </c:extLst>
            </c:dLbl>
            <c:dLbl>
              <c:idx val="1"/>
              <c:delet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43-1616-47CC-834B-90BA1A27B8CD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numRef>
              <c:f>'T2'!$AS$7:$AS$15</c:f>
            </c:numRef>
          </c:xVal>
          <c:yVal>
            <c:numRef>
              <c:f>'T2'!$AS$19:$AS$27</c:f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'T2'!$AH$29:$AH$37</c15:f>
                <c15:dlblRangeCache>
                  <c:ptCount val="9"/>
                </c15:dlblRangeCache>
              </c15:datalabelsRange>
            </c:ext>
            <c:ext xmlns:c16="http://schemas.microsoft.com/office/drawing/2014/chart" uri="{C3380CC4-5D6E-409C-BE32-E72D297353CC}">
              <c16:uniqueId val="{0000004B-1616-47CC-834B-90BA1A27B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58283776"/>
        <c:axId val="458263616"/>
      </c:scatterChart>
      <c:valAx>
        <c:axId val="458283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63616"/>
        <c:crosses val="autoZero"/>
        <c:crossBetween val="midCat"/>
      </c:valAx>
      <c:valAx>
        <c:axId val="458263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3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45828377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23203115739564811"/>
          <c:y val="0.92960513693111368"/>
          <c:w val="0.76796884260435183"/>
          <c:h val="6.78041164492696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LID4096"/>
        </a:p>
      </c:txPr>
    </c:legend>
    <c:plotVisOnly val="1"/>
    <c:dispBlanksAs val="gap"/>
    <c:showDLblsOverMax val="0"/>
    <c:extLst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200" b="1"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tx1"/>
              </a:solidFill>
              <a:prstDash val="dash"/>
              <a:round/>
            </a:ln>
            <a:effectLst/>
          </c:spPr>
          <c:marker>
            <c:symbol val="none"/>
          </c:marker>
          <c:dLbls>
            <c:dLbl>
              <c:idx val="0"/>
              <c:tx>
                <c:rich>
                  <a:bodyPr/>
                  <a:lstStyle/>
                  <a:p>
                    <a:fld id="{9A022352-9FC6-4ABD-94F7-0C99C723851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0-2101-4324-8C65-5CB6D0F34DF8}"/>
                </c:ext>
              </c:extLst>
            </c:dLbl>
            <c:dLbl>
              <c:idx val="1"/>
              <c:tx>
                <c:rich>
                  <a:bodyPr/>
                  <a:lstStyle/>
                  <a:p>
                    <a:fld id="{57592C86-38AB-408A-8238-CFCB683DDCF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1-2101-4324-8C65-5CB6D0F34DF8}"/>
                </c:ext>
              </c:extLst>
            </c:dLbl>
            <c:dLbl>
              <c:idx val="2"/>
              <c:tx>
                <c:rich>
                  <a:bodyPr/>
                  <a:lstStyle/>
                  <a:p>
                    <a:fld id="{41E92C3C-807F-416C-B830-F8534F77F9A5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2-2101-4324-8C65-5CB6D0F34DF8}"/>
                </c:ext>
              </c:extLst>
            </c:dLbl>
            <c:dLbl>
              <c:idx val="3"/>
              <c:tx>
                <c:rich>
                  <a:bodyPr/>
                  <a:lstStyle/>
                  <a:p>
                    <a:fld id="{D932C8AE-88BA-4F17-BB2D-8EAF0857C9E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3-2101-4324-8C65-5CB6D0F34DF8}"/>
                </c:ext>
              </c:extLst>
            </c:dLbl>
            <c:dLbl>
              <c:idx val="4"/>
              <c:tx>
                <c:rich>
                  <a:bodyPr/>
                  <a:lstStyle/>
                  <a:p>
                    <a:fld id="{9DAD93E0-BC32-4508-A82C-6FB4E56822D7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4-2101-4324-8C65-5CB6D0F34DF8}"/>
                </c:ext>
              </c:extLst>
            </c:dLbl>
            <c:dLbl>
              <c:idx val="5"/>
              <c:tx>
                <c:rich>
                  <a:bodyPr/>
                  <a:lstStyle/>
                  <a:p>
                    <a:fld id="{B7466AA5-711B-45E7-A069-8908B83E0832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5-2101-4324-8C65-5CB6D0F34DF8}"/>
                </c:ext>
              </c:extLst>
            </c:dLbl>
            <c:dLbl>
              <c:idx val="6"/>
              <c:tx>
                <c:rich>
                  <a:bodyPr/>
                  <a:lstStyle/>
                  <a:p>
                    <a:fld id="{EEBDE685-6650-43A6-A612-DA6096F77E63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6-2101-4324-8C65-5CB6D0F34DF8}"/>
                </c:ext>
              </c:extLst>
            </c:dLbl>
            <c:dLbl>
              <c:idx val="7"/>
              <c:tx>
                <c:rich>
                  <a:bodyPr/>
                  <a:lstStyle/>
                  <a:p>
                    <a:fld id="{406704B5-071D-4F2F-9F64-911DBA435F5F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7-2101-4324-8C65-5CB6D0F34DF8}"/>
                </c:ext>
              </c:extLst>
            </c:dLbl>
            <c:dLbl>
              <c:idx val="8"/>
              <c:tx>
                <c:rich>
                  <a:bodyPr/>
                  <a:lstStyle/>
                  <a:p>
                    <a:fld id="{BC35B750-5422-4064-9770-43E7E48D487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8-2101-4324-8C65-5CB6D0F34DF8}"/>
                </c:ext>
              </c:extLst>
            </c:dLbl>
            <c:dLbl>
              <c:idx val="9"/>
              <c:tx>
                <c:rich>
                  <a:bodyPr/>
                  <a:lstStyle/>
                  <a:p>
                    <a:fld id="{EBF8F3A1-8210-46AE-839A-D6A24628F9B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9-2101-4324-8C65-5CB6D0F34DF8}"/>
                </c:ext>
              </c:extLst>
            </c:dLbl>
            <c:dLbl>
              <c:idx val="10"/>
              <c:tx>
                <c:rich>
                  <a:bodyPr/>
                  <a:lstStyle/>
                  <a:p>
                    <a:fld id="{0A7EBF2B-95B5-45AE-8D0C-8F77EFC6A86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A-2101-4324-8C65-5CB6D0F34DF8}"/>
                </c:ext>
              </c:extLst>
            </c:dLbl>
            <c:dLbl>
              <c:idx val="11"/>
              <c:tx>
                <c:rich>
                  <a:bodyPr/>
                  <a:lstStyle/>
                  <a:p>
                    <a:fld id="{EFD197EC-0E08-4B29-9AA1-C35AF7E0209D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B-2101-4324-8C65-5CB6D0F34DF8}"/>
                </c:ext>
              </c:extLst>
            </c:dLbl>
            <c:dLbl>
              <c:idx val="12"/>
              <c:tx>
                <c:rich>
                  <a:bodyPr/>
                  <a:lstStyle/>
                  <a:p>
                    <a:fld id="{7EF9CCAB-EAF7-4832-87C5-A4080CED59C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C-2101-4324-8C65-5CB6D0F34DF8}"/>
                </c:ext>
              </c:extLst>
            </c:dLbl>
            <c:dLbl>
              <c:idx val="13"/>
              <c:tx>
                <c:rich>
                  <a:bodyPr/>
                  <a:lstStyle/>
                  <a:p>
                    <a:fld id="{5F12A897-13D0-4363-BEF6-2B36D58E539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D-2101-4324-8C65-5CB6D0F34DF8}"/>
                </c:ext>
              </c:extLst>
            </c:dLbl>
            <c:dLbl>
              <c:idx val="14"/>
              <c:tx>
                <c:rich>
                  <a:bodyPr/>
                  <a:lstStyle/>
                  <a:p>
                    <a:fld id="{995A9DC8-D20C-430B-9DD7-5AAE5A3B830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E-2101-4324-8C65-5CB6D0F34DF8}"/>
                </c:ext>
              </c:extLst>
            </c:dLbl>
            <c:dLbl>
              <c:idx val="15"/>
              <c:tx>
                <c:rich>
                  <a:bodyPr/>
                  <a:lstStyle/>
                  <a:p>
                    <a:fld id="{0FD5E4A4-3044-4B4B-9C7E-5CB60CE7704B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0F-2101-4324-8C65-5CB6D0F34DF8}"/>
                </c:ext>
              </c:extLst>
            </c:dLbl>
            <c:dLbl>
              <c:idx val="16"/>
              <c:tx>
                <c:rich>
                  <a:bodyPr/>
                  <a:lstStyle/>
                  <a:p>
                    <a:fld id="{7F4AFDF5-0FBF-47D9-A1F0-FC5AAA79E4A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0-2101-4324-8C65-5CB6D0F34DF8}"/>
                </c:ext>
              </c:extLst>
            </c:dLbl>
            <c:dLbl>
              <c:idx val="17"/>
              <c:tx>
                <c:rich>
                  <a:bodyPr/>
                  <a:lstStyle/>
                  <a:p>
                    <a:fld id="{15F58CDF-E72A-40E9-9262-BABF1864C5A4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1-2101-4324-8C65-5CB6D0F34DF8}"/>
                </c:ext>
              </c:extLst>
            </c:dLbl>
            <c:dLbl>
              <c:idx val="18"/>
              <c:tx>
                <c:rich>
                  <a:bodyPr/>
                  <a:lstStyle/>
                  <a:p>
                    <a:fld id="{F3ACBFAF-1864-468F-B987-EB09C74C731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2-2101-4324-8C65-5CB6D0F34DF8}"/>
                </c:ext>
              </c:extLst>
            </c:dLbl>
            <c:dLbl>
              <c:idx val="19"/>
              <c:tx>
                <c:rich>
                  <a:bodyPr/>
                  <a:lstStyle/>
                  <a:p>
                    <a:fld id="{5A375676-AC0B-4574-A5CD-C035099409A1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3-2101-4324-8C65-5CB6D0F34DF8}"/>
                </c:ext>
              </c:extLst>
            </c:dLbl>
            <c:dLbl>
              <c:idx val="20"/>
              <c:tx>
                <c:rich>
                  <a:bodyPr/>
                  <a:lstStyle/>
                  <a:p>
                    <a:fld id="{FEA70D77-1092-4468-8ADC-7DB631DE7036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4-2101-4324-8C65-5CB6D0F34DF8}"/>
                </c:ext>
              </c:extLst>
            </c:dLbl>
            <c:dLbl>
              <c:idx val="21"/>
              <c:tx>
                <c:rich>
                  <a:bodyPr/>
                  <a:lstStyle/>
                  <a:p>
                    <a:fld id="{AF8845DF-E0D5-47C4-9CFA-7E5927E1416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5-2101-4324-8C65-5CB6D0F34DF8}"/>
                </c:ext>
              </c:extLst>
            </c:dLbl>
            <c:dLbl>
              <c:idx val="22"/>
              <c:tx>
                <c:rich>
                  <a:bodyPr/>
                  <a:lstStyle/>
                  <a:p>
                    <a:fld id="{58063D8C-9B24-4972-898C-80E893FBB65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6-2101-4324-8C65-5CB6D0F34DF8}"/>
                </c:ext>
              </c:extLst>
            </c:dLbl>
            <c:dLbl>
              <c:idx val="23"/>
              <c:tx>
                <c:rich>
                  <a:bodyPr/>
                  <a:lstStyle/>
                  <a:p>
                    <a:fld id="{6DB315B7-7C1A-435C-9B38-DAC6483C0AAA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7-2101-4324-8C65-5CB6D0F34DF8}"/>
                </c:ext>
              </c:extLst>
            </c:dLbl>
            <c:dLbl>
              <c:idx val="24"/>
              <c:tx>
                <c:rich>
                  <a:bodyPr/>
                  <a:lstStyle/>
                  <a:p>
                    <a:fld id="{5BAF8F32-B66E-450F-8102-4E1288F72FEE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8-2101-4324-8C65-5CB6D0F34DF8}"/>
                </c:ext>
              </c:extLst>
            </c:dLbl>
            <c:dLbl>
              <c:idx val="25"/>
              <c:tx>
                <c:rich>
                  <a:bodyPr/>
                  <a:lstStyle/>
                  <a:p>
                    <a:fld id="{BCC3BD8F-85F3-4A34-9D3F-BDF2F528192C}" type="CELLRANGE">
                      <a:rPr lang="en-US"/>
                      <a:pPr/>
                      <a:t>[CELLRANGE]</a:t>
                    </a:fld>
                    <a:endParaRPr lang="LID4096"/>
                  </a:p>
                </c:rich>
              </c:tx>
              <c:dLblPos val="ctr"/>
              <c:showLegendKey val="0"/>
              <c:showVal val="0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dlblFieldTable/>
                  <c15:xForSave val="1"/>
                  <c15:showDataLabelsRange val="1"/>
                </c:ext>
                <c:ext xmlns:c16="http://schemas.microsoft.com/office/drawing/2014/chart" uri="{C3380CC4-5D6E-409C-BE32-E72D297353CC}">
                  <c16:uniqueId val="{00000019-2101-4324-8C65-5CB6D0F34DF8}"/>
                </c:ext>
              </c:extLst>
            </c:dLbl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LID4096"/>
              </a:p>
            </c:txPr>
            <c:dLblPos val="ctr"/>
            <c:showLegendKey val="0"/>
            <c:showVal val="0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DataLabelsRange val="1"/>
                <c15:showLeaderLines val="0"/>
              </c:ext>
            </c:extLst>
          </c:dLbls>
          <c:xVal>
            <c:strRef>
              <c:f>'T2'!$O$7:$O$42</c:f>
              <c:strCache>
                <c:ptCount val="2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</c:strCache>
            </c:strRef>
          </c:xVal>
          <c:yVal>
            <c:numRef>
              <c:f>'T2'!$V$7:$V$42</c:f>
              <c:numCache>
                <c:formatCode>General</c:formatCode>
                <c:ptCount val="36"/>
                <c:pt idx="0">
                  <c:v>989</c:v>
                </c:pt>
                <c:pt idx="1">
                  <c:v>961</c:v>
                </c:pt>
                <c:pt idx="2">
                  <c:v>937</c:v>
                </c:pt>
                <c:pt idx="3">
                  <c:v>903</c:v>
                </c:pt>
                <c:pt idx="4">
                  <c:v>889</c:v>
                </c:pt>
                <c:pt idx="5">
                  <c:v>969</c:v>
                </c:pt>
                <c:pt idx="6">
                  <c:v>911</c:v>
                </c:pt>
                <c:pt idx="7">
                  <c:v>888</c:v>
                </c:pt>
                <c:pt idx="8">
                  <c:v>880</c:v>
                </c:pt>
                <c:pt idx="9">
                  <c:v>911</c:v>
                </c:pt>
                <c:pt idx="10">
                  <c:v>896</c:v>
                </c:pt>
                <c:pt idx="11">
                  <c:v>880</c:v>
                </c:pt>
                <c:pt idx="12">
                  <c:v>880</c:v>
                </c:pt>
                <c:pt idx="13">
                  <c:v>890</c:v>
                </c:pt>
                <c:pt idx="14">
                  <c:v>877</c:v>
                </c:pt>
                <c:pt idx="15">
                  <c:v>863</c:v>
                </c:pt>
                <c:pt idx="16">
                  <c:v>854</c:v>
                </c:pt>
                <c:pt idx="17">
                  <c:v>847</c:v>
                </c:pt>
                <c:pt idx="18">
                  <c:v>844</c:v>
                </c:pt>
                <c:pt idx="19">
                  <c:v>928</c:v>
                </c:pt>
                <c:pt idx="20">
                  <c:v>895</c:v>
                </c:pt>
                <c:pt idx="21">
                  <c:v>865</c:v>
                </c:pt>
                <c:pt idx="22">
                  <c:v>856</c:v>
                </c:pt>
                <c:pt idx="23">
                  <c:v>844</c:v>
                </c:pt>
                <c:pt idx="24">
                  <c:v>846</c:v>
                </c:pt>
                <c:pt idx="25">
                  <c:v>842</c:v>
                </c:pt>
              </c:numCache>
            </c:numRef>
          </c:yVal>
          <c:smooth val="0"/>
          <c:extLst>
            <c:ext xmlns:c15="http://schemas.microsoft.com/office/drawing/2012/chart" uri="{02D57815-91ED-43cb-92C2-25804820EDAC}">
              <c15:datalabelsRange>
                <c15:f>'T2'!$Y$7:$Y$42</c15:f>
                <c15:dlblRangeCache>
                  <c:ptCount val="36"/>
                  <c:pt idx="0">
                    <c:v>→</c:v>
                  </c:pt>
                  <c:pt idx="1">
                    <c:v>-2</c:v>
                  </c:pt>
                  <c:pt idx="2">
                    <c:v>-3</c:v>
                  </c:pt>
                  <c:pt idx="3">
                    <c:v>-4</c:v>
                  </c:pt>
                  <c:pt idx="4">
                    <c:v>-5</c:v>
                  </c:pt>
                  <c:pt idx="5">
                    <c:v>4</c:v>
                  </c:pt>
                  <c:pt idx="6">
                    <c:v>-5</c:v>
                  </c:pt>
                  <c:pt idx="7">
                    <c:v>-6</c:v>
                  </c:pt>
                  <c:pt idx="8">
                    <c:v>-7</c:v>
                  </c:pt>
                  <c:pt idx="9">
                    <c:v>8</c:v>
                  </c:pt>
                  <c:pt idx="10">
                    <c:v>-7</c:v>
                  </c:pt>
                  <c:pt idx="11">
                    <c:v>-8</c:v>
                  </c:pt>
                  <c:pt idx="12">
                    <c:v>-9</c:v>
                  </c:pt>
                  <c:pt idx="13">
                    <c:v>10</c:v>
                  </c:pt>
                  <c:pt idx="14">
                    <c:v>-9</c:v>
                  </c:pt>
                  <c:pt idx="15">
                    <c:v>-10</c:v>
                  </c:pt>
                  <c:pt idx="16">
                    <c:v>-11</c:v>
                  </c:pt>
                  <c:pt idx="17">
                    <c:v>-12</c:v>
                  </c:pt>
                  <c:pt idx="18">
                    <c:v>-13</c:v>
                  </c:pt>
                  <c:pt idx="19">
                    <c:v>8</c:v>
                  </c:pt>
                  <c:pt idx="20">
                    <c:v>9</c:v>
                  </c:pt>
                  <c:pt idx="21">
                    <c:v>10</c:v>
                  </c:pt>
                  <c:pt idx="22">
                    <c:v>11</c:v>
                  </c:pt>
                  <c:pt idx="23">
                    <c:v>-13</c:v>
                  </c:pt>
                  <c:pt idx="24">
                    <c:v>-14</c:v>
                  </c:pt>
                  <c:pt idx="25">
                    <c:v>-15</c:v>
                  </c:pt>
                </c15:dlblRangeCache>
              </c15:datalabelsRange>
            </c:ext>
            <c:ext xmlns:c16="http://schemas.microsoft.com/office/drawing/2014/chart" uri="{C3380CC4-5D6E-409C-BE32-E72D297353CC}">
              <c16:uniqueId val="{0000001D-2101-4324-8C65-5CB6D0F34D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53609231"/>
        <c:axId val="1753610191"/>
      </c:scatterChart>
      <c:valAx>
        <c:axId val="17536092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10191"/>
        <c:crosses val="autoZero"/>
        <c:crossBetween val="midCat"/>
      </c:valAx>
      <c:valAx>
        <c:axId val="1753610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LID4096"/>
          </a:p>
        </c:txPr>
        <c:crossAx val="17536092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LID4096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44</xdr:row>
      <xdr:rowOff>0</xdr:rowOff>
    </xdr:from>
    <xdr:to>
      <xdr:col>32</xdr:col>
      <xdr:colOff>66675</xdr:colOff>
      <xdr:row>73</xdr:row>
      <xdr:rowOff>28574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95BB390-4E22-4E8C-8B4E-7AE5F9F738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85725</xdr:colOff>
      <xdr:row>3</xdr:row>
      <xdr:rowOff>19051</xdr:rowOff>
    </xdr:from>
    <xdr:to>
      <xdr:col>76</xdr:col>
      <xdr:colOff>504825</xdr:colOff>
      <xdr:row>44</xdr:row>
      <xdr:rowOff>147638</xdr:rowOff>
    </xdr:to>
    <xdr:grpSp>
      <xdr:nvGrpSpPr>
        <xdr:cNvPr id="4" name="Group 3">
          <a:extLst>
            <a:ext uri="{FF2B5EF4-FFF2-40B4-BE49-F238E27FC236}">
              <a16:creationId xmlns:a16="http://schemas.microsoft.com/office/drawing/2014/main" id="{B70C7D7F-B6AC-7CE5-1304-E1FEED03DDAA}"/>
            </a:ext>
          </a:extLst>
        </xdr:cNvPr>
        <xdr:cNvGrpSpPr/>
      </xdr:nvGrpSpPr>
      <xdr:grpSpPr>
        <a:xfrm>
          <a:off x="10820400" y="476251"/>
          <a:ext cx="5905500" cy="6376987"/>
          <a:chOff x="10696575" y="190501"/>
          <a:chExt cx="5905500" cy="6376987"/>
        </a:xfrm>
      </xdr:grpSpPr>
      <xdr:graphicFrame macro="">
        <xdr:nvGraphicFramePr>
          <xdr:cNvPr id="3" name="Chart 2">
            <a:extLst>
              <a:ext uri="{FF2B5EF4-FFF2-40B4-BE49-F238E27FC236}">
                <a16:creationId xmlns:a16="http://schemas.microsoft.com/office/drawing/2014/main" id="{2F43AFE7-EA16-4F75-955D-283B11795B2D}"/>
              </a:ext>
            </a:extLst>
          </xdr:cNvPr>
          <xdr:cNvGraphicFramePr>
            <a:graphicFrameLocks/>
          </xdr:cNvGraphicFramePr>
        </xdr:nvGraphicFramePr>
        <xdr:xfrm>
          <a:off x="10696575" y="190501"/>
          <a:ext cx="5905500" cy="43624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2" name="Chart 1">
            <a:extLst>
              <a:ext uri="{FF2B5EF4-FFF2-40B4-BE49-F238E27FC236}">
                <a16:creationId xmlns:a16="http://schemas.microsoft.com/office/drawing/2014/main" id="{30BA6A55-8D08-4DED-A1B6-121BBE243733}"/>
              </a:ext>
            </a:extLst>
          </xdr:cNvPr>
          <xdr:cNvGraphicFramePr>
            <a:graphicFrameLocks/>
          </xdr:cNvGraphicFramePr>
        </xdr:nvGraphicFramePr>
        <xdr:xfrm>
          <a:off x="10706100" y="4657725"/>
          <a:ext cx="5895975" cy="190976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>
    <xdr:from>
      <xdr:col>26</xdr:col>
      <xdr:colOff>9525</xdr:colOff>
      <xdr:row>2</xdr:row>
      <xdr:rowOff>123825</xdr:rowOff>
    </xdr:from>
    <xdr:to>
      <xdr:col>28</xdr:col>
      <xdr:colOff>190499</xdr:colOff>
      <xdr:row>36</xdr:row>
      <xdr:rowOff>76200</xdr:rowOff>
    </xdr:to>
    <xdr:sp macro="" textlink="">
      <xdr:nvSpPr>
        <xdr:cNvPr id="5" name="Rectangle 4">
          <a:extLst>
            <a:ext uri="{FF2B5EF4-FFF2-40B4-BE49-F238E27FC236}">
              <a16:creationId xmlns:a16="http://schemas.microsoft.com/office/drawing/2014/main" id="{E3207195-2405-4CAF-AADD-F65E003A045B}"/>
            </a:ext>
          </a:extLst>
        </xdr:cNvPr>
        <xdr:cNvSpPr/>
      </xdr:nvSpPr>
      <xdr:spPr>
        <a:xfrm>
          <a:off x="5800725" y="428625"/>
          <a:ext cx="581024" cy="5133975"/>
        </a:xfrm>
        <a:prstGeom prst="rect">
          <a:avLst/>
        </a:prstGeom>
        <a:solidFill>
          <a:srgbClr val="F2F2F2">
            <a:alpha val="80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21</xdr:col>
      <xdr:colOff>228600</xdr:colOff>
      <xdr:row>0</xdr:row>
      <xdr:rowOff>47625</xdr:rowOff>
    </xdr:from>
    <xdr:to>
      <xdr:col>23</xdr:col>
      <xdr:colOff>192232</xdr:colOff>
      <xdr:row>2</xdr:row>
      <xdr:rowOff>71870</xdr:rowOff>
    </xdr:to>
    <xdr:sp macro="" textlink="">
      <xdr:nvSpPr>
        <xdr:cNvPr id="6" name="Arrow: Right 5">
          <a:extLst>
            <a:ext uri="{FF2B5EF4-FFF2-40B4-BE49-F238E27FC236}">
              <a16:creationId xmlns:a16="http://schemas.microsoft.com/office/drawing/2014/main" id="{C55EAAC0-ABFB-4DD4-B80D-17C2E39F3B8A}"/>
            </a:ext>
          </a:extLst>
        </xdr:cNvPr>
        <xdr:cNvSpPr/>
      </xdr:nvSpPr>
      <xdr:spPr>
        <a:xfrm>
          <a:off x="4486275" y="47625"/>
          <a:ext cx="458932" cy="329045"/>
        </a:xfrm>
        <a:prstGeom prst="righ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44</xdr:row>
      <xdr:rowOff>0</xdr:rowOff>
    </xdr:from>
    <xdr:to>
      <xdr:col>55</xdr:col>
      <xdr:colOff>66675</xdr:colOff>
      <xdr:row>73</xdr:row>
      <xdr:rowOff>28574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77FDB85-EFDF-487C-AC05-201020BF36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67</xdr:col>
      <xdr:colOff>85725</xdr:colOff>
      <xdr:row>3</xdr:row>
      <xdr:rowOff>19051</xdr:rowOff>
    </xdr:from>
    <xdr:to>
      <xdr:col>76</xdr:col>
      <xdr:colOff>504825</xdr:colOff>
      <xdr:row>44</xdr:row>
      <xdr:rowOff>147638</xdr:rowOff>
    </xdr:to>
    <xdr:grpSp>
      <xdr:nvGrpSpPr>
        <xdr:cNvPr id="3" name="Group 2">
          <a:extLst>
            <a:ext uri="{FF2B5EF4-FFF2-40B4-BE49-F238E27FC236}">
              <a16:creationId xmlns:a16="http://schemas.microsoft.com/office/drawing/2014/main" id="{E49082DF-A9E0-40DE-B628-C5A434C06A8B}"/>
            </a:ext>
          </a:extLst>
        </xdr:cNvPr>
        <xdr:cNvGrpSpPr/>
      </xdr:nvGrpSpPr>
      <xdr:grpSpPr>
        <a:xfrm>
          <a:off x="9915525" y="476251"/>
          <a:ext cx="5905500" cy="6376987"/>
          <a:chOff x="10696575" y="190501"/>
          <a:chExt cx="5905500" cy="6376987"/>
        </a:xfrm>
      </xdr:grpSpPr>
      <xdr:graphicFrame macro="">
        <xdr:nvGraphicFramePr>
          <xdr:cNvPr id="4" name="Chart 3">
            <a:extLst>
              <a:ext uri="{FF2B5EF4-FFF2-40B4-BE49-F238E27FC236}">
                <a16:creationId xmlns:a16="http://schemas.microsoft.com/office/drawing/2014/main" id="{24919805-DE52-1307-A0E4-A3A5F7391359}"/>
              </a:ext>
            </a:extLst>
          </xdr:cNvPr>
          <xdr:cNvGraphicFramePr>
            <a:graphicFrameLocks/>
          </xdr:cNvGraphicFramePr>
        </xdr:nvGraphicFramePr>
        <xdr:xfrm>
          <a:off x="10696575" y="190501"/>
          <a:ext cx="5905500" cy="4362449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  <xdr:graphicFrame macro="">
        <xdr:nvGraphicFramePr>
          <xdr:cNvPr id="5" name="Chart 4">
            <a:extLst>
              <a:ext uri="{FF2B5EF4-FFF2-40B4-BE49-F238E27FC236}">
                <a16:creationId xmlns:a16="http://schemas.microsoft.com/office/drawing/2014/main" id="{EF1DBA88-AC23-6403-B699-4BF9261844B2}"/>
              </a:ext>
            </a:extLst>
          </xdr:cNvPr>
          <xdr:cNvGraphicFramePr>
            <a:graphicFrameLocks/>
          </xdr:cNvGraphicFramePr>
        </xdr:nvGraphicFramePr>
        <xdr:xfrm>
          <a:off x="10706100" y="4657725"/>
          <a:ext cx="5895975" cy="1909763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3"/>
          </a:graphicData>
        </a:graphic>
      </xdr:graphicFrame>
    </xdr:grpSp>
    <xdr:clientData/>
  </xdr:twoCellAnchor>
  <xdr:twoCellAnchor>
    <xdr:from>
      <xdr:col>49</xdr:col>
      <xdr:colOff>9525</xdr:colOff>
      <xdr:row>2</xdr:row>
      <xdr:rowOff>123825</xdr:rowOff>
    </xdr:from>
    <xdr:to>
      <xdr:col>51</xdr:col>
      <xdr:colOff>190499</xdr:colOff>
      <xdr:row>36</xdr:row>
      <xdr:rowOff>76200</xdr:rowOff>
    </xdr:to>
    <xdr:sp macro="" textlink="">
      <xdr:nvSpPr>
        <xdr:cNvPr id="6" name="Rectangle 5">
          <a:extLst>
            <a:ext uri="{FF2B5EF4-FFF2-40B4-BE49-F238E27FC236}">
              <a16:creationId xmlns:a16="http://schemas.microsoft.com/office/drawing/2014/main" id="{23A2686B-6B78-404E-A91B-0358641D438C}"/>
            </a:ext>
          </a:extLst>
        </xdr:cNvPr>
        <xdr:cNvSpPr/>
      </xdr:nvSpPr>
      <xdr:spPr>
        <a:xfrm>
          <a:off x="5895975" y="428625"/>
          <a:ext cx="581024" cy="5133975"/>
        </a:xfrm>
        <a:prstGeom prst="rect">
          <a:avLst/>
        </a:prstGeom>
        <a:solidFill>
          <a:srgbClr val="F2F2F2">
            <a:alpha val="80000"/>
          </a:srgb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  <xdr:twoCellAnchor>
    <xdr:from>
      <xdr:col>21</xdr:col>
      <xdr:colOff>228600</xdr:colOff>
      <xdr:row>0</xdr:row>
      <xdr:rowOff>47625</xdr:rowOff>
    </xdr:from>
    <xdr:to>
      <xdr:col>23</xdr:col>
      <xdr:colOff>192232</xdr:colOff>
      <xdr:row>2</xdr:row>
      <xdr:rowOff>71870</xdr:rowOff>
    </xdr:to>
    <xdr:sp macro="" textlink="">
      <xdr:nvSpPr>
        <xdr:cNvPr id="7" name="Arrow: Right 6">
          <a:extLst>
            <a:ext uri="{FF2B5EF4-FFF2-40B4-BE49-F238E27FC236}">
              <a16:creationId xmlns:a16="http://schemas.microsoft.com/office/drawing/2014/main" id="{A5A201CC-442B-4EA8-B743-14CD87048E09}"/>
            </a:ext>
          </a:extLst>
        </xdr:cNvPr>
        <xdr:cNvSpPr/>
      </xdr:nvSpPr>
      <xdr:spPr>
        <a:xfrm>
          <a:off x="4581525" y="47625"/>
          <a:ext cx="458932" cy="329045"/>
        </a:xfrm>
        <a:prstGeom prst="rightArrow">
          <a:avLst/>
        </a:prstGeom>
        <a:solidFill>
          <a:srgbClr val="0000FF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LID4096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B3D40-B30E-4F83-85BB-71DB9D76051C}">
  <sheetPr>
    <tabColor rgb="FFFFFF00"/>
  </sheetPr>
  <dimension ref="A1:CR1200"/>
  <sheetViews>
    <sheetView workbookViewId="0">
      <selection activeCell="Y4" sqref="Y4"/>
    </sheetView>
  </sheetViews>
  <sheetFormatPr defaultRowHeight="12" customHeight="1" x14ac:dyDescent="0.25"/>
  <cols>
    <col min="1" max="1" width="2.5703125" customWidth="1"/>
    <col min="2" max="2" width="2.42578125" style="37" bestFit="1" customWidth="1"/>
    <col min="3" max="5" width="1.85546875" style="37" customWidth="1"/>
    <col min="6" max="8" width="2" style="33" customWidth="1"/>
    <col min="9" max="9" width="1.7109375" style="34" customWidth="1"/>
    <col min="10" max="10" width="5.5703125" style="34" customWidth="1"/>
    <col min="11" max="11" width="1.85546875" style="37" bestFit="1" customWidth="1"/>
    <col min="12" max="12" width="8.42578125" style="32" customWidth="1"/>
    <col min="13" max="13" width="1.85546875" style="37" bestFit="1" customWidth="1"/>
    <col min="14" max="14" width="3.28515625" style="37" customWidth="1"/>
    <col min="15" max="15" width="3.7109375" style="2" customWidth="1"/>
    <col min="16" max="16" width="3.7109375" customWidth="1"/>
    <col min="17" max="17" width="3.7109375" style="2" customWidth="1"/>
    <col min="18" max="20" width="3.7109375" customWidth="1"/>
    <col min="21" max="24" width="3.7109375" style="2" customWidth="1"/>
    <col min="25" max="25" width="5.7109375" style="2" bestFit="1" customWidth="1"/>
    <col min="26" max="26" width="6.140625" style="32" customWidth="1"/>
    <col min="27" max="28" width="3" style="1" bestFit="1" customWidth="1"/>
    <col min="29" max="29" width="3" style="1" customWidth="1"/>
    <col min="30" max="30" width="1.85546875" style="35" bestFit="1" customWidth="1"/>
    <col min="31" max="32" width="1.85546875" style="35" customWidth="1"/>
    <col min="33" max="34" width="4.140625" style="35" customWidth="1"/>
    <col min="35" max="35" width="1.85546875" style="35" customWidth="1"/>
    <col min="36" max="45" width="0.140625" customWidth="1"/>
    <col min="46" max="46" width="0.140625" style="35" customWidth="1"/>
    <col min="47" max="56" width="0.140625" style="36" customWidth="1"/>
    <col min="57" max="57" width="2.140625" style="35" customWidth="1"/>
    <col min="58" max="67" width="4.28515625" style="35" customWidth="1"/>
  </cols>
  <sheetData>
    <row r="1" spans="1:96" ht="12" customHeight="1" x14ac:dyDescent="0.25">
      <c r="A1" s="8"/>
      <c r="B1" s="8"/>
      <c r="C1" s="8"/>
      <c r="D1" s="8"/>
      <c r="E1" s="8"/>
      <c r="F1" s="9"/>
      <c r="G1" s="9"/>
      <c r="H1" s="9"/>
      <c r="I1" s="10"/>
      <c r="J1" s="10"/>
      <c r="K1" s="8">
        <f>COLUMN()</f>
        <v>11</v>
      </c>
      <c r="L1" s="11"/>
      <c r="M1" s="8">
        <f>COLUMN()</f>
        <v>13</v>
      </c>
      <c r="N1" s="8"/>
      <c r="O1" s="4"/>
      <c r="P1" s="3"/>
      <c r="Q1" s="4"/>
      <c r="R1" s="3"/>
      <c r="S1" s="3"/>
      <c r="T1" s="3"/>
      <c r="U1" s="4"/>
      <c r="V1" s="4"/>
      <c r="W1" s="4"/>
      <c r="X1" s="4"/>
      <c r="Y1" s="4"/>
      <c r="Z1" s="12"/>
      <c r="AA1" s="4"/>
      <c r="AB1" s="4"/>
      <c r="AC1" s="4"/>
      <c r="AD1" s="8">
        <f>COLUMN()</f>
        <v>30</v>
      </c>
      <c r="AE1" s="8"/>
      <c r="AF1" s="8"/>
      <c r="AG1" s="8"/>
      <c r="AH1" s="8"/>
      <c r="AI1" s="8"/>
      <c r="AJ1" s="4"/>
      <c r="AK1" s="4"/>
      <c r="AL1" s="4"/>
      <c r="AM1" s="4"/>
      <c r="AN1" s="4"/>
      <c r="AO1" s="4"/>
      <c r="AP1" s="4"/>
      <c r="AQ1" s="4"/>
      <c r="AR1" s="4"/>
      <c r="AS1" s="4"/>
      <c r="AT1" s="8">
        <f>COLUMN()</f>
        <v>46</v>
      </c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8">
        <f>COLUMN()</f>
        <v>57</v>
      </c>
      <c r="BF1" s="8"/>
      <c r="BG1" s="8"/>
      <c r="BH1" s="8"/>
      <c r="BI1" s="8"/>
      <c r="BJ1" s="8"/>
      <c r="BK1" s="8"/>
      <c r="BL1" s="8"/>
      <c r="BM1" s="8"/>
      <c r="BN1" s="8"/>
      <c r="BO1" s="8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</row>
    <row r="2" spans="1:96" ht="12" customHeight="1" x14ac:dyDescent="0.25">
      <c r="A2" s="3"/>
      <c r="B2" s="7" t="s">
        <v>35</v>
      </c>
      <c r="C2" s="7"/>
      <c r="D2" s="7"/>
      <c r="E2" s="7"/>
      <c r="F2" s="7"/>
      <c r="G2" s="7"/>
      <c r="H2" s="7"/>
      <c r="I2" s="7"/>
      <c r="J2" s="44" t="s">
        <v>67</v>
      </c>
      <c r="K2" s="14"/>
      <c r="L2" s="11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4"/>
      <c r="Z2" s="11"/>
      <c r="AA2" s="15"/>
      <c r="AB2" s="15"/>
      <c r="AC2" s="15"/>
      <c r="AD2" s="16"/>
      <c r="AE2" s="16"/>
      <c r="AF2" s="16"/>
      <c r="AG2" s="15"/>
      <c r="AH2" s="15"/>
      <c r="AI2" s="16"/>
      <c r="AJ2" s="3"/>
      <c r="AK2" s="3"/>
      <c r="AL2" s="3"/>
      <c r="AM2" s="3"/>
      <c r="AN2" s="3"/>
      <c r="AO2" s="3"/>
      <c r="AP2" s="3"/>
      <c r="AQ2" s="3"/>
      <c r="AR2" s="3"/>
      <c r="AS2" s="3"/>
      <c r="AT2" s="16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6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ht="12" customHeight="1" x14ac:dyDescent="0.25">
      <c r="A3" s="3"/>
      <c r="B3" s="14"/>
      <c r="C3" s="14"/>
      <c r="D3" s="14"/>
      <c r="E3" s="10"/>
      <c r="F3" s="10"/>
      <c r="G3" s="10"/>
      <c r="H3" s="10"/>
      <c r="I3" s="10"/>
      <c r="J3" s="10"/>
      <c r="K3" s="14">
        <f>MAX(L3:V3)</f>
        <v>7</v>
      </c>
      <c r="L3" s="11"/>
      <c r="M3" s="14">
        <f>MAX(O3:X3)</f>
        <v>7</v>
      </c>
      <c r="N3" s="14"/>
      <c r="O3" s="45">
        <f t="shared" ref="O3:V3" si="0">IF(ISNUMBER(O5),O4,"")</f>
        <v>1</v>
      </c>
      <c r="P3" s="45">
        <f t="shared" si="0"/>
        <v>2</v>
      </c>
      <c r="Q3" s="45">
        <f t="shared" si="0"/>
        <v>3</v>
      </c>
      <c r="R3" s="45">
        <f t="shared" si="0"/>
        <v>4</v>
      </c>
      <c r="S3" s="45">
        <f t="shared" si="0"/>
        <v>5</v>
      </c>
      <c r="T3" s="45">
        <f t="shared" si="0"/>
        <v>6</v>
      </c>
      <c r="U3" s="45">
        <f t="shared" si="0"/>
        <v>7</v>
      </c>
      <c r="V3" s="45" t="str">
        <f t="shared" si="0"/>
        <v/>
      </c>
      <c r="W3" s="45" t="str">
        <f>IF(ISNUMBER(W5),W4,"")</f>
        <v/>
      </c>
      <c r="X3" s="45" t="str">
        <f>IF(ISNUMBER(X5),X4,"")</f>
        <v/>
      </c>
      <c r="Y3" s="47">
        <v>1</v>
      </c>
      <c r="Z3" s="11"/>
      <c r="AA3" s="15"/>
      <c r="AB3" s="49" t="str">
        <f>IF(AB4=$CO$2,AB4,"")</f>
        <v/>
      </c>
      <c r="AC3" s="49" t="str">
        <f>IF(AC4=$Y3,AC4,"")</f>
        <v/>
      </c>
      <c r="AD3" s="8"/>
      <c r="AE3" s="8"/>
      <c r="AF3" s="8"/>
      <c r="AG3" s="49"/>
      <c r="AH3" s="49" t="str">
        <f>IF(AH4=$Y3,AH4,"")</f>
        <v/>
      </c>
      <c r="AI3" s="8"/>
      <c r="AJ3" s="4"/>
      <c r="AK3" s="4"/>
      <c r="AL3" s="4"/>
      <c r="AM3" s="4"/>
      <c r="AN3" s="4"/>
      <c r="AO3" s="4"/>
      <c r="AP3" s="4"/>
      <c r="AQ3" s="4"/>
      <c r="AR3" s="4"/>
      <c r="AS3" s="4"/>
      <c r="AT3" s="8"/>
      <c r="AU3" s="11"/>
      <c r="AV3" s="18"/>
      <c r="AW3" s="18"/>
      <c r="AX3" s="18"/>
      <c r="AY3" s="18"/>
      <c r="AZ3" s="18"/>
      <c r="BA3" s="18"/>
      <c r="BB3" s="18"/>
      <c r="BC3" s="18"/>
      <c r="BD3" s="18"/>
      <c r="BE3" s="16"/>
      <c r="BF3" s="60">
        <f>IF(BF4=$Y3,BF4,"")</f>
        <v>1</v>
      </c>
      <c r="BG3" s="61"/>
      <c r="BH3" s="60" t="str">
        <f t="shared" ref="BH3:BJ3" si="1">IF(BH4=$Y3,BH4,"")</f>
        <v/>
      </c>
      <c r="BI3" s="60" t="str">
        <f t="shared" si="1"/>
        <v/>
      </c>
      <c r="BJ3" s="60" t="str">
        <f t="shared" si="1"/>
        <v/>
      </c>
      <c r="BK3" s="60"/>
      <c r="BL3" s="16"/>
      <c r="BM3" s="16"/>
      <c r="BN3" s="16"/>
      <c r="BO3" s="16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ht="12" customHeight="1" x14ac:dyDescent="0.25">
      <c r="A4" s="3"/>
      <c r="B4" s="14"/>
      <c r="C4" s="14"/>
      <c r="D4" s="14"/>
      <c r="E4" s="14"/>
      <c r="F4" s="9"/>
      <c r="G4" s="9"/>
      <c r="H4" s="9"/>
      <c r="I4" s="10"/>
      <c r="J4" s="10"/>
      <c r="K4" s="14"/>
      <c r="L4" s="11"/>
      <c r="M4" s="14"/>
      <c r="N4" s="14"/>
      <c r="O4" s="20">
        <v>1</v>
      </c>
      <c r="P4" s="20">
        <f t="shared" ref="P4:V4" si="2">O4+1</f>
        <v>2</v>
      </c>
      <c r="Q4" s="20">
        <f t="shared" si="2"/>
        <v>3</v>
      </c>
      <c r="R4" s="20">
        <f t="shared" si="2"/>
        <v>4</v>
      </c>
      <c r="S4" s="20">
        <f t="shared" si="2"/>
        <v>5</v>
      </c>
      <c r="T4" s="20">
        <f t="shared" si="2"/>
        <v>6</v>
      </c>
      <c r="U4" s="20">
        <f t="shared" si="2"/>
        <v>7</v>
      </c>
      <c r="V4" s="20">
        <f t="shared" si="2"/>
        <v>8</v>
      </c>
      <c r="W4" s="20">
        <f>V4+1</f>
        <v>9</v>
      </c>
      <c r="X4" s="20">
        <f>W4+1</f>
        <v>10</v>
      </c>
      <c r="Y4" s="4"/>
      <c r="Z4" s="11"/>
      <c r="AA4" s="15"/>
      <c r="AB4" s="50">
        <v>2</v>
      </c>
      <c r="AC4" s="50">
        <v>2</v>
      </c>
      <c r="AD4" s="16"/>
      <c r="AE4" s="58" t="s">
        <v>0</v>
      </c>
      <c r="AF4" s="58" t="s">
        <v>0</v>
      </c>
      <c r="AG4" s="50">
        <v>3</v>
      </c>
      <c r="AH4" s="50">
        <v>3</v>
      </c>
      <c r="AI4" s="16"/>
      <c r="AJ4" s="19">
        <f t="shared" ref="AJ4:AS4" si="3">COUNTIF($AB7:$AB42,"="&amp;AJ5)</f>
        <v>5</v>
      </c>
      <c r="AK4" s="19">
        <f t="shared" si="3"/>
        <v>3</v>
      </c>
      <c r="AL4" s="19">
        <f t="shared" si="3"/>
        <v>4</v>
      </c>
      <c r="AM4" s="19">
        <f t="shared" si="3"/>
        <v>4</v>
      </c>
      <c r="AN4" s="19">
        <f t="shared" si="3"/>
        <v>6</v>
      </c>
      <c r="AO4" s="19">
        <f t="shared" si="3"/>
        <v>5</v>
      </c>
      <c r="AP4" s="19">
        <f t="shared" si="3"/>
        <v>2</v>
      </c>
      <c r="AQ4" s="19">
        <f t="shared" si="3"/>
        <v>0</v>
      </c>
      <c r="AR4" s="19">
        <f t="shared" si="3"/>
        <v>0</v>
      </c>
      <c r="AS4" s="19">
        <f t="shared" si="3"/>
        <v>0</v>
      </c>
      <c r="AT4" s="16"/>
      <c r="AU4" s="21">
        <v>1</v>
      </c>
      <c r="AV4" s="21">
        <v>1</v>
      </c>
      <c r="AW4" s="21">
        <v>1</v>
      </c>
      <c r="AX4" s="21">
        <v>1</v>
      </c>
      <c r="AY4" s="21">
        <v>1</v>
      </c>
      <c r="AZ4" s="21">
        <v>1</v>
      </c>
      <c r="BA4" s="21">
        <v>1</v>
      </c>
      <c r="BB4" s="21">
        <v>1</v>
      </c>
      <c r="BC4" s="21">
        <v>1</v>
      </c>
      <c r="BD4" s="21">
        <v>1</v>
      </c>
      <c r="BE4" s="16"/>
      <c r="BF4" s="50">
        <v>1</v>
      </c>
      <c r="BG4" s="19"/>
      <c r="BH4" s="50">
        <v>4</v>
      </c>
      <c r="BI4" s="50">
        <v>5</v>
      </c>
      <c r="BJ4" s="50">
        <v>6</v>
      </c>
      <c r="BK4" s="50"/>
      <c r="BL4" s="16"/>
      <c r="BM4" s="16"/>
      <c r="BN4" s="16"/>
      <c r="BO4" s="16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ht="12" customHeight="1" x14ac:dyDescent="0.25">
      <c r="A5" s="10"/>
      <c r="B5" s="43" t="s">
        <v>66</v>
      </c>
      <c r="C5" s="43"/>
      <c r="D5" s="10" t="s">
        <v>68</v>
      </c>
      <c r="E5" s="3"/>
      <c r="F5" s="41" t="s">
        <v>65</v>
      </c>
      <c r="G5" s="3"/>
      <c r="H5" s="3"/>
      <c r="I5" s="3"/>
      <c r="J5" s="3"/>
      <c r="K5" s="3"/>
      <c r="L5" s="6"/>
      <c r="M5" s="3"/>
      <c r="N5" s="3"/>
      <c r="O5" s="46">
        <v>1</v>
      </c>
      <c r="P5" s="46">
        <v>1</v>
      </c>
      <c r="Q5" s="46">
        <v>1</v>
      </c>
      <c r="R5" s="46">
        <v>1</v>
      </c>
      <c r="S5" s="46">
        <v>1</v>
      </c>
      <c r="T5" s="46">
        <v>1</v>
      </c>
      <c r="U5" s="46">
        <v>1</v>
      </c>
      <c r="V5" s="46"/>
      <c r="W5" s="46"/>
      <c r="X5" s="46"/>
      <c r="Y5" s="38"/>
      <c r="Z5" s="38"/>
      <c r="AA5" s="39"/>
      <c r="AB5" s="39">
        <f>MAX(AB7:AB42)</f>
        <v>7</v>
      </c>
      <c r="AC5" s="39"/>
      <c r="AD5" s="19"/>
      <c r="AE5" s="19">
        <v>0</v>
      </c>
      <c r="AF5" s="19">
        <v>0</v>
      </c>
      <c r="AG5" s="39">
        <f>MAX(AG7:AG42)</f>
        <v>10</v>
      </c>
      <c r="AH5" s="39"/>
      <c r="AI5" s="16"/>
      <c r="AJ5" s="20">
        <v>1</v>
      </c>
      <c r="AK5" s="20">
        <f t="shared" ref="AK5:AS5" si="4">AJ5+1</f>
        <v>2</v>
      </c>
      <c r="AL5" s="20">
        <f t="shared" si="4"/>
        <v>3</v>
      </c>
      <c r="AM5" s="20">
        <f t="shared" si="4"/>
        <v>4</v>
      </c>
      <c r="AN5" s="20">
        <f t="shared" si="4"/>
        <v>5</v>
      </c>
      <c r="AO5" s="20">
        <f t="shared" si="4"/>
        <v>6</v>
      </c>
      <c r="AP5" s="20">
        <f t="shared" si="4"/>
        <v>7</v>
      </c>
      <c r="AQ5" s="20">
        <f t="shared" si="4"/>
        <v>8</v>
      </c>
      <c r="AR5" s="20">
        <f t="shared" si="4"/>
        <v>9</v>
      </c>
      <c r="AS5" s="20">
        <f t="shared" si="4"/>
        <v>10</v>
      </c>
      <c r="AT5" s="16"/>
      <c r="AU5" s="20">
        <f>AT4+1</f>
        <v>1</v>
      </c>
      <c r="AV5" s="20">
        <f t="shared" ref="AV5:BD5" si="5">AU5+1</f>
        <v>2</v>
      </c>
      <c r="AW5" s="20">
        <f t="shared" si="5"/>
        <v>3</v>
      </c>
      <c r="AX5" s="20">
        <f t="shared" si="5"/>
        <v>4</v>
      </c>
      <c r="AY5" s="20">
        <f t="shared" si="5"/>
        <v>5</v>
      </c>
      <c r="AZ5" s="20">
        <f t="shared" si="5"/>
        <v>6</v>
      </c>
      <c r="BA5" s="20">
        <f t="shared" si="5"/>
        <v>7</v>
      </c>
      <c r="BB5" s="20">
        <f t="shared" si="5"/>
        <v>8</v>
      </c>
      <c r="BC5" s="20">
        <f t="shared" si="5"/>
        <v>9</v>
      </c>
      <c r="BD5" s="20">
        <f t="shared" si="5"/>
        <v>10</v>
      </c>
      <c r="BE5" s="16"/>
      <c r="BF5" s="51" t="s">
        <v>69</v>
      </c>
      <c r="BG5" s="52"/>
      <c r="BH5" s="52"/>
      <c r="BI5" s="52"/>
      <c r="BJ5" s="52"/>
      <c r="BK5" s="52"/>
      <c r="BL5" s="16"/>
      <c r="BM5" s="16"/>
      <c r="BN5" s="16"/>
      <c r="BO5" s="16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ht="12" customHeight="1" x14ac:dyDescent="0.25">
      <c r="A6" s="3"/>
      <c r="B6" s="22"/>
      <c r="C6" s="22"/>
      <c r="D6" s="22"/>
      <c r="E6" s="14"/>
      <c r="F6" s="22" t="s">
        <v>36</v>
      </c>
      <c r="G6" s="22" t="s">
        <v>37</v>
      </c>
      <c r="H6" s="22" t="s">
        <v>2</v>
      </c>
      <c r="I6" s="23" t="s">
        <v>38</v>
      </c>
      <c r="J6" s="42" t="s">
        <v>38</v>
      </c>
      <c r="K6" s="14"/>
      <c r="L6" s="6"/>
      <c r="M6" s="14"/>
      <c r="N6" s="14"/>
      <c r="O6" s="5"/>
      <c r="P6" s="24"/>
      <c r="Q6" s="24"/>
      <c r="R6" s="25" t="s">
        <v>36</v>
      </c>
      <c r="S6" s="25" t="s">
        <v>37</v>
      </c>
      <c r="T6" s="25" t="s">
        <v>2</v>
      </c>
      <c r="U6" s="25" t="s">
        <v>38</v>
      </c>
      <c r="V6" s="25" t="s">
        <v>39</v>
      </c>
      <c r="W6" s="25"/>
      <c r="X6" s="25"/>
      <c r="Y6" s="39" t="s">
        <v>3</v>
      </c>
      <c r="Z6" s="39" t="s">
        <v>3</v>
      </c>
      <c r="AA6" s="39">
        <v>1</v>
      </c>
      <c r="AB6" s="39">
        <f>IF(AA6=0,AB5,AA6)</f>
        <v>1</v>
      </c>
      <c r="AC6" s="39"/>
      <c r="AD6" s="19"/>
      <c r="AE6" s="19">
        <v>0</v>
      </c>
      <c r="AF6" s="19">
        <v>0</v>
      </c>
      <c r="AG6" s="39">
        <f>IF(AD6=0,AG5,AD6)</f>
        <v>10</v>
      </c>
      <c r="AH6" s="39"/>
      <c r="AI6" s="16"/>
      <c r="AJ6" s="10">
        <f t="shared" ref="AJ6:AS6" si="6">MAX(AJ7:AJ15)</f>
        <v>5</v>
      </c>
      <c r="AK6" s="10">
        <f t="shared" si="6"/>
        <v>8</v>
      </c>
      <c r="AL6" s="10">
        <f t="shared" si="6"/>
        <v>12</v>
      </c>
      <c r="AM6" s="10">
        <f t="shared" si="6"/>
        <v>16</v>
      </c>
      <c r="AN6" s="10">
        <f t="shared" si="6"/>
        <v>22</v>
      </c>
      <c r="AO6" s="10">
        <f t="shared" si="6"/>
        <v>27</v>
      </c>
      <c r="AP6" s="10">
        <f t="shared" si="6"/>
        <v>29</v>
      </c>
      <c r="AQ6" s="10">
        <f t="shared" si="6"/>
        <v>0</v>
      </c>
      <c r="AR6" s="10">
        <f t="shared" si="6"/>
        <v>0</v>
      </c>
      <c r="AS6" s="10">
        <f t="shared" si="6"/>
        <v>0</v>
      </c>
      <c r="AT6" s="16"/>
      <c r="AU6" s="18" t="s">
        <v>33</v>
      </c>
      <c r="AV6" s="18" t="s">
        <v>33</v>
      </c>
      <c r="AW6" s="18" t="s">
        <v>33</v>
      </c>
      <c r="AX6" s="18" t="s">
        <v>33</v>
      </c>
      <c r="AY6" s="18" t="s">
        <v>33</v>
      </c>
      <c r="AZ6" s="18" t="s">
        <v>33</v>
      </c>
      <c r="BA6" s="18" t="s">
        <v>33</v>
      </c>
      <c r="BB6" s="18" t="s">
        <v>33</v>
      </c>
      <c r="BC6" s="18" t="s">
        <v>33</v>
      </c>
      <c r="BD6" s="18" t="s">
        <v>33</v>
      </c>
      <c r="BE6" s="16"/>
      <c r="BF6" s="21"/>
      <c r="BG6" s="21">
        <v>0</v>
      </c>
      <c r="BH6" s="21">
        <v>1</v>
      </c>
      <c r="BI6" s="21">
        <v>2</v>
      </c>
      <c r="BJ6" s="21">
        <v>3</v>
      </c>
      <c r="BK6" s="21"/>
      <c r="BL6" s="16"/>
      <c r="BM6" s="16"/>
      <c r="BN6" s="16"/>
      <c r="BO6" s="16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ht="12" customHeight="1" x14ac:dyDescent="0.25">
      <c r="A7" s="3"/>
      <c r="B7" s="23">
        <f t="shared" ref="B7:B42" si="7">IF(ISNUMBER(C7),B6+1,"")</f>
        <v>1</v>
      </c>
      <c r="C7" s="48">
        <v>471134.78129999997</v>
      </c>
      <c r="D7" s="48">
        <v>7613992.75</v>
      </c>
      <c r="E7" s="14"/>
      <c r="F7" s="48">
        <v>467509.78129999997</v>
      </c>
      <c r="G7" s="48">
        <v>7616967.75</v>
      </c>
      <c r="H7" s="29" t="s">
        <v>30</v>
      </c>
      <c r="I7" s="30" t="s">
        <v>43</v>
      </c>
      <c r="J7" s="30">
        <v>989</v>
      </c>
      <c r="K7" s="14"/>
      <c r="L7" s="27" t="s">
        <v>1</v>
      </c>
      <c r="M7" s="14"/>
      <c r="N7" s="62">
        <f>IF(ISNUMBER(O7),O7-1,"")</f>
        <v>0</v>
      </c>
      <c r="O7" s="6">
        <f t="shared" ref="O7:O42" si="8">IF(ISNUMBER(Q7),ROW()-ROW(O$6),"")</f>
        <v>1</v>
      </c>
      <c r="P7" s="38" t="str">
        <f t="shared" ref="P7:P42" si="9">IF($AB7=M$3,O7,"")</f>
        <v/>
      </c>
      <c r="Q7" s="28">
        <f>IF(ISNUMBER(R7),Q6+1,"")</f>
        <v>1</v>
      </c>
      <c r="R7" s="48">
        <v>467509.78129999997</v>
      </c>
      <c r="S7" s="48">
        <v>7616967.75</v>
      </c>
      <c r="T7" s="29" t="s">
        <v>30</v>
      </c>
      <c r="U7" s="30" t="s">
        <v>43</v>
      </c>
      <c r="V7" s="30">
        <v>989</v>
      </c>
      <c r="W7" s="25">
        <f>IF(ISNUMBER(R7),R7-MIN(R$7:R$42),"")</f>
        <v>3337.5</v>
      </c>
      <c r="X7" s="25">
        <f>IF(ISNUMBER(R7),S7-MIN(S$7:S$42),"")</f>
        <v>9037.5</v>
      </c>
      <c r="Y7" s="25">
        <f t="shared" ref="Y7:Y42" si="10">IF(ISNUMBER(R7),_xlfn.IFS($Y$3=0,_xlfn.CONCAT(ROUND(W7,0),", ",ROUND(X7,0)),$Y$3=1,N7,$Y$3=2,_xlfn.CONCAT(AB7,AC7),$Y$3=3,_xlfn.CONCAT(AG7,AH7),$Y$3=4,BH7,$Y$3=5,BI7,$Y$3=6,BJ7),"")</f>
        <v>0</v>
      </c>
      <c r="Z7" s="59">
        <f>Z8-Z8/3</f>
        <v>18.666666666666664</v>
      </c>
      <c r="AA7" s="39">
        <f>IF(Z7&lt;0,MAX(AA$6:AA6)+1,0)</f>
        <v>0</v>
      </c>
      <c r="AB7" s="39">
        <f t="shared" ref="AB7:AB35" si="11">IF(ISNUMBER(R7),IF(AA7=0,AB6,AA7),"")</f>
        <v>1</v>
      </c>
      <c r="AC7" s="39">
        <v>1</v>
      </c>
      <c r="AD7" s="19"/>
      <c r="AE7" s="19">
        <v>0</v>
      </c>
      <c r="AF7" s="19">
        <v>0</v>
      </c>
      <c r="AG7" s="39">
        <f t="shared" ref="AG7:AG42" si="12">IF(ISNUMBER(R7),AB7+AE7,"")</f>
        <v>1</v>
      </c>
      <c r="AH7" s="39">
        <f t="shared" ref="AH7:AH42" si="13">IF(ISNUMBER(S7),AC7+AF7,"")</f>
        <v>1</v>
      </c>
      <c r="AI7" s="16"/>
      <c r="AJ7" s="40">
        <f t="shared" ref="AJ7:AJ15" si="14">IF($O7&lt;=AJ$4,$O7+AD$6,"")</f>
        <v>1</v>
      </c>
      <c r="AK7" s="40">
        <f t="shared" ref="AK7:AS15" si="15">IF($O7&lt;=AK$4,$O7+AJ$6,"")</f>
        <v>6</v>
      </c>
      <c r="AL7" s="40">
        <f t="shared" si="15"/>
        <v>9</v>
      </c>
      <c r="AM7" s="40">
        <f t="shared" si="15"/>
        <v>13</v>
      </c>
      <c r="AN7" s="40">
        <f t="shared" si="15"/>
        <v>17</v>
      </c>
      <c r="AO7" s="40">
        <f t="shared" si="15"/>
        <v>23</v>
      </c>
      <c r="AP7" s="40">
        <f t="shared" si="15"/>
        <v>28</v>
      </c>
      <c r="AQ7" s="40" t="str">
        <f t="shared" si="15"/>
        <v/>
      </c>
      <c r="AR7" s="40" t="str">
        <f t="shared" si="15"/>
        <v/>
      </c>
      <c r="AS7" s="40" t="str">
        <f t="shared" si="15"/>
        <v/>
      </c>
      <c r="AT7" s="31"/>
      <c r="AU7" s="40">
        <f t="shared" ref="AU7:AU15" si="16">IF(ISNUMBER(AJ7),INDEX($R$7:$S$42,AJ7,AU$4),AU6)</f>
        <v>467509.78129999997</v>
      </c>
      <c r="AV7" s="40">
        <f t="shared" ref="AV7:AV15" si="17">IF(ISNUMBER(AK7),INDEX($R$7:$S$42,AK7,AV$4),AV6)</f>
        <v>471134.78129999997</v>
      </c>
      <c r="AW7" s="40">
        <f t="shared" ref="AW7:AW15" si="18">IF(ISNUMBER(AL7),INDEX($R$7:$S$42,AL7,AW$4),AW6)</f>
        <v>469934.78129999997</v>
      </c>
      <c r="AX7" s="40">
        <f t="shared" ref="AX7:AX15" si="19">IF(ISNUMBER(AM7),INDEX($R$7:$S$42,AM7,AX$4),AX6)</f>
        <v>468434.78129999997</v>
      </c>
      <c r="AY7" s="40">
        <f t="shared" ref="AY7:AY15" si="20">IF(ISNUMBER(AN7),INDEX($R$7:$S$42,AN7,AY$4),AY6)</f>
        <v>464872.28129999997</v>
      </c>
      <c r="AZ7" s="40">
        <f t="shared" ref="AZ7:AZ15" si="21">IF(ISNUMBER(AO7),INDEX($R$7:$S$42,AO7,AZ$4),AZ6)</f>
        <v>468284.78129999997</v>
      </c>
      <c r="BA7" s="40">
        <f t="shared" ref="BA7:BA15" si="22">IF(ISNUMBER(AP7),INDEX($R$7:$S$42,AP7,BA$4),BA6)</f>
        <v>464822.28129999997</v>
      </c>
      <c r="BB7" s="40" t="str">
        <f t="shared" ref="BB7:BB15" si="23">IF(ISNUMBER(AQ7),INDEX($R$7:$S$42,AQ7,BB$4),BB6)</f>
        <v>x</v>
      </c>
      <c r="BC7" s="40" t="str">
        <f t="shared" ref="BC7:BC15" si="24">IF(ISNUMBER(AR7),INDEX($R$7:$S$42,AR7,BC$4),BC6)</f>
        <v>x</v>
      </c>
      <c r="BD7" s="40" t="str">
        <f t="shared" ref="BD7:BD15" si="25">IF(ISNUMBER(AS7),INDEX($R$7:$S$42,AS7,BD$4),BD6)</f>
        <v>x</v>
      </c>
      <c r="BE7" s="18"/>
      <c r="BF7" s="53">
        <v>0</v>
      </c>
      <c r="BG7" s="39">
        <v>0</v>
      </c>
      <c r="BH7" s="54">
        <v>0</v>
      </c>
      <c r="BI7" s="56" t="s">
        <v>71</v>
      </c>
      <c r="BJ7" s="54" t="s">
        <v>3</v>
      </c>
      <c r="BK7" s="54"/>
      <c r="BL7" s="18"/>
      <c r="BM7" s="18"/>
      <c r="BN7" s="18"/>
      <c r="BO7" s="18"/>
      <c r="BP7" s="18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ht="12" customHeight="1" x14ac:dyDescent="0.25">
      <c r="A8" s="3"/>
      <c r="B8" s="23">
        <f t="shared" si="7"/>
        <v>2</v>
      </c>
      <c r="C8" s="48">
        <v>469922.28129999997</v>
      </c>
      <c r="D8" s="48">
        <v>7614405.25</v>
      </c>
      <c r="E8" s="14"/>
      <c r="F8" s="48">
        <v>468059.78129999997</v>
      </c>
      <c r="G8" s="48">
        <v>7616642.75</v>
      </c>
      <c r="H8" s="29" t="s">
        <v>29</v>
      </c>
      <c r="I8" s="30" t="s">
        <v>44</v>
      </c>
      <c r="J8" s="30">
        <v>961</v>
      </c>
      <c r="K8" s="14"/>
      <c r="L8" s="27">
        <f t="shared" ref="L8:L42" si="26">IF(ISNUMBER(R8),SQRT((R8-R7)^2+(S8-S7)^2),"")</f>
        <v>638.84661695903185</v>
      </c>
      <c r="M8" s="14"/>
      <c r="N8" s="62">
        <f t="shared" ref="N8:N42" si="27">IF(ISNUMBER(O8),O8-1,"")</f>
        <v>1</v>
      </c>
      <c r="O8" s="6">
        <f t="shared" si="8"/>
        <v>2</v>
      </c>
      <c r="P8" s="38" t="str">
        <f t="shared" si="9"/>
        <v/>
      </c>
      <c r="Q8" s="28">
        <f>IF(ISNUMBER(R8),Q7+1,"")</f>
        <v>2</v>
      </c>
      <c r="R8" s="48">
        <v>468059.78129999997</v>
      </c>
      <c r="S8" s="48">
        <v>7616642.75</v>
      </c>
      <c r="T8" s="29" t="s">
        <v>29</v>
      </c>
      <c r="U8" s="30" t="s">
        <v>44</v>
      </c>
      <c r="V8" s="30">
        <v>961</v>
      </c>
      <c r="W8" s="25">
        <f t="shared" ref="W8:W32" si="28">IF(ISNUMBER(R8),R8-MIN(R$7:R$42),"")</f>
        <v>3887.5</v>
      </c>
      <c r="X8" s="25">
        <f t="shared" ref="X8:X32" si="29">IF(ISNUMBER(R8),S8-MIN(S$7:S$42),"")</f>
        <v>8712.5</v>
      </c>
      <c r="Y8" s="25">
        <f t="shared" si="10"/>
        <v>1</v>
      </c>
      <c r="Z8" s="38">
        <f>IF(ISNUMBER(R8),V7-V8,"")</f>
        <v>28</v>
      </c>
      <c r="AA8" s="39">
        <f>IF(Z8&lt;0,MAX(AA$6:AA7)+1,0)</f>
        <v>0</v>
      </c>
      <c r="AB8" s="39">
        <f t="shared" si="11"/>
        <v>1</v>
      </c>
      <c r="AC8" s="39">
        <f>IF(ISNUMBER(R7),IF(AA8&lt;&gt;0,1,AC7+1),"")</f>
        <v>2</v>
      </c>
      <c r="AD8" s="19"/>
      <c r="AE8" s="19">
        <v>0</v>
      </c>
      <c r="AF8" s="19">
        <v>0</v>
      </c>
      <c r="AG8" s="39">
        <f t="shared" si="12"/>
        <v>1</v>
      </c>
      <c r="AH8" s="39">
        <f t="shared" si="13"/>
        <v>2</v>
      </c>
      <c r="AI8" s="16"/>
      <c r="AJ8" s="40">
        <f t="shared" si="14"/>
        <v>2</v>
      </c>
      <c r="AK8" s="40">
        <f t="shared" si="15"/>
        <v>7</v>
      </c>
      <c r="AL8" s="40">
        <f t="shared" si="15"/>
        <v>10</v>
      </c>
      <c r="AM8" s="40">
        <f t="shared" si="15"/>
        <v>14</v>
      </c>
      <c r="AN8" s="40">
        <f t="shared" si="15"/>
        <v>18</v>
      </c>
      <c r="AO8" s="40">
        <f t="shared" si="15"/>
        <v>24</v>
      </c>
      <c r="AP8" s="40">
        <f t="shared" si="15"/>
        <v>29</v>
      </c>
      <c r="AQ8" s="40" t="str">
        <f t="shared" si="15"/>
        <v/>
      </c>
      <c r="AR8" s="40" t="str">
        <f t="shared" si="15"/>
        <v/>
      </c>
      <c r="AS8" s="40" t="str">
        <f t="shared" si="15"/>
        <v/>
      </c>
      <c r="AT8" s="31"/>
      <c r="AU8" s="40">
        <f t="shared" si="16"/>
        <v>468059.78129999997</v>
      </c>
      <c r="AV8" s="40">
        <f t="shared" si="17"/>
        <v>469922.28129999997</v>
      </c>
      <c r="AW8" s="40">
        <f t="shared" si="18"/>
        <v>468797.28129999997</v>
      </c>
      <c r="AX8" s="40">
        <f t="shared" si="19"/>
        <v>467384.78129999997</v>
      </c>
      <c r="AY8" s="40">
        <f t="shared" si="20"/>
        <v>465422.28129999997</v>
      </c>
      <c r="AZ8" s="40">
        <f t="shared" si="21"/>
        <v>466622.28129999997</v>
      </c>
      <c r="BA8" s="40">
        <f t="shared" si="22"/>
        <v>464172.28129999997</v>
      </c>
      <c r="BB8" s="40" t="str">
        <f t="shared" si="23"/>
        <v>x</v>
      </c>
      <c r="BC8" s="40" t="str">
        <f t="shared" si="24"/>
        <v>x</v>
      </c>
      <c r="BD8" s="40" t="str">
        <f t="shared" si="25"/>
        <v>x</v>
      </c>
      <c r="BE8" s="18"/>
      <c r="BF8" s="39">
        <v>1</v>
      </c>
      <c r="BG8" s="39">
        <v>1</v>
      </c>
      <c r="BH8" s="54">
        <f t="shared" ref="BH8:BH10" si="30">BH7+1</f>
        <v>1</v>
      </c>
      <c r="BI8" s="54">
        <v>-1</v>
      </c>
      <c r="BJ8" s="54" t="s">
        <v>3</v>
      </c>
      <c r="BK8" s="54"/>
      <c r="BL8" s="18"/>
      <c r="BM8" s="18"/>
      <c r="BN8" s="18"/>
      <c r="BO8" s="18"/>
      <c r="BP8" s="18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ht="12" customHeight="1" x14ac:dyDescent="0.25">
      <c r="A9" s="3"/>
      <c r="B9" s="23">
        <f t="shared" si="7"/>
        <v>3</v>
      </c>
      <c r="C9" s="48">
        <v>468834.78129999997</v>
      </c>
      <c r="D9" s="48">
        <v>7614292.75</v>
      </c>
      <c r="E9" s="14"/>
      <c r="F9" s="48">
        <v>468334.78129999997</v>
      </c>
      <c r="G9" s="48">
        <v>7615805.25</v>
      </c>
      <c r="H9" s="29" t="s">
        <v>28</v>
      </c>
      <c r="I9" s="30" t="s">
        <v>45</v>
      </c>
      <c r="J9" s="30">
        <v>937</v>
      </c>
      <c r="K9" s="14"/>
      <c r="L9" s="27">
        <f t="shared" si="26"/>
        <v>881.49376061319913</v>
      </c>
      <c r="M9" s="14"/>
      <c r="N9" s="62">
        <f t="shared" si="27"/>
        <v>2</v>
      </c>
      <c r="O9" s="6">
        <f t="shared" si="8"/>
        <v>3</v>
      </c>
      <c r="P9" s="38" t="str">
        <f t="shared" si="9"/>
        <v/>
      </c>
      <c r="Q9" s="28">
        <f t="shared" ref="Q9:Q42" si="31">IF(ISNUMBER(R9),Q8+1,"")</f>
        <v>3</v>
      </c>
      <c r="R9" s="48">
        <v>468334.78129999997</v>
      </c>
      <c r="S9" s="48">
        <v>7615805.25</v>
      </c>
      <c r="T9" s="29" t="s">
        <v>28</v>
      </c>
      <c r="U9" s="30" t="s">
        <v>45</v>
      </c>
      <c r="V9" s="30">
        <v>937</v>
      </c>
      <c r="W9" s="25">
        <f t="shared" si="28"/>
        <v>4162.5</v>
      </c>
      <c r="X9" s="25">
        <f t="shared" si="29"/>
        <v>7875</v>
      </c>
      <c r="Y9" s="25">
        <f t="shared" si="10"/>
        <v>2</v>
      </c>
      <c r="Z9" s="38">
        <f t="shared" ref="Z9:Z35" si="32">IF(ISNUMBER(R9),V8-V9,"")</f>
        <v>24</v>
      </c>
      <c r="AA9" s="39">
        <f>IF(Z9&lt;0,MAX(AA$6:AA8)+1,0)</f>
        <v>0</v>
      </c>
      <c r="AB9" s="39">
        <f t="shared" si="11"/>
        <v>1</v>
      </c>
      <c r="AC9" s="39">
        <f t="shared" ref="AC9:AC42" si="33">IF(ISNUMBER(R8),IF(AA9&lt;&gt;0,1,AC8+1),"")</f>
        <v>3</v>
      </c>
      <c r="AD9" s="19"/>
      <c r="AE9" s="19">
        <v>0</v>
      </c>
      <c r="AF9" s="19">
        <v>0</v>
      </c>
      <c r="AG9" s="39">
        <f t="shared" si="12"/>
        <v>1</v>
      </c>
      <c r="AH9" s="39">
        <f t="shared" si="13"/>
        <v>3</v>
      </c>
      <c r="AI9" s="16"/>
      <c r="AJ9" s="40">
        <f t="shared" si="14"/>
        <v>3</v>
      </c>
      <c r="AK9" s="40">
        <f t="shared" si="15"/>
        <v>8</v>
      </c>
      <c r="AL9" s="40">
        <f t="shared" si="15"/>
        <v>11</v>
      </c>
      <c r="AM9" s="40">
        <f t="shared" si="15"/>
        <v>15</v>
      </c>
      <c r="AN9" s="40">
        <f t="shared" si="15"/>
        <v>19</v>
      </c>
      <c r="AO9" s="40">
        <f t="shared" si="15"/>
        <v>25</v>
      </c>
      <c r="AP9" s="40" t="str">
        <f t="shared" si="15"/>
        <v/>
      </c>
      <c r="AQ9" s="40" t="str">
        <f t="shared" si="15"/>
        <v/>
      </c>
      <c r="AR9" s="40" t="str">
        <f t="shared" si="15"/>
        <v/>
      </c>
      <c r="AS9" s="40" t="str">
        <f t="shared" si="15"/>
        <v/>
      </c>
      <c r="AT9" s="31"/>
      <c r="AU9" s="40">
        <f t="shared" si="16"/>
        <v>468334.78129999997</v>
      </c>
      <c r="AV9" s="40">
        <f t="shared" si="17"/>
        <v>468834.78129999997</v>
      </c>
      <c r="AW9" s="40">
        <f t="shared" si="18"/>
        <v>467797.28129999997</v>
      </c>
      <c r="AX9" s="40">
        <f t="shared" si="19"/>
        <v>466597.28129999997</v>
      </c>
      <c r="AY9" s="40">
        <f t="shared" si="20"/>
        <v>465284.78129999997</v>
      </c>
      <c r="AZ9" s="40">
        <f t="shared" si="21"/>
        <v>466097.28129999997</v>
      </c>
      <c r="BA9" s="40">
        <f t="shared" si="22"/>
        <v>464172.28129999997</v>
      </c>
      <c r="BB9" s="40" t="str">
        <f t="shared" si="23"/>
        <v>x</v>
      </c>
      <c r="BC9" s="40" t="str">
        <f t="shared" si="24"/>
        <v>x</v>
      </c>
      <c r="BD9" s="40" t="str">
        <f t="shared" si="25"/>
        <v>x</v>
      </c>
      <c r="BE9" s="18"/>
      <c r="BF9" s="39">
        <v>2</v>
      </c>
      <c r="BG9" s="39">
        <v>2</v>
      </c>
      <c r="BH9" s="54">
        <f t="shared" si="30"/>
        <v>2</v>
      </c>
      <c r="BI9" s="54">
        <f>BI8-1</f>
        <v>-2</v>
      </c>
      <c r="BJ9" s="54" t="s">
        <v>3</v>
      </c>
      <c r="BK9" s="54"/>
      <c r="BL9" s="18"/>
      <c r="BM9" s="18"/>
      <c r="BN9" s="18"/>
      <c r="BO9" s="18"/>
      <c r="BP9" s="18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ht="12" customHeight="1" x14ac:dyDescent="0.25">
      <c r="A10" s="3"/>
      <c r="B10" s="23">
        <f t="shared" si="7"/>
        <v>4</v>
      </c>
      <c r="C10" s="48">
        <v>467509.78129999997</v>
      </c>
      <c r="D10" s="48">
        <v>7616967.75</v>
      </c>
      <c r="E10" s="14"/>
      <c r="F10" s="48">
        <v>468397.28129999997</v>
      </c>
      <c r="G10" s="48">
        <v>7614955.25</v>
      </c>
      <c r="H10" s="29" t="s">
        <v>27</v>
      </c>
      <c r="I10" s="30" t="s">
        <v>46</v>
      </c>
      <c r="J10" s="30">
        <v>903</v>
      </c>
      <c r="K10" s="14"/>
      <c r="L10" s="27">
        <f t="shared" si="26"/>
        <v>852.29469668653928</v>
      </c>
      <c r="M10" s="14"/>
      <c r="N10" s="62">
        <f t="shared" si="27"/>
        <v>3</v>
      </c>
      <c r="O10" s="6">
        <f t="shared" si="8"/>
        <v>4</v>
      </c>
      <c r="P10" s="38" t="str">
        <f t="shared" si="9"/>
        <v/>
      </c>
      <c r="Q10" s="28">
        <f t="shared" si="31"/>
        <v>4</v>
      </c>
      <c r="R10" s="48">
        <v>468397.28129999997</v>
      </c>
      <c r="S10" s="48">
        <v>7614955.25</v>
      </c>
      <c r="T10" s="29" t="s">
        <v>27</v>
      </c>
      <c r="U10" s="30" t="s">
        <v>46</v>
      </c>
      <c r="V10" s="30">
        <v>903</v>
      </c>
      <c r="W10" s="25">
        <f t="shared" si="28"/>
        <v>4225</v>
      </c>
      <c r="X10" s="25">
        <f t="shared" si="29"/>
        <v>7025</v>
      </c>
      <c r="Y10" s="25">
        <f t="shared" si="10"/>
        <v>3</v>
      </c>
      <c r="Z10" s="38">
        <f t="shared" si="32"/>
        <v>34</v>
      </c>
      <c r="AA10" s="39">
        <f>IF(Z10&lt;0,MAX(AA$6:AA9)+1,0)</f>
        <v>0</v>
      </c>
      <c r="AB10" s="39">
        <f t="shared" si="11"/>
        <v>1</v>
      </c>
      <c r="AC10" s="39">
        <f t="shared" si="33"/>
        <v>4</v>
      </c>
      <c r="AD10" s="19"/>
      <c r="AE10" s="19">
        <v>0</v>
      </c>
      <c r="AF10" s="19">
        <v>0</v>
      </c>
      <c r="AG10" s="39">
        <f t="shared" si="12"/>
        <v>1</v>
      </c>
      <c r="AH10" s="39">
        <f t="shared" si="13"/>
        <v>4</v>
      </c>
      <c r="AI10" s="16"/>
      <c r="AJ10" s="40">
        <f t="shared" si="14"/>
        <v>4</v>
      </c>
      <c r="AK10" s="40" t="str">
        <f t="shared" si="15"/>
        <v/>
      </c>
      <c r="AL10" s="40">
        <f t="shared" si="15"/>
        <v>12</v>
      </c>
      <c r="AM10" s="40">
        <f t="shared" si="15"/>
        <v>16</v>
      </c>
      <c r="AN10" s="40">
        <f t="shared" si="15"/>
        <v>20</v>
      </c>
      <c r="AO10" s="40">
        <f t="shared" si="15"/>
        <v>26</v>
      </c>
      <c r="AP10" s="40" t="str">
        <f t="shared" si="15"/>
        <v/>
      </c>
      <c r="AQ10" s="40" t="str">
        <f t="shared" si="15"/>
        <v/>
      </c>
      <c r="AR10" s="40" t="str">
        <f t="shared" si="15"/>
        <v/>
      </c>
      <c r="AS10" s="40" t="str">
        <f t="shared" si="15"/>
        <v/>
      </c>
      <c r="AT10" s="31"/>
      <c r="AU10" s="40">
        <f t="shared" si="16"/>
        <v>468397.28129999997</v>
      </c>
      <c r="AV10" s="40">
        <f t="shared" si="17"/>
        <v>468834.78129999997</v>
      </c>
      <c r="AW10" s="40">
        <f t="shared" si="18"/>
        <v>467172.28129999997</v>
      </c>
      <c r="AX10" s="40">
        <f t="shared" si="19"/>
        <v>465672.28129999997</v>
      </c>
      <c r="AY10" s="40">
        <f t="shared" si="20"/>
        <v>464384.78129999997</v>
      </c>
      <c r="AZ10" s="40">
        <f t="shared" si="21"/>
        <v>465534.78129999997</v>
      </c>
      <c r="BA10" s="40">
        <f t="shared" si="22"/>
        <v>464172.28129999997</v>
      </c>
      <c r="BB10" s="40" t="str">
        <f t="shared" si="23"/>
        <v>x</v>
      </c>
      <c r="BC10" s="40" t="str">
        <f t="shared" si="24"/>
        <v>x</v>
      </c>
      <c r="BD10" s="40" t="str">
        <f t="shared" si="25"/>
        <v>x</v>
      </c>
      <c r="BE10" s="18"/>
      <c r="BF10" s="39">
        <v>3</v>
      </c>
      <c r="BG10" s="39">
        <v>3</v>
      </c>
      <c r="BH10" s="54">
        <f t="shared" si="30"/>
        <v>3</v>
      </c>
      <c r="BI10" s="54">
        <f t="shared" ref="BI10:BI18" si="34">BI9-1</f>
        <v>-3</v>
      </c>
      <c r="BJ10" s="54" t="s">
        <v>3</v>
      </c>
      <c r="BK10" s="54"/>
      <c r="BL10" s="18"/>
      <c r="BM10" s="18"/>
      <c r="BN10" s="18"/>
      <c r="BO10" s="18"/>
      <c r="BP10" s="18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ht="12" customHeight="1" x14ac:dyDescent="0.25">
      <c r="A11" s="3"/>
      <c r="B11" s="23">
        <f t="shared" si="7"/>
        <v>5</v>
      </c>
      <c r="C11" s="48">
        <v>468059.78129999997</v>
      </c>
      <c r="D11" s="48">
        <v>7616642.75</v>
      </c>
      <c r="E11" s="14"/>
      <c r="F11" s="48">
        <v>468047.28129999997</v>
      </c>
      <c r="G11" s="48">
        <v>7614180.25</v>
      </c>
      <c r="H11" s="29" t="s">
        <v>25</v>
      </c>
      <c r="I11" s="30" t="s">
        <v>47</v>
      </c>
      <c r="J11" s="30">
        <v>889</v>
      </c>
      <c r="K11" s="14"/>
      <c r="L11" s="27">
        <f t="shared" si="26"/>
        <v>850.36756758474746</v>
      </c>
      <c r="M11" s="14"/>
      <c r="N11" s="62">
        <f t="shared" si="27"/>
        <v>4</v>
      </c>
      <c r="O11" s="6">
        <f t="shared" si="8"/>
        <v>5</v>
      </c>
      <c r="P11" s="38" t="str">
        <f t="shared" si="9"/>
        <v/>
      </c>
      <c r="Q11" s="28">
        <f t="shared" si="31"/>
        <v>5</v>
      </c>
      <c r="R11" s="48">
        <v>468047.28129999997</v>
      </c>
      <c r="S11" s="48">
        <v>7614180.25</v>
      </c>
      <c r="T11" s="29" t="s">
        <v>25</v>
      </c>
      <c r="U11" s="30" t="s">
        <v>47</v>
      </c>
      <c r="V11" s="30">
        <v>889</v>
      </c>
      <c r="W11" s="25">
        <f t="shared" si="28"/>
        <v>3875</v>
      </c>
      <c r="X11" s="25">
        <f t="shared" si="29"/>
        <v>6250</v>
      </c>
      <c r="Y11" s="25">
        <f t="shared" si="10"/>
        <v>4</v>
      </c>
      <c r="Z11" s="38">
        <f t="shared" si="32"/>
        <v>14</v>
      </c>
      <c r="AA11" s="39">
        <f>IF(Z11&lt;0,MAX(AA$6:AA10)+1,0)</f>
        <v>0</v>
      </c>
      <c r="AB11" s="39">
        <f t="shared" si="11"/>
        <v>1</v>
      </c>
      <c r="AC11" s="39">
        <f t="shared" si="33"/>
        <v>5</v>
      </c>
      <c r="AD11" s="19"/>
      <c r="AE11" s="19">
        <v>0</v>
      </c>
      <c r="AF11" s="19">
        <v>0</v>
      </c>
      <c r="AG11" s="39">
        <f t="shared" si="12"/>
        <v>1</v>
      </c>
      <c r="AH11" s="39">
        <f t="shared" si="13"/>
        <v>5</v>
      </c>
      <c r="AI11" s="16"/>
      <c r="AJ11" s="40">
        <f t="shared" si="14"/>
        <v>5</v>
      </c>
      <c r="AK11" s="40" t="str">
        <f t="shared" si="15"/>
        <v/>
      </c>
      <c r="AL11" s="40" t="str">
        <f t="shared" si="15"/>
        <v/>
      </c>
      <c r="AM11" s="40" t="str">
        <f t="shared" si="15"/>
        <v/>
      </c>
      <c r="AN11" s="40">
        <f t="shared" si="15"/>
        <v>21</v>
      </c>
      <c r="AO11" s="40">
        <f t="shared" si="15"/>
        <v>27</v>
      </c>
      <c r="AP11" s="40" t="str">
        <f t="shared" si="15"/>
        <v/>
      </c>
      <c r="AQ11" s="40" t="str">
        <f t="shared" si="15"/>
        <v/>
      </c>
      <c r="AR11" s="40" t="str">
        <f t="shared" si="15"/>
        <v/>
      </c>
      <c r="AS11" s="40" t="str">
        <f t="shared" si="15"/>
        <v/>
      </c>
      <c r="AT11" s="31"/>
      <c r="AU11" s="40">
        <f t="shared" si="16"/>
        <v>468047.28129999997</v>
      </c>
      <c r="AV11" s="40">
        <f t="shared" si="17"/>
        <v>468834.78129999997</v>
      </c>
      <c r="AW11" s="40">
        <f t="shared" si="18"/>
        <v>467172.28129999997</v>
      </c>
      <c r="AX11" s="40">
        <f t="shared" si="19"/>
        <v>465672.28129999997</v>
      </c>
      <c r="AY11" s="40">
        <f t="shared" si="20"/>
        <v>464297.28129999997</v>
      </c>
      <c r="AZ11" s="40">
        <f t="shared" si="21"/>
        <v>464909.78129999997</v>
      </c>
      <c r="BA11" s="40">
        <f t="shared" si="22"/>
        <v>464172.28129999997</v>
      </c>
      <c r="BB11" s="40" t="str">
        <f t="shared" si="23"/>
        <v>x</v>
      </c>
      <c r="BC11" s="40" t="str">
        <f t="shared" si="24"/>
        <v>x</v>
      </c>
      <c r="BD11" s="40" t="str">
        <f t="shared" si="25"/>
        <v>x</v>
      </c>
      <c r="BE11" s="18"/>
      <c r="BF11" s="55">
        <v>4</v>
      </c>
      <c r="BG11" s="39">
        <v>4</v>
      </c>
      <c r="BH11" s="54">
        <f t="shared" ref="BH11" si="35">BH10+1</f>
        <v>4</v>
      </c>
      <c r="BI11" s="54">
        <f t="shared" si="34"/>
        <v>-4</v>
      </c>
      <c r="BJ11" s="54" t="s">
        <v>3</v>
      </c>
      <c r="BK11" s="54"/>
      <c r="BL11" s="18"/>
      <c r="BM11" s="18"/>
      <c r="BN11" s="18"/>
      <c r="BO11" s="18"/>
      <c r="BP11" s="18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ht="12" customHeight="1" x14ac:dyDescent="0.25">
      <c r="A12" s="3"/>
      <c r="B12" s="23">
        <f t="shared" si="7"/>
        <v>6</v>
      </c>
      <c r="C12" s="48">
        <v>468334.78129999997</v>
      </c>
      <c r="D12" s="48">
        <v>7615805.25</v>
      </c>
      <c r="E12" s="14"/>
      <c r="F12" s="48">
        <v>471134.78129999997</v>
      </c>
      <c r="G12" s="48">
        <v>7613992.75</v>
      </c>
      <c r="H12" s="29" t="s">
        <v>32</v>
      </c>
      <c r="I12" s="30" t="s">
        <v>40</v>
      </c>
      <c r="J12" s="30">
        <v>1001</v>
      </c>
      <c r="K12" s="14"/>
      <c r="L12" s="27">
        <f t="shared" si="26"/>
        <v>3093.1880802822193</v>
      </c>
      <c r="M12" s="14"/>
      <c r="N12" s="62">
        <f t="shared" si="27"/>
        <v>5</v>
      </c>
      <c r="O12" s="6">
        <f t="shared" si="8"/>
        <v>6</v>
      </c>
      <c r="P12" s="38" t="str">
        <f t="shared" si="9"/>
        <v/>
      </c>
      <c r="Q12" s="28">
        <f t="shared" si="31"/>
        <v>6</v>
      </c>
      <c r="R12" s="48">
        <v>471134.78129999997</v>
      </c>
      <c r="S12" s="48">
        <v>7613992.75</v>
      </c>
      <c r="T12" s="29" t="s">
        <v>32</v>
      </c>
      <c r="U12" s="30" t="s">
        <v>40</v>
      </c>
      <c r="V12" s="30">
        <v>1001</v>
      </c>
      <c r="W12" s="25">
        <f t="shared" si="28"/>
        <v>6962.5</v>
      </c>
      <c r="X12" s="25">
        <f t="shared" si="29"/>
        <v>6062.5</v>
      </c>
      <c r="Y12" s="25">
        <f t="shared" si="10"/>
        <v>5</v>
      </c>
      <c r="Z12" s="38">
        <f t="shared" si="32"/>
        <v>-112</v>
      </c>
      <c r="AA12" s="39">
        <f>IF(Z12&lt;0,MAX(AA$6:AA11)+1,0)</f>
        <v>2</v>
      </c>
      <c r="AB12" s="39">
        <f t="shared" si="11"/>
        <v>2</v>
      </c>
      <c r="AC12" s="39">
        <f t="shared" si="33"/>
        <v>1</v>
      </c>
      <c r="AD12" s="19"/>
      <c r="AE12" s="19">
        <v>0</v>
      </c>
      <c r="AF12" s="19">
        <v>0</v>
      </c>
      <c r="AG12" s="39">
        <f t="shared" si="12"/>
        <v>2</v>
      </c>
      <c r="AH12" s="39">
        <f t="shared" si="13"/>
        <v>1</v>
      </c>
      <c r="AI12" s="16"/>
      <c r="AJ12" s="40" t="str">
        <f t="shared" si="14"/>
        <v/>
      </c>
      <c r="AK12" s="40" t="str">
        <f t="shared" si="15"/>
        <v/>
      </c>
      <c r="AL12" s="40" t="str">
        <f t="shared" si="15"/>
        <v/>
      </c>
      <c r="AM12" s="40" t="str">
        <f t="shared" si="15"/>
        <v/>
      </c>
      <c r="AN12" s="40">
        <f t="shared" si="15"/>
        <v>22</v>
      </c>
      <c r="AO12" s="40" t="str">
        <f t="shared" si="15"/>
        <v/>
      </c>
      <c r="AP12" s="40" t="str">
        <f t="shared" si="15"/>
        <v/>
      </c>
      <c r="AQ12" s="40" t="str">
        <f t="shared" si="15"/>
        <v/>
      </c>
      <c r="AR12" s="40" t="str">
        <f t="shared" si="15"/>
        <v/>
      </c>
      <c r="AS12" s="40" t="str">
        <f t="shared" si="15"/>
        <v/>
      </c>
      <c r="AT12" s="16"/>
      <c r="AU12" s="40">
        <f t="shared" si="16"/>
        <v>468047.28129999997</v>
      </c>
      <c r="AV12" s="40">
        <f t="shared" si="17"/>
        <v>468834.78129999997</v>
      </c>
      <c r="AW12" s="40">
        <f t="shared" si="18"/>
        <v>467172.28129999997</v>
      </c>
      <c r="AX12" s="40">
        <f t="shared" si="19"/>
        <v>465672.28129999997</v>
      </c>
      <c r="AY12" s="40">
        <f t="shared" si="20"/>
        <v>464784.78129999997</v>
      </c>
      <c r="AZ12" s="40">
        <f t="shared" si="21"/>
        <v>464909.78129999997</v>
      </c>
      <c r="BA12" s="40">
        <f t="shared" si="22"/>
        <v>464172.28129999997</v>
      </c>
      <c r="BB12" s="40" t="str">
        <f t="shared" si="23"/>
        <v>x</v>
      </c>
      <c r="BC12" s="40" t="str">
        <f t="shared" si="24"/>
        <v>x</v>
      </c>
      <c r="BD12" s="40" t="str">
        <f t="shared" si="25"/>
        <v>x</v>
      </c>
      <c r="BE12" s="18"/>
      <c r="BF12" s="53">
        <v>5</v>
      </c>
      <c r="BG12" s="39">
        <v>5</v>
      </c>
      <c r="BH12" s="54">
        <v>5</v>
      </c>
      <c r="BI12" s="54">
        <f t="shared" si="34"/>
        <v>-5</v>
      </c>
      <c r="BJ12" s="54" t="s">
        <v>3</v>
      </c>
      <c r="BK12" s="54"/>
      <c r="BL12" s="18"/>
      <c r="BM12" s="18"/>
      <c r="BN12" s="18"/>
      <c r="BO12" s="18"/>
      <c r="BP12" s="18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ht="12" customHeight="1" x14ac:dyDescent="0.25">
      <c r="A13" s="3"/>
      <c r="B13" s="23">
        <f t="shared" si="7"/>
        <v>7</v>
      </c>
      <c r="C13" s="48">
        <v>468397.28129999997</v>
      </c>
      <c r="D13" s="48">
        <v>7614955.25</v>
      </c>
      <c r="E13" s="14"/>
      <c r="F13" s="48">
        <v>469922.28129999997</v>
      </c>
      <c r="G13" s="48">
        <v>7614405.25</v>
      </c>
      <c r="H13" s="29" t="s">
        <v>31</v>
      </c>
      <c r="I13" s="30" t="s">
        <v>41</v>
      </c>
      <c r="J13" s="30">
        <v>976</v>
      </c>
      <c r="K13" s="14"/>
      <c r="L13" s="27">
        <f t="shared" si="26"/>
        <v>1280.7468524263488</v>
      </c>
      <c r="M13" s="14"/>
      <c r="N13" s="62">
        <f t="shared" si="27"/>
        <v>6</v>
      </c>
      <c r="O13" s="6">
        <f t="shared" si="8"/>
        <v>7</v>
      </c>
      <c r="P13" s="38" t="str">
        <f t="shared" si="9"/>
        <v/>
      </c>
      <c r="Q13" s="28">
        <f t="shared" si="31"/>
        <v>7</v>
      </c>
      <c r="R13" s="48">
        <v>469922.28129999997</v>
      </c>
      <c r="S13" s="48">
        <v>7614405.25</v>
      </c>
      <c r="T13" s="29" t="s">
        <v>31</v>
      </c>
      <c r="U13" s="30" t="s">
        <v>41</v>
      </c>
      <c r="V13" s="30">
        <v>976</v>
      </c>
      <c r="W13" s="25">
        <f t="shared" si="28"/>
        <v>5750</v>
      </c>
      <c r="X13" s="25">
        <f t="shared" si="29"/>
        <v>6475</v>
      </c>
      <c r="Y13" s="25">
        <f t="shared" si="10"/>
        <v>6</v>
      </c>
      <c r="Z13" s="38">
        <f t="shared" si="32"/>
        <v>25</v>
      </c>
      <c r="AA13" s="39">
        <f>IF(Z13&lt;0,MAX(AA$6:AA12)+1,0)</f>
        <v>0</v>
      </c>
      <c r="AB13" s="39">
        <f t="shared" si="11"/>
        <v>2</v>
      </c>
      <c r="AC13" s="39">
        <f t="shared" si="33"/>
        <v>2</v>
      </c>
      <c r="AD13" s="19"/>
      <c r="AE13" s="19">
        <v>0</v>
      </c>
      <c r="AF13" s="19">
        <v>0</v>
      </c>
      <c r="AG13" s="39">
        <f t="shared" si="12"/>
        <v>2</v>
      </c>
      <c r="AH13" s="39">
        <f t="shared" si="13"/>
        <v>2</v>
      </c>
      <c r="AI13" s="16"/>
      <c r="AJ13" s="40" t="str">
        <f t="shared" si="14"/>
        <v/>
      </c>
      <c r="AK13" s="40" t="str">
        <f t="shared" si="15"/>
        <v/>
      </c>
      <c r="AL13" s="40" t="str">
        <f t="shared" si="15"/>
        <v/>
      </c>
      <c r="AM13" s="40" t="str">
        <f t="shared" si="15"/>
        <v/>
      </c>
      <c r="AN13" s="40" t="str">
        <f t="shared" si="15"/>
        <v/>
      </c>
      <c r="AO13" s="40" t="str">
        <f t="shared" si="15"/>
        <v/>
      </c>
      <c r="AP13" s="40" t="str">
        <f t="shared" si="15"/>
        <v/>
      </c>
      <c r="AQ13" s="40" t="str">
        <f t="shared" si="15"/>
        <v/>
      </c>
      <c r="AR13" s="40" t="str">
        <f t="shared" si="15"/>
        <v/>
      </c>
      <c r="AS13" s="40" t="str">
        <f t="shared" si="15"/>
        <v/>
      </c>
      <c r="AT13" s="16"/>
      <c r="AU13" s="40">
        <f t="shared" si="16"/>
        <v>468047.28129999997</v>
      </c>
      <c r="AV13" s="40">
        <f t="shared" si="17"/>
        <v>468834.78129999997</v>
      </c>
      <c r="AW13" s="40">
        <f t="shared" si="18"/>
        <v>467172.28129999997</v>
      </c>
      <c r="AX13" s="40">
        <f t="shared" si="19"/>
        <v>465672.28129999997</v>
      </c>
      <c r="AY13" s="40">
        <f t="shared" si="20"/>
        <v>464784.78129999997</v>
      </c>
      <c r="AZ13" s="40">
        <f t="shared" si="21"/>
        <v>464909.78129999997</v>
      </c>
      <c r="BA13" s="40">
        <f t="shared" si="22"/>
        <v>464172.28129999997</v>
      </c>
      <c r="BB13" s="40" t="str">
        <f t="shared" si="23"/>
        <v>x</v>
      </c>
      <c r="BC13" s="40" t="str">
        <f t="shared" si="24"/>
        <v>x</v>
      </c>
      <c r="BD13" s="40" t="str">
        <f t="shared" si="25"/>
        <v>x</v>
      </c>
      <c r="BE13" s="18"/>
      <c r="BF13" s="39">
        <v>6</v>
      </c>
      <c r="BG13" s="39">
        <v>6</v>
      </c>
      <c r="BH13" s="54">
        <v>6</v>
      </c>
      <c r="BI13" s="54">
        <f t="shared" si="34"/>
        <v>-6</v>
      </c>
      <c r="BJ13" s="54" t="s">
        <v>3</v>
      </c>
      <c r="BK13" s="54"/>
      <c r="BL13" s="18"/>
      <c r="BM13" s="18"/>
      <c r="BN13" s="18"/>
      <c r="BO13" s="18"/>
      <c r="BP13" s="18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ht="12" customHeight="1" x14ac:dyDescent="0.25">
      <c r="A14" s="3"/>
      <c r="B14" s="23">
        <f t="shared" si="7"/>
        <v>8</v>
      </c>
      <c r="C14" s="48">
        <v>468047.28129999997</v>
      </c>
      <c r="D14" s="48">
        <v>7614180.25</v>
      </c>
      <c r="E14" s="14"/>
      <c r="F14" s="48">
        <v>468834.78129999997</v>
      </c>
      <c r="G14" s="48">
        <v>7614292.75</v>
      </c>
      <c r="H14" s="29" t="s">
        <v>26</v>
      </c>
      <c r="I14" s="30" t="s">
        <v>42</v>
      </c>
      <c r="J14" s="30">
        <v>907</v>
      </c>
      <c r="K14" s="14"/>
      <c r="L14" s="27">
        <f t="shared" si="26"/>
        <v>1093.3034802834939</v>
      </c>
      <c r="M14" s="14"/>
      <c r="N14" s="62">
        <f t="shared" si="27"/>
        <v>7</v>
      </c>
      <c r="O14" s="6">
        <f t="shared" si="8"/>
        <v>8</v>
      </c>
      <c r="P14" s="38" t="str">
        <f t="shared" si="9"/>
        <v/>
      </c>
      <c r="Q14" s="28">
        <f t="shared" si="31"/>
        <v>8</v>
      </c>
      <c r="R14" s="48">
        <v>468834.78129999997</v>
      </c>
      <c r="S14" s="48">
        <v>7614292.75</v>
      </c>
      <c r="T14" s="29" t="s">
        <v>26</v>
      </c>
      <c r="U14" s="30" t="s">
        <v>42</v>
      </c>
      <c r="V14" s="30">
        <v>907</v>
      </c>
      <c r="W14" s="25">
        <f t="shared" si="28"/>
        <v>4662.5</v>
      </c>
      <c r="X14" s="25">
        <f t="shared" si="29"/>
        <v>6362.5</v>
      </c>
      <c r="Y14" s="25">
        <f t="shared" si="10"/>
        <v>7</v>
      </c>
      <c r="Z14" s="38">
        <f t="shared" si="32"/>
        <v>69</v>
      </c>
      <c r="AA14" s="39">
        <f>IF(Z14&lt;0,MAX(AA$6:AA13)+1,0)</f>
        <v>0</v>
      </c>
      <c r="AB14" s="39">
        <f t="shared" si="11"/>
        <v>2</v>
      </c>
      <c r="AC14" s="39">
        <f t="shared" si="33"/>
        <v>3</v>
      </c>
      <c r="AD14" s="19"/>
      <c r="AE14" s="19">
        <v>0</v>
      </c>
      <c r="AF14" s="19">
        <v>0</v>
      </c>
      <c r="AG14" s="39">
        <f t="shared" si="12"/>
        <v>2</v>
      </c>
      <c r="AH14" s="39">
        <f t="shared" si="13"/>
        <v>3</v>
      </c>
      <c r="AI14" s="16"/>
      <c r="AJ14" s="40" t="str">
        <f t="shared" si="14"/>
        <v/>
      </c>
      <c r="AK14" s="40" t="str">
        <f t="shared" si="15"/>
        <v/>
      </c>
      <c r="AL14" s="40" t="str">
        <f t="shared" si="15"/>
        <v/>
      </c>
      <c r="AM14" s="40" t="str">
        <f t="shared" si="15"/>
        <v/>
      </c>
      <c r="AN14" s="40" t="str">
        <f t="shared" si="15"/>
        <v/>
      </c>
      <c r="AO14" s="40" t="str">
        <f t="shared" si="15"/>
        <v/>
      </c>
      <c r="AP14" s="40" t="str">
        <f t="shared" si="15"/>
        <v/>
      </c>
      <c r="AQ14" s="40" t="str">
        <f t="shared" si="15"/>
        <v/>
      </c>
      <c r="AR14" s="40" t="str">
        <f t="shared" si="15"/>
        <v/>
      </c>
      <c r="AS14" s="40" t="str">
        <f t="shared" si="15"/>
        <v/>
      </c>
      <c r="AT14" s="16"/>
      <c r="AU14" s="40">
        <f t="shared" si="16"/>
        <v>468047.28129999997</v>
      </c>
      <c r="AV14" s="40">
        <f t="shared" si="17"/>
        <v>468834.78129999997</v>
      </c>
      <c r="AW14" s="40">
        <f t="shared" si="18"/>
        <v>467172.28129999997</v>
      </c>
      <c r="AX14" s="40">
        <f t="shared" si="19"/>
        <v>465672.28129999997</v>
      </c>
      <c r="AY14" s="40">
        <f t="shared" si="20"/>
        <v>464784.78129999997</v>
      </c>
      <c r="AZ14" s="40">
        <f t="shared" si="21"/>
        <v>464909.78129999997</v>
      </c>
      <c r="BA14" s="40">
        <f t="shared" si="22"/>
        <v>464172.28129999997</v>
      </c>
      <c r="BB14" s="40" t="str">
        <f t="shared" si="23"/>
        <v>x</v>
      </c>
      <c r="BC14" s="40" t="str">
        <f t="shared" si="24"/>
        <v>x</v>
      </c>
      <c r="BD14" s="40" t="str">
        <f t="shared" si="25"/>
        <v>x</v>
      </c>
      <c r="BE14" s="18"/>
      <c r="BF14" s="55">
        <v>7</v>
      </c>
      <c r="BG14" s="39">
        <v>7</v>
      </c>
      <c r="BH14" s="54">
        <v>7</v>
      </c>
      <c r="BI14" s="54">
        <f t="shared" si="34"/>
        <v>-7</v>
      </c>
      <c r="BJ14" s="54" t="s">
        <v>3</v>
      </c>
      <c r="BK14" s="54"/>
      <c r="BL14" s="18"/>
      <c r="BM14" s="18"/>
      <c r="BN14" s="18"/>
      <c r="BO14" s="18"/>
      <c r="BP14" s="18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ht="12" customHeight="1" x14ac:dyDescent="0.25">
      <c r="A15" s="3"/>
      <c r="B15" s="23">
        <f t="shared" si="7"/>
        <v>9</v>
      </c>
      <c r="C15" s="48">
        <v>468834.78129999997</v>
      </c>
      <c r="D15" s="48">
        <v>7614292.75</v>
      </c>
      <c r="E15" s="14"/>
      <c r="F15" s="48">
        <v>469934.78129999997</v>
      </c>
      <c r="G15" s="48">
        <v>7612342.75</v>
      </c>
      <c r="H15" s="29" t="s">
        <v>24</v>
      </c>
      <c r="I15" s="30" t="s">
        <v>48</v>
      </c>
      <c r="J15" s="30">
        <v>969</v>
      </c>
      <c r="K15" s="14"/>
      <c r="L15" s="27">
        <f t="shared" si="26"/>
        <v>2238.8613177238112</v>
      </c>
      <c r="M15" s="14"/>
      <c r="N15" s="62">
        <f t="shared" si="27"/>
        <v>8</v>
      </c>
      <c r="O15" s="6">
        <f t="shared" si="8"/>
        <v>9</v>
      </c>
      <c r="P15" s="38" t="str">
        <f t="shared" si="9"/>
        <v/>
      </c>
      <c r="Q15" s="28">
        <f t="shared" si="31"/>
        <v>9</v>
      </c>
      <c r="R15" s="48">
        <v>469934.78129999997</v>
      </c>
      <c r="S15" s="48">
        <v>7612342.75</v>
      </c>
      <c r="T15" s="29" t="s">
        <v>24</v>
      </c>
      <c r="U15" s="30" t="s">
        <v>48</v>
      </c>
      <c r="V15" s="30">
        <v>969</v>
      </c>
      <c r="W15" s="25">
        <f t="shared" si="28"/>
        <v>5762.5</v>
      </c>
      <c r="X15" s="25">
        <f t="shared" si="29"/>
        <v>4412.5</v>
      </c>
      <c r="Y15" s="25">
        <f t="shared" si="10"/>
        <v>8</v>
      </c>
      <c r="Z15" s="38">
        <f t="shared" si="32"/>
        <v>-62</v>
      </c>
      <c r="AA15" s="39">
        <f>IF(Z15&lt;0,MAX(AA$6:AA14)+1,0)</f>
        <v>3</v>
      </c>
      <c r="AB15" s="39">
        <f t="shared" si="11"/>
        <v>3</v>
      </c>
      <c r="AC15" s="39">
        <f t="shared" si="33"/>
        <v>1</v>
      </c>
      <c r="AD15" s="19"/>
      <c r="AE15" s="19">
        <v>0</v>
      </c>
      <c r="AF15" s="19">
        <v>0</v>
      </c>
      <c r="AG15" s="39">
        <f t="shared" si="12"/>
        <v>3</v>
      </c>
      <c r="AH15" s="39">
        <f t="shared" si="13"/>
        <v>1</v>
      </c>
      <c r="AI15" s="16"/>
      <c r="AJ15" s="40" t="str">
        <f t="shared" si="14"/>
        <v/>
      </c>
      <c r="AK15" s="40" t="str">
        <f t="shared" si="15"/>
        <v/>
      </c>
      <c r="AL15" s="40" t="str">
        <f t="shared" si="15"/>
        <v/>
      </c>
      <c r="AM15" s="40" t="str">
        <f t="shared" si="15"/>
        <v/>
      </c>
      <c r="AN15" s="40" t="str">
        <f t="shared" si="15"/>
        <v/>
      </c>
      <c r="AO15" s="40" t="str">
        <f t="shared" si="15"/>
        <v/>
      </c>
      <c r="AP15" s="40" t="str">
        <f t="shared" si="15"/>
        <v/>
      </c>
      <c r="AQ15" s="40" t="str">
        <f t="shared" si="15"/>
        <v/>
      </c>
      <c r="AR15" s="40" t="str">
        <f t="shared" si="15"/>
        <v/>
      </c>
      <c r="AS15" s="40" t="str">
        <f t="shared" si="15"/>
        <v/>
      </c>
      <c r="AT15" s="16"/>
      <c r="AU15" s="40">
        <f t="shared" si="16"/>
        <v>468047.28129999997</v>
      </c>
      <c r="AV15" s="40">
        <f t="shared" si="17"/>
        <v>468834.78129999997</v>
      </c>
      <c r="AW15" s="40">
        <f t="shared" si="18"/>
        <v>467172.28129999997</v>
      </c>
      <c r="AX15" s="40">
        <f t="shared" si="19"/>
        <v>465672.28129999997</v>
      </c>
      <c r="AY15" s="40">
        <f t="shared" si="20"/>
        <v>464784.78129999997</v>
      </c>
      <c r="AZ15" s="40">
        <f t="shared" si="21"/>
        <v>464909.78129999997</v>
      </c>
      <c r="BA15" s="40">
        <f t="shared" si="22"/>
        <v>464172.28129999997</v>
      </c>
      <c r="BB15" s="40" t="str">
        <f t="shared" si="23"/>
        <v>x</v>
      </c>
      <c r="BC15" s="40" t="str">
        <f t="shared" si="24"/>
        <v>x</v>
      </c>
      <c r="BD15" s="40" t="str">
        <f t="shared" si="25"/>
        <v>x</v>
      </c>
      <c r="BE15" s="18"/>
      <c r="BF15" s="53">
        <v>8</v>
      </c>
      <c r="BG15" s="39">
        <v>8</v>
      </c>
      <c r="BH15" s="54">
        <v>8</v>
      </c>
      <c r="BI15" s="54">
        <v>-9</v>
      </c>
      <c r="BJ15" s="54" t="s">
        <v>3</v>
      </c>
      <c r="BK15" s="54"/>
      <c r="BL15" s="18"/>
      <c r="BM15" s="18"/>
      <c r="BN15" s="18"/>
      <c r="BO15" s="18"/>
      <c r="BP15" s="18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ht="12" customHeight="1" x14ac:dyDescent="0.25">
      <c r="A16" s="3"/>
      <c r="B16" s="23">
        <f t="shared" si="7"/>
        <v>10</v>
      </c>
      <c r="C16" s="48">
        <v>468047.28129999997</v>
      </c>
      <c r="D16" s="48">
        <v>7614180.25</v>
      </c>
      <c r="E16" s="14"/>
      <c r="F16" s="48">
        <v>468797.28129999997</v>
      </c>
      <c r="G16" s="48">
        <v>7612842.75</v>
      </c>
      <c r="H16" s="29" t="s">
        <v>23</v>
      </c>
      <c r="I16" s="30" t="s">
        <v>49</v>
      </c>
      <c r="J16" s="30">
        <v>911</v>
      </c>
      <c r="K16" s="14"/>
      <c r="L16" s="27">
        <f t="shared" si="26"/>
        <v>1242.5402407970537</v>
      </c>
      <c r="M16" s="14"/>
      <c r="N16" s="62">
        <f t="shared" si="27"/>
        <v>9</v>
      </c>
      <c r="O16" s="6">
        <f t="shared" si="8"/>
        <v>10</v>
      </c>
      <c r="P16" s="38" t="str">
        <f t="shared" si="9"/>
        <v/>
      </c>
      <c r="Q16" s="28">
        <f t="shared" si="31"/>
        <v>10</v>
      </c>
      <c r="R16" s="48">
        <v>468797.28129999997</v>
      </c>
      <c r="S16" s="48">
        <v>7612842.75</v>
      </c>
      <c r="T16" s="29" t="s">
        <v>23</v>
      </c>
      <c r="U16" s="30" t="s">
        <v>49</v>
      </c>
      <c r="V16" s="30">
        <v>911</v>
      </c>
      <c r="W16" s="25">
        <f t="shared" si="28"/>
        <v>4625</v>
      </c>
      <c r="X16" s="25">
        <f t="shared" si="29"/>
        <v>4912.5</v>
      </c>
      <c r="Y16" s="25">
        <f t="shared" si="10"/>
        <v>9</v>
      </c>
      <c r="Z16" s="38">
        <f t="shared" si="32"/>
        <v>58</v>
      </c>
      <c r="AA16" s="39">
        <f>IF(Z16&lt;0,MAX(AA$6:AA15)+1,0)</f>
        <v>0</v>
      </c>
      <c r="AB16" s="39">
        <f t="shared" si="11"/>
        <v>3</v>
      </c>
      <c r="AC16" s="39">
        <f t="shared" si="33"/>
        <v>2</v>
      </c>
      <c r="AD16" s="19"/>
      <c r="AE16" s="19">
        <v>0</v>
      </c>
      <c r="AF16" s="19">
        <v>0</v>
      </c>
      <c r="AG16" s="39">
        <f t="shared" si="12"/>
        <v>3</v>
      </c>
      <c r="AH16" s="39">
        <f t="shared" si="13"/>
        <v>2</v>
      </c>
      <c r="AI16" s="16"/>
      <c r="AJ16" s="29"/>
      <c r="AK16" s="29"/>
      <c r="AL16" s="29"/>
      <c r="AM16" s="29"/>
      <c r="AN16" s="29"/>
      <c r="AO16" s="29"/>
      <c r="AP16" s="29"/>
      <c r="AQ16" s="29"/>
      <c r="AR16" s="29"/>
      <c r="AS16" s="29"/>
      <c r="AT16" s="16"/>
      <c r="AU16" s="18"/>
      <c r="AV16" s="18"/>
      <c r="AW16" s="18"/>
      <c r="AX16" s="18"/>
      <c r="AY16" s="18"/>
      <c r="AZ16" s="18"/>
      <c r="BA16" s="18"/>
      <c r="BB16" s="18"/>
      <c r="BC16" s="18"/>
      <c r="BD16" s="18"/>
      <c r="BE16" s="18"/>
      <c r="BF16" s="55">
        <v>9</v>
      </c>
      <c r="BG16" s="39">
        <v>9</v>
      </c>
      <c r="BH16" s="54">
        <v>9</v>
      </c>
      <c r="BI16" s="54">
        <f t="shared" si="34"/>
        <v>-10</v>
      </c>
      <c r="BJ16" s="54" t="s">
        <v>3</v>
      </c>
      <c r="BK16" s="54"/>
      <c r="BL16" s="18"/>
      <c r="BM16" s="18"/>
      <c r="BN16" s="18"/>
      <c r="BO16" s="18"/>
      <c r="BP16" s="18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6" ht="12" customHeight="1" x14ac:dyDescent="0.25">
      <c r="A17" s="3"/>
      <c r="B17" s="23">
        <f t="shared" si="7"/>
        <v>11</v>
      </c>
      <c r="C17" s="48">
        <v>467797.28129999997</v>
      </c>
      <c r="D17" s="48">
        <v>7613980.25</v>
      </c>
      <c r="E17" s="14"/>
      <c r="F17" s="48">
        <v>467797.28129999997</v>
      </c>
      <c r="G17" s="48">
        <v>7613980.25</v>
      </c>
      <c r="H17" s="29" t="s">
        <v>22</v>
      </c>
      <c r="I17" s="30" t="s">
        <v>50</v>
      </c>
      <c r="J17" s="30">
        <v>888</v>
      </c>
      <c r="K17" s="14"/>
      <c r="L17" s="27">
        <f t="shared" si="26"/>
        <v>1514.5647064420853</v>
      </c>
      <c r="M17" s="14"/>
      <c r="N17" s="62">
        <f t="shared" si="27"/>
        <v>10</v>
      </c>
      <c r="O17" s="6">
        <f t="shared" si="8"/>
        <v>11</v>
      </c>
      <c r="P17" s="38" t="str">
        <f t="shared" si="9"/>
        <v/>
      </c>
      <c r="Q17" s="28">
        <f t="shared" si="31"/>
        <v>11</v>
      </c>
      <c r="R17" s="48">
        <v>467797.28129999997</v>
      </c>
      <c r="S17" s="48">
        <v>7613980.25</v>
      </c>
      <c r="T17" s="29" t="s">
        <v>22</v>
      </c>
      <c r="U17" s="30" t="s">
        <v>50</v>
      </c>
      <c r="V17" s="30">
        <v>888</v>
      </c>
      <c r="W17" s="25">
        <f t="shared" si="28"/>
        <v>3625</v>
      </c>
      <c r="X17" s="25">
        <f t="shared" si="29"/>
        <v>6050</v>
      </c>
      <c r="Y17" s="25">
        <f t="shared" si="10"/>
        <v>10</v>
      </c>
      <c r="Z17" s="38">
        <f t="shared" si="32"/>
        <v>23</v>
      </c>
      <c r="AA17" s="39">
        <f>IF(Z17&lt;0,MAX(AA$6:AA16)+1,0)</f>
        <v>0</v>
      </c>
      <c r="AB17" s="39">
        <f t="shared" si="11"/>
        <v>3</v>
      </c>
      <c r="AC17" s="39">
        <f t="shared" si="33"/>
        <v>3</v>
      </c>
      <c r="AD17" s="19"/>
      <c r="AE17" s="19">
        <v>1</v>
      </c>
      <c r="AF17" s="19">
        <v>-2</v>
      </c>
      <c r="AG17" s="39">
        <f t="shared" si="12"/>
        <v>4</v>
      </c>
      <c r="AH17" s="39">
        <f t="shared" si="13"/>
        <v>1</v>
      </c>
      <c r="AI17" s="16"/>
      <c r="AJ17" s="29"/>
      <c r="AK17" s="29"/>
      <c r="AL17" s="29"/>
      <c r="AM17" s="29"/>
      <c r="AN17" s="29"/>
      <c r="AO17" s="29"/>
      <c r="AP17" s="29"/>
      <c r="AQ17" s="29"/>
      <c r="AR17" s="29"/>
      <c r="AS17" s="29"/>
      <c r="AT17" s="16"/>
      <c r="AU17" s="21">
        <v>2</v>
      </c>
      <c r="AV17" s="21">
        <v>2</v>
      </c>
      <c r="AW17" s="21">
        <v>2</v>
      </c>
      <c r="AX17" s="21">
        <v>2</v>
      </c>
      <c r="AY17" s="21">
        <v>2</v>
      </c>
      <c r="AZ17" s="21">
        <v>2</v>
      </c>
      <c r="BA17" s="21">
        <v>2</v>
      </c>
      <c r="BB17" s="21">
        <v>2</v>
      </c>
      <c r="BC17" s="21">
        <v>2</v>
      </c>
      <c r="BD17" s="21">
        <v>2</v>
      </c>
      <c r="BE17" s="18"/>
      <c r="BF17" s="53">
        <v>10</v>
      </c>
      <c r="BG17" s="39">
        <v>10</v>
      </c>
      <c r="BH17" s="54">
        <v>10</v>
      </c>
      <c r="BI17" s="54">
        <v>-12</v>
      </c>
      <c r="BJ17" s="54">
        <v>-8</v>
      </c>
      <c r="BK17" s="54">
        <v>-11</v>
      </c>
      <c r="BL17" s="18"/>
      <c r="BM17" s="18"/>
      <c r="BN17" s="18"/>
      <c r="BO17" s="18"/>
      <c r="BP17" s="18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6" ht="12" customHeight="1" x14ac:dyDescent="0.25">
      <c r="A18" s="3"/>
      <c r="B18" s="23">
        <f t="shared" si="7"/>
        <v>12</v>
      </c>
      <c r="C18" s="48">
        <v>469934.78129999997</v>
      </c>
      <c r="D18" s="48">
        <v>7612342.75</v>
      </c>
      <c r="E18" s="14"/>
      <c r="F18" s="48">
        <v>467172.28129999997</v>
      </c>
      <c r="G18" s="48">
        <v>7613492.75</v>
      </c>
      <c r="H18" s="29" t="s">
        <v>21</v>
      </c>
      <c r="I18" s="30" t="s">
        <v>51</v>
      </c>
      <c r="J18" s="30">
        <v>880</v>
      </c>
      <c r="K18" s="14"/>
      <c r="L18" s="27">
        <f t="shared" si="26"/>
        <v>792.64194312438451</v>
      </c>
      <c r="M18" s="14"/>
      <c r="N18" s="62">
        <f t="shared" si="27"/>
        <v>11</v>
      </c>
      <c r="O18" s="6">
        <f t="shared" si="8"/>
        <v>12</v>
      </c>
      <c r="P18" s="38" t="str">
        <f t="shared" si="9"/>
        <v/>
      </c>
      <c r="Q18" s="28">
        <f t="shared" si="31"/>
        <v>12</v>
      </c>
      <c r="R18" s="48">
        <v>467172.28129999997</v>
      </c>
      <c r="S18" s="48">
        <v>7613492.75</v>
      </c>
      <c r="T18" s="29" t="s">
        <v>21</v>
      </c>
      <c r="U18" s="30" t="s">
        <v>51</v>
      </c>
      <c r="V18" s="30">
        <v>880</v>
      </c>
      <c r="W18" s="25">
        <f t="shared" si="28"/>
        <v>3000</v>
      </c>
      <c r="X18" s="25">
        <f t="shared" si="29"/>
        <v>5562.5</v>
      </c>
      <c r="Y18" s="25">
        <f t="shared" si="10"/>
        <v>11</v>
      </c>
      <c r="Z18" s="38">
        <f t="shared" si="32"/>
        <v>8</v>
      </c>
      <c r="AA18" s="39">
        <f>IF(Z18&lt;0,MAX(AA$6:AA17)+1,0)</f>
        <v>0</v>
      </c>
      <c r="AB18" s="39">
        <f t="shared" si="11"/>
        <v>3</v>
      </c>
      <c r="AC18" s="39">
        <f t="shared" si="33"/>
        <v>4</v>
      </c>
      <c r="AD18" s="19"/>
      <c r="AE18" s="19">
        <v>1</v>
      </c>
      <c r="AF18" s="19">
        <v>-2</v>
      </c>
      <c r="AG18" s="39">
        <f t="shared" si="12"/>
        <v>4</v>
      </c>
      <c r="AH18" s="39">
        <f t="shared" si="13"/>
        <v>2</v>
      </c>
      <c r="AI18" s="16"/>
      <c r="AJ18" s="29"/>
      <c r="AK18" s="29"/>
      <c r="AL18" s="29"/>
      <c r="AM18" s="29"/>
      <c r="AN18" s="29"/>
      <c r="AO18" s="29"/>
      <c r="AP18" s="29"/>
      <c r="AQ18" s="29"/>
      <c r="AR18" s="29"/>
      <c r="AS18" s="29"/>
      <c r="AT18" s="16"/>
      <c r="AU18" s="18" t="s">
        <v>34</v>
      </c>
      <c r="AV18" s="18" t="s">
        <v>34</v>
      </c>
      <c r="AW18" s="18" t="s">
        <v>34</v>
      </c>
      <c r="AX18" s="18" t="s">
        <v>34</v>
      </c>
      <c r="AY18" s="18" t="s">
        <v>34</v>
      </c>
      <c r="AZ18" s="18" t="s">
        <v>34</v>
      </c>
      <c r="BA18" s="18" t="s">
        <v>34</v>
      </c>
      <c r="BB18" s="18" t="s">
        <v>34</v>
      </c>
      <c r="BC18" s="18" t="s">
        <v>34</v>
      </c>
      <c r="BD18" s="18" t="s">
        <v>34</v>
      </c>
      <c r="BE18" s="18"/>
      <c r="BF18" s="55">
        <v>11</v>
      </c>
      <c r="BG18" s="39">
        <v>11</v>
      </c>
      <c r="BH18" s="54">
        <v>11</v>
      </c>
      <c r="BI18" s="54">
        <f t="shared" si="34"/>
        <v>-13</v>
      </c>
      <c r="BJ18" s="54" t="s">
        <v>3</v>
      </c>
      <c r="BK18" s="54"/>
      <c r="BL18" s="18"/>
      <c r="BM18" s="18"/>
      <c r="BN18" s="18"/>
      <c r="BO18" s="18"/>
      <c r="BP18" s="18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6" ht="12" customHeight="1" x14ac:dyDescent="0.25">
      <c r="A19" s="3"/>
      <c r="B19" s="23">
        <f t="shared" si="7"/>
        <v>13</v>
      </c>
      <c r="C19" s="48">
        <v>468797.28129999997</v>
      </c>
      <c r="D19" s="48">
        <v>7612842.75</v>
      </c>
      <c r="E19" s="14"/>
      <c r="F19" s="48">
        <v>468434.78129999997</v>
      </c>
      <c r="G19" s="48">
        <v>7611380.25</v>
      </c>
      <c r="H19" s="29" t="s">
        <v>20</v>
      </c>
      <c r="I19" s="30" t="s">
        <v>49</v>
      </c>
      <c r="J19" s="30">
        <v>911</v>
      </c>
      <c r="K19" s="14"/>
      <c r="L19" s="27">
        <f t="shared" si="26"/>
        <v>2461.008431517454</v>
      </c>
      <c r="M19" s="14"/>
      <c r="N19" s="62">
        <f t="shared" si="27"/>
        <v>12</v>
      </c>
      <c r="O19" s="6">
        <f t="shared" si="8"/>
        <v>13</v>
      </c>
      <c r="P19" s="38" t="str">
        <f t="shared" si="9"/>
        <v/>
      </c>
      <c r="Q19" s="28">
        <f t="shared" si="31"/>
        <v>13</v>
      </c>
      <c r="R19" s="48">
        <v>468434.78129999997</v>
      </c>
      <c r="S19" s="48">
        <v>7611380.25</v>
      </c>
      <c r="T19" s="29" t="s">
        <v>20</v>
      </c>
      <c r="U19" s="30" t="s">
        <v>49</v>
      </c>
      <c r="V19" s="30">
        <v>911</v>
      </c>
      <c r="W19" s="25">
        <f t="shared" si="28"/>
        <v>4262.5</v>
      </c>
      <c r="X19" s="25">
        <f t="shared" si="29"/>
        <v>3450</v>
      </c>
      <c r="Y19" s="25">
        <f t="shared" si="10"/>
        <v>12</v>
      </c>
      <c r="Z19" s="38">
        <f t="shared" si="32"/>
        <v>-31</v>
      </c>
      <c r="AA19" s="39">
        <f>IF(Z19&lt;0,MAX(AA$6:AA18)+1,0)</f>
        <v>4</v>
      </c>
      <c r="AB19" s="39">
        <f t="shared" si="11"/>
        <v>4</v>
      </c>
      <c r="AC19" s="39">
        <f t="shared" si="33"/>
        <v>1</v>
      </c>
      <c r="AD19" s="19"/>
      <c r="AE19" s="19">
        <v>1</v>
      </c>
      <c r="AF19" s="19">
        <v>0</v>
      </c>
      <c r="AG19" s="39">
        <f t="shared" si="12"/>
        <v>5</v>
      </c>
      <c r="AH19" s="39">
        <f t="shared" si="13"/>
        <v>1</v>
      </c>
      <c r="AI19" s="16"/>
      <c r="AJ19" s="40">
        <f t="shared" ref="AJ19:AS19" si="36">AJ7</f>
        <v>1</v>
      </c>
      <c r="AK19" s="40">
        <f t="shared" si="36"/>
        <v>6</v>
      </c>
      <c r="AL19" s="40">
        <f t="shared" si="36"/>
        <v>9</v>
      </c>
      <c r="AM19" s="40">
        <f t="shared" si="36"/>
        <v>13</v>
      </c>
      <c r="AN19" s="40">
        <f t="shared" si="36"/>
        <v>17</v>
      </c>
      <c r="AO19" s="40">
        <f t="shared" si="36"/>
        <v>23</v>
      </c>
      <c r="AP19" s="40">
        <f t="shared" si="36"/>
        <v>28</v>
      </c>
      <c r="AQ19" s="40" t="str">
        <f t="shared" si="36"/>
        <v/>
      </c>
      <c r="AR19" s="40" t="str">
        <f t="shared" si="36"/>
        <v/>
      </c>
      <c r="AS19" s="40" t="str">
        <f t="shared" si="36"/>
        <v/>
      </c>
      <c r="AT19" s="16"/>
      <c r="AU19" s="40">
        <f t="shared" ref="AU19:BD25" si="37">IF(ISNUMBER(AJ19),INDEX($R$7:$S$42,AJ19,AU$17),AU18)</f>
        <v>7616967.75</v>
      </c>
      <c r="AV19" s="40">
        <f t="shared" si="37"/>
        <v>7613992.75</v>
      </c>
      <c r="AW19" s="40">
        <f t="shared" si="37"/>
        <v>7612342.75</v>
      </c>
      <c r="AX19" s="40">
        <f t="shared" si="37"/>
        <v>7611380.25</v>
      </c>
      <c r="AY19" s="40">
        <f t="shared" si="37"/>
        <v>7613880.25</v>
      </c>
      <c r="AZ19" s="40">
        <f t="shared" si="37"/>
        <v>7609942.75</v>
      </c>
      <c r="BA19" s="40">
        <f t="shared" si="37"/>
        <v>7609305.25</v>
      </c>
      <c r="BB19" s="40" t="str">
        <f t="shared" si="37"/>
        <v>y</v>
      </c>
      <c r="BC19" s="40" t="str">
        <f t="shared" si="37"/>
        <v>y</v>
      </c>
      <c r="BD19" s="40" t="str">
        <f t="shared" si="37"/>
        <v>y</v>
      </c>
      <c r="BE19" s="18"/>
      <c r="BF19" s="53">
        <v>12</v>
      </c>
      <c r="BG19" s="39">
        <v>12</v>
      </c>
      <c r="BH19" s="54">
        <v>11</v>
      </c>
      <c r="BI19" s="54">
        <f t="shared" ref="BI19:BI35" si="38">BI18-1</f>
        <v>-14</v>
      </c>
      <c r="BJ19" s="54" t="s">
        <v>3</v>
      </c>
      <c r="BK19" s="54"/>
      <c r="BL19" s="18"/>
      <c r="BM19" s="18"/>
      <c r="BN19" s="18"/>
      <c r="BO19" s="18"/>
      <c r="BP19" s="18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6" ht="12" customHeight="1" x14ac:dyDescent="0.25">
      <c r="A20" s="3"/>
      <c r="B20" s="23">
        <f t="shared" si="7"/>
        <v>14</v>
      </c>
      <c r="C20" s="48">
        <v>467797.28129999997</v>
      </c>
      <c r="D20" s="48">
        <v>7613980.25</v>
      </c>
      <c r="E20" s="14"/>
      <c r="F20" s="48">
        <v>467384.78129999997</v>
      </c>
      <c r="G20" s="48">
        <v>7612080.25</v>
      </c>
      <c r="H20" s="29" t="s">
        <v>19</v>
      </c>
      <c r="I20" s="30" t="s">
        <v>52</v>
      </c>
      <c r="J20" s="30">
        <v>896</v>
      </c>
      <c r="K20" s="14"/>
      <c r="L20" s="27">
        <f t="shared" si="26"/>
        <v>1261.9429464123962</v>
      </c>
      <c r="M20" s="14"/>
      <c r="N20" s="62">
        <f t="shared" si="27"/>
        <v>13</v>
      </c>
      <c r="O20" s="6">
        <f t="shared" si="8"/>
        <v>14</v>
      </c>
      <c r="P20" s="38" t="str">
        <f t="shared" si="9"/>
        <v/>
      </c>
      <c r="Q20" s="28">
        <f t="shared" si="31"/>
        <v>14</v>
      </c>
      <c r="R20" s="48">
        <v>467384.78129999997</v>
      </c>
      <c r="S20" s="48">
        <v>7612080.25</v>
      </c>
      <c r="T20" s="29" t="s">
        <v>19</v>
      </c>
      <c r="U20" s="30" t="s">
        <v>52</v>
      </c>
      <c r="V20" s="30">
        <v>896</v>
      </c>
      <c r="W20" s="25">
        <f t="shared" si="28"/>
        <v>3212.5</v>
      </c>
      <c r="X20" s="25">
        <f t="shared" si="29"/>
        <v>4150</v>
      </c>
      <c r="Y20" s="25">
        <f t="shared" si="10"/>
        <v>13</v>
      </c>
      <c r="Z20" s="38">
        <f t="shared" si="32"/>
        <v>15</v>
      </c>
      <c r="AA20" s="39">
        <f>IF(Z20&lt;0,MAX(AA$6:AA19)+1,0)</f>
        <v>0</v>
      </c>
      <c r="AB20" s="39">
        <f t="shared" si="11"/>
        <v>4</v>
      </c>
      <c r="AC20" s="39">
        <f t="shared" si="33"/>
        <v>2</v>
      </c>
      <c r="AD20" s="19"/>
      <c r="AE20" s="19">
        <v>1</v>
      </c>
      <c r="AF20" s="19">
        <v>0</v>
      </c>
      <c r="AG20" s="39">
        <f t="shared" si="12"/>
        <v>5</v>
      </c>
      <c r="AH20" s="39">
        <f t="shared" si="13"/>
        <v>2</v>
      </c>
      <c r="AI20" s="16"/>
      <c r="AJ20" s="40">
        <f t="shared" ref="AJ20:AS20" si="39">AJ8</f>
        <v>2</v>
      </c>
      <c r="AK20" s="40">
        <f t="shared" si="39"/>
        <v>7</v>
      </c>
      <c r="AL20" s="40">
        <f t="shared" si="39"/>
        <v>10</v>
      </c>
      <c r="AM20" s="40">
        <f t="shared" si="39"/>
        <v>14</v>
      </c>
      <c r="AN20" s="40">
        <f t="shared" si="39"/>
        <v>18</v>
      </c>
      <c r="AO20" s="40">
        <f t="shared" si="39"/>
        <v>24</v>
      </c>
      <c r="AP20" s="40">
        <f t="shared" si="39"/>
        <v>29</v>
      </c>
      <c r="AQ20" s="40" t="str">
        <f t="shared" si="39"/>
        <v/>
      </c>
      <c r="AR20" s="40" t="str">
        <f t="shared" si="39"/>
        <v/>
      </c>
      <c r="AS20" s="40" t="str">
        <f t="shared" si="39"/>
        <v/>
      </c>
      <c r="AT20" s="16"/>
      <c r="AU20" s="40">
        <f t="shared" si="37"/>
        <v>7616642.75</v>
      </c>
      <c r="AV20" s="40">
        <f t="shared" si="37"/>
        <v>7614405.25</v>
      </c>
      <c r="AW20" s="40">
        <f t="shared" si="37"/>
        <v>7612842.75</v>
      </c>
      <c r="AX20" s="40">
        <f t="shared" si="37"/>
        <v>7612080.25</v>
      </c>
      <c r="AY20" s="40">
        <f t="shared" si="37"/>
        <v>7612830.25</v>
      </c>
      <c r="AZ20" s="40">
        <f t="shared" si="37"/>
        <v>7609955.25</v>
      </c>
      <c r="BA20" s="40">
        <f t="shared" si="37"/>
        <v>7607930.25</v>
      </c>
      <c r="BB20" s="40" t="str">
        <f t="shared" si="37"/>
        <v>y</v>
      </c>
      <c r="BC20" s="40" t="str">
        <f t="shared" si="37"/>
        <v>y</v>
      </c>
      <c r="BD20" s="40" t="str">
        <f t="shared" si="37"/>
        <v>y</v>
      </c>
      <c r="BE20" s="18"/>
      <c r="BF20" s="55">
        <v>13</v>
      </c>
      <c r="BG20" s="39">
        <v>13</v>
      </c>
      <c r="BH20" s="54">
        <v>11</v>
      </c>
      <c r="BI20" s="54">
        <f t="shared" si="38"/>
        <v>-15</v>
      </c>
      <c r="BJ20" s="54" t="s">
        <v>3</v>
      </c>
      <c r="BK20" s="54"/>
      <c r="BL20" s="18"/>
      <c r="BM20" s="18"/>
      <c r="BN20" s="18"/>
      <c r="BO20" s="18"/>
      <c r="BP20" s="18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6" ht="12" customHeight="1" x14ac:dyDescent="0.25">
      <c r="A21" s="3"/>
      <c r="B21" s="23">
        <f t="shared" si="7"/>
        <v>15</v>
      </c>
      <c r="C21" s="48">
        <v>467172.28129999997</v>
      </c>
      <c r="D21" s="48">
        <v>7613492.75</v>
      </c>
      <c r="E21" s="14"/>
      <c r="F21" s="48">
        <v>466597.28129999997</v>
      </c>
      <c r="G21" s="48">
        <v>7613155.25</v>
      </c>
      <c r="H21" s="29" t="s">
        <v>18</v>
      </c>
      <c r="I21" s="30" t="s">
        <v>51</v>
      </c>
      <c r="J21" s="30">
        <v>880</v>
      </c>
      <c r="K21" s="14"/>
      <c r="L21" s="27">
        <f t="shared" si="26"/>
        <v>1332.5844250928344</v>
      </c>
      <c r="M21" s="14"/>
      <c r="N21" s="62">
        <f t="shared" si="27"/>
        <v>14</v>
      </c>
      <c r="O21" s="6">
        <f t="shared" si="8"/>
        <v>15</v>
      </c>
      <c r="P21" s="38" t="str">
        <f t="shared" si="9"/>
        <v/>
      </c>
      <c r="Q21" s="28">
        <f t="shared" si="31"/>
        <v>15</v>
      </c>
      <c r="R21" s="48">
        <v>466597.28129999997</v>
      </c>
      <c r="S21" s="48">
        <v>7613155.25</v>
      </c>
      <c r="T21" s="29" t="s">
        <v>18</v>
      </c>
      <c r="U21" s="30" t="s">
        <v>51</v>
      </c>
      <c r="V21" s="30">
        <v>880</v>
      </c>
      <c r="W21" s="25">
        <f t="shared" si="28"/>
        <v>2425</v>
      </c>
      <c r="X21" s="25">
        <f t="shared" si="29"/>
        <v>5225</v>
      </c>
      <c r="Y21" s="25">
        <f t="shared" si="10"/>
        <v>14</v>
      </c>
      <c r="Z21" s="38">
        <f t="shared" si="32"/>
        <v>16</v>
      </c>
      <c r="AA21" s="39">
        <f>IF(Z21&lt;0,MAX(AA$6:AA20)+1,0)</f>
        <v>0</v>
      </c>
      <c r="AB21" s="39">
        <f t="shared" si="11"/>
        <v>4</v>
      </c>
      <c r="AC21" s="39">
        <f t="shared" si="33"/>
        <v>3</v>
      </c>
      <c r="AD21" s="19"/>
      <c r="AE21" s="19">
        <v>2</v>
      </c>
      <c r="AF21" s="19">
        <v>-2</v>
      </c>
      <c r="AG21" s="39">
        <f t="shared" si="12"/>
        <v>6</v>
      </c>
      <c r="AH21" s="39">
        <f t="shared" si="13"/>
        <v>1</v>
      </c>
      <c r="AI21" s="16"/>
      <c r="AJ21" s="40">
        <f t="shared" ref="AJ21:AS21" si="40">AJ9</f>
        <v>3</v>
      </c>
      <c r="AK21" s="40">
        <f t="shared" si="40"/>
        <v>8</v>
      </c>
      <c r="AL21" s="40">
        <f t="shared" si="40"/>
        <v>11</v>
      </c>
      <c r="AM21" s="40">
        <f t="shared" si="40"/>
        <v>15</v>
      </c>
      <c r="AN21" s="40">
        <f t="shared" si="40"/>
        <v>19</v>
      </c>
      <c r="AO21" s="40">
        <f t="shared" si="40"/>
        <v>25</v>
      </c>
      <c r="AP21" s="40" t="str">
        <f t="shared" si="40"/>
        <v/>
      </c>
      <c r="AQ21" s="40" t="str">
        <f t="shared" si="40"/>
        <v/>
      </c>
      <c r="AR21" s="40" t="str">
        <f t="shared" si="40"/>
        <v/>
      </c>
      <c r="AS21" s="40" t="str">
        <f t="shared" si="40"/>
        <v/>
      </c>
      <c r="AT21" s="16"/>
      <c r="AU21" s="40">
        <f t="shared" si="37"/>
        <v>7615805.25</v>
      </c>
      <c r="AV21" s="40">
        <f t="shared" si="37"/>
        <v>7614292.75</v>
      </c>
      <c r="AW21" s="40">
        <f t="shared" si="37"/>
        <v>7613980.25</v>
      </c>
      <c r="AX21" s="40">
        <f t="shared" si="37"/>
        <v>7613155.25</v>
      </c>
      <c r="AY21" s="40">
        <f t="shared" si="37"/>
        <v>7611667.75</v>
      </c>
      <c r="AZ21" s="40">
        <f t="shared" si="37"/>
        <v>7610467.75</v>
      </c>
      <c r="BA21" s="40">
        <f t="shared" si="37"/>
        <v>7607930.25</v>
      </c>
      <c r="BB21" s="40" t="str">
        <f t="shared" si="37"/>
        <v>y</v>
      </c>
      <c r="BC21" s="40" t="str">
        <f t="shared" si="37"/>
        <v>y</v>
      </c>
      <c r="BD21" s="40" t="str">
        <f t="shared" si="37"/>
        <v>y</v>
      </c>
      <c r="BE21" s="16"/>
      <c r="BF21" s="53">
        <v>14</v>
      </c>
      <c r="BG21" s="39">
        <v>14</v>
      </c>
      <c r="BH21" s="54">
        <v>11</v>
      </c>
      <c r="BI21" s="54">
        <f t="shared" si="38"/>
        <v>-16</v>
      </c>
      <c r="BJ21" s="54">
        <v>-17</v>
      </c>
      <c r="BK21" s="54"/>
      <c r="BL21" s="16"/>
      <c r="BM21" s="16"/>
      <c r="BN21" s="16"/>
      <c r="BO21" s="16"/>
      <c r="BP21" s="18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6" ht="12" customHeight="1" x14ac:dyDescent="0.25">
      <c r="A22" s="3"/>
      <c r="B22" s="23">
        <f t="shared" si="7"/>
        <v>16</v>
      </c>
      <c r="C22" s="48">
        <v>466597.28129999997</v>
      </c>
      <c r="D22" s="48">
        <v>7613155.25</v>
      </c>
      <c r="E22" s="14"/>
      <c r="F22" s="48">
        <v>465672.28129999997</v>
      </c>
      <c r="G22" s="48">
        <v>7613092.75</v>
      </c>
      <c r="H22" s="29" t="s">
        <v>17</v>
      </c>
      <c r="I22" s="30" t="s">
        <v>51</v>
      </c>
      <c r="J22" s="30">
        <v>880</v>
      </c>
      <c r="K22" s="14"/>
      <c r="L22" s="27">
        <f t="shared" si="26"/>
        <v>927.10908203943291</v>
      </c>
      <c r="M22" s="14"/>
      <c r="N22" s="62">
        <f t="shared" si="27"/>
        <v>15</v>
      </c>
      <c r="O22" s="6">
        <f t="shared" si="8"/>
        <v>16</v>
      </c>
      <c r="P22" s="38" t="str">
        <f t="shared" si="9"/>
        <v/>
      </c>
      <c r="Q22" s="28">
        <f t="shared" si="31"/>
        <v>16</v>
      </c>
      <c r="R22" s="48">
        <v>465672.28129999997</v>
      </c>
      <c r="S22" s="48">
        <v>7613092.75</v>
      </c>
      <c r="T22" s="29" t="s">
        <v>17</v>
      </c>
      <c r="U22" s="30" t="s">
        <v>51</v>
      </c>
      <c r="V22" s="30">
        <v>880</v>
      </c>
      <c r="W22" s="25">
        <f t="shared" si="28"/>
        <v>1500</v>
      </c>
      <c r="X22" s="25">
        <f t="shared" si="29"/>
        <v>5162.5</v>
      </c>
      <c r="Y22" s="25">
        <f t="shared" si="10"/>
        <v>15</v>
      </c>
      <c r="Z22" s="38">
        <f t="shared" si="32"/>
        <v>0</v>
      </c>
      <c r="AA22" s="39">
        <f>IF(Z22&lt;0,MAX(AA$6:AA21)+1,0)</f>
        <v>0</v>
      </c>
      <c r="AB22" s="39">
        <f t="shared" si="11"/>
        <v>4</v>
      </c>
      <c r="AC22" s="39">
        <f t="shared" si="33"/>
        <v>4</v>
      </c>
      <c r="AD22" s="19"/>
      <c r="AE22" s="19">
        <v>2</v>
      </c>
      <c r="AF22" s="19">
        <v>-2</v>
      </c>
      <c r="AG22" s="39">
        <f t="shared" si="12"/>
        <v>6</v>
      </c>
      <c r="AH22" s="39">
        <f t="shared" si="13"/>
        <v>2</v>
      </c>
      <c r="AI22" s="16"/>
      <c r="AJ22" s="40">
        <f t="shared" ref="AJ22:AS22" si="41">AJ10</f>
        <v>4</v>
      </c>
      <c r="AK22" s="40" t="str">
        <f t="shared" si="41"/>
        <v/>
      </c>
      <c r="AL22" s="40">
        <f t="shared" si="41"/>
        <v>12</v>
      </c>
      <c r="AM22" s="40">
        <f t="shared" si="41"/>
        <v>16</v>
      </c>
      <c r="AN22" s="40">
        <f t="shared" si="41"/>
        <v>20</v>
      </c>
      <c r="AO22" s="40">
        <f t="shared" si="41"/>
        <v>26</v>
      </c>
      <c r="AP22" s="40" t="str">
        <f t="shared" si="41"/>
        <v/>
      </c>
      <c r="AQ22" s="40" t="str">
        <f t="shared" si="41"/>
        <v/>
      </c>
      <c r="AR22" s="40" t="str">
        <f t="shared" si="41"/>
        <v/>
      </c>
      <c r="AS22" s="40" t="str">
        <f t="shared" si="41"/>
        <v/>
      </c>
      <c r="AT22" s="16"/>
      <c r="AU22" s="40">
        <f t="shared" si="37"/>
        <v>7614955.25</v>
      </c>
      <c r="AV22" s="40">
        <f t="shared" si="37"/>
        <v>7614292.75</v>
      </c>
      <c r="AW22" s="40">
        <f t="shared" si="37"/>
        <v>7613492.75</v>
      </c>
      <c r="AX22" s="40">
        <f t="shared" si="37"/>
        <v>7613092.75</v>
      </c>
      <c r="AY22" s="40">
        <f t="shared" si="37"/>
        <v>7611405.25</v>
      </c>
      <c r="AZ22" s="40">
        <f t="shared" si="37"/>
        <v>7610505.25</v>
      </c>
      <c r="BA22" s="40">
        <f t="shared" si="37"/>
        <v>7607930.25</v>
      </c>
      <c r="BB22" s="40" t="str">
        <f t="shared" si="37"/>
        <v>y</v>
      </c>
      <c r="BC22" s="40" t="str">
        <f t="shared" si="37"/>
        <v>y</v>
      </c>
      <c r="BD22" s="40" t="str">
        <f t="shared" si="37"/>
        <v>y</v>
      </c>
      <c r="BE22" s="17"/>
      <c r="BF22" s="55">
        <v>15</v>
      </c>
      <c r="BG22" s="39">
        <v>15</v>
      </c>
      <c r="BH22" s="54">
        <v>11</v>
      </c>
      <c r="BI22" s="54">
        <v>-18</v>
      </c>
      <c r="BJ22" s="54" t="s">
        <v>3</v>
      </c>
      <c r="BK22" s="54"/>
      <c r="BL22" s="17"/>
      <c r="BM22" s="17"/>
      <c r="BN22" s="17"/>
      <c r="BO22" s="17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6" ht="12" customHeight="1" x14ac:dyDescent="0.25">
      <c r="A23" s="3"/>
      <c r="B23" s="23">
        <f t="shared" si="7"/>
        <v>17</v>
      </c>
      <c r="C23" s="48">
        <v>468434.78129999997</v>
      </c>
      <c r="D23" s="48">
        <v>7611380.25</v>
      </c>
      <c r="E23" s="14"/>
      <c r="F23" s="48">
        <v>464872.28129999997</v>
      </c>
      <c r="G23" s="48">
        <v>7613880.25</v>
      </c>
      <c r="H23" s="29" t="s">
        <v>16</v>
      </c>
      <c r="I23" s="30" t="s">
        <v>53</v>
      </c>
      <c r="J23" s="30">
        <v>890</v>
      </c>
      <c r="K23" s="14"/>
      <c r="L23" s="27">
        <f t="shared" si="26"/>
        <v>1122.5668131563484</v>
      </c>
      <c r="M23" s="14"/>
      <c r="N23" s="62">
        <f t="shared" si="27"/>
        <v>16</v>
      </c>
      <c r="O23" s="6">
        <f t="shared" si="8"/>
        <v>17</v>
      </c>
      <c r="P23" s="38" t="str">
        <f t="shared" si="9"/>
        <v/>
      </c>
      <c r="Q23" s="28">
        <f t="shared" si="31"/>
        <v>17</v>
      </c>
      <c r="R23" s="48">
        <v>464872.28129999997</v>
      </c>
      <c r="S23" s="48">
        <v>7613880.25</v>
      </c>
      <c r="T23" s="29" t="s">
        <v>16</v>
      </c>
      <c r="U23" s="30" t="s">
        <v>53</v>
      </c>
      <c r="V23" s="30">
        <v>890</v>
      </c>
      <c r="W23" s="25">
        <f t="shared" si="28"/>
        <v>700</v>
      </c>
      <c r="X23" s="25">
        <f t="shared" si="29"/>
        <v>5950</v>
      </c>
      <c r="Y23" s="25">
        <f t="shared" si="10"/>
        <v>16</v>
      </c>
      <c r="Z23" s="38">
        <f t="shared" si="32"/>
        <v>-10</v>
      </c>
      <c r="AA23" s="39">
        <f>IF(Z23&lt;0,MAX(AA$6:AA22)+1,0)</f>
        <v>5</v>
      </c>
      <c r="AB23" s="39">
        <f t="shared" si="11"/>
        <v>5</v>
      </c>
      <c r="AC23" s="39">
        <f t="shared" si="33"/>
        <v>1</v>
      </c>
      <c r="AD23" s="19"/>
      <c r="AE23" s="19">
        <f>AE22</f>
        <v>2</v>
      </c>
      <c r="AF23" s="19">
        <v>0</v>
      </c>
      <c r="AG23" s="39">
        <f t="shared" si="12"/>
        <v>7</v>
      </c>
      <c r="AH23" s="39">
        <f t="shared" si="13"/>
        <v>1</v>
      </c>
      <c r="AI23" s="16"/>
      <c r="AJ23" s="40">
        <f t="shared" ref="AJ23:AS23" si="42">AJ11</f>
        <v>5</v>
      </c>
      <c r="AK23" s="40" t="str">
        <f t="shared" si="42"/>
        <v/>
      </c>
      <c r="AL23" s="40" t="str">
        <f t="shared" si="42"/>
        <v/>
      </c>
      <c r="AM23" s="40" t="str">
        <f t="shared" si="42"/>
        <v/>
      </c>
      <c r="AN23" s="40">
        <f t="shared" si="42"/>
        <v>21</v>
      </c>
      <c r="AO23" s="40">
        <f t="shared" si="42"/>
        <v>27</v>
      </c>
      <c r="AP23" s="40" t="str">
        <f t="shared" si="42"/>
        <v/>
      </c>
      <c r="AQ23" s="40" t="str">
        <f t="shared" si="42"/>
        <v/>
      </c>
      <c r="AR23" s="40" t="str">
        <f t="shared" si="42"/>
        <v/>
      </c>
      <c r="AS23" s="40" t="str">
        <f t="shared" si="42"/>
        <v/>
      </c>
      <c r="AT23" s="16"/>
      <c r="AU23" s="40">
        <f t="shared" si="37"/>
        <v>7614180.25</v>
      </c>
      <c r="AV23" s="40">
        <f t="shared" si="37"/>
        <v>7614292.75</v>
      </c>
      <c r="AW23" s="40">
        <f t="shared" si="37"/>
        <v>7613492.75</v>
      </c>
      <c r="AX23" s="40">
        <f t="shared" si="37"/>
        <v>7613092.75</v>
      </c>
      <c r="AY23" s="40">
        <f t="shared" si="37"/>
        <v>7610630.25</v>
      </c>
      <c r="AZ23" s="40">
        <f t="shared" si="37"/>
        <v>7609892.75</v>
      </c>
      <c r="BA23" s="40">
        <f t="shared" si="37"/>
        <v>7607930.25</v>
      </c>
      <c r="BB23" s="40" t="str">
        <f t="shared" si="37"/>
        <v>y</v>
      </c>
      <c r="BC23" s="40" t="str">
        <f t="shared" si="37"/>
        <v>y</v>
      </c>
      <c r="BD23" s="40" t="str">
        <f t="shared" si="37"/>
        <v>y</v>
      </c>
      <c r="BE23" s="16"/>
      <c r="BF23" s="39">
        <v>16</v>
      </c>
      <c r="BG23" s="39">
        <v>16</v>
      </c>
      <c r="BH23" s="54">
        <v>11</v>
      </c>
      <c r="BI23" s="54">
        <f t="shared" si="38"/>
        <v>-19</v>
      </c>
      <c r="BJ23" s="54" t="s">
        <v>3</v>
      </c>
      <c r="BK23" s="54"/>
      <c r="BL23" s="16"/>
      <c r="BM23" s="16"/>
      <c r="BN23" s="16"/>
      <c r="BO23" s="16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</row>
    <row r="24" spans="1:96" ht="12" customHeight="1" x14ac:dyDescent="0.25">
      <c r="A24" s="3"/>
      <c r="B24" s="23">
        <f t="shared" si="7"/>
        <v>18</v>
      </c>
      <c r="C24" s="48">
        <v>467384.78129999997</v>
      </c>
      <c r="D24" s="48">
        <v>7612080.25</v>
      </c>
      <c r="E24" s="14"/>
      <c r="F24" s="48">
        <v>465422.28129999997</v>
      </c>
      <c r="G24" s="48">
        <v>7612830.25</v>
      </c>
      <c r="H24" s="29" t="s">
        <v>15</v>
      </c>
      <c r="I24" s="30" t="s">
        <v>54</v>
      </c>
      <c r="J24" s="30">
        <v>877</v>
      </c>
      <c r="K24" s="14"/>
      <c r="L24" s="27">
        <f t="shared" si="26"/>
        <v>1185.3269591129699</v>
      </c>
      <c r="M24" s="14"/>
      <c r="N24" s="62">
        <f t="shared" si="27"/>
        <v>17</v>
      </c>
      <c r="O24" s="6">
        <f t="shared" si="8"/>
        <v>18</v>
      </c>
      <c r="P24" s="38" t="str">
        <f t="shared" si="9"/>
        <v/>
      </c>
      <c r="Q24" s="28">
        <f t="shared" si="31"/>
        <v>18</v>
      </c>
      <c r="R24" s="48">
        <v>465422.28129999997</v>
      </c>
      <c r="S24" s="48">
        <v>7612830.25</v>
      </c>
      <c r="T24" s="29" t="s">
        <v>15</v>
      </c>
      <c r="U24" s="30" t="s">
        <v>54</v>
      </c>
      <c r="V24" s="30">
        <v>877</v>
      </c>
      <c r="W24" s="25">
        <f t="shared" si="28"/>
        <v>1250</v>
      </c>
      <c r="X24" s="25">
        <f t="shared" si="29"/>
        <v>4900</v>
      </c>
      <c r="Y24" s="25">
        <f t="shared" si="10"/>
        <v>17</v>
      </c>
      <c r="Z24" s="38">
        <f t="shared" si="32"/>
        <v>13</v>
      </c>
      <c r="AA24" s="39">
        <f>IF(Z24&lt;0,MAX(AA$6:AA23)+1,0)</f>
        <v>0</v>
      </c>
      <c r="AB24" s="39">
        <f t="shared" si="11"/>
        <v>5</v>
      </c>
      <c r="AC24" s="39">
        <f t="shared" si="33"/>
        <v>2</v>
      </c>
      <c r="AD24" s="19"/>
      <c r="AE24" s="19">
        <v>3</v>
      </c>
      <c r="AF24" s="19">
        <v>-1</v>
      </c>
      <c r="AG24" s="39">
        <f t="shared" si="12"/>
        <v>8</v>
      </c>
      <c r="AH24" s="39">
        <f t="shared" si="13"/>
        <v>1</v>
      </c>
      <c r="AI24" s="16"/>
      <c r="AJ24" s="40" t="str">
        <f t="shared" ref="AJ24:AS24" si="43">AJ12</f>
        <v/>
      </c>
      <c r="AK24" s="40" t="str">
        <f t="shared" si="43"/>
        <v/>
      </c>
      <c r="AL24" s="40" t="str">
        <f t="shared" si="43"/>
        <v/>
      </c>
      <c r="AM24" s="40" t="str">
        <f t="shared" si="43"/>
        <v/>
      </c>
      <c r="AN24" s="40">
        <f t="shared" si="43"/>
        <v>22</v>
      </c>
      <c r="AO24" s="40" t="str">
        <f t="shared" si="43"/>
        <v/>
      </c>
      <c r="AP24" s="40" t="str">
        <f t="shared" si="43"/>
        <v/>
      </c>
      <c r="AQ24" s="40" t="str">
        <f t="shared" si="43"/>
        <v/>
      </c>
      <c r="AR24" s="40" t="str">
        <f t="shared" si="43"/>
        <v/>
      </c>
      <c r="AS24" s="40" t="str">
        <f t="shared" si="43"/>
        <v/>
      </c>
      <c r="AT24" s="16"/>
      <c r="AU24" s="40">
        <f t="shared" si="37"/>
        <v>7614180.25</v>
      </c>
      <c r="AV24" s="40">
        <f t="shared" si="37"/>
        <v>7614292.75</v>
      </c>
      <c r="AW24" s="40">
        <f t="shared" si="37"/>
        <v>7613492.75</v>
      </c>
      <c r="AX24" s="40">
        <f t="shared" si="37"/>
        <v>7613092.75</v>
      </c>
      <c r="AY24" s="40">
        <f t="shared" si="37"/>
        <v>7609967.75</v>
      </c>
      <c r="AZ24" s="40">
        <f t="shared" si="37"/>
        <v>7609892.75</v>
      </c>
      <c r="BA24" s="40">
        <f t="shared" si="37"/>
        <v>7607930.25</v>
      </c>
      <c r="BB24" s="40" t="str">
        <f t="shared" si="37"/>
        <v>y</v>
      </c>
      <c r="BC24" s="40" t="str">
        <f t="shared" si="37"/>
        <v>y</v>
      </c>
      <c r="BD24" s="40" t="str">
        <f t="shared" si="37"/>
        <v>y</v>
      </c>
      <c r="BE24" s="16"/>
      <c r="BF24" s="55">
        <v>17</v>
      </c>
      <c r="BG24" s="39">
        <v>17</v>
      </c>
      <c r="BH24" s="54">
        <v>11</v>
      </c>
      <c r="BI24" s="54">
        <f t="shared" si="38"/>
        <v>-20</v>
      </c>
      <c r="BJ24" s="54" t="s">
        <v>3</v>
      </c>
      <c r="BK24" s="54"/>
      <c r="BL24" s="16"/>
      <c r="BM24" s="16"/>
      <c r="BN24" s="16"/>
      <c r="BO24" s="16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</row>
    <row r="25" spans="1:96" ht="12" customHeight="1" x14ac:dyDescent="0.25">
      <c r="A25" s="3"/>
      <c r="B25" s="23">
        <f t="shared" si="7"/>
        <v>19</v>
      </c>
      <c r="C25" s="48">
        <v>466597.28129999997</v>
      </c>
      <c r="D25" s="48">
        <v>7613155.25</v>
      </c>
      <c r="E25" s="14"/>
      <c r="F25" s="48">
        <v>465284.78129999997</v>
      </c>
      <c r="G25" s="48">
        <v>7611667.75</v>
      </c>
      <c r="H25" s="29" t="s">
        <v>14</v>
      </c>
      <c r="I25" s="30" t="s">
        <v>55</v>
      </c>
      <c r="J25" s="30">
        <v>863</v>
      </c>
      <c r="K25" s="14"/>
      <c r="L25" s="27">
        <f t="shared" si="26"/>
        <v>1170.6034768443155</v>
      </c>
      <c r="M25" s="14"/>
      <c r="N25" s="62">
        <f t="shared" si="27"/>
        <v>18</v>
      </c>
      <c r="O25" s="6">
        <f t="shared" si="8"/>
        <v>19</v>
      </c>
      <c r="P25" s="38" t="str">
        <f t="shared" si="9"/>
        <v/>
      </c>
      <c r="Q25" s="28">
        <f t="shared" si="31"/>
        <v>19</v>
      </c>
      <c r="R25" s="48">
        <v>465284.78129999997</v>
      </c>
      <c r="S25" s="48">
        <v>7611667.75</v>
      </c>
      <c r="T25" s="29" t="s">
        <v>14</v>
      </c>
      <c r="U25" s="30" t="s">
        <v>55</v>
      </c>
      <c r="V25" s="30">
        <v>863</v>
      </c>
      <c r="W25" s="25">
        <f t="shared" si="28"/>
        <v>1112.5</v>
      </c>
      <c r="X25" s="25">
        <f t="shared" si="29"/>
        <v>3737.5</v>
      </c>
      <c r="Y25" s="25">
        <f t="shared" si="10"/>
        <v>18</v>
      </c>
      <c r="Z25" s="38">
        <f t="shared" si="32"/>
        <v>14</v>
      </c>
      <c r="AA25" s="39">
        <f>IF(Z25&lt;0,MAX(AA$6:AA24)+1,0)</f>
        <v>0</v>
      </c>
      <c r="AB25" s="39">
        <f t="shared" si="11"/>
        <v>5</v>
      </c>
      <c r="AC25" s="39">
        <f t="shared" si="33"/>
        <v>3</v>
      </c>
      <c r="AD25" s="19"/>
      <c r="AE25" s="19">
        <f t="shared" ref="AE25:AE35" si="44">AE24</f>
        <v>3</v>
      </c>
      <c r="AF25" s="19">
        <v>-1</v>
      </c>
      <c r="AG25" s="39">
        <f t="shared" si="12"/>
        <v>8</v>
      </c>
      <c r="AH25" s="39">
        <f t="shared" si="13"/>
        <v>2</v>
      </c>
      <c r="AI25" s="16"/>
      <c r="AJ25" s="40" t="str">
        <f t="shared" ref="AJ25:AS25" si="45">AJ13</f>
        <v/>
      </c>
      <c r="AK25" s="40" t="str">
        <f t="shared" si="45"/>
        <v/>
      </c>
      <c r="AL25" s="40" t="str">
        <f t="shared" si="45"/>
        <v/>
      </c>
      <c r="AM25" s="40" t="str">
        <f t="shared" si="45"/>
        <v/>
      </c>
      <c r="AN25" s="40" t="str">
        <f t="shared" si="45"/>
        <v/>
      </c>
      <c r="AO25" s="40" t="str">
        <f t="shared" si="45"/>
        <v/>
      </c>
      <c r="AP25" s="40" t="str">
        <f t="shared" si="45"/>
        <v/>
      </c>
      <c r="AQ25" s="40" t="str">
        <f t="shared" si="45"/>
        <v/>
      </c>
      <c r="AR25" s="40" t="str">
        <f t="shared" si="45"/>
        <v/>
      </c>
      <c r="AS25" s="40" t="str">
        <f t="shared" si="45"/>
        <v/>
      </c>
      <c r="AT25" s="16"/>
      <c r="AU25" s="40">
        <f t="shared" si="37"/>
        <v>7614180.25</v>
      </c>
      <c r="AV25" s="40">
        <f t="shared" si="37"/>
        <v>7614292.75</v>
      </c>
      <c r="AW25" s="40">
        <f t="shared" si="37"/>
        <v>7613492.75</v>
      </c>
      <c r="AX25" s="40">
        <f t="shared" si="37"/>
        <v>7613092.75</v>
      </c>
      <c r="AY25" s="40">
        <f t="shared" si="37"/>
        <v>7609967.75</v>
      </c>
      <c r="AZ25" s="40">
        <f t="shared" si="37"/>
        <v>7609892.75</v>
      </c>
      <c r="BA25" s="40">
        <f t="shared" si="37"/>
        <v>7607930.25</v>
      </c>
      <c r="BB25" s="40" t="str">
        <f t="shared" si="37"/>
        <v>y</v>
      </c>
      <c r="BC25" s="40" t="str">
        <f t="shared" si="37"/>
        <v>y</v>
      </c>
      <c r="BD25" s="40" t="str">
        <f t="shared" si="37"/>
        <v>y</v>
      </c>
      <c r="BE25" s="16"/>
      <c r="BF25" s="53">
        <v>18</v>
      </c>
      <c r="BG25" s="39">
        <v>18</v>
      </c>
      <c r="BH25" s="54">
        <v>11</v>
      </c>
      <c r="BI25" s="54">
        <f t="shared" si="38"/>
        <v>-21</v>
      </c>
      <c r="BJ25" s="54" t="s">
        <v>72</v>
      </c>
      <c r="BK25" s="54"/>
      <c r="BL25" s="16"/>
      <c r="BM25" s="16"/>
      <c r="BN25" s="16"/>
      <c r="BO25" s="16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</row>
    <row r="26" spans="1:96" ht="12" customHeight="1" x14ac:dyDescent="0.25">
      <c r="A26" s="3"/>
      <c r="B26" s="23">
        <f t="shared" si="7"/>
        <v>20</v>
      </c>
      <c r="C26" s="48">
        <v>465672.28129999997</v>
      </c>
      <c r="D26" s="48">
        <v>7613092.75</v>
      </c>
      <c r="E26" s="14"/>
      <c r="F26" s="48">
        <v>464384.78129999997</v>
      </c>
      <c r="G26" s="48">
        <v>7611405.25</v>
      </c>
      <c r="H26" s="29" t="s">
        <v>13</v>
      </c>
      <c r="I26" s="30" t="s">
        <v>56</v>
      </c>
      <c r="J26" s="30">
        <v>854</v>
      </c>
      <c r="K26" s="14"/>
      <c r="L26" s="27">
        <f t="shared" si="26"/>
        <v>937.5</v>
      </c>
      <c r="M26" s="14"/>
      <c r="N26" s="62">
        <f t="shared" si="27"/>
        <v>19</v>
      </c>
      <c r="O26" s="6">
        <f t="shared" si="8"/>
        <v>20</v>
      </c>
      <c r="P26" s="38" t="str">
        <f t="shared" si="9"/>
        <v/>
      </c>
      <c r="Q26" s="28">
        <f t="shared" si="31"/>
        <v>20</v>
      </c>
      <c r="R26" s="48">
        <v>464384.78129999997</v>
      </c>
      <c r="S26" s="48">
        <v>7611405.25</v>
      </c>
      <c r="T26" s="29" t="s">
        <v>13</v>
      </c>
      <c r="U26" s="30" t="s">
        <v>56</v>
      </c>
      <c r="V26" s="30">
        <v>854</v>
      </c>
      <c r="W26" s="25">
        <f t="shared" si="28"/>
        <v>212.5</v>
      </c>
      <c r="X26" s="25">
        <f t="shared" si="29"/>
        <v>3475</v>
      </c>
      <c r="Y26" s="25">
        <f t="shared" si="10"/>
        <v>19</v>
      </c>
      <c r="Z26" s="38">
        <f t="shared" si="32"/>
        <v>9</v>
      </c>
      <c r="AA26" s="39">
        <f>IF(Z26&lt;0,MAX(AA$6:AA25)+1,0)</f>
        <v>0</v>
      </c>
      <c r="AB26" s="39">
        <f t="shared" si="11"/>
        <v>5</v>
      </c>
      <c r="AC26" s="39">
        <f t="shared" si="33"/>
        <v>4</v>
      </c>
      <c r="AD26" s="19"/>
      <c r="AE26" s="19">
        <f t="shared" si="44"/>
        <v>3</v>
      </c>
      <c r="AF26" s="19">
        <v>-1</v>
      </c>
      <c r="AG26" s="39">
        <f t="shared" si="12"/>
        <v>8</v>
      </c>
      <c r="AH26" s="39">
        <f t="shared" si="13"/>
        <v>3</v>
      </c>
      <c r="AI26" s="16"/>
      <c r="AJ26" s="40" t="str">
        <f t="shared" ref="AJ26:AS26" si="46">AJ14</f>
        <v/>
      </c>
      <c r="AK26" s="40" t="str">
        <f t="shared" si="46"/>
        <v/>
      </c>
      <c r="AL26" s="40" t="str">
        <f t="shared" si="46"/>
        <v/>
      </c>
      <c r="AM26" s="40" t="str">
        <f t="shared" si="46"/>
        <v/>
      </c>
      <c r="AN26" s="40" t="str">
        <f t="shared" si="46"/>
        <v/>
      </c>
      <c r="AO26" s="40" t="str">
        <f t="shared" si="46"/>
        <v/>
      </c>
      <c r="AP26" s="40" t="str">
        <f t="shared" si="46"/>
        <v/>
      </c>
      <c r="AQ26" s="40" t="str">
        <f t="shared" si="46"/>
        <v/>
      </c>
      <c r="AR26" s="40" t="str">
        <f t="shared" si="46"/>
        <v/>
      </c>
      <c r="AS26" s="40" t="str">
        <f t="shared" si="46"/>
        <v/>
      </c>
      <c r="AT26" s="16"/>
      <c r="AU26" s="40">
        <f>IF(ISNUMBER(#REF!),INDEX($R$7:$S$42,#REF!,AU$17),AU25)</f>
        <v>7614180.25</v>
      </c>
      <c r="AV26" s="40">
        <f>IF(ISNUMBER(#REF!),INDEX($R$7:$S$42,#REF!,AV$17),AV25)</f>
        <v>7614292.75</v>
      </c>
      <c r="AW26" s="40">
        <f>IF(ISNUMBER(#REF!),INDEX($R$7:$S$42,#REF!,AW$17),AW25)</f>
        <v>7613492.75</v>
      </c>
      <c r="AX26" s="40">
        <f>IF(ISNUMBER(#REF!),INDEX($R$7:$S$42,#REF!,AX$17),AX25)</f>
        <v>7613092.75</v>
      </c>
      <c r="AY26" s="40">
        <f>IF(ISNUMBER(#REF!),INDEX($R$7:$S$42,#REF!,AY$17),AY25)</f>
        <v>7609967.75</v>
      </c>
      <c r="AZ26" s="40">
        <f>IF(ISNUMBER(#REF!),INDEX($R$7:$S$42,#REF!,AZ$17),AZ25)</f>
        <v>7609892.75</v>
      </c>
      <c r="BA26" s="40">
        <f>IF(ISNUMBER(#REF!),INDEX($R$7:$S$42,#REF!,BA$17),BA25)</f>
        <v>7607930.25</v>
      </c>
      <c r="BB26" s="40" t="str">
        <f>IF(ISNUMBER(#REF!),INDEX($R$7:$S$42,#REF!,BB$17),BB25)</f>
        <v>y</v>
      </c>
      <c r="BC26" s="40" t="str">
        <f>IF(ISNUMBER(#REF!),INDEX($R$7:$S$42,#REF!,BC$17),BC25)</f>
        <v>y</v>
      </c>
      <c r="BD26" s="40" t="str">
        <f>IF(ISNUMBER(#REF!),INDEX($R$7:$S$42,#REF!,BD$17),BD25)</f>
        <v>y</v>
      </c>
      <c r="BE26" s="16"/>
      <c r="BF26" s="39">
        <v>19</v>
      </c>
      <c r="BG26" s="39">
        <v>19</v>
      </c>
      <c r="BH26" s="54">
        <v>11</v>
      </c>
      <c r="BI26" s="54">
        <f t="shared" si="38"/>
        <v>-22</v>
      </c>
      <c r="BJ26" s="54" t="s">
        <v>3</v>
      </c>
      <c r="BK26" s="54"/>
      <c r="BL26" s="16"/>
      <c r="BM26" s="16"/>
      <c r="BN26" s="16"/>
      <c r="BO26" s="16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</row>
    <row r="27" spans="1:96" ht="12" customHeight="1" x14ac:dyDescent="0.25">
      <c r="A27" s="3"/>
      <c r="B27" s="23">
        <f t="shared" si="7"/>
        <v>21</v>
      </c>
      <c r="C27" s="48">
        <v>465422.28129999997</v>
      </c>
      <c r="D27" s="48">
        <v>7612830.25</v>
      </c>
      <c r="E27" s="14"/>
      <c r="F27" s="48">
        <v>464297.28129999997</v>
      </c>
      <c r="G27" s="48">
        <v>7610630.25</v>
      </c>
      <c r="H27" s="29" t="s">
        <v>7</v>
      </c>
      <c r="I27" s="30" t="s">
        <v>57</v>
      </c>
      <c r="J27" s="30">
        <v>847</v>
      </c>
      <c r="K27" s="14"/>
      <c r="L27" s="27">
        <f t="shared" si="26"/>
        <v>779.92387449032481</v>
      </c>
      <c r="M27" s="14"/>
      <c r="N27" s="62">
        <f t="shared" si="27"/>
        <v>20</v>
      </c>
      <c r="O27" s="6">
        <f t="shared" si="8"/>
        <v>21</v>
      </c>
      <c r="P27" s="38" t="str">
        <f t="shared" si="9"/>
        <v/>
      </c>
      <c r="Q27" s="28">
        <f t="shared" si="31"/>
        <v>21</v>
      </c>
      <c r="R27" s="48">
        <v>464297.28129999997</v>
      </c>
      <c r="S27" s="48">
        <v>7610630.25</v>
      </c>
      <c r="T27" s="29" t="s">
        <v>7</v>
      </c>
      <c r="U27" s="30" t="s">
        <v>57</v>
      </c>
      <c r="V27" s="30">
        <v>847</v>
      </c>
      <c r="W27" s="25">
        <f t="shared" si="28"/>
        <v>125</v>
      </c>
      <c r="X27" s="25">
        <f t="shared" si="29"/>
        <v>2700</v>
      </c>
      <c r="Y27" s="25">
        <f t="shared" si="10"/>
        <v>20</v>
      </c>
      <c r="Z27" s="38">
        <f t="shared" si="32"/>
        <v>7</v>
      </c>
      <c r="AA27" s="39">
        <f>IF(Z27&lt;0,MAX(AA$6:AA26)+1,0)</f>
        <v>0</v>
      </c>
      <c r="AB27" s="39">
        <f t="shared" si="11"/>
        <v>5</v>
      </c>
      <c r="AC27" s="39">
        <f t="shared" si="33"/>
        <v>5</v>
      </c>
      <c r="AD27" s="19"/>
      <c r="AE27" s="19">
        <f t="shared" si="44"/>
        <v>3</v>
      </c>
      <c r="AF27" s="19">
        <v>-1</v>
      </c>
      <c r="AG27" s="39">
        <f t="shared" si="12"/>
        <v>8</v>
      </c>
      <c r="AH27" s="39">
        <f t="shared" si="13"/>
        <v>4</v>
      </c>
      <c r="AI27" s="16"/>
      <c r="AJ27" s="40" t="str">
        <f t="shared" ref="AJ27:AS27" si="47">AJ15</f>
        <v/>
      </c>
      <c r="AK27" s="40" t="str">
        <f t="shared" si="47"/>
        <v/>
      </c>
      <c r="AL27" s="40" t="str">
        <f t="shared" si="47"/>
        <v/>
      </c>
      <c r="AM27" s="40" t="str">
        <f t="shared" si="47"/>
        <v/>
      </c>
      <c r="AN27" s="40" t="str">
        <f t="shared" si="47"/>
        <v/>
      </c>
      <c r="AO27" s="40" t="str">
        <f t="shared" si="47"/>
        <v/>
      </c>
      <c r="AP27" s="40" t="str">
        <f t="shared" si="47"/>
        <v/>
      </c>
      <c r="AQ27" s="40" t="str">
        <f t="shared" si="47"/>
        <v/>
      </c>
      <c r="AR27" s="40" t="str">
        <f t="shared" si="47"/>
        <v/>
      </c>
      <c r="AS27" s="40" t="str">
        <f t="shared" si="47"/>
        <v/>
      </c>
      <c r="AT27" s="16"/>
      <c r="AU27" s="40">
        <f>IF(ISNUMBER(#REF!),INDEX($R$7:$S$42,#REF!,AU$17),AU26)</f>
        <v>7614180.25</v>
      </c>
      <c r="AV27" s="40">
        <f>IF(ISNUMBER(#REF!),INDEX($R$7:$S$42,#REF!,AV$17),AV26)</f>
        <v>7614292.75</v>
      </c>
      <c r="AW27" s="40">
        <f>IF(ISNUMBER(#REF!),INDEX($R$7:$S$42,#REF!,AW$17),AW26)</f>
        <v>7613492.75</v>
      </c>
      <c r="AX27" s="40">
        <f>IF(ISNUMBER(#REF!),INDEX($R$7:$S$42,#REF!,AX$17),AX26)</f>
        <v>7613092.75</v>
      </c>
      <c r="AY27" s="40">
        <f>IF(ISNUMBER(#REF!),INDEX($R$7:$S$42,#REF!,AY$17),AY26)</f>
        <v>7609967.75</v>
      </c>
      <c r="AZ27" s="40">
        <f>IF(ISNUMBER(#REF!),INDEX($R$7:$S$42,#REF!,AZ$17),AZ26)</f>
        <v>7609892.75</v>
      </c>
      <c r="BA27" s="40">
        <f>IF(ISNUMBER(#REF!),INDEX($R$7:$S$42,#REF!,BA$17),BA26)</f>
        <v>7607930.25</v>
      </c>
      <c r="BB27" s="40" t="str">
        <f>IF(ISNUMBER(#REF!),INDEX($R$7:$S$42,#REF!,BB$17),BB26)</f>
        <v>y</v>
      </c>
      <c r="BC27" s="40" t="str">
        <f>IF(ISNUMBER(#REF!),INDEX($R$7:$S$42,#REF!,BC$17),BC26)</f>
        <v>y</v>
      </c>
      <c r="BD27" s="40" t="str">
        <f>IF(ISNUMBER(#REF!),INDEX($R$7:$S$42,#REF!,BD$17),BD26)</f>
        <v>y</v>
      </c>
      <c r="BE27" s="16"/>
      <c r="BF27" s="39">
        <v>20</v>
      </c>
      <c r="BG27" s="39">
        <v>20</v>
      </c>
      <c r="BH27" s="54">
        <v>11</v>
      </c>
      <c r="BI27" s="54">
        <f t="shared" si="38"/>
        <v>-23</v>
      </c>
      <c r="BJ27" s="54" t="s">
        <v>3</v>
      </c>
      <c r="BK27" s="54"/>
      <c r="BL27" s="16"/>
      <c r="BM27" s="16"/>
      <c r="BN27" s="16"/>
      <c r="BO27" s="16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</row>
    <row r="28" spans="1:96" ht="12" customHeight="1" x14ac:dyDescent="0.25">
      <c r="A28" s="3"/>
      <c r="B28" s="23">
        <f t="shared" si="7"/>
        <v>22</v>
      </c>
      <c r="C28" s="48">
        <v>464872.28129999997</v>
      </c>
      <c r="D28" s="48">
        <v>7613880.25</v>
      </c>
      <c r="E28" s="14"/>
      <c r="F28" s="48">
        <v>464784.78129999997</v>
      </c>
      <c r="G28" s="48">
        <v>7609967.75</v>
      </c>
      <c r="H28" s="29" t="s">
        <v>6</v>
      </c>
      <c r="I28" s="30" t="s">
        <v>58</v>
      </c>
      <c r="J28" s="30">
        <v>844</v>
      </c>
      <c r="K28" s="14"/>
      <c r="L28" s="27">
        <f t="shared" si="26"/>
        <v>822.534193818105</v>
      </c>
      <c r="M28" s="14"/>
      <c r="N28" s="62">
        <f t="shared" si="27"/>
        <v>21</v>
      </c>
      <c r="O28" s="6">
        <f t="shared" si="8"/>
        <v>22</v>
      </c>
      <c r="P28" s="38" t="str">
        <f t="shared" si="9"/>
        <v/>
      </c>
      <c r="Q28" s="28">
        <f t="shared" si="31"/>
        <v>22</v>
      </c>
      <c r="R28" s="48">
        <v>464784.78129999997</v>
      </c>
      <c r="S28" s="48">
        <v>7609967.75</v>
      </c>
      <c r="T28" s="29" t="s">
        <v>6</v>
      </c>
      <c r="U28" s="30" t="s">
        <v>58</v>
      </c>
      <c r="V28" s="30">
        <v>844</v>
      </c>
      <c r="W28" s="25">
        <f t="shared" si="28"/>
        <v>612.5</v>
      </c>
      <c r="X28" s="25">
        <f t="shared" si="29"/>
        <v>2037.5</v>
      </c>
      <c r="Y28" s="25">
        <f t="shared" si="10"/>
        <v>21</v>
      </c>
      <c r="Z28" s="38">
        <f t="shared" si="32"/>
        <v>3</v>
      </c>
      <c r="AA28" s="39">
        <f>IF(Z28&lt;0,MAX(AA$6:AA27)+1,0)</f>
        <v>0</v>
      </c>
      <c r="AB28" s="39">
        <f t="shared" si="11"/>
        <v>5</v>
      </c>
      <c r="AC28" s="39">
        <f t="shared" si="33"/>
        <v>6</v>
      </c>
      <c r="AD28" s="19"/>
      <c r="AE28" s="19">
        <f t="shared" si="44"/>
        <v>3</v>
      </c>
      <c r="AF28" s="19">
        <v>-1</v>
      </c>
      <c r="AG28" s="39">
        <f t="shared" si="12"/>
        <v>8</v>
      </c>
      <c r="AH28" s="39">
        <f t="shared" si="13"/>
        <v>5</v>
      </c>
      <c r="AI28" s="16"/>
      <c r="AJ28" s="29"/>
      <c r="AK28" s="29"/>
      <c r="AL28" s="29"/>
      <c r="AM28" s="29"/>
      <c r="AN28" s="29"/>
      <c r="AO28" s="29"/>
      <c r="AP28" s="29"/>
      <c r="AQ28" s="29"/>
      <c r="AR28" s="29"/>
      <c r="AS28" s="29"/>
      <c r="AT28" s="16"/>
      <c r="AU28" s="29"/>
      <c r="AV28" s="29"/>
      <c r="AW28" s="29"/>
      <c r="AX28" s="29"/>
      <c r="AY28" s="29"/>
      <c r="AZ28" s="29"/>
      <c r="BA28" s="29"/>
      <c r="BB28" s="29"/>
      <c r="BC28" s="29"/>
      <c r="BD28" s="29"/>
      <c r="BE28" s="16"/>
      <c r="BF28" s="55">
        <v>21</v>
      </c>
      <c r="BG28" s="39">
        <v>21</v>
      </c>
      <c r="BH28" s="54">
        <v>11</v>
      </c>
      <c r="BI28" s="54">
        <f t="shared" si="38"/>
        <v>-24</v>
      </c>
      <c r="BJ28" s="54" t="s">
        <v>3</v>
      </c>
      <c r="BK28" s="54"/>
      <c r="BL28" s="16"/>
      <c r="BM28" s="16"/>
      <c r="BN28" s="16"/>
      <c r="BO28" s="16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</row>
    <row r="29" spans="1:96" ht="12" customHeight="1" x14ac:dyDescent="0.25">
      <c r="A29" s="3"/>
      <c r="B29" s="23">
        <f t="shared" si="7"/>
        <v>23</v>
      </c>
      <c r="C29" s="48">
        <v>465422.28129999997</v>
      </c>
      <c r="D29" s="48">
        <v>7612830.25</v>
      </c>
      <c r="E29" s="14"/>
      <c r="F29" s="48">
        <v>468284.78129999997</v>
      </c>
      <c r="G29" s="48">
        <v>7609942.75</v>
      </c>
      <c r="H29" s="29" t="s">
        <v>12</v>
      </c>
      <c r="I29" s="30" t="s">
        <v>59</v>
      </c>
      <c r="J29" s="30">
        <v>928</v>
      </c>
      <c r="K29" s="14"/>
      <c r="L29" s="27">
        <f t="shared" si="26"/>
        <v>3500.0892845754665</v>
      </c>
      <c r="M29" s="14"/>
      <c r="N29" s="62">
        <f t="shared" si="27"/>
        <v>22</v>
      </c>
      <c r="O29" s="6">
        <f t="shared" si="8"/>
        <v>23</v>
      </c>
      <c r="P29" s="38" t="str">
        <f t="shared" si="9"/>
        <v/>
      </c>
      <c r="Q29" s="28">
        <f t="shared" si="31"/>
        <v>23</v>
      </c>
      <c r="R29" s="48">
        <v>468284.78129999997</v>
      </c>
      <c r="S29" s="48">
        <v>7609942.75</v>
      </c>
      <c r="T29" s="29" t="s">
        <v>12</v>
      </c>
      <c r="U29" s="30" t="s">
        <v>59</v>
      </c>
      <c r="V29" s="30">
        <v>928</v>
      </c>
      <c r="W29" s="25">
        <f t="shared" si="28"/>
        <v>4112.5</v>
      </c>
      <c r="X29" s="25">
        <f t="shared" si="29"/>
        <v>2012.5</v>
      </c>
      <c r="Y29" s="25">
        <f t="shared" si="10"/>
        <v>22</v>
      </c>
      <c r="Z29" s="38">
        <f t="shared" si="32"/>
        <v>-84</v>
      </c>
      <c r="AA29" s="39">
        <f>IF(Z29&lt;0,MAX(AA$6:AA28)+1,0)</f>
        <v>6</v>
      </c>
      <c r="AB29" s="39">
        <f t="shared" si="11"/>
        <v>6</v>
      </c>
      <c r="AC29" s="39">
        <f t="shared" si="33"/>
        <v>1</v>
      </c>
      <c r="AD29" s="19"/>
      <c r="AE29" s="19">
        <f t="shared" si="44"/>
        <v>3</v>
      </c>
      <c r="AF29" s="19">
        <v>0</v>
      </c>
      <c r="AG29" s="39">
        <f t="shared" si="12"/>
        <v>9</v>
      </c>
      <c r="AH29" s="39">
        <f t="shared" si="13"/>
        <v>1</v>
      </c>
      <c r="AI29" s="16"/>
      <c r="AJ29" s="40">
        <f t="shared" ref="AJ29:AJ37" si="48">IF(AND(ISNUMBER(AJ7),(ISNUMBER(O$5))),INDEX($Y$7:$Y$41,AJ7,1),"")</f>
        <v>0</v>
      </c>
      <c r="AK29" s="40">
        <f t="shared" ref="AK29:AK37" si="49">IF(AND(ISNUMBER(AK7),(ISNUMBER(P$5))),INDEX($Y$7:$Y$41,AK7,1),"")</f>
        <v>5</v>
      </c>
      <c r="AL29" s="40">
        <f t="shared" ref="AL29:AL37" si="50">IF(AND(ISNUMBER(AL7),(ISNUMBER(Q$5))),INDEX($Y$7:$Y$41,AL7,1),"")</f>
        <v>8</v>
      </c>
      <c r="AM29" s="40">
        <f t="shared" ref="AM29:AM37" si="51">IF(AND(ISNUMBER(AM7),(ISNUMBER(R$5))),INDEX($Y$7:$Y$41,AM7,1),"")</f>
        <v>12</v>
      </c>
      <c r="AN29" s="40">
        <f t="shared" ref="AN29:AN37" si="52">IF(AND(ISNUMBER(AN7),(ISNUMBER(S$5))),INDEX($Y$7:$Y$41,AN7,1),"")</f>
        <v>16</v>
      </c>
      <c r="AO29" s="40">
        <f t="shared" ref="AO29:AO37" si="53">IF(AND(ISNUMBER(AO7),(ISNUMBER(T$5))),INDEX($Y$7:$Y$41,AO7,1),"")</f>
        <v>22</v>
      </c>
      <c r="AP29" s="40">
        <f t="shared" ref="AP29:AP37" si="54">IF(AND(ISNUMBER(AP7),(ISNUMBER(U$5))),INDEX($Y$7:$Y$41,AP7,1),"")</f>
        <v>27</v>
      </c>
      <c r="AQ29" s="40" t="str">
        <f t="shared" ref="AQ29:AQ37" si="55">IF(AND(ISNUMBER(AQ7),(ISNUMBER(V$5))),INDEX($Y$7:$Y$41,AQ7,1),"")</f>
        <v/>
      </c>
      <c r="AR29" s="40" t="str">
        <f>IF(AND(ISNUMBER(AR7),(ISNUMBER(#REF!))),INDEX($Y$7:$Y$41,AR7,1),"")</f>
        <v/>
      </c>
      <c r="AS29" s="40" t="str">
        <f t="shared" ref="AS29:AS37" si="56">IF(AND(ISNUMBER(AS7),(ISNUMBER(W$5))),INDEX($Y$7:$Y$41,AS7,1),"")</f>
        <v/>
      </c>
      <c r="AT29" s="8"/>
      <c r="AU29" s="29"/>
      <c r="AV29" s="29"/>
      <c r="AW29" s="29"/>
      <c r="AX29" s="29"/>
      <c r="AY29" s="29"/>
      <c r="AZ29" s="29"/>
      <c r="BA29" s="29"/>
      <c r="BB29" s="29"/>
      <c r="BC29" s="29"/>
      <c r="BD29" s="29"/>
      <c r="BE29" s="16"/>
      <c r="BF29" s="53">
        <v>22</v>
      </c>
      <c r="BG29" s="39">
        <v>22</v>
      </c>
      <c r="BH29" s="54">
        <v>11</v>
      </c>
      <c r="BI29" s="54">
        <f t="shared" si="38"/>
        <v>-25</v>
      </c>
      <c r="BJ29" s="54" t="s">
        <v>3</v>
      </c>
      <c r="BK29" s="54"/>
      <c r="BL29" s="16"/>
      <c r="BM29" s="16"/>
      <c r="BN29" s="16"/>
      <c r="BO29" s="16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</row>
    <row r="30" spans="1:96" ht="12" customHeight="1" x14ac:dyDescent="0.25">
      <c r="A30" s="3"/>
      <c r="B30" s="23">
        <f t="shared" si="7"/>
        <v>24</v>
      </c>
      <c r="C30" s="48">
        <v>465284.78129999997</v>
      </c>
      <c r="D30" s="48">
        <v>7611667.75</v>
      </c>
      <c r="E30" s="14"/>
      <c r="F30" s="48">
        <v>466622.28129999997</v>
      </c>
      <c r="G30" s="48">
        <v>7609955.25</v>
      </c>
      <c r="H30" s="29" t="s">
        <v>11</v>
      </c>
      <c r="I30" s="30" t="s">
        <v>60</v>
      </c>
      <c r="J30" s="30">
        <v>895</v>
      </c>
      <c r="K30" s="14"/>
      <c r="L30" s="27">
        <f t="shared" si="26"/>
        <v>1662.5469918170734</v>
      </c>
      <c r="M30" s="14"/>
      <c r="N30" s="62">
        <f t="shared" si="27"/>
        <v>23</v>
      </c>
      <c r="O30" s="6">
        <f t="shared" si="8"/>
        <v>24</v>
      </c>
      <c r="P30" s="38" t="str">
        <f t="shared" si="9"/>
        <v/>
      </c>
      <c r="Q30" s="28">
        <f t="shared" si="31"/>
        <v>24</v>
      </c>
      <c r="R30" s="48">
        <v>466622.28129999997</v>
      </c>
      <c r="S30" s="48">
        <v>7609955.25</v>
      </c>
      <c r="T30" s="29" t="s">
        <v>11</v>
      </c>
      <c r="U30" s="30" t="s">
        <v>60</v>
      </c>
      <c r="V30" s="30">
        <v>895</v>
      </c>
      <c r="W30" s="25">
        <f t="shared" si="28"/>
        <v>2450</v>
      </c>
      <c r="X30" s="25">
        <f t="shared" si="29"/>
        <v>2025</v>
      </c>
      <c r="Y30" s="25">
        <f t="shared" si="10"/>
        <v>23</v>
      </c>
      <c r="Z30" s="38">
        <f t="shared" si="32"/>
        <v>33</v>
      </c>
      <c r="AA30" s="39">
        <f>IF(Z30&lt;0,MAX(AA$6:AA29)+1,0)</f>
        <v>0</v>
      </c>
      <c r="AB30" s="39">
        <f t="shared" si="11"/>
        <v>6</v>
      </c>
      <c r="AC30" s="39">
        <f t="shared" si="33"/>
        <v>2</v>
      </c>
      <c r="AD30" s="19"/>
      <c r="AE30" s="19">
        <f t="shared" si="44"/>
        <v>3</v>
      </c>
      <c r="AF30" s="19">
        <v>0</v>
      </c>
      <c r="AG30" s="39">
        <f t="shared" si="12"/>
        <v>9</v>
      </c>
      <c r="AH30" s="39">
        <f t="shared" si="13"/>
        <v>2</v>
      </c>
      <c r="AI30" s="16"/>
      <c r="AJ30" s="40">
        <f t="shared" si="48"/>
        <v>1</v>
      </c>
      <c r="AK30" s="40">
        <f t="shared" si="49"/>
        <v>6</v>
      </c>
      <c r="AL30" s="40">
        <f t="shared" si="50"/>
        <v>9</v>
      </c>
      <c r="AM30" s="40">
        <f t="shared" si="51"/>
        <v>13</v>
      </c>
      <c r="AN30" s="40">
        <f t="shared" si="52"/>
        <v>17</v>
      </c>
      <c r="AO30" s="40">
        <f t="shared" si="53"/>
        <v>23</v>
      </c>
      <c r="AP30" s="40">
        <f t="shared" si="54"/>
        <v>28</v>
      </c>
      <c r="AQ30" s="40" t="str">
        <f t="shared" si="55"/>
        <v/>
      </c>
      <c r="AR30" s="40" t="str">
        <f>IF(AND(ISNUMBER(AR8),(ISNUMBER(#REF!))),INDEX($Y$7:$Y$41,AR8,1),"")</f>
        <v/>
      </c>
      <c r="AS30" s="40" t="str">
        <f t="shared" si="56"/>
        <v/>
      </c>
      <c r="AT30" s="8"/>
      <c r="AU30" s="29"/>
      <c r="AV30" s="29"/>
      <c r="AW30" s="29"/>
      <c r="AX30" s="29"/>
      <c r="AY30" s="29"/>
      <c r="AZ30" s="29"/>
      <c r="BA30" s="29"/>
      <c r="BB30" s="29"/>
      <c r="BC30" s="29"/>
      <c r="BD30" s="29"/>
      <c r="BE30" s="16"/>
      <c r="BF30" s="39">
        <v>23</v>
      </c>
      <c r="BG30" s="39">
        <v>23</v>
      </c>
      <c r="BH30" s="54">
        <v>11</v>
      </c>
      <c r="BI30" s="54">
        <f t="shared" si="38"/>
        <v>-26</v>
      </c>
      <c r="BJ30" s="54" t="s">
        <v>3</v>
      </c>
      <c r="BK30" s="54"/>
      <c r="BL30" s="16"/>
      <c r="BM30" s="16"/>
      <c r="BN30" s="16"/>
      <c r="BO30" s="16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</row>
    <row r="31" spans="1:96" ht="12" customHeight="1" x14ac:dyDescent="0.25">
      <c r="A31" s="3"/>
      <c r="B31" s="23">
        <f t="shared" si="7"/>
        <v>25</v>
      </c>
      <c r="C31" s="48">
        <v>464384.78129999997</v>
      </c>
      <c r="D31" s="48">
        <v>7611405.25</v>
      </c>
      <c r="E31" s="14"/>
      <c r="F31" s="48">
        <v>466097.28129999997</v>
      </c>
      <c r="G31" s="48">
        <v>7610467.75</v>
      </c>
      <c r="H31" s="29" t="s">
        <v>10</v>
      </c>
      <c r="I31" s="30" t="s">
        <v>61</v>
      </c>
      <c r="J31" s="30">
        <v>865</v>
      </c>
      <c r="K31" s="14"/>
      <c r="L31" s="27">
        <f t="shared" si="26"/>
        <v>733.67652954145944</v>
      </c>
      <c r="M31" s="14"/>
      <c r="N31" s="62">
        <f t="shared" si="27"/>
        <v>24</v>
      </c>
      <c r="O31" s="6">
        <f t="shared" si="8"/>
        <v>25</v>
      </c>
      <c r="P31" s="38" t="str">
        <f t="shared" si="9"/>
        <v/>
      </c>
      <c r="Q31" s="28">
        <f t="shared" si="31"/>
        <v>25</v>
      </c>
      <c r="R31" s="48">
        <v>466097.28129999997</v>
      </c>
      <c r="S31" s="48">
        <v>7610467.75</v>
      </c>
      <c r="T31" s="29" t="s">
        <v>10</v>
      </c>
      <c r="U31" s="30" t="s">
        <v>61</v>
      </c>
      <c r="V31" s="30">
        <v>865</v>
      </c>
      <c r="W31" s="25">
        <f t="shared" si="28"/>
        <v>1925</v>
      </c>
      <c r="X31" s="25">
        <f t="shared" si="29"/>
        <v>2537.5</v>
      </c>
      <c r="Y31" s="25">
        <f t="shared" si="10"/>
        <v>24</v>
      </c>
      <c r="Z31" s="38">
        <f t="shared" si="32"/>
        <v>30</v>
      </c>
      <c r="AA31" s="39">
        <f>IF(Z31&lt;0,MAX(AA$6:AA30)+1,0)</f>
        <v>0</v>
      </c>
      <c r="AB31" s="39">
        <f t="shared" si="11"/>
        <v>6</v>
      </c>
      <c r="AC31" s="39">
        <f t="shared" si="33"/>
        <v>3</v>
      </c>
      <c r="AD31" s="19"/>
      <c r="AE31" s="19">
        <f t="shared" si="44"/>
        <v>3</v>
      </c>
      <c r="AF31" s="19">
        <v>0</v>
      </c>
      <c r="AG31" s="39">
        <f t="shared" si="12"/>
        <v>9</v>
      </c>
      <c r="AH31" s="39">
        <f t="shared" si="13"/>
        <v>3</v>
      </c>
      <c r="AI31" s="16"/>
      <c r="AJ31" s="40">
        <f t="shared" si="48"/>
        <v>2</v>
      </c>
      <c r="AK31" s="40">
        <f t="shared" si="49"/>
        <v>7</v>
      </c>
      <c r="AL31" s="40">
        <f t="shared" si="50"/>
        <v>10</v>
      </c>
      <c r="AM31" s="40">
        <f t="shared" si="51"/>
        <v>14</v>
      </c>
      <c r="AN31" s="40">
        <f t="shared" si="52"/>
        <v>18</v>
      </c>
      <c r="AO31" s="40">
        <f t="shared" si="53"/>
        <v>24</v>
      </c>
      <c r="AP31" s="40" t="str">
        <f t="shared" si="54"/>
        <v/>
      </c>
      <c r="AQ31" s="40" t="str">
        <f t="shared" si="55"/>
        <v/>
      </c>
      <c r="AR31" s="40" t="str">
        <f>IF(AND(ISNUMBER(AR9),(ISNUMBER(#REF!))),INDEX($Y$7:$Y$41,AR9,1),"")</f>
        <v/>
      </c>
      <c r="AS31" s="40" t="str">
        <f t="shared" si="56"/>
        <v/>
      </c>
      <c r="AT31" s="8"/>
      <c r="AU31" s="29"/>
      <c r="AV31" s="29"/>
      <c r="AW31" s="29"/>
      <c r="AX31" s="29"/>
      <c r="AY31" s="29"/>
      <c r="AZ31" s="29"/>
      <c r="BA31" s="29"/>
      <c r="BB31" s="29"/>
      <c r="BC31" s="29"/>
      <c r="BD31" s="29"/>
      <c r="BE31" s="16"/>
      <c r="BF31" s="39">
        <v>24</v>
      </c>
      <c r="BG31" s="39">
        <v>24</v>
      </c>
      <c r="BH31" s="54">
        <v>11</v>
      </c>
      <c r="BI31" s="54">
        <f t="shared" si="38"/>
        <v>-27</v>
      </c>
      <c r="BJ31" s="54" t="s">
        <v>3</v>
      </c>
      <c r="BK31" s="54"/>
      <c r="BL31" s="16"/>
      <c r="BM31" s="16"/>
      <c r="BN31" s="16"/>
      <c r="BO31" s="16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</row>
    <row r="32" spans="1:96" ht="12" customHeight="1" x14ac:dyDescent="0.25">
      <c r="A32" s="3"/>
      <c r="B32" s="23">
        <f t="shared" si="7"/>
        <v>26</v>
      </c>
      <c r="C32" s="48">
        <v>464297.28129999997</v>
      </c>
      <c r="D32" s="48">
        <v>7610630.25</v>
      </c>
      <c r="E32" s="14"/>
      <c r="F32" s="48">
        <v>465534.78129999997</v>
      </c>
      <c r="G32" s="48">
        <v>7610505.25</v>
      </c>
      <c r="H32" s="29" t="s">
        <v>9</v>
      </c>
      <c r="I32" s="30" t="s">
        <v>62</v>
      </c>
      <c r="J32" s="30">
        <v>856</v>
      </c>
      <c r="K32" s="14"/>
      <c r="L32" s="27">
        <f t="shared" si="26"/>
        <v>563.74861418898411</v>
      </c>
      <c r="M32" s="14"/>
      <c r="N32" s="62">
        <f t="shared" si="27"/>
        <v>25</v>
      </c>
      <c r="O32" s="6">
        <f t="shared" si="8"/>
        <v>26</v>
      </c>
      <c r="P32" s="38" t="str">
        <f t="shared" si="9"/>
        <v/>
      </c>
      <c r="Q32" s="28">
        <f t="shared" si="31"/>
        <v>26</v>
      </c>
      <c r="R32" s="48">
        <v>465534.78129999997</v>
      </c>
      <c r="S32" s="48">
        <v>7610505.25</v>
      </c>
      <c r="T32" s="29" t="s">
        <v>9</v>
      </c>
      <c r="U32" s="30" t="s">
        <v>62</v>
      </c>
      <c r="V32" s="30">
        <v>856</v>
      </c>
      <c r="W32" s="25">
        <f t="shared" si="28"/>
        <v>1362.5</v>
      </c>
      <c r="X32" s="25">
        <f t="shared" si="29"/>
        <v>2575</v>
      </c>
      <c r="Y32" s="25">
        <f t="shared" si="10"/>
        <v>25</v>
      </c>
      <c r="Z32" s="38">
        <f t="shared" si="32"/>
        <v>9</v>
      </c>
      <c r="AA32" s="39">
        <f>IF(Z32&lt;0,MAX(AA$6:AA31)+1,0)</f>
        <v>0</v>
      </c>
      <c r="AB32" s="39">
        <f t="shared" si="11"/>
        <v>6</v>
      </c>
      <c r="AC32" s="39">
        <f t="shared" si="33"/>
        <v>4</v>
      </c>
      <c r="AD32" s="19"/>
      <c r="AE32" s="19">
        <f t="shared" si="44"/>
        <v>3</v>
      </c>
      <c r="AF32" s="19">
        <v>0</v>
      </c>
      <c r="AG32" s="39">
        <f t="shared" si="12"/>
        <v>9</v>
      </c>
      <c r="AH32" s="39">
        <f t="shared" si="13"/>
        <v>4</v>
      </c>
      <c r="AI32" s="16"/>
      <c r="AJ32" s="40">
        <f t="shared" si="48"/>
        <v>3</v>
      </c>
      <c r="AK32" s="40" t="str">
        <f t="shared" si="49"/>
        <v/>
      </c>
      <c r="AL32" s="40">
        <f t="shared" si="50"/>
        <v>11</v>
      </c>
      <c r="AM32" s="40">
        <f t="shared" si="51"/>
        <v>15</v>
      </c>
      <c r="AN32" s="40">
        <f t="shared" si="52"/>
        <v>19</v>
      </c>
      <c r="AO32" s="40">
        <f t="shared" si="53"/>
        <v>25</v>
      </c>
      <c r="AP32" s="40" t="str">
        <f t="shared" si="54"/>
        <v/>
      </c>
      <c r="AQ32" s="40" t="str">
        <f t="shared" si="55"/>
        <v/>
      </c>
      <c r="AR32" s="40" t="str">
        <f>IF(AND(ISNUMBER(AR10),(ISNUMBER(#REF!))),INDEX($Y$7:$Y$41,AR10,1),"")</f>
        <v/>
      </c>
      <c r="AS32" s="40" t="str">
        <f t="shared" si="56"/>
        <v/>
      </c>
      <c r="AT32" s="8"/>
      <c r="AU32" s="29"/>
      <c r="AV32" s="29"/>
      <c r="AW32" s="29"/>
      <c r="AX32" s="29"/>
      <c r="AY32" s="29"/>
      <c r="AZ32" s="29"/>
      <c r="BA32" s="29"/>
      <c r="BB32" s="29"/>
      <c r="BC32" s="29"/>
      <c r="BD32" s="29"/>
      <c r="BE32" s="16"/>
      <c r="BF32" s="39">
        <v>25</v>
      </c>
      <c r="BG32" s="39">
        <v>25</v>
      </c>
      <c r="BH32" s="54">
        <v>11</v>
      </c>
      <c r="BI32" s="54">
        <f t="shared" si="38"/>
        <v>-28</v>
      </c>
      <c r="BJ32" s="54" t="s">
        <v>3</v>
      </c>
      <c r="BK32" s="54"/>
      <c r="BL32" s="16"/>
      <c r="BM32" s="16"/>
      <c r="BN32" s="16"/>
      <c r="BO32" s="16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</row>
    <row r="33" spans="1:96" ht="12" customHeight="1" x14ac:dyDescent="0.25">
      <c r="A33" s="3"/>
      <c r="B33" s="23">
        <f t="shared" si="7"/>
        <v>27</v>
      </c>
      <c r="C33" s="48">
        <v>468284.78129999997</v>
      </c>
      <c r="D33" s="48">
        <v>7609942.75</v>
      </c>
      <c r="E33" s="14"/>
      <c r="F33" s="48">
        <v>464909.78129999997</v>
      </c>
      <c r="G33" s="48">
        <v>7609892.75</v>
      </c>
      <c r="H33" s="29" t="s">
        <v>8</v>
      </c>
      <c r="I33" s="30" t="s">
        <v>58</v>
      </c>
      <c r="J33" s="30">
        <v>844</v>
      </c>
      <c r="K33" s="14"/>
      <c r="L33" s="27">
        <f t="shared" si="26"/>
        <v>875.08928115935691</v>
      </c>
      <c r="M33" s="14"/>
      <c r="N33" s="62">
        <f t="shared" si="27"/>
        <v>26</v>
      </c>
      <c r="O33" s="6">
        <f t="shared" si="8"/>
        <v>27</v>
      </c>
      <c r="P33" s="38" t="str">
        <f t="shared" si="9"/>
        <v/>
      </c>
      <c r="Q33" s="28">
        <f t="shared" si="31"/>
        <v>27</v>
      </c>
      <c r="R33" s="48">
        <v>464909.78129999997</v>
      </c>
      <c r="S33" s="48">
        <v>7609892.75</v>
      </c>
      <c r="T33" s="29" t="s">
        <v>8</v>
      </c>
      <c r="U33" s="30" t="s">
        <v>58</v>
      </c>
      <c r="V33" s="30">
        <v>844</v>
      </c>
      <c r="W33" s="25">
        <f t="shared" ref="W33:W42" si="57">IF(ISNUMBER(R33),R33-MIN(R$7:R$42),"")</f>
        <v>737.5</v>
      </c>
      <c r="X33" s="25">
        <f t="shared" ref="X33:X42" si="58">IF(ISNUMBER(R33),S33-MIN(S$7:S$42),"")</f>
        <v>1962.5</v>
      </c>
      <c r="Y33" s="25">
        <f t="shared" si="10"/>
        <v>26</v>
      </c>
      <c r="Z33" s="38">
        <f t="shared" si="32"/>
        <v>12</v>
      </c>
      <c r="AA33" s="39">
        <f>IF(Z33&lt;0,MAX(AA$6:AA32)+1,0)</f>
        <v>0</v>
      </c>
      <c r="AB33" s="39">
        <f t="shared" si="11"/>
        <v>6</v>
      </c>
      <c r="AC33" s="39">
        <f t="shared" si="33"/>
        <v>5</v>
      </c>
      <c r="AD33" s="19"/>
      <c r="AE33" s="19">
        <f t="shared" si="44"/>
        <v>3</v>
      </c>
      <c r="AF33" s="19">
        <v>0</v>
      </c>
      <c r="AG33" s="39">
        <f t="shared" si="12"/>
        <v>9</v>
      </c>
      <c r="AH33" s="39">
        <f t="shared" si="13"/>
        <v>5</v>
      </c>
      <c r="AI33" s="16"/>
      <c r="AJ33" s="40">
        <f t="shared" si="48"/>
        <v>4</v>
      </c>
      <c r="AK33" s="40" t="str">
        <f t="shared" si="49"/>
        <v/>
      </c>
      <c r="AL33" s="40" t="str">
        <f t="shared" si="50"/>
        <v/>
      </c>
      <c r="AM33" s="40" t="str">
        <f t="shared" si="51"/>
        <v/>
      </c>
      <c r="AN33" s="40">
        <f t="shared" si="52"/>
        <v>20</v>
      </c>
      <c r="AO33" s="40">
        <f t="shared" si="53"/>
        <v>26</v>
      </c>
      <c r="AP33" s="40" t="str">
        <f t="shared" si="54"/>
        <v/>
      </c>
      <c r="AQ33" s="40" t="str">
        <f t="shared" si="55"/>
        <v/>
      </c>
      <c r="AR33" s="40" t="str">
        <f>IF(AND(ISNUMBER(AR11),(ISNUMBER(#REF!))),INDEX($Y$7:$Y$41,AR11,1),"")</f>
        <v/>
      </c>
      <c r="AS33" s="40" t="str">
        <f t="shared" si="56"/>
        <v/>
      </c>
      <c r="AT33" s="8"/>
      <c r="AU33" s="29"/>
      <c r="AV33" s="29"/>
      <c r="AW33" s="29"/>
      <c r="AX33" s="29"/>
      <c r="AY33" s="29"/>
      <c r="AZ33" s="29"/>
      <c r="BA33" s="29"/>
      <c r="BB33" s="29"/>
      <c r="BC33" s="29"/>
      <c r="BD33" s="29"/>
      <c r="BE33" s="16"/>
      <c r="BF33" s="55">
        <v>26</v>
      </c>
      <c r="BG33" s="39">
        <v>26</v>
      </c>
      <c r="BH33" s="54">
        <v>11</v>
      </c>
      <c r="BI33" s="54">
        <f t="shared" si="38"/>
        <v>-29</v>
      </c>
      <c r="BJ33" s="54" t="s">
        <v>3</v>
      </c>
      <c r="BK33" s="54"/>
      <c r="BL33" s="16"/>
      <c r="BM33" s="16"/>
      <c r="BN33" s="16"/>
      <c r="BO33" s="16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</row>
    <row r="34" spans="1:96" ht="12" customHeight="1" x14ac:dyDescent="0.25">
      <c r="A34" s="3"/>
      <c r="B34" s="23">
        <f t="shared" si="7"/>
        <v>28</v>
      </c>
      <c r="C34" s="48">
        <v>466622.28129999997</v>
      </c>
      <c r="D34" s="48">
        <v>7609955.25</v>
      </c>
      <c r="E34" s="14"/>
      <c r="F34" s="48">
        <v>464822.28129999997</v>
      </c>
      <c r="G34" s="48">
        <v>7609305.25</v>
      </c>
      <c r="H34" s="29" t="s">
        <v>5</v>
      </c>
      <c r="I34" s="30" t="s">
        <v>63</v>
      </c>
      <c r="J34" s="30">
        <v>846</v>
      </c>
      <c r="K34" s="14"/>
      <c r="L34" s="27">
        <f t="shared" si="26"/>
        <v>593.98021852583611</v>
      </c>
      <c r="M34" s="14"/>
      <c r="N34" s="62">
        <f t="shared" si="27"/>
        <v>27</v>
      </c>
      <c r="O34" s="6">
        <f t="shared" si="8"/>
        <v>28</v>
      </c>
      <c r="P34" s="38">
        <f t="shared" si="9"/>
        <v>28</v>
      </c>
      <c r="Q34" s="28">
        <f t="shared" si="31"/>
        <v>28</v>
      </c>
      <c r="R34" s="48">
        <v>464822.28129999997</v>
      </c>
      <c r="S34" s="48">
        <v>7609305.25</v>
      </c>
      <c r="T34" s="29" t="s">
        <v>5</v>
      </c>
      <c r="U34" s="30" t="s">
        <v>63</v>
      </c>
      <c r="V34" s="30">
        <v>846</v>
      </c>
      <c r="W34" s="25">
        <f t="shared" si="57"/>
        <v>650</v>
      </c>
      <c r="X34" s="25">
        <f t="shared" si="58"/>
        <v>1375</v>
      </c>
      <c r="Y34" s="25">
        <f t="shared" si="10"/>
        <v>27</v>
      </c>
      <c r="Z34" s="38">
        <f t="shared" si="32"/>
        <v>-2</v>
      </c>
      <c r="AA34" s="39">
        <f>IF(Z34&lt;0,MAX(AA$6:AA33)+1,0)</f>
        <v>7</v>
      </c>
      <c r="AB34" s="39">
        <f t="shared" si="11"/>
        <v>7</v>
      </c>
      <c r="AC34" s="39">
        <f t="shared" si="33"/>
        <v>1</v>
      </c>
      <c r="AD34" s="19"/>
      <c r="AE34" s="19">
        <f t="shared" si="44"/>
        <v>3</v>
      </c>
      <c r="AF34" s="19">
        <v>0</v>
      </c>
      <c r="AG34" s="39">
        <f t="shared" si="12"/>
        <v>10</v>
      </c>
      <c r="AH34" s="39">
        <f t="shared" si="13"/>
        <v>1</v>
      </c>
      <c r="AI34" s="16"/>
      <c r="AJ34" s="40" t="str">
        <f t="shared" si="48"/>
        <v/>
      </c>
      <c r="AK34" s="40" t="str">
        <f t="shared" si="49"/>
        <v/>
      </c>
      <c r="AL34" s="40" t="str">
        <f t="shared" si="50"/>
        <v/>
      </c>
      <c r="AM34" s="40" t="str">
        <f t="shared" si="51"/>
        <v/>
      </c>
      <c r="AN34" s="40">
        <f t="shared" si="52"/>
        <v>21</v>
      </c>
      <c r="AO34" s="40" t="str">
        <f t="shared" si="53"/>
        <v/>
      </c>
      <c r="AP34" s="40" t="str">
        <f t="shared" si="54"/>
        <v/>
      </c>
      <c r="AQ34" s="40" t="str">
        <f t="shared" si="55"/>
        <v/>
      </c>
      <c r="AR34" s="40" t="str">
        <f>IF(AND(ISNUMBER(AR12),(ISNUMBER(#REF!))),INDEX($Y$7:$Y$41,AR12,1),"")</f>
        <v/>
      </c>
      <c r="AS34" s="40" t="str">
        <f t="shared" si="56"/>
        <v/>
      </c>
      <c r="AT34" s="8"/>
      <c r="AU34" s="29"/>
      <c r="AV34" s="29"/>
      <c r="AW34" s="29"/>
      <c r="AX34" s="29"/>
      <c r="AY34" s="29"/>
      <c r="AZ34" s="29"/>
      <c r="BA34" s="29"/>
      <c r="BB34" s="29"/>
      <c r="BC34" s="29"/>
      <c r="BD34" s="29"/>
      <c r="BE34" s="16"/>
      <c r="BF34" s="53">
        <v>27</v>
      </c>
      <c r="BG34" s="39">
        <v>27</v>
      </c>
      <c r="BH34" s="54">
        <v>11</v>
      </c>
      <c r="BI34" s="54">
        <f t="shared" si="38"/>
        <v>-30</v>
      </c>
      <c r="BJ34" s="54" t="s">
        <v>73</v>
      </c>
      <c r="BK34" s="54"/>
      <c r="BL34" s="16"/>
      <c r="BM34" s="16"/>
      <c r="BN34" s="16"/>
      <c r="BO34" s="16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</row>
    <row r="35" spans="1:96" ht="12" customHeight="1" x14ac:dyDescent="0.25">
      <c r="A35" s="3"/>
      <c r="B35" s="23">
        <f t="shared" si="7"/>
        <v>29</v>
      </c>
      <c r="C35" s="48">
        <v>466097.28129999997</v>
      </c>
      <c r="D35" s="48">
        <v>7610467.75</v>
      </c>
      <c r="E35" s="14"/>
      <c r="F35" s="48">
        <v>464172.28129999997</v>
      </c>
      <c r="G35" s="48">
        <v>7607930.25</v>
      </c>
      <c r="H35" s="29" t="s">
        <v>4</v>
      </c>
      <c r="I35" s="30" t="s">
        <v>64</v>
      </c>
      <c r="J35" s="30">
        <v>842</v>
      </c>
      <c r="K35" s="14"/>
      <c r="L35" s="27">
        <f t="shared" si="26"/>
        <v>1520.896117425513</v>
      </c>
      <c r="M35" s="14"/>
      <c r="N35" s="62">
        <f t="shared" si="27"/>
        <v>28</v>
      </c>
      <c r="O35" s="6">
        <f t="shared" si="8"/>
        <v>29</v>
      </c>
      <c r="P35" s="38">
        <f t="shared" si="9"/>
        <v>29</v>
      </c>
      <c r="Q35" s="28">
        <f t="shared" si="31"/>
        <v>29</v>
      </c>
      <c r="R35" s="48">
        <v>464172.28129999997</v>
      </c>
      <c r="S35" s="48">
        <v>7607930.25</v>
      </c>
      <c r="T35" s="29" t="s">
        <v>4</v>
      </c>
      <c r="U35" s="30" t="s">
        <v>64</v>
      </c>
      <c r="V35" s="30">
        <v>842</v>
      </c>
      <c r="W35" s="25">
        <f t="shared" si="57"/>
        <v>0</v>
      </c>
      <c r="X35" s="25">
        <f t="shared" si="58"/>
        <v>0</v>
      </c>
      <c r="Y35" s="25">
        <f t="shared" si="10"/>
        <v>28</v>
      </c>
      <c r="Z35" s="38">
        <f t="shared" si="32"/>
        <v>4</v>
      </c>
      <c r="AA35" s="39">
        <f>IF(Z35&lt;0,MAX(AA$6:AA34)+1,0)</f>
        <v>0</v>
      </c>
      <c r="AB35" s="39">
        <f t="shared" si="11"/>
        <v>7</v>
      </c>
      <c r="AC35" s="39">
        <f t="shared" si="33"/>
        <v>2</v>
      </c>
      <c r="AD35" s="19"/>
      <c r="AE35" s="19">
        <f t="shared" si="44"/>
        <v>3</v>
      </c>
      <c r="AF35" s="19">
        <v>0</v>
      </c>
      <c r="AG35" s="39">
        <f t="shared" si="12"/>
        <v>10</v>
      </c>
      <c r="AH35" s="39">
        <f t="shared" si="13"/>
        <v>2</v>
      </c>
      <c r="AI35" s="16"/>
      <c r="AJ35" s="40" t="str">
        <f t="shared" si="48"/>
        <v/>
      </c>
      <c r="AK35" s="40" t="str">
        <f t="shared" si="49"/>
        <v/>
      </c>
      <c r="AL35" s="40" t="str">
        <f t="shared" si="50"/>
        <v/>
      </c>
      <c r="AM35" s="40" t="str">
        <f t="shared" si="51"/>
        <v/>
      </c>
      <c r="AN35" s="40" t="str">
        <f t="shared" si="52"/>
        <v/>
      </c>
      <c r="AO35" s="40" t="str">
        <f t="shared" si="53"/>
        <v/>
      </c>
      <c r="AP35" s="40" t="str">
        <f t="shared" si="54"/>
        <v/>
      </c>
      <c r="AQ35" s="40" t="str">
        <f t="shared" si="55"/>
        <v/>
      </c>
      <c r="AR35" s="40" t="str">
        <f>IF(AND(ISNUMBER(AR13),(ISNUMBER(#REF!))),INDEX($Y$7:$Y$41,AR13,1),"")</f>
        <v/>
      </c>
      <c r="AS35" s="40" t="str">
        <f t="shared" si="56"/>
        <v/>
      </c>
      <c r="AT35" s="8"/>
      <c r="AU35" s="17"/>
      <c r="AV35" s="17"/>
      <c r="AW35" s="17"/>
      <c r="AX35" s="17"/>
      <c r="AY35" s="17"/>
      <c r="AZ35" s="17"/>
      <c r="BA35" s="17"/>
      <c r="BB35" s="17"/>
      <c r="BC35" s="17"/>
      <c r="BD35" s="17"/>
      <c r="BE35" s="16"/>
      <c r="BF35" s="55">
        <v>28</v>
      </c>
      <c r="BG35" s="39">
        <v>28</v>
      </c>
      <c r="BH35" s="54">
        <v>11</v>
      </c>
      <c r="BI35" s="54">
        <f t="shared" si="38"/>
        <v>-31</v>
      </c>
      <c r="BJ35" s="54" t="s">
        <v>3</v>
      </c>
      <c r="BK35" s="54"/>
      <c r="BL35" s="16"/>
      <c r="BM35" s="16"/>
      <c r="BN35" s="16"/>
      <c r="BO35" s="16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</row>
    <row r="36" spans="1:96" ht="12" customHeight="1" x14ac:dyDescent="0.25">
      <c r="A36" s="3"/>
      <c r="B36" s="23">
        <f t="shared" si="7"/>
        <v>30</v>
      </c>
      <c r="C36" s="48">
        <v>465534.78129999997</v>
      </c>
      <c r="D36" s="48">
        <v>7610505.25</v>
      </c>
      <c r="E36" s="14"/>
      <c r="F36" s="48"/>
      <c r="G36" s="48"/>
      <c r="H36" s="26"/>
      <c r="I36" s="10"/>
      <c r="J36" s="10"/>
      <c r="K36" s="14"/>
      <c r="L36" s="27" t="str">
        <f t="shared" si="26"/>
        <v/>
      </c>
      <c r="M36" s="14"/>
      <c r="N36" s="62" t="str">
        <f t="shared" si="27"/>
        <v/>
      </c>
      <c r="O36" s="6" t="str">
        <f t="shared" si="8"/>
        <v/>
      </c>
      <c r="P36" s="38" t="str">
        <f t="shared" si="9"/>
        <v/>
      </c>
      <c r="Q36" s="28" t="str">
        <f t="shared" si="31"/>
        <v/>
      </c>
      <c r="R36" s="48"/>
      <c r="S36" s="48"/>
      <c r="T36" s="29"/>
      <c r="U36" s="30"/>
      <c r="V36" s="30"/>
      <c r="W36" s="25" t="str">
        <f t="shared" si="57"/>
        <v/>
      </c>
      <c r="X36" s="25" t="str">
        <f t="shared" si="58"/>
        <v/>
      </c>
      <c r="Y36" s="25" t="str">
        <f t="shared" si="10"/>
        <v/>
      </c>
      <c r="Z36" s="38" t="str">
        <f t="shared" ref="Z36:Z42" si="59">IF(ISNUMBER(R36),V35-V36,"")</f>
        <v/>
      </c>
      <c r="AA36" s="39">
        <f>IF(Z36&lt;0,MAX(AA$6:AA35)+1,0)</f>
        <v>0</v>
      </c>
      <c r="AB36" s="39" t="str">
        <f t="shared" ref="AB36:AB42" si="60">IF(ISNUMBER(R36),IF(AA36=0,AB35,AA36),"")</f>
        <v/>
      </c>
      <c r="AC36" s="39">
        <f t="shared" si="33"/>
        <v>3</v>
      </c>
      <c r="AD36" s="19"/>
      <c r="AE36" s="19">
        <v>0</v>
      </c>
      <c r="AF36" s="19">
        <v>0</v>
      </c>
      <c r="AG36" s="39" t="str">
        <f t="shared" si="12"/>
        <v/>
      </c>
      <c r="AH36" s="39" t="str">
        <f t="shared" si="13"/>
        <v/>
      </c>
      <c r="AI36" s="16"/>
      <c r="AJ36" s="40" t="str">
        <f t="shared" si="48"/>
        <v/>
      </c>
      <c r="AK36" s="40" t="str">
        <f t="shared" si="49"/>
        <v/>
      </c>
      <c r="AL36" s="40" t="str">
        <f t="shared" si="50"/>
        <v/>
      </c>
      <c r="AM36" s="40" t="str">
        <f t="shared" si="51"/>
        <v/>
      </c>
      <c r="AN36" s="40" t="str">
        <f t="shared" si="52"/>
        <v/>
      </c>
      <c r="AO36" s="40" t="str">
        <f t="shared" si="53"/>
        <v/>
      </c>
      <c r="AP36" s="40" t="str">
        <f t="shared" si="54"/>
        <v/>
      </c>
      <c r="AQ36" s="40" t="str">
        <f t="shared" si="55"/>
        <v/>
      </c>
      <c r="AR36" s="40" t="str">
        <f>IF(AND(ISNUMBER(AR14),(ISNUMBER(#REF!))),INDEX($Y$7:$Y$41,AR14,1),"")</f>
        <v/>
      </c>
      <c r="AS36" s="40" t="str">
        <f t="shared" si="56"/>
        <v/>
      </c>
      <c r="AT36" s="8"/>
      <c r="AU36" s="17"/>
      <c r="AV36" s="17"/>
      <c r="AW36" s="17"/>
      <c r="AX36" s="17"/>
      <c r="AY36" s="17"/>
      <c r="AZ36" s="17"/>
      <c r="BA36" s="17"/>
      <c r="BB36" s="17"/>
      <c r="BC36" s="17"/>
      <c r="BD36" s="17"/>
      <c r="BE36" s="16"/>
      <c r="BF36" s="39" t="str">
        <f t="shared" ref="BF36:BF42" si="61">IF(ISNUMBER(AQ36),BA36+BD36,"")</f>
        <v/>
      </c>
      <c r="BG36" s="39" t="str">
        <f t="shared" ref="BG36:BG42" si="62">IF(ISNUMBER(AR36),BB36+BE36,"")</f>
        <v/>
      </c>
      <c r="BH36" s="39"/>
      <c r="BI36" s="39"/>
      <c r="BJ36" s="39"/>
      <c r="BK36" s="39"/>
      <c r="BL36" s="16"/>
      <c r="BM36" s="16"/>
      <c r="BN36" s="16"/>
      <c r="BO36" s="16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</row>
    <row r="37" spans="1:96" ht="12" customHeight="1" x14ac:dyDescent="0.25">
      <c r="A37" s="3"/>
      <c r="B37" s="23">
        <f t="shared" si="7"/>
        <v>31</v>
      </c>
      <c r="C37" s="48">
        <v>464909.78129999997</v>
      </c>
      <c r="D37" s="48">
        <v>7609892.75</v>
      </c>
      <c r="E37" s="14"/>
      <c r="F37" s="48"/>
      <c r="G37" s="48"/>
      <c r="H37" s="26"/>
      <c r="I37" s="10"/>
      <c r="J37" s="10"/>
      <c r="K37" s="14"/>
      <c r="L37" s="27" t="str">
        <f t="shared" si="26"/>
        <v/>
      </c>
      <c r="M37" s="14"/>
      <c r="N37" s="62" t="str">
        <f t="shared" si="27"/>
        <v/>
      </c>
      <c r="O37" s="6" t="str">
        <f t="shared" si="8"/>
        <v/>
      </c>
      <c r="P37" s="38" t="str">
        <f t="shared" si="9"/>
        <v/>
      </c>
      <c r="Q37" s="28" t="str">
        <f t="shared" si="31"/>
        <v/>
      </c>
      <c r="R37" s="48"/>
      <c r="S37" s="48"/>
      <c r="T37" s="29"/>
      <c r="U37" s="30"/>
      <c r="V37" s="30"/>
      <c r="W37" s="25" t="str">
        <f t="shared" si="57"/>
        <v/>
      </c>
      <c r="X37" s="25" t="str">
        <f t="shared" si="58"/>
        <v/>
      </c>
      <c r="Y37" s="25" t="str">
        <f t="shared" si="10"/>
        <v/>
      </c>
      <c r="Z37" s="38" t="str">
        <f t="shared" si="59"/>
        <v/>
      </c>
      <c r="AA37" s="39">
        <f>IF(Z37&lt;0,MAX(AA$6:AA36)+1,0)</f>
        <v>0</v>
      </c>
      <c r="AB37" s="39" t="str">
        <f t="shared" si="60"/>
        <v/>
      </c>
      <c r="AC37" s="39" t="str">
        <f t="shared" si="33"/>
        <v/>
      </c>
      <c r="AD37" s="19"/>
      <c r="AE37" s="19">
        <v>0</v>
      </c>
      <c r="AF37" s="19">
        <v>0</v>
      </c>
      <c r="AG37" s="39" t="str">
        <f t="shared" si="12"/>
        <v/>
      </c>
      <c r="AH37" s="39" t="str">
        <f t="shared" si="13"/>
        <v/>
      </c>
      <c r="AI37" s="16"/>
      <c r="AJ37" s="40" t="str">
        <f t="shared" si="48"/>
        <v/>
      </c>
      <c r="AK37" s="40" t="str">
        <f t="shared" si="49"/>
        <v/>
      </c>
      <c r="AL37" s="40" t="str">
        <f t="shared" si="50"/>
        <v/>
      </c>
      <c r="AM37" s="40" t="str">
        <f t="shared" si="51"/>
        <v/>
      </c>
      <c r="AN37" s="40" t="str">
        <f t="shared" si="52"/>
        <v/>
      </c>
      <c r="AO37" s="40" t="str">
        <f t="shared" si="53"/>
        <v/>
      </c>
      <c r="AP37" s="40" t="str">
        <f t="shared" si="54"/>
        <v/>
      </c>
      <c r="AQ37" s="40" t="str">
        <f t="shared" si="55"/>
        <v/>
      </c>
      <c r="AR37" s="40" t="str">
        <f>IF(AND(ISNUMBER(AR15),(ISNUMBER(#REF!))),INDEX($Y$7:$Y$41,AR15,1),"")</f>
        <v/>
      </c>
      <c r="AS37" s="40" t="str">
        <f t="shared" si="56"/>
        <v/>
      </c>
      <c r="AT37" s="8"/>
      <c r="AU37" s="17"/>
      <c r="AV37" s="17"/>
      <c r="AW37" s="17"/>
      <c r="AX37" s="17"/>
      <c r="AY37" s="17"/>
      <c r="AZ37" s="17"/>
      <c r="BA37" s="17"/>
      <c r="BB37" s="17"/>
      <c r="BC37" s="17"/>
      <c r="BD37" s="17"/>
      <c r="BE37" s="16"/>
      <c r="BF37" s="39" t="str">
        <f t="shared" si="61"/>
        <v/>
      </c>
      <c r="BG37" s="39" t="str">
        <f t="shared" si="62"/>
        <v/>
      </c>
      <c r="BH37" s="39"/>
      <c r="BI37" s="39"/>
      <c r="BJ37" s="39"/>
      <c r="BK37" s="39"/>
      <c r="BL37" s="16"/>
      <c r="BM37" s="16"/>
      <c r="BN37" s="16"/>
      <c r="BO37" s="16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</row>
    <row r="38" spans="1:96" ht="12" customHeight="1" x14ac:dyDescent="0.25">
      <c r="A38" s="3"/>
      <c r="B38" s="23">
        <f t="shared" si="7"/>
        <v>32</v>
      </c>
      <c r="C38" s="48">
        <v>464822.28129999997</v>
      </c>
      <c r="D38" s="48">
        <v>7609305.25</v>
      </c>
      <c r="E38" s="14"/>
      <c r="F38" s="48"/>
      <c r="G38" s="48"/>
      <c r="H38" s="26"/>
      <c r="I38" s="10"/>
      <c r="J38" s="10"/>
      <c r="K38" s="14"/>
      <c r="L38" s="27" t="str">
        <f t="shared" si="26"/>
        <v/>
      </c>
      <c r="M38" s="14"/>
      <c r="N38" s="62" t="str">
        <f t="shared" si="27"/>
        <v/>
      </c>
      <c r="O38" s="6" t="str">
        <f t="shared" si="8"/>
        <v/>
      </c>
      <c r="P38" s="38" t="str">
        <f t="shared" si="9"/>
        <v/>
      </c>
      <c r="Q38" s="28" t="str">
        <f t="shared" si="31"/>
        <v/>
      </c>
      <c r="R38" s="48"/>
      <c r="S38" s="48"/>
      <c r="T38" s="29"/>
      <c r="U38" s="30"/>
      <c r="V38" s="30"/>
      <c r="W38" s="25" t="str">
        <f t="shared" si="57"/>
        <v/>
      </c>
      <c r="X38" s="25" t="str">
        <f t="shared" si="58"/>
        <v/>
      </c>
      <c r="Y38" s="25" t="str">
        <f t="shared" si="10"/>
        <v/>
      </c>
      <c r="Z38" s="38" t="str">
        <f t="shared" si="59"/>
        <v/>
      </c>
      <c r="AA38" s="39">
        <f>IF(Z38&lt;0,MAX(AA$6:AA37)+1,0)</f>
        <v>0</v>
      </c>
      <c r="AB38" s="39" t="str">
        <f t="shared" si="60"/>
        <v/>
      </c>
      <c r="AC38" s="39" t="str">
        <f t="shared" si="33"/>
        <v/>
      </c>
      <c r="AD38" s="19"/>
      <c r="AE38" s="19">
        <v>0</v>
      </c>
      <c r="AF38" s="19">
        <v>0</v>
      </c>
      <c r="AG38" s="39" t="str">
        <f t="shared" si="12"/>
        <v/>
      </c>
      <c r="AH38" s="39" t="str">
        <f t="shared" si="13"/>
        <v/>
      </c>
      <c r="AI38" s="16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16"/>
      <c r="AU38" s="17"/>
      <c r="AV38" s="17"/>
      <c r="AW38" s="17"/>
      <c r="AX38" s="17"/>
      <c r="AY38" s="17"/>
      <c r="AZ38" s="17"/>
      <c r="BA38" s="17"/>
      <c r="BB38" s="17"/>
      <c r="BC38" s="17"/>
      <c r="BD38" s="16"/>
      <c r="BE38" s="16"/>
      <c r="BF38" s="39" t="str">
        <f t="shared" si="61"/>
        <v/>
      </c>
      <c r="BG38" s="39" t="str">
        <f t="shared" si="62"/>
        <v/>
      </c>
      <c r="BH38" s="39"/>
      <c r="BI38" s="39"/>
      <c r="BJ38" s="39"/>
      <c r="BK38" s="39"/>
      <c r="BL38" s="16"/>
      <c r="BM38" s="16"/>
      <c r="BN38" s="16"/>
      <c r="BO38" s="16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</row>
    <row r="39" spans="1:96" ht="12" customHeight="1" x14ac:dyDescent="0.25">
      <c r="A39" s="3"/>
      <c r="B39" s="23">
        <f t="shared" si="7"/>
        <v>33</v>
      </c>
      <c r="C39" s="48">
        <v>464297.28129999997</v>
      </c>
      <c r="D39" s="48">
        <v>7610630.25</v>
      </c>
      <c r="E39" s="14"/>
      <c r="F39" s="48"/>
      <c r="G39" s="48"/>
      <c r="H39" s="26"/>
      <c r="I39" s="10"/>
      <c r="J39" s="10"/>
      <c r="K39" s="14"/>
      <c r="L39" s="27" t="str">
        <f t="shared" si="26"/>
        <v/>
      </c>
      <c r="M39" s="14"/>
      <c r="N39" s="62" t="str">
        <f t="shared" si="27"/>
        <v/>
      </c>
      <c r="O39" s="6" t="str">
        <f t="shared" si="8"/>
        <v/>
      </c>
      <c r="P39" s="38" t="str">
        <f t="shared" si="9"/>
        <v/>
      </c>
      <c r="Q39" s="28" t="str">
        <f t="shared" si="31"/>
        <v/>
      </c>
      <c r="R39" s="48"/>
      <c r="S39" s="48"/>
      <c r="T39" s="29"/>
      <c r="U39" s="30"/>
      <c r="V39" s="30"/>
      <c r="W39" s="25" t="str">
        <f t="shared" si="57"/>
        <v/>
      </c>
      <c r="X39" s="25" t="str">
        <f t="shared" si="58"/>
        <v/>
      </c>
      <c r="Y39" s="25" t="str">
        <f t="shared" si="10"/>
        <v/>
      </c>
      <c r="Z39" s="38" t="str">
        <f t="shared" si="59"/>
        <v/>
      </c>
      <c r="AA39" s="39">
        <f>IF(Z39&lt;0,MAX(AA$6:AA38)+1,0)</f>
        <v>0</v>
      </c>
      <c r="AB39" s="39" t="str">
        <f t="shared" si="60"/>
        <v/>
      </c>
      <c r="AC39" s="39" t="str">
        <f t="shared" si="33"/>
        <v/>
      </c>
      <c r="AD39" s="19"/>
      <c r="AE39" s="19">
        <v>0</v>
      </c>
      <c r="AF39" s="19">
        <v>0</v>
      </c>
      <c r="AG39" s="39" t="str">
        <f t="shared" si="12"/>
        <v/>
      </c>
      <c r="AH39" s="39" t="str">
        <f t="shared" si="13"/>
        <v/>
      </c>
      <c r="AI39" s="16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16"/>
      <c r="AU39" s="17"/>
      <c r="AV39" s="17"/>
      <c r="AW39" s="17"/>
      <c r="AX39" s="17"/>
      <c r="AY39" s="17"/>
      <c r="AZ39" s="17"/>
      <c r="BA39" s="17"/>
      <c r="BB39" s="17"/>
      <c r="BC39" s="17"/>
      <c r="BD39" s="17"/>
      <c r="BE39" s="16"/>
      <c r="BF39" s="39" t="str">
        <f t="shared" si="61"/>
        <v/>
      </c>
      <c r="BG39" s="39" t="str">
        <f t="shared" si="62"/>
        <v/>
      </c>
      <c r="BH39" s="39"/>
      <c r="BI39" s="39"/>
      <c r="BJ39" s="39"/>
      <c r="BK39" s="39"/>
      <c r="BL39" s="16"/>
      <c r="BM39" s="16"/>
      <c r="BN39" s="16"/>
      <c r="BO39" s="16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</row>
    <row r="40" spans="1:96" ht="12" customHeight="1" x14ac:dyDescent="0.25">
      <c r="A40" s="3"/>
      <c r="B40" s="23">
        <f t="shared" si="7"/>
        <v>34</v>
      </c>
      <c r="C40" s="48">
        <v>464784.78129999997</v>
      </c>
      <c r="D40" s="48">
        <v>7609967.75</v>
      </c>
      <c r="E40" s="14"/>
      <c r="F40" s="48"/>
      <c r="G40" s="48"/>
      <c r="H40" s="26"/>
      <c r="I40" s="10"/>
      <c r="J40" s="10"/>
      <c r="K40" s="14"/>
      <c r="L40" s="27" t="str">
        <f t="shared" si="26"/>
        <v/>
      </c>
      <c r="M40" s="14"/>
      <c r="N40" s="62" t="str">
        <f t="shared" si="27"/>
        <v/>
      </c>
      <c r="O40" s="6" t="str">
        <f t="shared" si="8"/>
        <v/>
      </c>
      <c r="P40" s="38" t="str">
        <f t="shared" si="9"/>
        <v/>
      </c>
      <c r="Q40" s="28" t="str">
        <f t="shared" si="31"/>
        <v/>
      </c>
      <c r="R40" s="48"/>
      <c r="S40" s="48"/>
      <c r="T40" s="29"/>
      <c r="U40" s="30"/>
      <c r="V40" s="30"/>
      <c r="W40" s="25" t="str">
        <f t="shared" si="57"/>
        <v/>
      </c>
      <c r="X40" s="25" t="str">
        <f t="shared" si="58"/>
        <v/>
      </c>
      <c r="Y40" s="25" t="str">
        <f t="shared" si="10"/>
        <v/>
      </c>
      <c r="Z40" s="38" t="str">
        <f t="shared" si="59"/>
        <v/>
      </c>
      <c r="AA40" s="39">
        <f>IF(Z40&lt;0,MAX(AA$6:AA39)+1,0)</f>
        <v>0</v>
      </c>
      <c r="AB40" s="39" t="str">
        <f t="shared" si="60"/>
        <v/>
      </c>
      <c r="AC40" s="39" t="str">
        <f t="shared" si="33"/>
        <v/>
      </c>
      <c r="AD40" s="19"/>
      <c r="AE40" s="19">
        <v>0</v>
      </c>
      <c r="AF40" s="19">
        <v>0</v>
      </c>
      <c r="AG40" s="39" t="str">
        <f t="shared" si="12"/>
        <v/>
      </c>
      <c r="AH40" s="39" t="str">
        <f t="shared" si="13"/>
        <v/>
      </c>
      <c r="AI40" s="16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16"/>
      <c r="AU40" s="17"/>
      <c r="AV40" s="17"/>
      <c r="AW40" s="17"/>
      <c r="AX40" s="17"/>
      <c r="AY40" s="17"/>
      <c r="AZ40" s="17"/>
      <c r="BA40" s="17"/>
      <c r="BB40" s="17"/>
      <c r="BC40" s="17"/>
      <c r="BD40" s="17"/>
      <c r="BE40" s="16"/>
      <c r="BF40" s="39" t="str">
        <f t="shared" si="61"/>
        <v/>
      </c>
      <c r="BG40" s="39" t="str">
        <f t="shared" si="62"/>
        <v/>
      </c>
      <c r="BH40" s="39"/>
      <c r="BI40" s="39"/>
      <c r="BJ40" s="39"/>
      <c r="BK40" s="39"/>
      <c r="BL40" s="16"/>
      <c r="BM40" s="16"/>
      <c r="BN40" s="16"/>
      <c r="BO40" s="16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</row>
    <row r="41" spans="1:96" ht="12" customHeight="1" x14ac:dyDescent="0.25">
      <c r="A41" s="3"/>
      <c r="B41" s="23">
        <f t="shared" si="7"/>
        <v>35</v>
      </c>
      <c r="C41" s="48">
        <v>464822.28129999997</v>
      </c>
      <c r="D41" s="48">
        <v>7609305.25</v>
      </c>
      <c r="E41" s="14"/>
      <c r="F41" s="48"/>
      <c r="G41" s="48"/>
      <c r="H41" s="26"/>
      <c r="I41" s="10"/>
      <c r="J41" s="10"/>
      <c r="K41" s="14"/>
      <c r="L41" s="27" t="str">
        <f t="shared" si="26"/>
        <v/>
      </c>
      <c r="M41" s="14"/>
      <c r="N41" s="62" t="str">
        <f t="shared" si="27"/>
        <v/>
      </c>
      <c r="O41" s="6" t="str">
        <f t="shared" si="8"/>
        <v/>
      </c>
      <c r="P41" s="38" t="str">
        <f t="shared" si="9"/>
        <v/>
      </c>
      <c r="Q41" s="28" t="str">
        <f t="shared" si="31"/>
        <v/>
      </c>
      <c r="R41" s="48"/>
      <c r="S41" s="48"/>
      <c r="T41" s="29"/>
      <c r="U41" s="30"/>
      <c r="V41" s="30"/>
      <c r="W41" s="25" t="str">
        <f t="shared" si="57"/>
        <v/>
      </c>
      <c r="X41" s="25" t="str">
        <f t="shared" si="58"/>
        <v/>
      </c>
      <c r="Y41" s="25" t="str">
        <f t="shared" si="10"/>
        <v/>
      </c>
      <c r="Z41" s="38" t="str">
        <f t="shared" si="59"/>
        <v/>
      </c>
      <c r="AA41" s="39">
        <f>IF(Z41&lt;0,MAX(AA$6:AA40)+1,0)</f>
        <v>0</v>
      </c>
      <c r="AB41" s="39" t="str">
        <f t="shared" si="60"/>
        <v/>
      </c>
      <c r="AC41" s="39" t="str">
        <f t="shared" si="33"/>
        <v/>
      </c>
      <c r="AD41" s="19"/>
      <c r="AE41" s="19">
        <v>0</v>
      </c>
      <c r="AF41" s="19">
        <v>0</v>
      </c>
      <c r="AG41" s="39" t="str">
        <f t="shared" si="12"/>
        <v/>
      </c>
      <c r="AH41" s="39" t="str">
        <f t="shared" si="13"/>
        <v/>
      </c>
      <c r="AI41" s="16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16"/>
      <c r="AU41" s="17"/>
      <c r="AV41" s="17"/>
      <c r="AW41" s="17"/>
      <c r="AX41" s="17"/>
      <c r="AY41" s="17"/>
      <c r="AZ41" s="17"/>
      <c r="BA41" s="17"/>
      <c r="BB41" s="17"/>
      <c r="BC41" s="17"/>
      <c r="BD41" s="17"/>
      <c r="BE41" s="16"/>
      <c r="BF41" s="39" t="str">
        <f t="shared" si="61"/>
        <v/>
      </c>
      <c r="BG41" s="39" t="str">
        <f t="shared" si="62"/>
        <v/>
      </c>
      <c r="BH41" s="39"/>
      <c r="BI41" s="39"/>
      <c r="BJ41" s="39"/>
      <c r="BK41" s="39"/>
      <c r="BL41" s="16"/>
      <c r="BM41" s="16"/>
      <c r="BN41" s="16"/>
      <c r="BO41" s="16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</row>
    <row r="42" spans="1:96" ht="12" customHeight="1" x14ac:dyDescent="0.25">
      <c r="A42" s="3"/>
      <c r="B42" s="23">
        <f t="shared" si="7"/>
        <v>36</v>
      </c>
      <c r="C42" s="48">
        <v>464172.28129999997</v>
      </c>
      <c r="D42" s="48">
        <v>7607930.25</v>
      </c>
      <c r="E42" s="14"/>
      <c r="F42" s="48"/>
      <c r="G42" s="48"/>
      <c r="H42" s="26"/>
      <c r="I42" s="10"/>
      <c r="J42" s="10"/>
      <c r="K42" s="14"/>
      <c r="L42" s="27" t="str">
        <f t="shared" si="26"/>
        <v/>
      </c>
      <c r="M42" s="14"/>
      <c r="N42" s="62" t="str">
        <f t="shared" si="27"/>
        <v/>
      </c>
      <c r="O42" s="6" t="str">
        <f t="shared" si="8"/>
        <v/>
      </c>
      <c r="P42" s="38" t="str">
        <f t="shared" si="9"/>
        <v/>
      </c>
      <c r="Q42" s="28" t="str">
        <f t="shared" si="31"/>
        <v/>
      </c>
      <c r="R42" s="48"/>
      <c r="S42" s="48"/>
      <c r="T42" s="29"/>
      <c r="U42" s="30"/>
      <c r="V42" s="30"/>
      <c r="W42" s="25" t="str">
        <f t="shared" si="57"/>
        <v/>
      </c>
      <c r="X42" s="25" t="str">
        <f t="shared" si="58"/>
        <v/>
      </c>
      <c r="Y42" s="25" t="str">
        <f t="shared" si="10"/>
        <v/>
      </c>
      <c r="Z42" s="38" t="str">
        <f t="shared" si="59"/>
        <v/>
      </c>
      <c r="AA42" s="39">
        <f>IF(Z42&lt;0,MAX(AA$6:AA41)+1,0)</f>
        <v>0</v>
      </c>
      <c r="AB42" s="39" t="str">
        <f t="shared" si="60"/>
        <v/>
      </c>
      <c r="AC42" s="39" t="str">
        <f t="shared" si="33"/>
        <v/>
      </c>
      <c r="AD42" s="19"/>
      <c r="AE42" s="19">
        <v>0</v>
      </c>
      <c r="AF42" s="19">
        <v>0</v>
      </c>
      <c r="AG42" s="39" t="str">
        <f t="shared" si="12"/>
        <v/>
      </c>
      <c r="AH42" s="39" t="str">
        <f t="shared" si="13"/>
        <v/>
      </c>
      <c r="AI42" s="16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16"/>
      <c r="AU42" s="17"/>
      <c r="AV42" s="17"/>
      <c r="AW42" s="17"/>
      <c r="AX42" s="17"/>
      <c r="AY42" s="17"/>
      <c r="AZ42" s="17"/>
      <c r="BA42" s="17"/>
      <c r="BB42" s="17"/>
      <c r="BC42" s="17"/>
      <c r="BD42" s="17"/>
      <c r="BE42" s="16"/>
      <c r="BF42" s="39" t="str">
        <f t="shared" si="61"/>
        <v/>
      </c>
      <c r="BG42" s="39" t="str">
        <f t="shared" si="62"/>
        <v/>
      </c>
      <c r="BH42" s="39"/>
      <c r="BI42" s="39"/>
      <c r="BJ42" s="39"/>
      <c r="BK42" s="39"/>
      <c r="BL42" s="16"/>
      <c r="BM42" s="16"/>
      <c r="BN42" s="16"/>
      <c r="BO42" s="16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</row>
    <row r="43" spans="1:96" ht="12" customHeight="1" x14ac:dyDescent="0.25">
      <c r="A43" s="3"/>
      <c r="B43" s="4"/>
      <c r="C43" s="3"/>
      <c r="D43" s="3"/>
      <c r="E43" s="14"/>
      <c r="F43" s="26"/>
      <c r="G43" s="26"/>
      <c r="H43" s="26"/>
      <c r="I43" s="10"/>
      <c r="J43" s="10"/>
      <c r="K43" s="14"/>
      <c r="L43" s="11"/>
      <c r="M43" s="14"/>
      <c r="N43" s="14"/>
      <c r="O43" s="4"/>
      <c r="P43" s="3"/>
      <c r="Q43" s="4"/>
      <c r="R43" s="3"/>
      <c r="S43" s="3"/>
      <c r="T43" s="3"/>
      <c r="U43" s="4"/>
      <c r="V43" s="4"/>
      <c r="W43" s="4"/>
      <c r="X43" s="4"/>
      <c r="Y43" s="4"/>
      <c r="Z43" s="11"/>
      <c r="AA43" s="15"/>
      <c r="AB43" s="15"/>
      <c r="AC43" s="15"/>
      <c r="AD43" s="16"/>
      <c r="AE43" s="16"/>
      <c r="AF43" s="16"/>
      <c r="AG43" s="16"/>
      <c r="AH43" s="16"/>
      <c r="AI43" s="16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16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</row>
    <row r="44" spans="1:96" ht="12" customHeight="1" x14ac:dyDescent="0.25">
      <c r="A44" s="3"/>
      <c r="B44" s="4"/>
      <c r="C44" s="3"/>
      <c r="D44" s="3"/>
      <c r="E44" s="14"/>
      <c r="F44" s="26"/>
      <c r="G44" s="26"/>
      <c r="H44" s="26"/>
      <c r="I44" s="10"/>
      <c r="J44" s="10"/>
      <c r="K44" s="14"/>
      <c r="L44" s="11"/>
      <c r="M44" s="14"/>
      <c r="N44" s="14"/>
      <c r="O44" s="4"/>
      <c r="P44" s="3"/>
      <c r="Q44" s="4"/>
      <c r="R44" s="3"/>
      <c r="S44" s="3"/>
      <c r="T44" s="3"/>
      <c r="U44" s="4"/>
      <c r="V44" s="4"/>
      <c r="W44" s="4"/>
      <c r="X44" s="4"/>
      <c r="Y44" s="4"/>
      <c r="Z44" s="11"/>
      <c r="AA44" s="15"/>
      <c r="AB44" s="15"/>
      <c r="AC44" s="15"/>
      <c r="AD44" s="16"/>
      <c r="AE44" s="16"/>
      <c r="AF44" s="16"/>
      <c r="AG44" s="16"/>
      <c r="AH44" s="16"/>
      <c r="AI44" s="16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16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</row>
    <row r="45" spans="1:96" ht="12" customHeight="1" x14ac:dyDescent="0.25">
      <c r="A45" s="3"/>
      <c r="B45" s="4"/>
      <c r="C45" s="3"/>
      <c r="D45" s="3"/>
      <c r="E45" s="14"/>
      <c r="F45" s="26"/>
      <c r="G45" s="26"/>
      <c r="H45" s="26"/>
      <c r="I45" s="10"/>
      <c r="J45" s="10"/>
      <c r="K45" s="14"/>
      <c r="L45" s="11"/>
      <c r="M45" s="14"/>
      <c r="N45" s="14"/>
      <c r="O45" s="4"/>
      <c r="P45" s="3"/>
      <c r="Q45" s="4"/>
      <c r="R45" s="3"/>
      <c r="S45" s="3"/>
      <c r="T45" s="3"/>
      <c r="U45" s="4"/>
      <c r="V45" s="4"/>
      <c r="W45" s="4"/>
      <c r="X45" s="4"/>
      <c r="Y45" s="4"/>
      <c r="Z45" s="11"/>
      <c r="AA45" s="15"/>
      <c r="AB45" s="15"/>
      <c r="AC45" s="15"/>
      <c r="AD45" s="16"/>
      <c r="AE45" s="16"/>
      <c r="AF45" s="16"/>
      <c r="AG45" s="16"/>
      <c r="AH45" s="16"/>
      <c r="AI45" s="16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16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</row>
    <row r="46" spans="1:96" ht="12" customHeight="1" x14ac:dyDescent="0.25">
      <c r="A46" s="3"/>
      <c r="B46" s="4"/>
      <c r="C46" s="3"/>
      <c r="D46" s="3"/>
      <c r="E46" s="14"/>
      <c r="F46" s="26"/>
      <c r="G46" s="26"/>
      <c r="H46" s="26"/>
      <c r="I46" s="10"/>
      <c r="J46" s="10"/>
      <c r="K46" s="14"/>
      <c r="L46" s="11"/>
      <c r="M46" s="14"/>
      <c r="N46" s="14"/>
      <c r="O46" s="4"/>
      <c r="P46" s="3"/>
      <c r="Q46" s="4"/>
      <c r="R46" s="3"/>
      <c r="S46" s="3"/>
      <c r="T46" s="3"/>
      <c r="U46" s="4"/>
      <c r="V46" s="4"/>
      <c r="W46" s="4"/>
      <c r="X46" s="4"/>
      <c r="Y46" s="4"/>
      <c r="Z46" s="11"/>
      <c r="AA46" s="15"/>
      <c r="AB46" s="15"/>
      <c r="AC46" s="15"/>
      <c r="AD46" s="16"/>
      <c r="AE46" s="16"/>
      <c r="AF46" s="16"/>
      <c r="AG46" s="16"/>
      <c r="AH46" s="16"/>
      <c r="AI46" s="16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16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</row>
    <row r="47" spans="1:96" ht="12" customHeight="1" x14ac:dyDescent="0.25">
      <c r="A47" s="3"/>
      <c r="B47" s="4"/>
      <c r="C47" s="3"/>
      <c r="D47" s="3"/>
      <c r="E47" s="14"/>
      <c r="F47" s="26"/>
      <c r="G47" s="26"/>
      <c r="H47" s="26"/>
      <c r="I47" s="10"/>
      <c r="J47" s="10"/>
      <c r="K47" s="14"/>
      <c r="L47" s="11"/>
      <c r="M47" s="14"/>
      <c r="N47" s="14"/>
      <c r="O47" s="4"/>
      <c r="P47" s="3"/>
      <c r="Q47" s="4"/>
      <c r="R47" s="3"/>
      <c r="S47" s="3"/>
      <c r="T47" s="3"/>
      <c r="U47" s="4"/>
      <c r="V47" s="4"/>
      <c r="W47" s="4"/>
      <c r="X47" s="4"/>
      <c r="Y47" s="4"/>
      <c r="Z47" s="11"/>
      <c r="AA47" s="15"/>
      <c r="AB47" s="15"/>
      <c r="AC47" s="15"/>
      <c r="AD47" s="16"/>
      <c r="AE47" s="16"/>
      <c r="AF47" s="16"/>
      <c r="AG47" s="16"/>
      <c r="AH47" s="16"/>
      <c r="AI47" s="16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16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</row>
    <row r="48" spans="1:96" ht="12" customHeight="1" x14ac:dyDescent="0.25">
      <c r="A48" s="3"/>
      <c r="B48" s="4"/>
      <c r="C48" s="3"/>
      <c r="D48" s="3"/>
      <c r="E48" s="14"/>
      <c r="F48" s="26"/>
      <c r="G48" s="26"/>
      <c r="H48" s="26"/>
      <c r="I48" s="10"/>
      <c r="J48" s="10"/>
      <c r="K48" s="14"/>
      <c r="L48" s="11"/>
      <c r="M48" s="14"/>
      <c r="N48" s="14"/>
      <c r="O48" s="4"/>
      <c r="P48" s="3"/>
      <c r="Q48" s="4"/>
      <c r="R48" s="3"/>
      <c r="S48" s="3"/>
      <c r="T48" s="3"/>
      <c r="U48" s="4"/>
      <c r="V48" s="4"/>
      <c r="W48" s="4"/>
      <c r="X48" s="4"/>
      <c r="Y48" s="4"/>
      <c r="Z48" s="11"/>
      <c r="AA48" s="15"/>
      <c r="AB48" s="15"/>
      <c r="AC48" s="15"/>
      <c r="AD48" s="16"/>
      <c r="AE48" s="16"/>
      <c r="AF48" s="16"/>
      <c r="AG48" s="16"/>
      <c r="AH48" s="16"/>
      <c r="AI48" s="16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16"/>
      <c r="AU48" s="17"/>
      <c r="AV48" s="17"/>
      <c r="AW48" s="17"/>
      <c r="AX48" s="17"/>
      <c r="AY48" s="17"/>
      <c r="AZ48" s="17"/>
      <c r="BA48" s="17"/>
      <c r="BB48" s="17"/>
      <c r="BC48" s="17"/>
      <c r="BD48" s="17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</row>
    <row r="49" spans="1:96" ht="12" customHeight="1" x14ac:dyDescent="0.25">
      <c r="A49" s="3"/>
      <c r="B49" s="4"/>
      <c r="C49" s="3"/>
      <c r="D49" s="3"/>
      <c r="E49" s="14"/>
      <c r="F49" s="26"/>
      <c r="G49" s="26"/>
      <c r="H49" s="26"/>
      <c r="I49" s="10"/>
      <c r="J49" s="10"/>
      <c r="K49" s="14"/>
      <c r="L49" s="11"/>
      <c r="M49" s="14"/>
      <c r="N49" s="14"/>
      <c r="O49" s="4"/>
      <c r="P49" s="3"/>
      <c r="Q49" s="4"/>
      <c r="R49" s="3"/>
      <c r="S49" s="3"/>
      <c r="T49" s="3"/>
      <c r="U49" s="4"/>
      <c r="V49" s="4"/>
      <c r="W49" s="4"/>
      <c r="X49" s="4"/>
      <c r="Y49" s="4"/>
      <c r="Z49" s="11"/>
      <c r="AA49" s="15"/>
      <c r="AB49" s="15"/>
      <c r="AC49" s="15"/>
      <c r="AD49" s="16"/>
      <c r="AE49" s="16"/>
      <c r="AF49" s="16"/>
      <c r="AG49" s="16"/>
      <c r="AH49" s="16"/>
      <c r="AI49" s="16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16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</row>
    <row r="50" spans="1:96" ht="12" customHeight="1" x14ac:dyDescent="0.25">
      <c r="A50" s="3"/>
      <c r="B50" s="4"/>
      <c r="C50" s="3"/>
      <c r="D50" s="3"/>
      <c r="E50" s="14"/>
      <c r="F50" s="26"/>
      <c r="G50" s="26"/>
      <c r="H50" s="26"/>
      <c r="I50" s="10"/>
      <c r="J50" s="10"/>
      <c r="K50" s="14"/>
      <c r="L50" s="11"/>
      <c r="M50" s="14"/>
      <c r="N50" s="14"/>
      <c r="O50" s="4"/>
      <c r="P50" s="3"/>
      <c r="Q50" s="4"/>
      <c r="R50" s="3"/>
      <c r="S50" s="3"/>
      <c r="T50" s="3"/>
      <c r="U50" s="4"/>
      <c r="V50" s="4"/>
      <c r="W50" s="4"/>
      <c r="X50" s="4"/>
      <c r="Y50" s="4"/>
      <c r="Z50" s="11"/>
      <c r="AA50" s="15"/>
      <c r="AB50" s="15"/>
      <c r="AC50" s="15"/>
      <c r="AD50" s="16"/>
      <c r="AE50" s="16"/>
      <c r="AF50" s="16"/>
      <c r="AG50" s="16"/>
      <c r="AH50" s="16"/>
      <c r="AI50" s="16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16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</row>
    <row r="51" spans="1:96" ht="12" customHeight="1" x14ac:dyDescent="0.25">
      <c r="A51" s="3"/>
      <c r="B51" s="4"/>
      <c r="C51" s="3"/>
      <c r="D51" s="3"/>
      <c r="E51" s="14"/>
      <c r="F51" s="26"/>
      <c r="G51" s="26"/>
      <c r="H51" s="26"/>
      <c r="I51" s="10"/>
      <c r="J51" s="10"/>
      <c r="K51" s="14"/>
      <c r="L51" s="11"/>
      <c r="M51" s="14"/>
      <c r="N51" s="14"/>
      <c r="O51" s="4"/>
      <c r="P51" s="3"/>
      <c r="Q51" s="4"/>
      <c r="R51" s="3"/>
      <c r="S51" s="3"/>
      <c r="T51" s="3"/>
      <c r="U51" s="4"/>
      <c r="V51" s="4"/>
      <c r="W51" s="4"/>
      <c r="X51" s="4"/>
      <c r="Y51" s="4"/>
      <c r="Z51" s="11"/>
      <c r="AA51" s="15"/>
      <c r="AB51" s="15"/>
      <c r="AC51" s="15"/>
      <c r="AD51" s="16"/>
      <c r="AE51" s="16"/>
      <c r="AF51" s="16"/>
      <c r="AG51" s="16"/>
      <c r="AH51" s="16"/>
      <c r="AI51" s="16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16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</row>
    <row r="52" spans="1:96" ht="12" customHeight="1" x14ac:dyDescent="0.25">
      <c r="A52" s="3"/>
      <c r="B52" s="4"/>
      <c r="C52" s="3"/>
      <c r="D52" s="3"/>
      <c r="E52" s="14"/>
      <c r="F52" s="26"/>
      <c r="G52" s="26"/>
      <c r="H52" s="26"/>
      <c r="I52" s="10"/>
      <c r="J52" s="10"/>
      <c r="K52" s="14"/>
      <c r="L52" s="11"/>
      <c r="M52" s="14"/>
      <c r="N52" s="14"/>
      <c r="O52" s="4"/>
      <c r="P52" s="3"/>
      <c r="Q52" s="4"/>
      <c r="R52" s="3"/>
      <c r="S52" s="3"/>
      <c r="T52" s="3"/>
      <c r="U52" s="4"/>
      <c r="V52" s="4"/>
      <c r="W52" s="4"/>
      <c r="X52" s="4"/>
      <c r="Y52" s="4"/>
      <c r="Z52" s="11"/>
      <c r="AA52" s="15"/>
      <c r="AB52" s="15"/>
      <c r="AC52" s="15"/>
      <c r="AD52" s="16"/>
      <c r="AE52" s="16"/>
      <c r="AF52" s="16"/>
      <c r="AG52" s="16"/>
      <c r="AH52" s="16"/>
      <c r="AI52" s="16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16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</row>
    <row r="53" spans="1:96" ht="12" customHeight="1" x14ac:dyDescent="0.25">
      <c r="A53" s="3"/>
      <c r="B53" s="4"/>
      <c r="C53" s="3"/>
      <c r="D53" s="3"/>
      <c r="E53" s="14"/>
      <c r="F53" s="26"/>
      <c r="G53" s="26"/>
      <c r="H53" s="26"/>
      <c r="I53" s="10"/>
      <c r="J53" s="10"/>
      <c r="K53" s="14"/>
      <c r="L53" s="11"/>
      <c r="M53" s="14"/>
      <c r="N53" s="14"/>
      <c r="O53" s="4"/>
      <c r="P53" s="3"/>
      <c r="Q53" s="4"/>
      <c r="R53" s="3"/>
      <c r="S53" s="3"/>
      <c r="T53" s="3"/>
      <c r="U53" s="4"/>
      <c r="V53" s="4"/>
      <c r="W53" s="4"/>
      <c r="X53" s="4"/>
      <c r="Y53" s="4"/>
      <c r="Z53" s="11"/>
      <c r="AA53" s="15"/>
      <c r="AB53" s="15"/>
      <c r="AC53" s="15"/>
      <c r="AD53" s="16"/>
      <c r="AE53" s="16"/>
      <c r="AF53" s="16"/>
      <c r="AG53" s="16"/>
      <c r="AH53" s="16"/>
      <c r="AI53" s="16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16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</row>
    <row r="54" spans="1:96" ht="12" customHeight="1" x14ac:dyDescent="0.25">
      <c r="A54" s="3"/>
      <c r="B54" s="4"/>
      <c r="C54" s="3"/>
      <c r="D54" s="3"/>
      <c r="E54" s="14"/>
      <c r="F54" s="26"/>
      <c r="G54" s="26"/>
      <c r="H54" s="26"/>
      <c r="I54" s="10"/>
      <c r="J54" s="10"/>
      <c r="K54" s="14"/>
      <c r="L54" s="11"/>
      <c r="M54" s="14"/>
      <c r="N54" s="14"/>
      <c r="O54" s="4"/>
      <c r="P54" s="3"/>
      <c r="Q54" s="4"/>
      <c r="R54" s="3"/>
      <c r="S54" s="3"/>
      <c r="T54" s="3"/>
      <c r="U54" s="4"/>
      <c r="V54" s="4"/>
      <c r="W54" s="4"/>
      <c r="X54" s="4"/>
      <c r="Y54" s="4"/>
      <c r="Z54" s="11"/>
      <c r="AA54" s="15"/>
      <c r="AB54" s="15"/>
      <c r="AC54" s="15"/>
      <c r="AD54" s="16"/>
      <c r="AE54" s="16"/>
      <c r="AF54" s="16"/>
      <c r="AG54" s="16"/>
      <c r="AH54" s="16"/>
      <c r="AI54" s="16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16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</row>
    <row r="55" spans="1:96" ht="12" customHeight="1" x14ac:dyDescent="0.25">
      <c r="A55" s="3"/>
      <c r="B55" s="4"/>
      <c r="C55" s="3"/>
      <c r="D55" s="3"/>
      <c r="E55" s="14"/>
      <c r="F55" s="26"/>
      <c r="G55" s="26"/>
      <c r="H55" s="26"/>
      <c r="I55" s="10"/>
      <c r="J55" s="10"/>
      <c r="K55" s="14"/>
      <c r="L55" s="11"/>
      <c r="M55" s="14"/>
      <c r="N55" s="14"/>
      <c r="O55" s="4"/>
      <c r="P55" s="3"/>
      <c r="Q55" s="4"/>
      <c r="R55" s="3"/>
      <c r="S55" s="3"/>
      <c r="T55" s="3"/>
      <c r="U55" s="4"/>
      <c r="V55" s="4"/>
      <c r="W55" s="4"/>
      <c r="X55" s="4"/>
      <c r="Y55" s="4"/>
      <c r="Z55" s="11"/>
      <c r="AA55" s="15"/>
      <c r="AB55" s="15"/>
      <c r="AC55" s="15"/>
      <c r="AD55" s="16"/>
      <c r="AE55" s="16"/>
      <c r="AF55" s="16"/>
      <c r="AG55" s="16"/>
      <c r="AH55" s="16"/>
      <c r="AI55" s="16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16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</row>
    <row r="56" spans="1:96" ht="12" customHeight="1" x14ac:dyDescent="0.25">
      <c r="A56" s="3"/>
      <c r="B56" s="4"/>
      <c r="C56" s="3"/>
      <c r="D56" s="3"/>
      <c r="E56" s="14"/>
      <c r="F56" s="26"/>
      <c r="G56" s="26"/>
      <c r="H56" s="26"/>
      <c r="I56" s="10"/>
      <c r="J56" s="10"/>
      <c r="K56" s="14"/>
      <c r="L56" s="11"/>
      <c r="M56" s="14"/>
      <c r="N56" s="14"/>
      <c r="O56" s="4"/>
      <c r="P56" s="3"/>
      <c r="Q56" s="4"/>
      <c r="R56" s="3"/>
      <c r="S56" s="3"/>
      <c r="T56" s="3"/>
      <c r="U56" s="4"/>
      <c r="V56" s="4"/>
      <c r="W56" s="4"/>
      <c r="X56" s="4"/>
      <c r="Y56" s="4"/>
      <c r="Z56" s="11"/>
      <c r="AA56" s="15"/>
      <c r="AB56" s="15"/>
      <c r="AC56" s="15"/>
      <c r="AD56" s="16"/>
      <c r="AE56" s="16"/>
      <c r="AF56" s="16"/>
      <c r="AG56" s="16"/>
      <c r="AH56" s="16"/>
      <c r="AI56" s="16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16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</row>
    <row r="57" spans="1:96" ht="12" customHeight="1" x14ac:dyDescent="0.25">
      <c r="A57" s="3"/>
      <c r="B57" s="14"/>
      <c r="C57" s="14"/>
      <c r="D57" s="14"/>
      <c r="E57" s="14"/>
      <c r="F57" s="26"/>
      <c r="G57" s="26"/>
      <c r="H57" s="26"/>
      <c r="I57" s="10"/>
      <c r="J57" s="10"/>
      <c r="K57" s="14"/>
      <c r="L57" s="11"/>
      <c r="M57" s="14"/>
      <c r="N57" s="14"/>
      <c r="O57" s="4"/>
      <c r="P57" s="3"/>
      <c r="Q57" s="4"/>
      <c r="R57" s="3"/>
      <c r="S57" s="3"/>
      <c r="T57" s="3"/>
      <c r="U57" s="4"/>
      <c r="V57" s="4"/>
      <c r="W57" s="4"/>
      <c r="X57" s="4"/>
      <c r="Y57" s="4"/>
      <c r="Z57" s="11"/>
      <c r="AA57" s="15"/>
      <c r="AB57" s="15"/>
      <c r="AC57" s="15"/>
      <c r="AD57" s="16"/>
      <c r="AE57" s="16"/>
      <c r="AF57" s="16"/>
      <c r="AG57" s="16"/>
      <c r="AH57" s="16"/>
      <c r="AI57" s="16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16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</row>
    <row r="58" spans="1:96" ht="12" customHeight="1" x14ac:dyDescent="0.25">
      <c r="A58" s="3"/>
      <c r="B58" s="14"/>
      <c r="C58" s="14"/>
      <c r="D58" s="14"/>
      <c r="E58" s="14"/>
      <c r="F58" s="26"/>
      <c r="G58" s="26"/>
      <c r="H58" s="26"/>
      <c r="I58" s="10"/>
      <c r="J58" s="10"/>
      <c r="K58" s="14"/>
      <c r="L58" s="11"/>
      <c r="M58" s="14"/>
      <c r="N58" s="14"/>
      <c r="O58" s="4"/>
      <c r="P58" s="3"/>
      <c r="Q58" s="4"/>
      <c r="R58" s="3"/>
      <c r="S58" s="3"/>
      <c r="T58" s="3"/>
      <c r="U58" s="4"/>
      <c r="V58" s="4"/>
      <c r="W58" s="4"/>
      <c r="X58" s="4"/>
      <c r="Y58" s="4"/>
      <c r="Z58" s="11"/>
      <c r="AA58" s="15"/>
      <c r="AB58" s="15"/>
      <c r="AC58" s="15"/>
      <c r="AD58" s="16"/>
      <c r="AE58" s="16"/>
      <c r="AF58" s="16"/>
      <c r="AG58" s="16"/>
      <c r="AH58" s="16"/>
      <c r="AI58" s="16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16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</row>
    <row r="59" spans="1:96" ht="12" customHeight="1" x14ac:dyDescent="0.25">
      <c r="A59" s="3"/>
      <c r="B59" s="14"/>
      <c r="C59" s="14"/>
      <c r="D59" s="14"/>
      <c r="E59" s="14"/>
      <c r="F59" s="26"/>
      <c r="G59" s="26"/>
      <c r="H59" s="26"/>
      <c r="I59" s="10"/>
      <c r="J59" s="10"/>
      <c r="K59" s="14"/>
      <c r="L59" s="11"/>
      <c r="M59" s="14"/>
      <c r="N59" s="14"/>
      <c r="O59" s="4"/>
      <c r="P59" s="3"/>
      <c r="Q59" s="4"/>
      <c r="R59" s="3"/>
      <c r="S59" s="3"/>
      <c r="T59" s="3"/>
      <c r="U59" s="4"/>
      <c r="V59" s="4"/>
      <c r="W59" s="4"/>
      <c r="X59" s="4"/>
      <c r="Y59" s="4"/>
      <c r="Z59" s="11"/>
      <c r="AA59" s="15"/>
      <c r="AB59" s="15"/>
      <c r="AC59" s="15"/>
      <c r="AD59" s="16"/>
      <c r="AE59" s="16"/>
      <c r="AF59" s="16"/>
      <c r="AG59" s="16"/>
      <c r="AH59" s="16"/>
      <c r="AI59" s="16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16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</row>
    <row r="60" spans="1:96" ht="12" customHeight="1" x14ac:dyDescent="0.25">
      <c r="A60" s="3"/>
      <c r="B60" s="14"/>
      <c r="C60" s="14"/>
      <c r="D60" s="14"/>
      <c r="E60" s="14"/>
      <c r="F60" s="26"/>
      <c r="G60" s="26"/>
      <c r="H60" s="26"/>
      <c r="I60" s="10"/>
      <c r="J60" s="10"/>
      <c r="K60" s="14"/>
      <c r="L60" s="11"/>
      <c r="M60" s="14"/>
      <c r="N60" s="14"/>
      <c r="O60" s="4"/>
      <c r="P60" s="3"/>
      <c r="Q60" s="4"/>
      <c r="R60" s="3"/>
      <c r="S60" s="3"/>
      <c r="T60" s="3"/>
      <c r="U60" s="4"/>
      <c r="V60" s="4"/>
      <c r="W60" s="4"/>
      <c r="X60" s="4"/>
      <c r="Y60" s="4"/>
      <c r="Z60" s="11"/>
      <c r="AA60" s="15"/>
      <c r="AB60" s="15"/>
      <c r="AC60" s="15"/>
      <c r="AD60" s="16"/>
      <c r="AE60" s="16"/>
      <c r="AF60" s="16"/>
      <c r="AG60" s="16"/>
      <c r="AH60" s="16"/>
      <c r="AI60" s="16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16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</row>
    <row r="61" spans="1:96" ht="12" customHeight="1" x14ac:dyDescent="0.25">
      <c r="A61" s="3"/>
      <c r="B61" s="14"/>
      <c r="C61" s="14"/>
      <c r="D61" s="14"/>
      <c r="E61" s="14"/>
      <c r="F61" s="26"/>
      <c r="G61" s="26"/>
      <c r="H61" s="26"/>
      <c r="I61" s="10"/>
      <c r="J61" s="10"/>
      <c r="K61" s="14"/>
      <c r="L61" s="11"/>
      <c r="M61" s="14"/>
      <c r="N61" s="14"/>
      <c r="O61" s="4"/>
      <c r="P61" s="3"/>
      <c r="Q61" s="4"/>
      <c r="R61" s="3"/>
      <c r="S61" s="3"/>
      <c r="T61" s="3"/>
      <c r="U61" s="4"/>
      <c r="V61" s="4"/>
      <c r="W61" s="4"/>
      <c r="X61" s="4"/>
      <c r="Y61" s="4"/>
      <c r="Z61" s="11"/>
      <c r="AA61" s="15"/>
      <c r="AB61" s="15"/>
      <c r="AC61" s="15"/>
      <c r="AD61" s="16"/>
      <c r="AE61" s="16"/>
      <c r="AF61" s="16"/>
      <c r="AG61" s="16"/>
      <c r="AH61" s="16"/>
      <c r="AI61" s="16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16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</row>
    <row r="62" spans="1:96" ht="12" customHeight="1" x14ac:dyDescent="0.25">
      <c r="A62" s="3"/>
      <c r="B62" s="14"/>
      <c r="C62" s="14"/>
      <c r="D62" s="14"/>
      <c r="E62" s="14"/>
      <c r="F62" s="26"/>
      <c r="G62" s="26"/>
      <c r="H62" s="26"/>
      <c r="I62" s="10"/>
      <c r="J62" s="10"/>
      <c r="K62" s="14"/>
      <c r="L62" s="11"/>
      <c r="M62" s="14"/>
      <c r="N62" s="14"/>
      <c r="O62" s="4"/>
      <c r="P62" s="3"/>
      <c r="Q62" s="4"/>
      <c r="R62" s="3"/>
      <c r="S62" s="3"/>
      <c r="T62" s="3"/>
      <c r="U62" s="4"/>
      <c r="V62" s="4"/>
      <c r="W62" s="4"/>
      <c r="X62" s="4"/>
      <c r="Y62" s="4"/>
      <c r="Z62" s="11"/>
      <c r="AA62" s="15"/>
      <c r="AB62" s="15"/>
      <c r="AC62" s="15"/>
      <c r="AD62" s="16"/>
      <c r="AE62" s="16"/>
      <c r="AF62" s="16"/>
      <c r="AG62" s="16"/>
      <c r="AH62" s="16"/>
      <c r="AI62" s="16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16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</row>
    <row r="63" spans="1:96" ht="12" customHeight="1" x14ac:dyDescent="0.25">
      <c r="A63" s="3"/>
      <c r="B63" s="14"/>
      <c r="C63" s="14"/>
      <c r="D63" s="14"/>
      <c r="E63" s="14"/>
      <c r="F63" s="26"/>
      <c r="G63" s="26"/>
      <c r="H63" s="26"/>
      <c r="I63" s="10"/>
      <c r="J63" s="10"/>
      <c r="K63" s="14"/>
      <c r="L63" s="11"/>
      <c r="M63" s="14"/>
      <c r="N63" s="14"/>
      <c r="O63" s="4"/>
      <c r="P63" s="3"/>
      <c r="Q63" s="4"/>
      <c r="R63" s="3"/>
      <c r="S63" s="3"/>
      <c r="T63" s="3"/>
      <c r="U63" s="4"/>
      <c r="V63" s="4"/>
      <c r="W63" s="4"/>
      <c r="X63" s="4"/>
      <c r="Y63" s="4"/>
      <c r="Z63" s="11"/>
      <c r="AA63" s="15"/>
      <c r="AB63" s="15"/>
      <c r="AC63" s="15"/>
      <c r="AD63" s="16"/>
      <c r="AE63" s="16"/>
      <c r="AF63" s="16"/>
      <c r="AG63" s="16"/>
      <c r="AH63" s="16"/>
      <c r="AI63" s="16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16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</row>
    <row r="64" spans="1:96" ht="12" customHeight="1" x14ac:dyDescent="0.25">
      <c r="A64" s="3"/>
      <c r="B64" s="14"/>
      <c r="C64" s="14"/>
      <c r="D64" s="14"/>
      <c r="E64" s="14"/>
      <c r="F64" s="26"/>
      <c r="G64" s="26"/>
      <c r="H64" s="26"/>
      <c r="I64" s="10"/>
      <c r="J64" s="10"/>
      <c r="K64" s="14"/>
      <c r="L64" s="11"/>
      <c r="M64" s="14"/>
      <c r="N64" s="14"/>
      <c r="O64" s="4"/>
      <c r="P64" s="3"/>
      <c r="Q64" s="4"/>
      <c r="R64" s="3"/>
      <c r="S64" s="3"/>
      <c r="T64" s="3"/>
      <c r="U64" s="4"/>
      <c r="V64" s="4"/>
      <c r="W64" s="4"/>
      <c r="X64" s="4"/>
      <c r="Y64" s="4"/>
      <c r="Z64" s="11"/>
      <c r="AA64" s="15"/>
      <c r="AB64" s="15"/>
      <c r="AC64" s="15"/>
      <c r="AD64" s="16"/>
      <c r="AE64" s="16"/>
      <c r="AF64" s="16"/>
      <c r="AG64" s="16"/>
      <c r="AH64" s="16"/>
      <c r="AI64" s="16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16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</row>
    <row r="65" spans="1:96" ht="12" customHeight="1" x14ac:dyDescent="0.25">
      <c r="A65" s="3"/>
      <c r="B65" s="14"/>
      <c r="C65" s="14"/>
      <c r="D65" s="14"/>
      <c r="E65" s="14"/>
      <c r="F65" s="26"/>
      <c r="G65" s="26"/>
      <c r="H65" s="26"/>
      <c r="I65" s="10"/>
      <c r="J65" s="10"/>
      <c r="K65" s="14"/>
      <c r="L65" s="11"/>
      <c r="M65" s="14"/>
      <c r="N65" s="14"/>
      <c r="O65" s="4"/>
      <c r="P65" s="3"/>
      <c r="Q65" s="4"/>
      <c r="R65" s="3"/>
      <c r="S65" s="3"/>
      <c r="T65" s="3"/>
      <c r="U65" s="4"/>
      <c r="V65" s="4"/>
      <c r="W65" s="4"/>
      <c r="X65" s="4"/>
      <c r="Y65" s="4"/>
      <c r="Z65" s="11"/>
      <c r="AA65" s="15"/>
      <c r="AB65" s="15"/>
      <c r="AC65" s="15"/>
      <c r="AD65" s="16"/>
      <c r="AE65" s="16"/>
      <c r="AF65" s="16"/>
      <c r="AG65" s="16"/>
      <c r="AH65" s="16"/>
      <c r="AI65" s="16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16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</row>
    <row r="66" spans="1:96" ht="12" customHeight="1" x14ac:dyDescent="0.25">
      <c r="A66" s="3"/>
      <c r="B66" s="14"/>
      <c r="C66" s="14"/>
      <c r="D66" s="14"/>
      <c r="E66" s="14"/>
      <c r="F66" s="26"/>
      <c r="G66" s="26"/>
      <c r="H66" s="26"/>
      <c r="I66" s="10"/>
      <c r="J66" s="10"/>
      <c r="K66" s="14"/>
      <c r="L66" s="11"/>
      <c r="M66" s="14"/>
      <c r="N66" s="14"/>
      <c r="O66" s="4"/>
      <c r="P66" s="3"/>
      <c r="Q66" s="4"/>
      <c r="R66" s="3"/>
      <c r="S66" s="3"/>
      <c r="T66" s="3"/>
      <c r="U66" s="4"/>
      <c r="V66" s="4"/>
      <c r="W66" s="4"/>
      <c r="X66" s="4"/>
      <c r="Y66" s="4"/>
      <c r="Z66" s="11"/>
      <c r="AA66" s="15"/>
      <c r="AB66" s="15"/>
      <c r="AC66" s="15"/>
      <c r="AD66" s="16"/>
      <c r="AE66" s="16"/>
      <c r="AF66" s="16"/>
      <c r="AG66" s="16"/>
      <c r="AH66" s="16"/>
      <c r="AI66" s="16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16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</row>
    <row r="67" spans="1:96" ht="12" customHeight="1" x14ac:dyDescent="0.25">
      <c r="A67" s="3"/>
      <c r="B67" s="14"/>
      <c r="C67" s="14"/>
      <c r="D67" s="14"/>
      <c r="E67" s="14"/>
      <c r="F67" s="26"/>
      <c r="G67" s="26"/>
      <c r="H67" s="26"/>
      <c r="I67" s="10"/>
      <c r="J67" s="10"/>
      <c r="K67" s="14"/>
      <c r="L67" s="11"/>
      <c r="M67" s="14"/>
      <c r="N67" s="14"/>
      <c r="O67" s="4"/>
      <c r="P67" s="3"/>
      <c r="Q67" s="4"/>
      <c r="R67" s="3"/>
      <c r="S67" s="3"/>
      <c r="T67" s="3"/>
      <c r="U67" s="4"/>
      <c r="V67" s="4"/>
      <c r="W67" s="4"/>
      <c r="X67" s="4"/>
      <c r="Y67" s="4"/>
      <c r="Z67" s="11"/>
      <c r="AA67" s="15"/>
      <c r="AB67" s="15"/>
      <c r="AC67" s="15"/>
      <c r="AD67" s="16"/>
      <c r="AE67" s="16"/>
      <c r="AF67" s="16"/>
      <c r="AG67" s="16"/>
      <c r="AH67" s="16"/>
      <c r="AI67" s="16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16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</row>
    <row r="68" spans="1:96" ht="12" customHeight="1" x14ac:dyDescent="0.25">
      <c r="A68" s="3"/>
      <c r="B68" s="14"/>
      <c r="C68" s="14"/>
      <c r="D68" s="14"/>
      <c r="E68" s="14"/>
      <c r="F68" s="26"/>
      <c r="G68" s="26"/>
      <c r="H68" s="26"/>
      <c r="I68" s="10"/>
      <c r="J68" s="10"/>
      <c r="K68" s="14"/>
      <c r="L68" s="11"/>
      <c r="M68" s="14"/>
      <c r="N68" s="14"/>
      <c r="O68" s="4"/>
      <c r="P68" s="3"/>
      <c r="Q68" s="4"/>
      <c r="R68" s="3"/>
      <c r="S68" s="3"/>
      <c r="T68" s="3"/>
      <c r="U68" s="4"/>
      <c r="V68" s="4"/>
      <c r="W68" s="4"/>
      <c r="X68" s="4"/>
      <c r="Y68" s="4"/>
      <c r="Z68" s="11"/>
      <c r="AA68" s="15"/>
      <c r="AB68" s="15"/>
      <c r="AC68" s="15"/>
      <c r="AD68" s="16"/>
      <c r="AE68" s="16"/>
      <c r="AF68" s="16"/>
      <c r="AG68" s="16"/>
      <c r="AH68" s="16"/>
      <c r="AI68" s="16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16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</row>
    <row r="69" spans="1:96" ht="12" customHeight="1" x14ac:dyDescent="0.25">
      <c r="A69" s="3"/>
      <c r="B69" s="14"/>
      <c r="C69" s="14"/>
      <c r="D69" s="14"/>
      <c r="E69" s="14"/>
      <c r="F69" s="26"/>
      <c r="G69" s="26"/>
      <c r="H69" s="26"/>
      <c r="I69" s="10"/>
      <c r="J69" s="10"/>
      <c r="K69" s="14"/>
      <c r="L69" s="11"/>
      <c r="M69" s="14"/>
      <c r="N69" s="14"/>
      <c r="O69" s="4"/>
      <c r="P69" s="3"/>
      <c r="Q69" s="4"/>
      <c r="R69" s="3"/>
      <c r="S69" s="3"/>
      <c r="T69" s="3"/>
      <c r="U69" s="4"/>
      <c r="V69" s="4"/>
      <c r="W69" s="4"/>
      <c r="X69" s="4"/>
      <c r="Y69" s="4"/>
      <c r="Z69" s="11"/>
      <c r="AA69" s="15"/>
      <c r="AB69" s="15"/>
      <c r="AC69" s="15"/>
      <c r="AD69" s="16"/>
      <c r="AE69" s="16"/>
      <c r="AF69" s="16"/>
      <c r="AG69" s="16"/>
      <c r="AH69" s="16"/>
      <c r="AI69" s="16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16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</row>
    <row r="70" spans="1:96" ht="12" customHeight="1" x14ac:dyDescent="0.25">
      <c r="A70" s="3"/>
      <c r="B70" s="14"/>
      <c r="C70" s="14"/>
      <c r="D70" s="14"/>
      <c r="E70" s="14"/>
      <c r="F70" s="26"/>
      <c r="G70" s="26"/>
      <c r="H70" s="26"/>
      <c r="I70" s="10"/>
      <c r="J70" s="10"/>
      <c r="K70" s="14"/>
      <c r="L70" s="11"/>
      <c r="M70" s="14"/>
      <c r="N70" s="14"/>
      <c r="O70" s="4"/>
      <c r="P70" s="3"/>
      <c r="Q70" s="4"/>
      <c r="R70" s="3"/>
      <c r="S70" s="3"/>
      <c r="T70" s="3"/>
      <c r="U70" s="4"/>
      <c r="V70" s="4"/>
      <c r="W70" s="4"/>
      <c r="X70" s="4"/>
      <c r="Y70" s="4"/>
      <c r="Z70" s="11"/>
      <c r="AA70" s="15"/>
      <c r="AB70" s="15"/>
      <c r="AC70" s="15"/>
      <c r="AD70" s="16"/>
      <c r="AE70" s="16"/>
      <c r="AF70" s="16"/>
      <c r="AG70" s="16"/>
      <c r="AH70" s="16"/>
      <c r="AI70" s="16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16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</row>
    <row r="71" spans="1:96" ht="12" customHeight="1" x14ac:dyDescent="0.25">
      <c r="A71" s="3"/>
      <c r="B71" s="14"/>
      <c r="C71" s="14"/>
      <c r="D71" s="14"/>
      <c r="E71" s="14"/>
      <c r="F71" s="26"/>
      <c r="G71" s="26"/>
      <c r="H71" s="26"/>
      <c r="I71" s="10"/>
      <c r="J71" s="10"/>
      <c r="K71" s="14"/>
      <c r="L71" s="11"/>
      <c r="M71" s="14"/>
      <c r="N71" s="14"/>
      <c r="O71" s="4"/>
      <c r="P71" s="3"/>
      <c r="Q71" s="4"/>
      <c r="R71" s="3"/>
      <c r="S71" s="3"/>
      <c r="T71" s="3"/>
      <c r="U71" s="4"/>
      <c r="V71" s="4"/>
      <c r="W71" s="4"/>
      <c r="X71" s="4"/>
      <c r="Y71" s="4"/>
      <c r="Z71" s="11"/>
      <c r="AA71" s="15"/>
      <c r="AB71" s="15"/>
      <c r="AC71" s="15"/>
      <c r="AD71" s="16"/>
      <c r="AE71" s="16"/>
      <c r="AF71" s="16"/>
      <c r="AG71" s="16"/>
      <c r="AH71" s="16"/>
      <c r="AI71" s="16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16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</row>
    <row r="72" spans="1:96" ht="12" customHeight="1" x14ac:dyDescent="0.25">
      <c r="A72" s="3"/>
      <c r="B72" s="14"/>
      <c r="C72" s="14"/>
      <c r="D72" s="14"/>
      <c r="E72" s="14"/>
      <c r="F72" s="26"/>
      <c r="G72" s="26"/>
      <c r="H72" s="26"/>
      <c r="I72" s="10"/>
      <c r="J72" s="10"/>
      <c r="K72" s="14"/>
      <c r="L72" s="11"/>
      <c r="M72" s="14"/>
      <c r="N72" s="14"/>
      <c r="O72" s="4"/>
      <c r="P72" s="3"/>
      <c r="Q72" s="4"/>
      <c r="R72" s="3"/>
      <c r="S72" s="3"/>
      <c r="T72" s="3"/>
      <c r="U72" s="4"/>
      <c r="V72" s="4"/>
      <c r="W72" s="4"/>
      <c r="X72" s="4"/>
      <c r="Y72" s="4"/>
      <c r="Z72" s="11"/>
      <c r="AA72" s="15"/>
      <c r="AB72" s="15"/>
      <c r="AC72" s="15"/>
      <c r="AD72" s="16"/>
      <c r="AE72" s="16"/>
      <c r="AF72" s="16"/>
      <c r="AG72" s="16"/>
      <c r="AH72" s="16"/>
      <c r="AI72" s="16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16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</row>
    <row r="73" spans="1:96" ht="12" customHeight="1" x14ac:dyDescent="0.25">
      <c r="A73" s="3"/>
      <c r="B73" s="14"/>
      <c r="C73" s="14"/>
      <c r="D73" s="14"/>
      <c r="E73" s="14"/>
      <c r="F73" s="26"/>
      <c r="G73" s="26"/>
      <c r="H73" s="26"/>
      <c r="I73" s="10"/>
      <c r="J73" s="10"/>
      <c r="K73" s="14"/>
      <c r="L73" s="11"/>
      <c r="M73" s="14"/>
      <c r="N73" s="14"/>
      <c r="O73" s="4"/>
      <c r="P73" s="3"/>
      <c r="Q73" s="4"/>
      <c r="R73" s="3"/>
      <c r="S73" s="3"/>
      <c r="T73" s="3"/>
      <c r="U73" s="4"/>
      <c r="V73" s="4"/>
      <c r="W73" s="4"/>
      <c r="X73" s="4"/>
      <c r="Y73" s="4"/>
      <c r="Z73" s="11"/>
      <c r="AA73" s="15"/>
      <c r="AB73" s="15"/>
      <c r="AC73" s="15"/>
      <c r="AD73" s="16"/>
      <c r="AE73" s="16"/>
      <c r="AF73" s="16"/>
      <c r="AG73" s="16"/>
      <c r="AH73" s="16"/>
      <c r="AI73" s="16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16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</row>
    <row r="74" spans="1:96" ht="12" customHeight="1" x14ac:dyDescent="0.25">
      <c r="A74" s="3"/>
      <c r="B74" s="14"/>
      <c r="C74" s="14"/>
      <c r="D74" s="14"/>
      <c r="E74" s="14"/>
      <c r="F74" s="26"/>
      <c r="G74" s="26"/>
      <c r="H74" s="26"/>
      <c r="I74" s="10"/>
      <c r="J74" s="10"/>
      <c r="K74" s="14"/>
      <c r="L74" s="11"/>
      <c r="M74" s="14"/>
      <c r="N74" s="14"/>
      <c r="O74" s="4"/>
      <c r="P74" s="3"/>
      <c r="Q74" s="4"/>
      <c r="R74" s="3"/>
      <c r="S74" s="3"/>
      <c r="T74" s="3"/>
      <c r="U74" s="4"/>
      <c r="V74" s="4"/>
      <c r="W74" s="4"/>
      <c r="X74" s="4"/>
      <c r="Y74" s="4"/>
      <c r="Z74" s="11"/>
      <c r="AA74" s="15"/>
      <c r="AB74" s="15"/>
      <c r="AC74" s="15"/>
      <c r="AD74" s="16"/>
      <c r="AE74" s="16"/>
      <c r="AF74" s="16"/>
      <c r="AG74" s="16"/>
      <c r="AH74" s="16"/>
      <c r="AI74" s="16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16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</row>
    <row r="75" spans="1:96" ht="12" customHeight="1" x14ac:dyDescent="0.25">
      <c r="A75" s="3"/>
      <c r="B75" s="14"/>
      <c r="C75" s="14"/>
      <c r="D75" s="14"/>
      <c r="E75" s="14"/>
      <c r="F75" s="26"/>
      <c r="G75" s="26"/>
      <c r="H75" s="26"/>
      <c r="I75" s="10"/>
      <c r="J75" s="10"/>
      <c r="K75" s="14"/>
      <c r="L75" s="11"/>
      <c r="M75" s="14"/>
      <c r="N75" s="14"/>
      <c r="O75" s="4"/>
      <c r="P75" s="3"/>
      <c r="Q75" s="4"/>
      <c r="R75" s="3"/>
      <c r="S75" s="3"/>
      <c r="T75" s="3"/>
      <c r="U75" s="4"/>
      <c r="V75" s="4"/>
      <c r="W75" s="4"/>
      <c r="X75" s="4"/>
      <c r="Y75" s="4"/>
      <c r="Z75" s="11"/>
      <c r="AA75" s="15"/>
      <c r="AB75" s="15"/>
      <c r="AC75" s="15"/>
      <c r="AD75" s="16"/>
      <c r="AE75" s="16"/>
      <c r="AF75" s="16"/>
      <c r="AG75" s="16"/>
      <c r="AH75" s="16"/>
      <c r="AI75" s="16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16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</row>
    <row r="76" spans="1:96" ht="12" customHeight="1" x14ac:dyDescent="0.25">
      <c r="A76" s="3"/>
      <c r="B76" s="14"/>
      <c r="C76" s="14"/>
      <c r="D76" s="14"/>
      <c r="E76" s="14"/>
      <c r="F76" s="26"/>
      <c r="G76" s="26"/>
      <c r="H76" s="26"/>
      <c r="I76" s="10"/>
      <c r="J76" s="10"/>
      <c r="K76" s="14"/>
      <c r="L76" s="11"/>
      <c r="M76" s="14"/>
      <c r="N76" s="14"/>
      <c r="O76" s="4"/>
      <c r="P76" s="3"/>
      <c r="Q76" s="4"/>
      <c r="R76" s="3"/>
      <c r="S76" s="3"/>
      <c r="T76" s="3"/>
      <c r="U76" s="4"/>
      <c r="V76" s="4"/>
      <c r="W76" s="4"/>
      <c r="X76" s="4"/>
      <c r="Y76" s="4"/>
      <c r="Z76" s="11"/>
      <c r="AA76" s="15"/>
      <c r="AB76" s="15"/>
      <c r="AC76" s="15"/>
      <c r="AD76" s="16"/>
      <c r="AE76" s="16"/>
      <c r="AF76" s="16"/>
      <c r="AG76" s="16"/>
      <c r="AH76" s="16"/>
      <c r="AI76" s="16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16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</row>
    <row r="77" spans="1:96" ht="12" customHeight="1" x14ac:dyDescent="0.25">
      <c r="A77" s="3"/>
      <c r="B77" s="14"/>
      <c r="C77" s="14"/>
      <c r="D77" s="14"/>
      <c r="E77" s="14"/>
      <c r="F77" s="26"/>
      <c r="G77" s="26"/>
      <c r="H77" s="26"/>
      <c r="I77" s="10"/>
      <c r="J77" s="10"/>
      <c r="K77" s="14"/>
      <c r="L77" s="11"/>
      <c r="M77" s="14"/>
      <c r="N77" s="14"/>
      <c r="O77" s="4"/>
      <c r="P77" s="3"/>
      <c r="Q77" s="4"/>
      <c r="R77" s="3"/>
      <c r="S77" s="3"/>
      <c r="T77" s="3"/>
      <c r="U77" s="4"/>
      <c r="V77" s="4"/>
      <c r="W77" s="4"/>
      <c r="X77" s="4"/>
      <c r="Y77" s="4"/>
      <c r="Z77" s="11"/>
      <c r="AA77" s="15"/>
      <c r="AB77" s="15"/>
      <c r="AC77" s="15"/>
      <c r="AD77" s="16"/>
      <c r="AE77" s="16"/>
      <c r="AF77" s="16"/>
      <c r="AG77" s="16"/>
      <c r="AH77" s="16"/>
      <c r="AI77" s="16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16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</row>
    <row r="78" spans="1:96" ht="12" customHeight="1" x14ac:dyDescent="0.25">
      <c r="A78" s="3"/>
      <c r="B78" s="14"/>
      <c r="C78" s="14"/>
      <c r="D78" s="14"/>
      <c r="E78" s="14"/>
      <c r="F78" s="26"/>
      <c r="G78" s="26"/>
      <c r="H78" s="26"/>
      <c r="I78" s="10"/>
      <c r="J78" s="10"/>
      <c r="K78" s="14"/>
      <c r="L78" s="11"/>
      <c r="M78" s="14"/>
      <c r="N78" s="14"/>
      <c r="O78" s="4"/>
      <c r="P78" s="3"/>
      <c r="Q78" s="4"/>
      <c r="R78" s="3"/>
      <c r="S78" s="3"/>
      <c r="T78" s="3"/>
      <c r="U78" s="4"/>
      <c r="V78" s="4"/>
      <c r="W78" s="4"/>
      <c r="X78" s="4"/>
      <c r="Y78" s="4"/>
      <c r="Z78" s="11"/>
      <c r="AA78" s="15"/>
      <c r="AB78" s="15"/>
      <c r="AC78" s="15"/>
      <c r="AD78" s="16"/>
      <c r="AE78" s="16"/>
      <c r="AF78" s="16"/>
      <c r="AG78" s="16"/>
      <c r="AH78" s="16"/>
      <c r="AI78" s="16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16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</row>
    <row r="79" spans="1:96" ht="12" customHeight="1" x14ac:dyDescent="0.25">
      <c r="A79" s="3"/>
      <c r="B79" s="14"/>
      <c r="C79" s="14"/>
      <c r="D79" s="14"/>
      <c r="E79" s="14"/>
      <c r="F79" s="26"/>
      <c r="G79" s="26"/>
      <c r="H79" s="26"/>
      <c r="I79" s="10"/>
      <c r="J79" s="10"/>
      <c r="K79" s="14"/>
      <c r="L79" s="11"/>
      <c r="M79" s="14"/>
      <c r="N79" s="14"/>
      <c r="O79" s="4"/>
      <c r="P79" s="3"/>
      <c r="Q79" s="4"/>
      <c r="R79" s="3"/>
      <c r="S79" s="3"/>
      <c r="T79" s="3"/>
      <c r="U79" s="4"/>
      <c r="V79" s="4"/>
      <c r="W79" s="4"/>
      <c r="X79" s="4"/>
      <c r="Y79" s="4"/>
      <c r="Z79" s="11"/>
      <c r="AA79" s="15"/>
      <c r="AB79" s="15"/>
      <c r="AC79" s="15"/>
      <c r="AD79" s="16"/>
      <c r="AE79" s="16"/>
      <c r="AF79" s="16"/>
      <c r="AG79" s="16"/>
      <c r="AH79" s="16"/>
      <c r="AI79" s="16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16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</row>
    <row r="80" spans="1:96" ht="12" customHeight="1" x14ac:dyDescent="0.25">
      <c r="A80" s="3"/>
      <c r="B80" s="14"/>
      <c r="C80" s="14"/>
      <c r="D80" s="14"/>
      <c r="E80" s="14"/>
      <c r="F80" s="26"/>
      <c r="G80" s="26"/>
      <c r="H80" s="26"/>
      <c r="I80" s="10"/>
      <c r="J80" s="10"/>
      <c r="K80" s="14"/>
      <c r="L80" s="11"/>
      <c r="M80" s="14"/>
      <c r="N80" s="14"/>
      <c r="O80" s="4"/>
      <c r="P80" s="3"/>
      <c r="Q80" s="4"/>
      <c r="R80" s="3"/>
      <c r="S80" s="3"/>
      <c r="T80" s="3"/>
      <c r="U80" s="4"/>
      <c r="V80" s="4"/>
      <c r="W80" s="4"/>
      <c r="X80" s="4"/>
      <c r="Y80" s="4"/>
      <c r="Z80" s="11"/>
      <c r="AA80" s="15"/>
      <c r="AB80" s="15"/>
      <c r="AC80" s="15"/>
      <c r="AD80" s="16"/>
      <c r="AE80" s="16"/>
      <c r="AF80" s="16"/>
      <c r="AG80" s="16"/>
      <c r="AH80" s="16"/>
      <c r="AI80" s="16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16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</row>
    <row r="81" spans="1:96" ht="12" customHeight="1" x14ac:dyDescent="0.25">
      <c r="A81" s="3"/>
      <c r="B81" s="14"/>
      <c r="C81" s="14"/>
      <c r="D81" s="14"/>
      <c r="E81" s="14"/>
      <c r="F81" s="26"/>
      <c r="G81" s="26"/>
      <c r="H81" s="26"/>
      <c r="I81" s="10"/>
      <c r="J81" s="10"/>
      <c r="K81" s="14"/>
      <c r="L81" s="11"/>
      <c r="M81" s="14"/>
      <c r="N81" s="14"/>
      <c r="O81" s="4"/>
      <c r="P81" s="3"/>
      <c r="Q81" s="4"/>
      <c r="R81" s="3"/>
      <c r="S81" s="3"/>
      <c r="T81" s="3"/>
      <c r="U81" s="4"/>
      <c r="V81" s="4"/>
      <c r="W81" s="4"/>
      <c r="X81" s="4"/>
      <c r="Y81" s="4"/>
      <c r="Z81" s="11"/>
      <c r="AA81" s="15"/>
      <c r="AB81" s="15"/>
      <c r="AC81" s="15"/>
      <c r="AD81" s="16"/>
      <c r="AE81" s="16"/>
      <c r="AF81" s="16"/>
      <c r="AG81" s="16"/>
      <c r="AH81" s="16"/>
      <c r="AI81" s="16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16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</row>
    <row r="82" spans="1:96" ht="12" customHeight="1" x14ac:dyDescent="0.25">
      <c r="A82" s="3"/>
      <c r="B82" s="14"/>
      <c r="C82" s="14"/>
      <c r="D82" s="14"/>
      <c r="E82" s="14"/>
      <c r="F82" s="26"/>
      <c r="G82" s="26"/>
      <c r="H82" s="26"/>
      <c r="I82" s="10"/>
      <c r="J82" s="10"/>
      <c r="K82" s="14"/>
      <c r="L82" s="11"/>
      <c r="M82" s="14"/>
      <c r="N82" s="14"/>
      <c r="O82" s="4"/>
      <c r="P82" s="3"/>
      <c r="Q82" s="4"/>
      <c r="R82" s="3"/>
      <c r="S82" s="3"/>
      <c r="T82" s="3"/>
      <c r="U82" s="4"/>
      <c r="V82" s="4"/>
      <c r="W82" s="4"/>
      <c r="X82" s="4"/>
      <c r="Y82" s="4"/>
      <c r="Z82" s="11"/>
      <c r="AA82" s="15"/>
      <c r="AB82" s="15"/>
      <c r="AC82" s="15"/>
      <c r="AD82" s="16"/>
      <c r="AE82" s="16"/>
      <c r="AF82" s="16"/>
      <c r="AG82" s="16"/>
      <c r="AH82" s="16"/>
      <c r="AI82" s="16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16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</row>
    <row r="83" spans="1:96" ht="12" customHeight="1" x14ac:dyDescent="0.25">
      <c r="A83" s="3"/>
      <c r="B83" s="14"/>
      <c r="C83" s="14"/>
      <c r="D83" s="14"/>
      <c r="E83" s="14"/>
      <c r="F83" s="26"/>
      <c r="G83" s="26"/>
      <c r="H83" s="26"/>
      <c r="I83" s="10"/>
      <c r="J83" s="10"/>
      <c r="K83" s="14"/>
      <c r="L83" s="11"/>
      <c r="M83" s="14"/>
      <c r="N83" s="14"/>
      <c r="O83" s="4"/>
      <c r="P83" s="3"/>
      <c r="Q83" s="4"/>
      <c r="R83" s="3"/>
      <c r="S83" s="3"/>
      <c r="T83" s="3"/>
      <c r="U83" s="4"/>
      <c r="V83" s="4"/>
      <c r="W83" s="4"/>
      <c r="X83" s="4"/>
      <c r="Y83" s="4"/>
      <c r="Z83" s="11"/>
      <c r="AA83" s="15"/>
      <c r="AB83" s="15"/>
      <c r="AC83" s="15"/>
      <c r="AD83" s="16"/>
      <c r="AE83" s="16"/>
      <c r="AF83" s="16"/>
      <c r="AG83" s="16"/>
      <c r="AH83" s="16"/>
      <c r="AI83" s="16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16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</row>
    <row r="84" spans="1:96" ht="12" customHeight="1" x14ac:dyDescent="0.25">
      <c r="A84" s="3"/>
      <c r="B84" s="14"/>
      <c r="C84" s="14"/>
      <c r="D84" s="14"/>
      <c r="E84" s="14"/>
      <c r="F84" s="26"/>
      <c r="G84" s="26"/>
      <c r="H84" s="26"/>
      <c r="I84" s="10"/>
      <c r="J84" s="10"/>
      <c r="K84" s="14"/>
      <c r="L84" s="11"/>
      <c r="M84" s="14"/>
      <c r="N84" s="14"/>
      <c r="O84" s="4"/>
      <c r="P84" s="3"/>
      <c r="Q84" s="4"/>
      <c r="R84" s="3"/>
      <c r="S84" s="3"/>
      <c r="T84" s="3"/>
      <c r="U84" s="4"/>
      <c r="V84" s="4"/>
      <c r="W84" s="4"/>
      <c r="X84" s="4"/>
      <c r="Y84" s="4"/>
      <c r="Z84" s="11"/>
      <c r="AA84" s="15"/>
      <c r="AB84" s="15"/>
      <c r="AC84" s="15"/>
      <c r="AD84" s="16"/>
      <c r="AE84" s="16"/>
      <c r="AF84" s="16"/>
      <c r="AG84" s="16"/>
      <c r="AH84" s="16"/>
      <c r="AI84" s="16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16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</row>
    <row r="85" spans="1:96" ht="12" customHeight="1" x14ac:dyDescent="0.25">
      <c r="A85" s="3"/>
      <c r="B85" s="14"/>
      <c r="C85" s="14"/>
      <c r="D85" s="14"/>
      <c r="E85" s="14"/>
      <c r="F85" s="26"/>
      <c r="G85" s="26"/>
      <c r="H85" s="26"/>
      <c r="I85" s="10"/>
      <c r="J85" s="10"/>
      <c r="K85" s="14"/>
      <c r="L85" s="11"/>
      <c r="M85" s="14"/>
      <c r="N85" s="14"/>
      <c r="O85" s="4"/>
      <c r="P85" s="3"/>
      <c r="Q85" s="4"/>
      <c r="R85" s="3"/>
      <c r="S85" s="3"/>
      <c r="T85" s="3"/>
      <c r="U85" s="4"/>
      <c r="V85" s="4"/>
      <c r="W85" s="4"/>
      <c r="X85" s="4"/>
      <c r="Y85" s="4"/>
      <c r="Z85" s="11"/>
      <c r="AA85" s="15"/>
      <c r="AB85" s="15"/>
      <c r="AC85" s="15"/>
      <c r="AD85" s="16"/>
      <c r="AE85" s="16"/>
      <c r="AF85" s="16"/>
      <c r="AG85" s="16"/>
      <c r="AH85" s="16"/>
      <c r="AI85" s="16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16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</row>
    <row r="86" spans="1:96" ht="12" customHeight="1" x14ac:dyDescent="0.25">
      <c r="A86" s="3"/>
      <c r="B86" s="14"/>
      <c r="C86" s="14"/>
      <c r="D86" s="14"/>
      <c r="E86" s="14"/>
      <c r="F86" s="26"/>
      <c r="G86" s="26"/>
      <c r="H86" s="26"/>
      <c r="I86" s="10"/>
      <c r="J86" s="10"/>
      <c r="K86" s="14"/>
      <c r="L86" s="11"/>
      <c r="M86" s="14"/>
      <c r="N86" s="14"/>
      <c r="O86" s="4"/>
      <c r="P86" s="3"/>
      <c r="Q86" s="4"/>
      <c r="R86" s="3"/>
      <c r="S86" s="3"/>
      <c r="T86" s="3"/>
      <c r="U86" s="4"/>
      <c r="V86" s="4"/>
      <c r="W86" s="4"/>
      <c r="X86" s="4"/>
      <c r="Y86" s="4"/>
      <c r="Z86" s="11"/>
      <c r="AA86" s="15"/>
      <c r="AB86" s="15"/>
      <c r="AC86" s="15"/>
      <c r="AD86" s="16"/>
      <c r="AE86" s="16"/>
      <c r="AF86" s="16"/>
      <c r="AG86" s="16"/>
      <c r="AH86" s="16"/>
      <c r="AI86" s="16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16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</row>
    <row r="87" spans="1:96" ht="12" customHeight="1" x14ac:dyDescent="0.25">
      <c r="A87" s="3"/>
      <c r="B87" s="14"/>
      <c r="C87" s="14"/>
      <c r="D87" s="14"/>
      <c r="E87" s="14"/>
      <c r="F87" s="26"/>
      <c r="G87" s="26"/>
      <c r="H87" s="26"/>
      <c r="I87" s="10"/>
      <c r="J87" s="10"/>
      <c r="K87" s="14"/>
      <c r="L87" s="11"/>
      <c r="M87" s="14"/>
      <c r="N87" s="14"/>
      <c r="O87" s="4"/>
      <c r="P87" s="3"/>
      <c r="Q87" s="4"/>
      <c r="R87" s="3"/>
      <c r="S87" s="3"/>
      <c r="T87" s="3"/>
      <c r="U87" s="4"/>
      <c r="V87" s="4"/>
      <c r="W87" s="4"/>
      <c r="X87" s="4"/>
      <c r="Y87" s="4"/>
      <c r="Z87" s="11"/>
      <c r="AA87" s="15"/>
      <c r="AB87" s="15"/>
      <c r="AC87" s="15"/>
      <c r="AD87" s="16"/>
      <c r="AE87" s="16"/>
      <c r="AF87" s="16"/>
      <c r="AG87" s="16"/>
      <c r="AH87" s="16"/>
      <c r="AI87" s="16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16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</row>
    <row r="88" spans="1:96" ht="12" customHeight="1" x14ac:dyDescent="0.25">
      <c r="A88" s="3"/>
      <c r="B88" s="14"/>
      <c r="C88" s="14"/>
      <c r="D88" s="14"/>
      <c r="E88" s="14"/>
      <c r="F88" s="26"/>
      <c r="G88" s="26"/>
      <c r="H88" s="26"/>
      <c r="I88" s="10"/>
      <c r="J88" s="10"/>
      <c r="K88" s="14"/>
      <c r="L88" s="11"/>
      <c r="M88" s="14"/>
      <c r="N88" s="14"/>
      <c r="O88" s="4"/>
      <c r="P88" s="3"/>
      <c r="Q88" s="4"/>
      <c r="R88" s="3"/>
      <c r="S88" s="3"/>
      <c r="T88" s="3"/>
      <c r="U88" s="4"/>
      <c r="V88" s="4"/>
      <c r="W88" s="4"/>
      <c r="X88" s="4"/>
      <c r="Y88" s="4"/>
      <c r="Z88" s="11"/>
      <c r="AA88" s="15"/>
      <c r="AB88" s="15"/>
      <c r="AC88" s="15"/>
      <c r="AD88" s="16"/>
      <c r="AE88" s="16"/>
      <c r="AF88" s="16"/>
      <c r="AG88" s="16"/>
      <c r="AH88" s="16"/>
      <c r="AI88" s="16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16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</row>
    <row r="89" spans="1:96" ht="12" customHeight="1" x14ac:dyDescent="0.25">
      <c r="A89" s="3"/>
      <c r="B89" s="14"/>
      <c r="C89" s="14"/>
      <c r="D89" s="14"/>
      <c r="E89" s="14"/>
      <c r="F89" s="26"/>
      <c r="G89" s="26"/>
      <c r="H89" s="26"/>
      <c r="I89" s="10"/>
      <c r="J89" s="10"/>
      <c r="K89" s="14"/>
      <c r="L89" s="11"/>
      <c r="M89" s="14"/>
      <c r="N89" s="14"/>
      <c r="O89" s="4"/>
      <c r="P89" s="3"/>
      <c r="Q89" s="4"/>
      <c r="R89" s="3"/>
      <c r="S89" s="3"/>
      <c r="T89" s="3"/>
      <c r="U89" s="4"/>
      <c r="V89" s="4"/>
      <c r="W89" s="4"/>
      <c r="X89" s="4"/>
      <c r="Y89" s="4"/>
      <c r="Z89" s="11"/>
      <c r="AA89" s="15"/>
      <c r="AB89" s="15"/>
      <c r="AC89" s="15"/>
      <c r="AD89" s="16"/>
      <c r="AE89" s="16"/>
      <c r="AF89" s="16"/>
      <c r="AG89" s="16"/>
      <c r="AH89" s="16"/>
      <c r="AI89" s="16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16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</row>
    <row r="90" spans="1:96" ht="12" customHeight="1" x14ac:dyDescent="0.25">
      <c r="A90" s="3"/>
      <c r="B90" s="14"/>
      <c r="C90" s="14"/>
      <c r="D90" s="14"/>
      <c r="E90" s="14"/>
      <c r="F90" s="26"/>
      <c r="G90" s="26"/>
      <c r="H90" s="26"/>
      <c r="I90" s="10"/>
      <c r="J90" s="10"/>
      <c r="K90" s="14"/>
      <c r="L90" s="11"/>
      <c r="M90" s="14"/>
      <c r="N90" s="14"/>
      <c r="O90" s="4"/>
      <c r="P90" s="3"/>
      <c r="Q90" s="4"/>
      <c r="R90" s="3"/>
      <c r="S90" s="3"/>
      <c r="T90" s="3"/>
      <c r="U90" s="4"/>
      <c r="V90" s="4"/>
      <c r="W90" s="4"/>
      <c r="X90" s="4"/>
      <c r="Y90" s="4"/>
      <c r="Z90" s="11"/>
      <c r="AA90" s="15"/>
      <c r="AB90" s="15"/>
      <c r="AC90" s="15"/>
      <c r="AD90" s="16"/>
      <c r="AE90" s="16"/>
      <c r="AF90" s="16"/>
      <c r="AG90" s="16"/>
      <c r="AH90" s="16"/>
      <c r="AI90" s="16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16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</row>
    <row r="91" spans="1:96" ht="12" customHeight="1" x14ac:dyDescent="0.25">
      <c r="A91" s="3"/>
      <c r="B91" s="14"/>
      <c r="C91" s="14"/>
      <c r="D91" s="14"/>
      <c r="E91" s="14"/>
      <c r="F91" s="26"/>
      <c r="G91" s="26"/>
      <c r="H91" s="26"/>
      <c r="I91" s="10"/>
      <c r="J91" s="10"/>
      <c r="K91" s="14"/>
      <c r="L91" s="11"/>
      <c r="M91" s="14"/>
      <c r="N91" s="14"/>
      <c r="O91" s="4"/>
      <c r="P91" s="3"/>
      <c r="Q91" s="4"/>
      <c r="R91" s="3"/>
      <c r="S91" s="3"/>
      <c r="T91" s="3"/>
      <c r="U91" s="4"/>
      <c r="V91" s="4"/>
      <c r="W91" s="4"/>
      <c r="X91" s="4"/>
      <c r="Y91" s="4"/>
      <c r="Z91" s="11"/>
      <c r="AA91" s="15"/>
      <c r="AB91" s="15"/>
      <c r="AC91" s="15"/>
      <c r="AD91" s="16"/>
      <c r="AE91" s="16"/>
      <c r="AF91" s="16"/>
      <c r="AG91" s="16"/>
      <c r="AH91" s="16"/>
      <c r="AI91" s="16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16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</row>
    <row r="92" spans="1:96" ht="12" customHeight="1" x14ac:dyDescent="0.25">
      <c r="A92" s="3"/>
      <c r="B92" s="14"/>
      <c r="C92" s="14"/>
      <c r="D92" s="14"/>
      <c r="E92" s="14"/>
      <c r="F92" s="26"/>
      <c r="G92" s="26"/>
      <c r="H92" s="26"/>
      <c r="I92" s="10"/>
      <c r="J92" s="10"/>
      <c r="K92" s="14"/>
      <c r="L92" s="11"/>
      <c r="M92" s="14"/>
      <c r="N92" s="14"/>
      <c r="O92" s="4"/>
      <c r="P92" s="3"/>
      <c r="Q92" s="4"/>
      <c r="R92" s="3"/>
      <c r="S92" s="3"/>
      <c r="T92" s="3"/>
      <c r="U92" s="4"/>
      <c r="V92" s="4"/>
      <c r="W92" s="4"/>
      <c r="X92" s="4"/>
      <c r="Y92" s="4"/>
      <c r="Z92" s="11"/>
      <c r="AA92" s="15"/>
      <c r="AB92" s="15"/>
      <c r="AC92" s="15"/>
      <c r="AD92" s="16"/>
      <c r="AE92" s="16"/>
      <c r="AF92" s="16"/>
      <c r="AG92" s="16"/>
      <c r="AH92" s="16"/>
      <c r="AI92" s="16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16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</row>
    <row r="93" spans="1:96" ht="12" customHeight="1" x14ac:dyDescent="0.25">
      <c r="A93" s="3"/>
      <c r="B93" s="14"/>
      <c r="C93" s="14"/>
      <c r="D93" s="14"/>
      <c r="E93" s="14"/>
      <c r="F93" s="26"/>
      <c r="G93" s="26"/>
      <c r="H93" s="26"/>
      <c r="I93" s="10"/>
      <c r="J93" s="10"/>
      <c r="K93" s="14"/>
      <c r="L93" s="11"/>
      <c r="M93" s="14"/>
      <c r="N93" s="14"/>
      <c r="O93" s="4"/>
      <c r="P93" s="3"/>
      <c r="Q93" s="4"/>
      <c r="R93" s="3"/>
      <c r="S93" s="3"/>
      <c r="T93" s="3"/>
      <c r="U93" s="4"/>
      <c r="V93" s="4"/>
      <c r="W93" s="4"/>
      <c r="X93" s="4"/>
      <c r="Y93" s="4"/>
      <c r="Z93" s="11"/>
      <c r="AA93" s="15"/>
      <c r="AB93" s="15"/>
      <c r="AC93" s="15"/>
      <c r="AD93" s="16"/>
      <c r="AE93" s="16"/>
      <c r="AF93" s="16"/>
      <c r="AG93" s="16"/>
      <c r="AH93" s="16"/>
      <c r="AI93" s="16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16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</row>
    <row r="94" spans="1:96" ht="12" customHeight="1" x14ac:dyDescent="0.25">
      <c r="A94" s="3"/>
      <c r="B94" s="14"/>
      <c r="C94" s="14"/>
      <c r="D94" s="14"/>
      <c r="E94" s="14"/>
      <c r="F94" s="26"/>
      <c r="G94" s="26"/>
      <c r="H94" s="26"/>
      <c r="I94" s="10"/>
      <c r="J94" s="10"/>
      <c r="K94" s="14"/>
      <c r="L94" s="11"/>
      <c r="M94" s="14"/>
      <c r="N94" s="14"/>
      <c r="O94" s="4"/>
      <c r="P94" s="3"/>
      <c r="Q94" s="4"/>
      <c r="R94" s="3"/>
      <c r="S94" s="3"/>
      <c r="T94" s="3"/>
      <c r="U94" s="4"/>
      <c r="V94" s="4"/>
      <c r="W94" s="4"/>
      <c r="X94" s="4"/>
      <c r="Y94" s="4"/>
      <c r="Z94" s="11"/>
      <c r="AA94" s="15"/>
      <c r="AB94" s="15"/>
      <c r="AC94" s="15"/>
      <c r="AD94" s="16"/>
      <c r="AE94" s="16"/>
      <c r="AF94" s="16"/>
      <c r="AG94" s="16"/>
      <c r="AH94" s="16"/>
      <c r="AI94" s="16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16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</row>
    <row r="95" spans="1:96" ht="12" customHeight="1" x14ac:dyDescent="0.25">
      <c r="A95" s="3"/>
      <c r="B95" s="14"/>
      <c r="C95" s="14"/>
      <c r="D95" s="14"/>
      <c r="E95" s="14"/>
      <c r="F95" s="26"/>
      <c r="G95" s="26"/>
      <c r="H95" s="26"/>
      <c r="I95" s="10"/>
      <c r="J95" s="10"/>
      <c r="K95" s="14"/>
      <c r="L95" s="11"/>
      <c r="M95" s="14"/>
      <c r="N95" s="14"/>
      <c r="O95" s="4"/>
      <c r="P95" s="3"/>
      <c r="Q95" s="4"/>
      <c r="R95" s="3"/>
      <c r="S95" s="3"/>
      <c r="T95" s="3"/>
      <c r="U95" s="4"/>
      <c r="V95" s="4"/>
      <c r="W95" s="4"/>
      <c r="X95" s="4"/>
      <c r="Y95" s="4"/>
      <c r="Z95" s="11"/>
      <c r="AA95" s="15"/>
      <c r="AB95" s="15"/>
      <c r="AC95" s="15"/>
      <c r="AD95" s="16"/>
      <c r="AE95" s="16"/>
      <c r="AF95" s="16"/>
      <c r="AG95" s="16"/>
      <c r="AH95" s="16"/>
      <c r="AI95" s="16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16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</row>
    <row r="96" spans="1:96" ht="12" customHeight="1" x14ac:dyDescent="0.25">
      <c r="A96" s="3"/>
      <c r="B96" s="14"/>
      <c r="C96" s="14"/>
      <c r="D96" s="14"/>
      <c r="E96" s="14"/>
      <c r="F96" s="26"/>
      <c r="G96" s="26"/>
      <c r="H96" s="26"/>
      <c r="I96" s="10"/>
      <c r="J96" s="10"/>
      <c r="K96" s="14"/>
      <c r="L96" s="11"/>
      <c r="M96" s="14"/>
      <c r="N96" s="14"/>
      <c r="O96" s="4"/>
      <c r="P96" s="3"/>
      <c r="Q96" s="4"/>
      <c r="R96" s="3"/>
      <c r="S96" s="3"/>
      <c r="T96" s="3"/>
      <c r="U96" s="4"/>
      <c r="V96" s="4"/>
      <c r="W96" s="4"/>
      <c r="X96" s="4"/>
      <c r="Y96" s="4"/>
      <c r="Z96" s="11"/>
      <c r="AA96" s="15"/>
      <c r="AB96" s="15"/>
      <c r="AC96" s="15"/>
      <c r="AD96" s="16"/>
      <c r="AE96" s="16"/>
      <c r="AF96" s="16"/>
      <c r="AG96" s="16"/>
      <c r="AH96" s="16"/>
      <c r="AI96" s="16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16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</row>
    <row r="97" spans="1:96" ht="12" customHeight="1" x14ac:dyDescent="0.25">
      <c r="A97" s="3"/>
      <c r="B97" s="14"/>
      <c r="C97" s="14"/>
      <c r="D97" s="14"/>
      <c r="E97" s="14"/>
      <c r="F97" s="26"/>
      <c r="G97" s="26"/>
      <c r="H97" s="26"/>
      <c r="I97" s="10"/>
      <c r="J97" s="10"/>
      <c r="K97" s="14"/>
      <c r="L97" s="11"/>
      <c r="M97" s="14"/>
      <c r="N97" s="14"/>
      <c r="O97" s="4"/>
      <c r="P97" s="3"/>
      <c r="Q97" s="4"/>
      <c r="R97" s="3"/>
      <c r="S97" s="3"/>
      <c r="T97" s="3"/>
      <c r="U97" s="4"/>
      <c r="V97" s="4"/>
      <c r="W97" s="4"/>
      <c r="X97" s="4"/>
      <c r="Y97" s="4"/>
      <c r="Z97" s="11"/>
      <c r="AA97" s="15"/>
      <c r="AB97" s="15"/>
      <c r="AC97" s="15"/>
      <c r="AD97" s="16"/>
      <c r="AE97" s="16"/>
      <c r="AF97" s="16"/>
      <c r="AG97" s="16"/>
      <c r="AH97" s="16"/>
      <c r="AI97" s="16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16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</row>
    <row r="98" spans="1:96" ht="12" customHeight="1" x14ac:dyDescent="0.25">
      <c r="A98" s="3"/>
      <c r="B98" s="14"/>
      <c r="C98" s="14"/>
      <c r="D98" s="14"/>
      <c r="E98" s="14"/>
      <c r="F98" s="26"/>
      <c r="G98" s="26"/>
      <c r="H98" s="26"/>
      <c r="I98" s="10"/>
      <c r="J98" s="10"/>
      <c r="K98" s="14"/>
      <c r="L98" s="11"/>
      <c r="M98" s="14"/>
      <c r="N98" s="14"/>
      <c r="O98" s="4"/>
      <c r="P98" s="3"/>
      <c r="Q98" s="4"/>
      <c r="R98" s="3"/>
      <c r="S98" s="3"/>
      <c r="T98" s="3"/>
      <c r="U98" s="4"/>
      <c r="V98" s="4"/>
      <c r="W98" s="4"/>
      <c r="X98" s="4"/>
      <c r="Y98" s="4"/>
      <c r="Z98" s="11"/>
      <c r="AA98" s="15"/>
      <c r="AB98" s="15"/>
      <c r="AC98" s="15"/>
      <c r="AD98" s="16"/>
      <c r="AE98" s="16"/>
      <c r="AF98" s="16"/>
      <c r="AG98" s="16"/>
      <c r="AH98" s="16"/>
      <c r="AI98" s="16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16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</row>
    <row r="99" spans="1:96" ht="12" customHeight="1" x14ac:dyDescent="0.25">
      <c r="A99" s="3"/>
      <c r="B99" s="14"/>
      <c r="C99" s="14"/>
      <c r="D99" s="14"/>
      <c r="E99" s="14"/>
      <c r="F99" s="26"/>
      <c r="G99" s="26"/>
      <c r="H99" s="26"/>
      <c r="I99" s="10"/>
      <c r="J99" s="10"/>
      <c r="K99" s="14"/>
      <c r="L99" s="11"/>
      <c r="M99" s="14"/>
      <c r="N99" s="14"/>
      <c r="O99" s="4"/>
      <c r="P99" s="3"/>
      <c r="Q99" s="4"/>
      <c r="R99" s="3"/>
      <c r="S99" s="3"/>
      <c r="T99" s="3"/>
      <c r="U99" s="4"/>
      <c r="V99" s="4"/>
      <c r="W99" s="4"/>
      <c r="X99" s="4"/>
      <c r="Y99" s="4"/>
      <c r="Z99" s="11"/>
      <c r="AA99" s="15"/>
      <c r="AB99" s="15"/>
      <c r="AC99" s="15"/>
      <c r="AD99" s="16"/>
      <c r="AE99" s="16"/>
      <c r="AF99" s="16"/>
      <c r="AG99" s="16"/>
      <c r="AH99" s="16"/>
      <c r="AI99" s="16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16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</row>
    <row r="100" spans="1:96" ht="12" customHeight="1" x14ac:dyDescent="0.25">
      <c r="A100" s="3"/>
      <c r="B100" s="14"/>
      <c r="C100" s="14"/>
      <c r="D100" s="14"/>
      <c r="E100" s="14"/>
      <c r="F100" s="26"/>
      <c r="G100" s="26"/>
      <c r="H100" s="26"/>
      <c r="I100" s="10"/>
      <c r="J100" s="10"/>
      <c r="K100" s="14"/>
      <c r="L100" s="11"/>
      <c r="M100" s="14"/>
      <c r="N100" s="14"/>
      <c r="O100" s="4"/>
      <c r="P100" s="3"/>
      <c r="Q100" s="4"/>
      <c r="R100" s="3"/>
      <c r="S100" s="3"/>
      <c r="T100" s="3"/>
      <c r="U100" s="4"/>
      <c r="V100" s="4"/>
      <c r="W100" s="4"/>
      <c r="X100" s="4"/>
      <c r="Y100" s="4"/>
      <c r="Z100" s="11"/>
      <c r="AA100" s="15"/>
      <c r="AB100" s="15"/>
      <c r="AC100" s="15"/>
      <c r="AD100" s="16"/>
      <c r="AE100" s="16"/>
      <c r="AF100" s="16"/>
      <c r="AG100" s="16"/>
      <c r="AH100" s="16"/>
      <c r="AI100" s="16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16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</row>
    <row r="101" spans="1:96" ht="12" customHeight="1" x14ac:dyDescent="0.25">
      <c r="A101" s="3"/>
      <c r="B101" s="14"/>
      <c r="C101" s="14"/>
      <c r="D101" s="14"/>
      <c r="E101" s="14"/>
      <c r="F101" s="26"/>
      <c r="G101" s="26"/>
      <c r="H101" s="26"/>
      <c r="I101" s="10"/>
      <c r="J101" s="10"/>
      <c r="K101" s="14"/>
      <c r="L101" s="11"/>
      <c r="M101" s="14"/>
      <c r="N101" s="14"/>
      <c r="O101" s="4"/>
      <c r="P101" s="3"/>
      <c r="Q101" s="4"/>
      <c r="R101" s="3"/>
      <c r="S101" s="3"/>
      <c r="T101" s="3"/>
      <c r="U101" s="4"/>
      <c r="V101" s="4"/>
      <c r="W101" s="4"/>
      <c r="X101" s="4"/>
      <c r="Y101" s="4"/>
      <c r="Z101" s="11"/>
      <c r="AA101" s="15"/>
      <c r="AB101" s="15"/>
      <c r="AC101" s="15"/>
      <c r="AD101" s="16"/>
      <c r="AE101" s="16"/>
      <c r="AF101" s="16"/>
      <c r="AG101" s="16"/>
      <c r="AH101" s="16"/>
      <c r="AI101" s="16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16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</row>
    <row r="102" spans="1:96" ht="12" customHeight="1" x14ac:dyDescent="0.25">
      <c r="A102" s="3"/>
      <c r="B102" s="14"/>
      <c r="C102" s="14"/>
      <c r="D102" s="14"/>
      <c r="E102" s="14"/>
      <c r="F102" s="26"/>
      <c r="G102" s="26"/>
      <c r="H102" s="26"/>
      <c r="I102" s="10"/>
      <c r="J102" s="10"/>
      <c r="K102" s="14"/>
      <c r="L102" s="11"/>
      <c r="M102" s="14"/>
      <c r="N102" s="14"/>
      <c r="O102" s="4"/>
      <c r="P102" s="3"/>
      <c r="Q102" s="4"/>
      <c r="R102" s="3"/>
      <c r="S102" s="3"/>
      <c r="T102" s="3"/>
      <c r="U102" s="4"/>
      <c r="V102" s="4"/>
      <c r="W102" s="4"/>
      <c r="X102" s="4"/>
      <c r="Y102" s="4"/>
      <c r="Z102" s="11"/>
      <c r="AA102" s="15"/>
      <c r="AB102" s="15"/>
      <c r="AC102" s="15"/>
      <c r="AD102" s="16"/>
      <c r="AE102" s="16"/>
      <c r="AF102" s="16"/>
      <c r="AG102" s="16"/>
      <c r="AH102" s="16"/>
      <c r="AI102" s="16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16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</row>
    <row r="103" spans="1:96" ht="12" customHeight="1" x14ac:dyDescent="0.25">
      <c r="A103" s="3"/>
      <c r="B103" s="14"/>
      <c r="C103" s="14"/>
      <c r="D103" s="14"/>
      <c r="E103" s="14"/>
      <c r="F103" s="26"/>
      <c r="G103" s="26"/>
      <c r="H103" s="26"/>
      <c r="I103" s="10"/>
      <c r="J103" s="10"/>
      <c r="K103" s="14"/>
      <c r="L103" s="11"/>
      <c r="M103" s="14"/>
      <c r="N103" s="14"/>
      <c r="O103" s="4"/>
      <c r="P103" s="3"/>
      <c r="Q103" s="4"/>
      <c r="R103" s="3"/>
      <c r="S103" s="3"/>
      <c r="T103" s="3"/>
      <c r="U103" s="4"/>
      <c r="V103" s="4"/>
      <c r="W103" s="4"/>
      <c r="X103" s="4"/>
      <c r="Y103" s="4"/>
      <c r="Z103" s="11"/>
      <c r="AA103" s="15"/>
      <c r="AB103" s="15"/>
      <c r="AC103" s="15"/>
      <c r="AD103" s="16"/>
      <c r="AE103" s="16"/>
      <c r="AF103" s="16"/>
      <c r="AG103" s="16"/>
      <c r="AH103" s="16"/>
      <c r="AI103" s="16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16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</row>
    <row r="104" spans="1:96" ht="12" customHeight="1" x14ac:dyDescent="0.25">
      <c r="A104" s="3"/>
      <c r="B104" s="14"/>
      <c r="C104" s="14"/>
      <c r="D104" s="14"/>
      <c r="E104" s="14"/>
      <c r="F104" s="26"/>
      <c r="G104" s="26"/>
      <c r="H104" s="26"/>
      <c r="I104" s="10"/>
      <c r="J104" s="10"/>
      <c r="K104" s="14"/>
      <c r="L104" s="11"/>
      <c r="M104" s="14"/>
      <c r="N104" s="14"/>
      <c r="O104" s="4"/>
      <c r="P104" s="3"/>
      <c r="Q104" s="4"/>
      <c r="R104" s="3"/>
      <c r="S104" s="3"/>
      <c r="T104" s="3"/>
      <c r="U104" s="4"/>
      <c r="V104" s="4"/>
      <c r="W104" s="4"/>
      <c r="X104" s="4"/>
      <c r="Y104" s="4"/>
      <c r="Z104" s="11"/>
      <c r="AA104" s="15"/>
      <c r="AB104" s="15"/>
      <c r="AC104" s="15"/>
      <c r="AD104" s="16"/>
      <c r="AE104" s="16"/>
      <c r="AF104" s="16"/>
      <c r="AG104" s="16"/>
      <c r="AH104" s="16"/>
      <c r="AI104" s="16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16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</row>
    <row r="105" spans="1:96" ht="12" customHeight="1" x14ac:dyDescent="0.25">
      <c r="A105" s="3"/>
      <c r="B105" s="14"/>
      <c r="C105" s="14"/>
      <c r="D105" s="14"/>
      <c r="E105" s="14"/>
      <c r="F105" s="26"/>
      <c r="G105" s="26"/>
      <c r="H105" s="26"/>
      <c r="I105" s="10"/>
      <c r="J105" s="10"/>
      <c r="K105" s="14"/>
      <c r="L105" s="11"/>
      <c r="M105" s="14"/>
      <c r="N105" s="14"/>
      <c r="O105" s="4"/>
      <c r="P105" s="3"/>
      <c r="Q105" s="4"/>
      <c r="R105" s="3"/>
      <c r="S105" s="3"/>
      <c r="T105" s="3"/>
      <c r="U105" s="4"/>
      <c r="V105" s="4"/>
      <c r="W105" s="4"/>
      <c r="X105" s="4"/>
      <c r="Y105" s="4"/>
      <c r="Z105" s="11"/>
      <c r="AA105" s="15"/>
      <c r="AB105" s="15"/>
      <c r="AC105" s="15"/>
      <c r="AD105" s="16"/>
      <c r="AE105" s="16"/>
      <c r="AF105" s="16"/>
      <c r="AG105" s="16"/>
      <c r="AH105" s="16"/>
      <c r="AI105" s="16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16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</row>
    <row r="106" spans="1:96" ht="12" customHeight="1" x14ac:dyDescent="0.25">
      <c r="A106" s="3"/>
      <c r="B106" s="14"/>
      <c r="C106" s="14"/>
      <c r="D106" s="14"/>
      <c r="E106" s="14"/>
      <c r="F106" s="26"/>
      <c r="G106" s="26"/>
      <c r="H106" s="26"/>
      <c r="I106" s="10"/>
      <c r="J106" s="10"/>
      <c r="K106" s="14"/>
      <c r="L106" s="11"/>
      <c r="M106" s="14"/>
      <c r="N106" s="14"/>
      <c r="O106" s="4"/>
      <c r="P106" s="3"/>
      <c r="Q106" s="4"/>
      <c r="R106" s="3"/>
      <c r="S106" s="3"/>
      <c r="T106" s="3"/>
      <c r="U106" s="4"/>
      <c r="V106" s="4"/>
      <c r="W106" s="4"/>
      <c r="X106" s="4"/>
      <c r="Y106" s="4"/>
      <c r="Z106" s="11"/>
      <c r="AA106" s="15"/>
      <c r="AB106" s="15"/>
      <c r="AC106" s="15"/>
      <c r="AD106" s="16"/>
      <c r="AE106" s="16"/>
      <c r="AF106" s="16"/>
      <c r="AG106" s="16"/>
      <c r="AH106" s="16"/>
      <c r="AI106" s="16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16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</row>
    <row r="107" spans="1:96" ht="12" customHeight="1" x14ac:dyDescent="0.25">
      <c r="A107" s="3"/>
      <c r="B107" s="14"/>
      <c r="C107" s="14"/>
      <c r="D107" s="14"/>
      <c r="E107" s="14"/>
      <c r="F107" s="26"/>
      <c r="G107" s="26"/>
      <c r="H107" s="26"/>
      <c r="I107" s="10"/>
      <c r="J107" s="10"/>
      <c r="K107" s="14"/>
      <c r="L107" s="11"/>
      <c r="M107" s="14"/>
      <c r="N107" s="14"/>
      <c r="O107" s="4"/>
      <c r="P107" s="3"/>
      <c r="Q107" s="4"/>
      <c r="R107" s="3"/>
      <c r="S107" s="3"/>
      <c r="T107" s="3"/>
      <c r="U107" s="4"/>
      <c r="V107" s="4"/>
      <c r="W107" s="4"/>
      <c r="X107" s="4"/>
      <c r="Y107" s="4"/>
      <c r="Z107" s="11"/>
      <c r="AA107" s="15"/>
      <c r="AB107" s="15"/>
      <c r="AC107" s="15"/>
      <c r="AD107" s="16"/>
      <c r="AE107" s="16"/>
      <c r="AF107" s="16"/>
      <c r="AG107" s="16"/>
      <c r="AH107" s="16"/>
      <c r="AI107" s="16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16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</row>
    <row r="108" spans="1:96" ht="12" customHeight="1" x14ac:dyDescent="0.25">
      <c r="A108" s="3"/>
      <c r="B108" s="14"/>
      <c r="C108" s="14"/>
      <c r="D108" s="14"/>
      <c r="E108" s="14"/>
      <c r="F108" s="26"/>
      <c r="G108" s="26"/>
      <c r="H108" s="26"/>
      <c r="I108" s="10"/>
      <c r="J108" s="10"/>
      <c r="K108" s="14"/>
      <c r="L108" s="11"/>
      <c r="M108" s="14"/>
      <c r="N108" s="14"/>
      <c r="O108" s="4"/>
      <c r="P108" s="3"/>
      <c r="Q108" s="4"/>
      <c r="R108" s="3"/>
      <c r="S108" s="3"/>
      <c r="T108" s="3"/>
      <c r="U108" s="4"/>
      <c r="V108" s="4"/>
      <c r="W108" s="4"/>
      <c r="X108" s="4"/>
      <c r="Y108" s="4"/>
      <c r="Z108" s="11"/>
      <c r="AA108" s="15"/>
      <c r="AB108" s="15"/>
      <c r="AC108" s="15"/>
      <c r="AD108" s="16"/>
      <c r="AE108" s="16"/>
      <c r="AF108" s="16"/>
      <c r="AG108" s="16"/>
      <c r="AH108" s="16"/>
      <c r="AI108" s="16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16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</row>
    <row r="109" spans="1:96" ht="12" customHeight="1" x14ac:dyDescent="0.25">
      <c r="A109" s="3"/>
      <c r="B109" s="14"/>
      <c r="C109" s="14"/>
      <c r="D109" s="14"/>
      <c r="E109" s="14"/>
      <c r="F109" s="26"/>
      <c r="G109" s="26"/>
      <c r="H109" s="26"/>
      <c r="I109" s="10"/>
      <c r="J109" s="10"/>
      <c r="K109" s="14"/>
      <c r="L109" s="11"/>
      <c r="M109" s="14"/>
      <c r="N109" s="14"/>
      <c r="O109" s="4"/>
      <c r="P109" s="3"/>
      <c r="Q109" s="4"/>
      <c r="R109" s="3"/>
      <c r="S109" s="3"/>
      <c r="T109" s="3"/>
      <c r="U109" s="4"/>
      <c r="V109" s="4"/>
      <c r="W109" s="4"/>
      <c r="X109" s="4"/>
      <c r="Y109" s="4"/>
      <c r="Z109" s="11"/>
      <c r="AA109" s="15"/>
      <c r="AB109" s="15"/>
      <c r="AC109" s="15"/>
      <c r="AD109" s="16"/>
      <c r="AE109" s="16"/>
      <c r="AF109" s="16"/>
      <c r="AG109" s="16"/>
      <c r="AH109" s="16"/>
      <c r="AI109" s="16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16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</row>
    <row r="110" spans="1:96" ht="12" customHeight="1" x14ac:dyDescent="0.25">
      <c r="A110" s="3"/>
      <c r="B110" s="14"/>
      <c r="C110" s="14"/>
      <c r="D110" s="14"/>
      <c r="E110" s="14"/>
      <c r="F110" s="26"/>
      <c r="G110" s="26"/>
      <c r="H110" s="26"/>
      <c r="I110" s="10"/>
      <c r="J110" s="10"/>
      <c r="K110" s="14"/>
      <c r="L110" s="11"/>
      <c r="M110" s="14"/>
      <c r="N110" s="14"/>
      <c r="O110" s="4"/>
      <c r="P110" s="3"/>
      <c r="Q110" s="4"/>
      <c r="R110" s="3"/>
      <c r="S110" s="3"/>
      <c r="T110" s="3"/>
      <c r="U110" s="4"/>
      <c r="V110" s="4"/>
      <c r="W110" s="4"/>
      <c r="X110" s="4"/>
      <c r="Y110" s="4"/>
      <c r="Z110" s="11"/>
      <c r="AA110" s="15"/>
      <c r="AB110" s="15"/>
      <c r="AC110" s="15"/>
      <c r="AD110" s="16"/>
      <c r="AE110" s="16"/>
      <c r="AF110" s="16"/>
      <c r="AG110" s="16"/>
      <c r="AH110" s="16"/>
      <c r="AI110" s="16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16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</row>
    <row r="111" spans="1:96" ht="12" customHeight="1" x14ac:dyDescent="0.25">
      <c r="A111" s="3"/>
      <c r="B111" s="14"/>
      <c r="C111" s="14"/>
      <c r="D111" s="14"/>
      <c r="E111" s="14"/>
      <c r="F111" s="26"/>
      <c r="G111" s="26"/>
      <c r="H111" s="26"/>
      <c r="I111" s="10"/>
      <c r="J111" s="10"/>
      <c r="K111" s="14"/>
      <c r="L111" s="11"/>
      <c r="M111" s="14"/>
      <c r="N111" s="14"/>
      <c r="O111" s="4"/>
      <c r="P111" s="3"/>
      <c r="Q111" s="4"/>
      <c r="R111" s="3"/>
      <c r="S111" s="3"/>
      <c r="T111" s="3"/>
      <c r="U111" s="4"/>
      <c r="V111" s="4"/>
      <c r="W111" s="4"/>
      <c r="X111" s="4"/>
      <c r="Y111" s="4"/>
      <c r="Z111" s="11"/>
      <c r="AA111" s="15"/>
      <c r="AB111" s="15"/>
      <c r="AC111" s="15"/>
      <c r="AD111" s="16"/>
      <c r="AE111" s="16"/>
      <c r="AF111" s="16"/>
      <c r="AG111" s="16"/>
      <c r="AH111" s="16"/>
      <c r="AI111" s="16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16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</row>
    <row r="112" spans="1:96" ht="12" customHeight="1" x14ac:dyDescent="0.25">
      <c r="A112" s="3"/>
      <c r="B112" s="14"/>
      <c r="C112" s="14"/>
      <c r="D112" s="14"/>
      <c r="E112" s="14"/>
      <c r="F112" s="26"/>
      <c r="G112" s="26"/>
      <c r="H112" s="26"/>
      <c r="I112" s="10"/>
      <c r="J112" s="10"/>
      <c r="K112" s="14"/>
      <c r="L112" s="11"/>
      <c r="M112" s="14"/>
      <c r="N112" s="14"/>
      <c r="O112" s="4"/>
      <c r="P112" s="3"/>
      <c r="Q112" s="4"/>
      <c r="R112" s="3"/>
      <c r="S112" s="3"/>
      <c r="T112" s="3"/>
      <c r="U112" s="4"/>
      <c r="V112" s="4"/>
      <c r="W112" s="4"/>
      <c r="X112" s="4"/>
      <c r="Y112" s="4"/>
      <c r="Z112" s="11"/>
      <c r="AA112" s="15"/>
      <c r="AB112" s="15"/>
      <c r="AC112" s="15"/>
      <c r="AD112" s="16"/>
      <c r="AE112" s="16"/>
      <c r="AF112" s="16"/>
      <c r="AG112" s="16"/>
      <c r="AH112" s="16"/>
      <c r="AI112" s="16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16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</row>
    <row r="113" spans="1:96" ht="12" customHeight="1" x14ac:dyDescent="0.25">
      <c r="A113" s="3"/>
      <c r="B113" s="14"/>
      <c r="C113" s="14"/>
      <c r="D113" s="14"/>
      <c r="E113" s="14"/>
      <c r="F113" s="26"/>
      <c r="G113" s="26"/>
      <c r="H113" s="26"/>
      <c r="I113" s="10"/>
      <c r="J113" s="10"/>
      <c r="K113" s="14"/>
      <c r="L113" s="11"/>
      <c r="M113" s="14"/>
      <c r="N113" s="14"/>
      <c r="O113" s="4"/>
      <c r="P113" s="3"/>
      <c r="Q113" s="4"/>
      <c r="R113" s="3"/>
      <c r="S113" s="3"/>
      <c r="T113" s="3"/>
      <c r="U113" s="4"/>
      <c r="V113" s="4"/>
      <c r="W113" s="4"/>
      <c r="X113" s="4"/>
      <c r="Y113" s="4"/>
      <c r="Z113" s="11"/>
      <c r="AA113" s="15"/>
      <c r="AB113" s="15"/>
      <c r="AC113" s="15"/>
      <c r="AD113" s="16"/>
      <c r="AE113" s="16"/>
      <c r="AF113" s="16"/>
      <c r="AG113" s="16"/>
      <c r="AH113" s="16"/>
      <c r="AI113" s="16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16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</row>
    <row r="114" spans="1:96" ht="12" customHeight="1" x14ac:dyDescent="0.25">
      <c r="A114" s="3"/>
      <c r="B114" s="14"/>
      <c r="C114" s="14"/>
      <c r="D114" s="14"/>
      <c r="E114" s="14"/>
      <c r="F114" s="26"/>
      <c r="G114" s="26"/>
      <c r="H114" s="26"/>
      <c r="I114" s="10"/>
      <c r="J114" s="10"/>
      <c r="K114" s="14"/>
      <c r="L114" s="11"/>
      <c r="M114" s="14"/>
      <c r="N114" s="14"/>
      <c r="O114" s="4"/>
      <c r="P114" s="3"/>
      <c r="Q114" s="4"/>
      <c r="R114" s="3"/>
      <c r="S114" s="3"/>
      <c r="T114" s="3"/>
      <c r="U114" s="4"/>
      <c r="V114" s="4"/>
      <c r="W114" s="4"/>
      <c r="X114" s="4"/>
      <c r="Y114" s="4"/>
      <c r="Z114" s="11"/>
      <c r="AA114" s="15"/>
      <c r="AB114" s="15"/>
      <c r="AC114" s="15"/>
      <c r="AD114" s="16"/>
      <c r="AE114" s="16"/>
      <c r="AF114" s="16"/>
      <c r="AG114" s="16"/>
      <c r="AH114" s="16"/>
      <c r="AI114" s="16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16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</row>
    <row r="115" spans="1:96" ht="12" customHeight="1" x14ac:dyDescent="0.25">
      <c r="A115" s="3"/>
      <c r="B115" s="14"/>
      <c r="C115" s="14"/>
      <c r="D115" s="14"/>
      <c r="E115" s="14"/>
      <c r="F115" s="26"/>
      <c r="G115" s="26"/>
      <c r="H115" s="26"/>
      <c r="I115" s="10"/>
      <c r="J115" s="10"/>
      <c r="K115" s="14"/>
      <c r="L115" s="11"/>
      <c r="M115" s="14"/>
      <c r="N115" s="14"/>
      <c r="O115" s="4"/>
      <c r="P115" s="3"/>
      <c r="Q115" s="4"/>
      <c r="R115" s="3"/>
      <c r="S115" s="3"/>
      <c r="T115" s="3"/>
      <c r="U115" s="4"/>
      <c r="V115" s="4"/>
      <c r="W115" s="4"/>
      <c r="X115" s="4"/>
      <c r="Y115" s="4"/>
      <c r="Z115" s="11"/>
      <c r="AA115" s="15"/>
      <c r="AB115" s="15"/>
      <c r="AC115" s="15"/>
      <c r="AD115" s="16"/>
      <c r="AE115" s="16"/>
      <c r="AF115" s="16"/>
      <c r="AG115" s="16"/>
      <c r="AH115" s="16"/>
      <c r="AI115" s="16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16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</row>
    <row r="116" spans="1:96" ht="12" customHeight="1" x14ac:dyDescent="0.25">
      <c r="A116" s="3"/>
      <c r="B116" s="14"/>
      <c r="C116" s="14"/>
      <c r="D116" s="14"/>
      <c r="E116" s="14"/>
      <c r="F116" s="26"/>
      <c r="G116" s="26"/>
      <c r="H116" s="26"/>
      <c r="I116" s="10"/>
      <c r="J116" s="10"/>
      <c r="K116" s="14"/>
      <c r="L116" s="11"/>
      <c r="M116" s="14"/>
      <c r="N116" s="14"/>
      <c r="O116" s="4"/>
      <c r="P116" s="3"/>
      <c r="Q116" s="4"/>
      <c r="R116" s="3"/>
      <c r="S116" s="3"/>
      <c r="T116" s="3"/>
      <c r="U116" s="4"/>
      <c r="V116" s="4"/>
      <c r="W116" s="4"/>
      <c r="X116" s="4"/>
      <c r="Y116" s="4"/>
      <c r="Z116" s="11"/>
      <c r="AA116" s="15"/>
      <c r="AB116" s="15"/>
      <c r="AC116" s="15"/>
      <c r="AD116" s="16"/>
      <c r="AE116" s="16"/>
      <c r="AF116" s="16"/>
      <c r="AG116" s="16"/>
      <c r="AH116" s="16"/>
      <c r="AI116" s="16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16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</row>
    <row r="117" spans="1:96" ht="12" customHeight="1" x14ac:dyDescent="0.25">
      <c r="A117" s="3"/>
      <c r="B117" s="14"/>
      <c r="C117" s="14"/>
      <c r="D117" s="14"/>
      <c r="E117" s="14"/>
      <c r="F117" s="26"/>
      <c r="G117" s="26"/>
      <c r="H117" s="26"/>
      <c r="I117" s="10"/>
      <c r="J117" s="10"/>
      <c r="K117" s="14"/>
      <c r="L117" s="11"/>
      <c r="M117" s="14"/>
      <c r="N117" s="14"/>
      <c r="O117" s="4"/>
      <c r="P117" s="3"/>
      <c r="Q117" s="4"/>
      <c r="R117" s="3"/>
      <c r="S117" s="3"/>
      <c r="T117" s="3"/>
      <c r="U117" s="4"/>
      <c r="V117" s="4"/>
      <c r="W117" s="4"/>
      <c r="X117" s="4"/>
      <c r="Y117" s="4"/>
      <c r="Z117" s="11"/>
      <c r="AA117" s="15"/>
      <c r="AB117" s="15"/>
      <c r="AC117" s="15"/>
      <c r="AD117" s="16"/>
      <c r="AE117" s="16"/>
      <c r="AF117" s="16"/>
      <c r="AG117" s="16"/>
      <c r="AH117" s="16"/>
      <c r="AI117" s="16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16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</row>
    <row r="118" spans="1:96" ht="12" customHeight="1" x14ac:dyDescent="0.25">
      <c r="A118" s="3"/>
      <c r="B118" s="14"/>
      <c r="C118" s="14"/>
      <c r="D118" s="14"/>
      <c r="E118" s="14"/>
      <c r="F118" s="26"/>
      <c r="G118" s="26"/>
      <c r="H118" s="26"/>
      <c r="I118" s="10"/>
      <c r="J118" s="10"/>
      <c r="K118" s="14"/>
      <c r="L118" s="11"/>
      <c r="M118" s="14"/>
      <c r="N118" s="14"/>
      <c r="O118" s="4"/>
      <c r="P118" s="3"/>
      <c r="Q118" s="4"/>
      <c r="R118" s="3"/>
      <c r="S118" s="3"/>
      <c r="T118" s="3"/>
      <c r="U118" s="4"/>
      <c r="V118" s="4"/>
      <c r="W118" s="4"/>
      <c r="X118" s="4"/>
      <c r="Y118" s="4"/>
      <c r="Z118" s="11"/>
      <c r="AA118" s="15"/>
      <c r="AB118" s="15"/>
      <c r="AC118" s="15"/>
      <c r="AD118" s="16"/>
      <c r="AE118" s="16"/>
      <c r="AF118" s="16"/>
      <c r="AG118" s="16"/>
      <c r="AH118" s="16"/>
      <c r="AI118" s="16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16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</row>
    <row r="119" spans="1:96" ht="12" customHeight="1" x14ac:dyDescent="0.25">
      <c r="A119" s="3"/>
      <c r="B119" s="14"/>
      <c r="C119" s="14"/>
      <c r="D119" s="14"/>
      <c r="E119" s="14"/>
      <c r="F119" s="26"/>
      <c r="G119" s="26"/>
      <c r="H119" s="26"/>
      <c r="I119" s="10"/>
      <c r="J119" s="10"/>
      <c r="K119" s="14"/>
      <c r="L119" s="11"/>
      <c r="M119" s="14"/>
      <c r="N119" s="14"/>
      <c r="O119" s="4"/>
      <c r="P119" s="3"/>
      <c r="Q119" s="4"/>
      <c r="R119" s="3"/>
      <c r="S119" s="3"/>
      <c r="T119" s="3"/>
      <c r="U119" s="4"/>
      <c r="V119" s="4"/>
      <c r="W119" s="4"/>
      <c r="X119" s="4"/>
      <c r="Y119" s="4"/>
      <c r="Z119" s="11"/>
      <c r="AA119" s="15"/>
      <c r="AB119" s="15"/>
      <c r="AC119" s="15"/>
      <c r="AD119" s="16"/>
      <c r="AE119" s="16"/>
      <c r="AF119" s="16"/>
      <c r="AG119" s="16"/>
      <c r="AH119" s="16"/>
      <c r="AI119" s="16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16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</row>
    <row r="120" spans="1:96" ht="12" customHeight="1" x14ac:dyDescent="0.25">
      <c r="A120" s="3"/>
      <c r="B120" s="14"/>
      <c r="C120" s="14"/>
      <c r="D120" s="14"/>
      <c r="E120" s="14"/>
      <c r="F120" s="26"/>
      <c r="G120" s="26"/>
      <c r="H120" s="26"/>
      <c r="I120" s="10"/>
      <c r="J120" s="10"/>
      <c r="K120" s="14"/>
      <c r="L120" s="11"/>
      <c r="M120" s="14"/>
      <c r="N120" s="14"/>
      <c r="O120" s="4"/>
      <c r="P120" s="3"/>
      <c r="Q120" s="4"/>
      <c r="R120" s="3"/>
      <c r="S120" s="3"/>
      <c r="T120" s="3"/>
      <c r="U120" s="4"/>
      <c r="V120" s="4"/>
      <c r="W120" s="4"/>
      <c r="X120" s="4"/>
      <c r="Y120" s="4"/>
      <c r="Z120" s="11"/>
      <c r="AA120" s="15"/>
      <c r="AB120" s="15"/>
      <c r="AC120" s="15"/>
      <c r="AD120" s="16"/>
      <c r="AE120" s="16"/>
      <c r="AF120" s="16"/>
      <c r="AG120" s="16"/>
      <c r="AH120" s="16"/>
      <c r="AI120" s="16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16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</row>
    <row r="121" spans="1:96" ht="12" customHeight="1" x14ac:dyDescent="0.25">
      <c r="A121" s="3"/>
      <c r="B121" s="14"/>
      <c r="C121" s="14"/>
      <c r="D121" s="14"/>
      <c r="E121" s="14"/>
      <c r="F121" s="26"/>
      <c r="G121" s="26"/>
      <c r="H121" s="26"/>
      <c r="I121" s="10"/>
      <c r="J121" s="10"/>
      <c r="K121" s="14"/>
      <c r="L121" s="11"/>
      <c r="M121" s="14"/>
      <c r="N121" s="14"/>
      <c r="O121" s="4"/>
      <c r="P121" s="3"/>
      <c r="Q121" s="4"/>
      <c r="R121" s="3"/>
      <c r="S121" s="3"/>
      <c r="T121" s="3"/>
      <c r="U121" s="4"/>
      <c r="V121" s="4"/>
      <c r="W121" s="4"/>
      <c r="X121" s="4"/>
      <c r="Y121" s="4"/>
      <c r="Z121" s="11"/>
      <c r="AA121" s="15"/>
      <c r="AB121" s="15"/>
      <c r="AC121" s="15"/>
      <c r="AD121" s="16"/>
      <c r="AE121" s="16"/>
      <c r="AF121" s="16"/>
      <c r="AG121" s="16"/>
      <c r="AH121" s="16"/>
      <c r="AI121" s="16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16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</row>
    <row r="122" spans="1:96" ht="12" customHeight="1" x14ac:dyDescent="0.25">
      <c r="A122" s="3"/>
      <c r="B122" s="14"/>
      <c r="C122" s="14"/>
      <c r="D122" s="14"/>
      <c r="E122" s="14"/>
      <c r="F122" s="26"/>
      <c r="G122" s="26"/>
      <c r="H122" s="26"/>
      <c r="I122" s="10"/>
      <c r="J122" s="10"/>
      <c r="K122" s="14"/>
      <c r="L122" s="11"/>
      <c r="M122" s="14"/>
      <c r="N122" s="14"/>
      <c r="O122" s="4"/>
      <c r="P122" s="3"/>
      <c r="Q122" s="4"/>
      <c r="R122" s="3"/>
      <c r="S122" s="3"/>
      <c r="T122" s="3"/>
      <c r="U122" s="4"/>
      <c r="V122" s="4"/>
      <c r="W122" s="4"/>
      <c r="X122" s="4"/>
      <c r="Y122" s="4"/>
      <c r="Z122" s="11"/>
      <c r="AA122" s="15"/>
      <c r="AB122" s="15"/>
      <c r="AC122" s="15"/>
      <c r="AD122" s="16"/>
      <c r="AE122" s="16"/>
      <c r="AF122" s="16"/>
      <c r="AG122" s="16"/>
      <c r="AH122" s="16"/>
      <c r="AI122" s="16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16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</row>
    <row r="123" spans="1:96" ht="12" customHeight="1" x14ac:dyDescent="0.25">
      <c r="A123" s="3"/>
      <c r="B123" s="14"/>
      <c r="C123" s="14"/>
      <c r="D123" s="14"/>
      <c r="E123" s="14"/>
      <c r="F123" s="26"/>
      <c r="G123" s="26"/>
      <c r="H123" s="26"/>
      <c r="I123" s="10"/>
      <c r="J123" s="10"/>
      <c r="K123" s="14"/>
      <c r="L123" s="11"/>
      <c r="M123" s="14"/>
      <c r="N123" s="14"/>
      <c r="O123" s="4"/>
      <c r="P123" s="3"/>
      <c r="Q123" s="4"/>
      <c r="R123" s="3"/>
      <c r="S123" s="3"/>
      <c r="T123" s="3"/>
      <c r="U123" s="4"/>
      <c r="V123" s="4"/>
      <c r="W123" s="4"/>
      <c r="X123" s="4"/>
      <c r="Y123" s="4"/>
      <c r="Z123" s="11"/>
      <c r="AA123" s="15"/>
      <c r="AB123" s="15"/>
      <c r="AC123" s="15"/>
      <c r="AD123" s="16"/>
      <c r="AE123" s="16"/>
      <c r="AF123" s="16"/>
      <c r="AG123" s="16"/>
      <c r="AH123" s="16"/>
      <c r="AI123" s="16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16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</row>
    <row r="124" spans="1:96" ht="12" customHeight="1" x14ac:dyDescent="0.25">
      <c r="A124" s="3"/>
      <c r="B124" s="14"/>
      <c r="C124" s="14"/>
      <c r="D124" s="14"/>
      <c r="E124" s="14"/>
      <c r="F124" s="26"/>
      <c r="G124" s="26"/>
      <c r="H124" s="26"/>
      <c r="I124" s="10"/>
      <c r="J124" s="10"/>
      <c r="K124" s="14"/>
      <c r="L124" s="11"/>
      <c r="M124" s="14"/>
      <c r="N124" s="14"/>
      <c r="O124" s="4"/>
      <c r="P124" s="3"/>
      <c r="Q124" s="4"/>
      <c r="R124" s="3"/>
      <c r="S124" s="3"/>
      <c r="T124" s="3"/>
      <c r="U124" s="4"/>
      <c r="V124" s="4"/>
      <c r="W124" s="4"/>
      <c r="X124" s="4"/>
      <c r="Y124" s="4"/>
      <c r="Z124" s="11"/>
      <c r="AA124" s="15"/>
      <c r="AB124" s="15"/>
      <c r="AC124" s="15"/>
      <c r="AD124" s="16"/>
      <c r="AE124" s="16"/>
      <c r="AF124" s="16"/>
      <c r="AG124" s="16"/>
      <c r="AH124" s="16"/>
      <c r="AI124" s="16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16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</row>
    <row r="125" spans="1:96" ht="12" customHeight="1" x14ac:dyDescent="0.25">
      <c r="A125" s="3"/>
      <c r="B125" s="14"/>
      <c r="C125" s="14"/>
      <c r="D125" s="14"/>
      <c r="E125" s="14"/>
      <c r="F125" s="26"/>
      <c r="G125" s="26"/>
      <c r="H125" s="26"/>
      <c r="I125" s="10"/>
      <c r="J125" s="10"/>
      <c r="K125" s="14"/>
      <c r="L125" s="11"/>
      <c r="M125" s="14"/>
      <c r="N125" s="14"/>
      <c r="O125" s="4"/>
      <c r="P125" s="3"/>
      <c r="Q125" s="4"/>
      <c r="R125" s="3"/>
      <c r="S125" s="3"/>
      <c r="T125" s="3"/>
      <c r="U125" s="4"/>
      <c r="V125" s="4"/>
      <c r="W125" s="4"/>
      <c r="X125" s="4"/>
      <c r="Y125" s="4"/>
      <c r="Z125" s="11"/>
      <c r="AA125" s="15"/>
      <c r="AB125" s="15"/>
      <c r="AC125" s="15"/>
      <c r="AD125" s="16"/>
      <c r="AE125" s="16"/>
      <c r="AF125" s="16"/>
      <c r="AG125" s="16"/>
      <c r="AH125" s="16"/>
      <c r="AI125" s="16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16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</row>
    <row r="126" spans="1:96" ht="12" customHeight="1" x14ac:dyDescent="0.25">
      <c r="A126" s="3"/>
      <c r="B126" s="14"/>
      <c r="C126" s="14"/>
      <c r="D126" s="14"/>
      <c r="E126" s="14"/>
      <c r="F126" s="26"/>
      <c r="G126" s="26"/>
      <c r="H126" s="26"/>
      <c r="I126" s="10"/>
      <c r="J126" s="10"/>
      <c r="K126" s="14"/>
      <c r="L126" s="11"/>
      <c r="M126" s="14"/>
      <c r="N126" s="14"/>
      <c r="O126" s="4"/>
      <c r="P126" s="3"/>
      <c r="Q126" s="4"/>
      <c r="R126" s="3"/>
      <c r="S126" s="3"/>
      <c r="T126" s="3"/>
      <c r="U126" s="4"/>
      <c r="V126" s="4"/>
      <c r="W126" s="4"/>
      <c r="X126" s="4"/>
      <c r="Y126" s="4"/>
      <c r="Z126" s="11"/>
      <c r="AA126" s="15"/>
      <c r="AB126" s="15"/>
      <c r="AC126" s="15"/>
      <c r="AD126" s="16"/>
      <c r="AE126" s="16"/>
      <c r="AF126" s="16"/>
      <c r="AG126" s="16"/>
      <c r="AH126" s="16"/>
      <c r="AI126" s="16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16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</row>
    <row r="127" spans="1:96" ht="12" customHeight="1" x14ac:dyDescent="0.25">
      <c r="A127" s="3"/>
      <c r="B127" s="14"/>
      <c r="C127" s="14"/>
      <c r="D127" s="14"/>
      <c r="E127" s="14"/>
      <c r="F127" s="26"/>
      <c r="G127" s="26"/>
      <c r="H127" s="26"/>
      <c r="I127" s="10"/>
      <c r="J127" s="10"/>
      <c r="K127" s="14"/>
      <c r="L127" s="11"/>
      <c r="M127" s="14"/>
      <c r="N127" s="14"/>
      <c r="O127" s="4"/>
      <c r="P127" s="3"/>
      <c r="Q127" s="4"/>
      <c r="R127" s="3"/>
      <c r="S127" s="3"/>
      <c r="T127" s="3"/>
      <c r="U127" s="4"/>
      <c r="V127" s="4"/>
      <c r="W127" s="4"/>
      <c r="X127" s="4"/>
      <c r="Y127" s="4"/>
      <c r="Z127" s="11"/>
      <c r="AA127" s="15"/>
      <c r="AB127" s="15"/>
      <c r="AC127" s="15"/>
      <c r="AD127" s="16"/>
      <c r="AE127" s="16"/>
      <c r="AF127" s="16"/>
      <c r="AG127" s="16"/>
      <c r="AH127" s="16"/>
      <c r="AI127" s="16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16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</row>
    <row r="128" spans="1:96" ht="12" customHeight="1" x14ac:dyDescent="0.25">
      <c r="A128" s="3"/>
      <c r="B128" s="14"/>
      <c r="C128" s="14"/>
      <c r="D128" s="14"/>
      <c r="E128" s="14"/>
      <c r="F128" s="26"/>
      <c r="G128" s="26"/>
      <c r="H128" s="26"/>
      <c r="I128" s="10"/>
      <c r="J128" s="10"/>
      <c r="K128" s="14"/>
      <c r="L128" s="11"/>
      <c r="M128" s="14"/>
      <c r="N128" s="14"/>
      <c r="O128" s="4"/>
      <c r="P128" s="3"/>
      <c r="Q128" s="4"/>
      <c r="R128" s="3"/>
      <c r="S128" s="3"/>
      <c r="T128" s="3"/>
      <c r="U128" s="4"/>
      <c r="V128" s="4"/>
      <c r="W128" s="4"/>
      <c r="X128" s="4"/>
      <c r="Y128" s="4"/>
      <c r="Z128" s="11"/>
      <c r="AA128" s="15"/>
      <c r="AB128" s="15"/>
      <c r="AC128" s="15"/>
      <c r="AD128" s="16"/>
      <c r="AE128" s="16"/>
      <c r="AF128" s="16"/>
      <c r="AG128" s="16"/>
      <c r="AH128" s="16"/>
      <c r="AI128" s="16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16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</row>
    <row r="129" spans="1:96" ht="12" customHeight="1" x14ac:dyDescent="0.25">
      <c r="A129" s="3"/>
      <c r="B129" s="14"/>
      <c r="C129" s="14"/>
      <c r="D129" s="14"/>
      <c r="E129" s="14"/>
      <c r="F129" s="26"/>
      <c r="G129" s="26"/>
      <c r="H129" s="26"/>
      <c r="I129" s="10"/>
      <c r="J129" s="10"/>
      <c r="K129" s="14"/>
      <c r="L129" s="11"/>
      <c r="M129" s="14"/>
      <c r="N129" s="14"/>
      <c r="O129" s="4"/>
      <c r="P129" s="3"/>
      <c r="Q129" s="4"/>
      <c r="R129" s="3"/>
      <c r="S129" s="3"/>
      <c r="T129" s="3"/>
      <c r="U129" s="4"/>
      <c r="V129" s="4"/>
      <c r="W129" s="4"/>
      <c r="X129" s="4"/>
      <c r="Y129" s="4"/>
      <c r="Z129" s="11"/>
      <c r="AA129" s="15"/>
      <c r="AB129" s="15"/>
      <c r="AC129" s="15"/>
      <c r="AD129" s="16"/>
      <c r="AE129" s="16"/>
      <c r="AF129" s="16"/>
      <c r="AG129" s="16"/>
      <c r="AH129" s="16"/>
      <c r="AI129" s="16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16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</row>
    <row r="130" spans="1:96" ht="12" customHeight="1" x14ac:dyDescent="0.25">
      <c r="A130" s="3"/>
      <c r="B130" s="14"/>
      <c r="C130" s="14"/>
      <c r="D130" s="14"/>
      <c r="E130" s="14"/>
      <c r="F130" s="26"/>
      <c r="G130" s="26"/>
      <c r="H130" s="26"/>
      <c r="I130" s="10"/>
      <c r="J130" s="10"/>
      <c r="K130" s="14"/>
      <c r="L130" s="11"/>
      <c r="M130" s="14"/>
      <c r="N130" s="14"/>
      <c r="O130" s="4"/>
      <c r="P130" s="3"/>
      <c r="Q130" s="4"/>
      <c r="R130" s="3"/>
      <c r="S130" s="3"/>
      <c r="T130" s="3"/>
      <c r="U130" s="4"/>
      <c r="V130" s="4"/>
      <c r="W130" s="4"/>
      <c r="X130" s="4"/>
      <c r="Y130" s="4"/>
      <c r="Z130" s="11"/>
      <c r="AA130" s="15"/>
      <c r="AB130" s="15"/>
      <c r="AC130" s="15"/>
      <c r="AD130" s="16"/>
      <c r="AE130" s="16"/>
      <c r="AF130" s="16"/>
      <c r="AG130" s="16"/>
      <c r="AH130" s="16"/>
      <c r="AI130" s="16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16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</row>
    <row r="131" spans="1:96" ht="12" customHeight="1" x14ac:dyDescent="0.25">
      <c r="A131" s="3"/>
      <c r="B131" s="14"/>
      <c r="C131" s="14"/>
      <c r="D131" s="14"/>
      <c r="E131" s="14"/>
      <c r="F131" s="26"/>
      <c r="G131" s="26"/>
      <c r="H131" s="26"/>
      <c r="I131" s="10"/>
      <c r="J131" s="10"/>
      <c r="K131" s="14"/>
      <c r="L131" s="11"/>
      <c r="M131" s="14"/>
      <c r="N131" s="14"/>
      <c r="O131" s="4"/>
      <c r="P131" s="3"/>
      <c r="Q131" s="4"/>
      <c r="R131" s="3"/>
      <c r="S131" s="3"/>
      <c r="T131" s="3"/>
      <c r="U131" s="4"/>
      <c r="V131" s="4"/>
      <c r="W131" s="4"/>
      <c r="X131" s="4"/>
      <c r="Y131" s="4"/>
      <c r="Z131" s="11"/>
      <c r="AA131" s="15"/>
      <c r="AB131" s="15"/>
      <c r="AC131" s="15"/>
      <c r="AD131" s="16"/>
      <c r="AE131" s="16"/>
      <c r="AF131" s="16"/>
      <c r="AG131" s="16"/>
      <c r="AH131" s="16"/>
      <c r="AI131" s="16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16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</row>
    <row r="132" spans="1:96" ht="12" customHeight="1" x14ac:dyDescent="0.25">
      <c r="A132" s="3"/>
      <c r="B132" s="14"/>
      <c r="C132" s="14"/>
      <c r="D132" s="14"/>
      <c r="E132" s="14"/>
      <c r="F132" s="26"/>
      <c r="G132" s="26"/>
      <c r="H132" s="26"/>
      <c r="I132" s="10"/>
      <c r="J132" s="10"/>
      <c r="K132" s="14"/>
      <c r="L132" s="11"/>
      <c r="M132" s="14"/>
      <c r="N132" s="14"/>
      <c r="O132" s="4"/>
      <c r="P132" s="3"/>
      <c r="Q132" s="4"/>
      <c r="R132" s="3"/>
      <c r="S132" s="3"/>
      <c r="T132" s="3"/>
      <c r="U132" s="4"/>
      <c r="V132" s="4"/>
      <c r="W132" s="4"/>
      <c r="X132" s="4"/>
      <c r="Y132" s="4"/>
      <c r="Z132" s="11"/>
      <c r="AA132" s="15"/>
      <c r="AB132" s="15"/>
      <c r="AC132" s="15"/>
      <c r="AD132" s="16"/>
      <c r="AE132" s="16"/>
      <c r="AF132" s="16"/>
      <c r="AG132" s="16"/>
      <c r="AH132" s="16"/>
      <c r="AI132" s="16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16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</row>
    <row r="133" spans="1:96" ht="12" customHeight="1" x14ac:dyDescent="0.25">
      <c r="A133" s="3"/>
      <c r="B133" s="14"/>
      <c r="C133" s="14"/>
      <c r="D133" s="14"/>
      <c r="E133" s="14"/>
      <c r="F133" s="26"/>
      <c r="G133" s="26"/>
      <c r="H133" s="26"/>
      <c r="I133" s="10"/>
      <c r="J133" s="10"/>
      <c r="K133" s="14"/>
      <c r="L133" s="11"/>
      <c r="M133" s="14"/>
      <c r="N133" s="14"/>
      <c r="O133" s="4"/>
      <c r="P133" s="3"/>
      <c r="Q133" s="4"/>
      <c r="R133" s="3"/>
      <c r="S133" s="3"/>
      <c r="T133" s="3"/>
      <c r="U133" s="4"/>
      <c r="V133" s="4"/>
      <c r="W133" s="4"/>
      <c r="X133" s="4"/>
      <c r="Y133" s="4"/>
      <c r="Z133" s="11"/>
      <c r="AA133" s="15"/>
      <c r="AB133" s="15"/>
      <c r="AC133" s="15"/>
      <c r="AD133" s="16"/>
      <c r="AE133" s="16"/>
      <c r="AF133" s="16"/>
      <c r="AG133" s="16"/>
      <c r="AH133" s="16"/>
      <c r="AI133" s="16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16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</row>
    <row r="134" spans="1:96" ht="12" customHeight="1" x14ac:dyDescent="0.25">
      <c r="A134" s="3"/>
      <c r="B134" s="14"/>
      <c r="C134" s="14"/>
      <c r="D134" s="14"/>
      <c r="E134" s="14"/>
      <c r="F134" s="26"/>
      <c r="G134" s="26"/>
      <c r="H134" s="26"/>
      <c r="I134" s="10"/>
      <c r="J134" s="10"/>
      <c r="K134" s="14"/>
      <c r="L134" s="11"/>
      <c r="M134" s="14"/>
      <c r="N134" s="14"/>
      <c r="O134" s="4"/>
      <c r="P134" s="3"/>
      <c r="Q134" s="4"/>
      <c r="R134" s="3"/>
      <c r="S134" s="3"/>
      <c r="T134" s="3"/>
      <c r="U134" s="4"/>
      <c r="V134" s="4"/>
      <c r="W134" s="4"/>
      <c r="X134" s="4"/>
      <c r="Y134" s="4"/>
      <c r="Z134" s="11"/>
      <c r="AA134" s="15"/>
      <c r="AB134" s="15"/>
      <c r="AC134" s="15"/>
      <c r="AD134" s="16"/>
      <c r="AE134" s="16"/>
      <c r="AF134" s="16"/>
      <c r="AG134" s="16"/>
      <c r="AH134" s="16"/>
      <c r="AI134" s="16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16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</row>
    <row r="135" spans="1:96" ht="12" customHeight="1" x14ac:dyDescent="0.25">
      <c r="A135" s="3"/>
      <c r="B135" s="14"/>
      <c r="C135" s="14"/>
      <c r="D135" s="14"/>
      <c r="E135" s="14"/>
      <c r="F135" s="26"/>
      <c r="G135" s="26"/>
      <c r="H135" s="26"/>
      <c r="I135" s="10"/>
      <c r="J135" s="10"/>
      <c r="K135" s="14"/>
      <c r="L135" s="11"/>
      <c r="M135" s="14"/>
      <c r="N135" s="14"/>
      <c r="O135" s="4"/>
      <c r="P135" s="3"/>
      <c r="Q135" s="4"/>
      <c r="R135" s="3"/>
      <c r="S135" s="3"/>
      <c r="T135" s="3"/>
      <c r="U135" s="4"/>
      <c r="V135" s="4"/>
      <c r="W135" s="4"/>
      <c r="X135" s="4"/>
      <c r="Y135" s="4"/>
      <c r="Z135" s="11"/>
      <c r="AA135" s="15"/>
      <c r="AB135" s="15"/>
      <c r="AC135" s="15"/>
      <c r="AD135" s="16"/>
      <c r="AE135" s="16"/>
      <c r="AF135" s="16"/>
      <c r="AG135" s="16"/>
      <c r="AH135" s="16"/>
      <c r="AI135" s="16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16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</row>
    <row r="136" spans="1:96" ht="12" customHeight="1" x14ac:dyDescent="0.25">
      <c r="A136" s="3"/>
      <c r="B136" s="14"/>
      <c r="C136" s="14"/>
      <c r="D136" s="14"/>
      <c r="E136" s="14"/>
      <c r="F136" s="26"/>
      <c r="G136" s="26"/>
      <c r="H136" s="26"/>
      <c r="I136" s="10"/>
      <c r="J136" s="10"/>
      <c r="K136" s="14"/>
      <c r="L136" s="11"/>
      <c r="M136" s="14"/>
      <c r="N136" s="14"/>
      <c r="O136" s="4"/>
      <c r="P136" s="3"/>
      <c r="Q136" s="4"/>
      <c r="R136" s="3"/>
      <c r="S136" s="3"/>
      <c r="T136" s="3"/>
      <c r="U136" s="4"/>
      <c r="V136" s="4"/>
      <c r="W136" s="4"/>
      <c r="X136" s="4"/>
      <c r="Y136" s="4"/>
      <c r="Z136" s="11"/>
      <c r="AA136" s="15"/>
      <c r="AB136" s="15"/>
      <c r="AC136" s="15"/>
      <c r="AD136" s="16"/>
      <c r="AE136" s="16"/>
      <c r="AF136" s="16"/>
      <c r="AG136" s="16"/>
      <c r="AH136" s="16"/>
      <c r="AI136" s="16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16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</row>
    <row r="137" spans="1:96" ht="12" customHeight="1" x14ac:dyDescent="0.25">
      <c r="A137" s="3"/>
      <c r="B137" s="14"/>
      <c r="C137" s="14"/>
      <c r="D137" s="14"/>
      <c r="E137" s="14"/>
      <c r="F137" s="26"/>
      <c r="G137" s="26"/>
      <c r="H137" s="26"/>
      <c r="I137" s="10"/>
      <c r="J137" s="10"/>
      <c r="K137" s="14"/>
      <c r="L137" s="11"/>
      <c r="M137" s="14"/>
      <c r="N137" s="14"/>
      <c r="O137" s="4"/>
      <c r="P137" s="3"/>
      <c r="Q137" s="4"/>
      <c r="R137" s="3"/>
      <c r="S137" s="3"/>
      <c r="T137" s="3"/>
      <c r="U137" s="4"/>
      <c r="V137" s="4"/>
      <c r="W137" s="4"/>
      <c r="X137" s="4"/>
      <c r="Y137" s="4"/>
      <c r="Z137" s="11"/>
      <c r="AA137" s="15"/>
      <c r="AB137" s="15"/>
      <c r="AC137" s="15"/>
      <c r="AD137" s="16"/>
      <c r="AE137" s="16"/>
      <c r="AF137" s="16"/>
      <c r="AG137" s="16"/>
      <c r="AH137" s="16"/>
      <c r="AI137" s="16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16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</row>
    <row r="138" spans="1:96" ht="12" customHeight="1" x14ac:dyDescent="0.25">
      <c r="A138" s="3"/>
      <c r="B138" s="14"/>
      <c r="C138" s="14"/>
      <c r="D138" s="14"/>
      <c r="E138" s="14"/>
      <c r="F138" s="26"/>
      <c r="G138" s="26"/>
      <c r="H138" s="26"/>
      <c r="I138" s="10"/>
      <c r="J138" s="10"/>
      <c r="K138" s="14"/>
      <c r="L138" s="11"/>
      <c r="M138" s="14"/>
      <c r="N138" s="14"/>
      <c r="O138" s="4"/>
      <c r="P138" s="3"/>
      <c r="Q138" s="4"/>
      <c r="R138" s="3"/>
      <c r="S138" s="3"/>
      <c r="T138" s="3"/>
      <c r="U138" s="4"/>
      <c r="V138" s="4"/>
      <c r="W138" s="4"/>
      <c r="X138" s="4"/>
      <c r="Y138" s="4"/>
      <c r="Z138" s="11"/>
      <c r="AA138" s="15"/>
      <c r="AB138" s="15"/>
      <c r="AC138" s="15"/>
      <c r="AD138" s="16"/>
      <c r="AE138" s="16"/>
      <c r="AF138" s="16"/>
      <c r="AG138" s="16"/>
      <c r="AH138" s="16"/>
      <c r="AI138" s="16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16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</row>
    <row r="139" spans="1:96" ht="12" customHeight="1" x14ac:dyDescent="0.25">
      <c r="A139" s="3"/>
      <c r="B139" s="14"/>
      <c r="C139" s="14"/>
      <c r="D139" s="14"/>
      <c r="E139" s="14"/>
      <c r="F139" s="26"/>
      <c r="G139" s="26"/>
      <c r="H139" s="26"/>
      <c r="I139" s="10"/>
      <c r="J139" s="10"/>
      <c r="K139" s="14"/>
      <c r="L139" s="11"/>
      <c r="M139" s="14"/>
      <c r="N139" s="14"/>
      <c r="O139" s="4"/>
      <c r="P139" s="3"/>
      <c r="Q139" s="4"/>
      <c r="R139" s="3"/>
      <c r="S139" s="3"/>
      <c r="T139" s="3"/>
      <c r="U139" s="4"/>
      <c r="V139" s="4"/>
      <c r="W139" s="4"/>
      <c r="X139" s="4"/>
      <c r="Y139" s="4"/>
      <c r="Z139" s="11"/>
      <c r="AA139" s="15"/>
      <c r="AB139" s="15"/>
      <c r="AC139" s="15"/>
      <c r="AD139" s="16"/>
      <c r="AE139" s="16"/>
      <c r="AF139" s="16"/>
      <c r="AG139" s="16"/>
      <c r="AH139" s="16"/>
      <c r="AI139" s="16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16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</row>
    <row r="140" spans="1:96" ht="12" customHeight="1" x14ac:dyDescent="0.25">
      <c r="A140" s="3"/>
      <c r="B140" s="14"/>
      <c r="C140" s="14"/>
      <c r="D140" s="14"/>
      <c r="E140" s="14"/>
      <c r="F140" s="26"/>
      <c r="G140" s="26"/>
      <c r="H140" s="26"/>
      <c r="I140" s="10"/>
      <c r="J140" s="10"/>
      <c r="K140" s="14"/>
      <c r="L140" s="11"/>
      <c r="M140" s="14"/>
      <c r="N140" s="14"/>
      <c r="O140" s="4"/>
      <c r="P140" s="3"/>
      <c r="Q140" s="4"/>
      <c r="R140" s="3"/>
      <c r="S140" s="3"/>
      <c r="T140" s="3"/>
      <c r="U140" s="4"/>
      <c r="V140" s="4"/>
      <c r="W140" s="4"/>
      <c r="X140" s="4"/>
      <c r="Y140" s="4"/>
      <c r="Z140" s="11"/>
      <c r="AA140" s="15"/>
      <c r="AB140" s="15"/>
      <c r="AC140" s="15"/>
      <c r="AD140" s="16"/>
      <c r="AE140" s="16"/>
      <c r="AF140" s="16"/>
      <c r="AG140" s="16"/>
      <c r="AH140" s="16"/>
      <c r="AI140" s="16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16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</row>
    <row r="141" spans="1:96" ht="12" customHeight="1" x14ac:dyDescent="0.25">
      <c r="A141" s="3"/>
      <c r="B141" s="14"/>
      <c r="C141" s="14"/>
      <c r="D141" s="14"/>
      <c r="E141" s="14"/>
      <c r="F141" s="26"/>
      <c r="G141" s="26"/>
      <c r="H141" s="26"/>
      <c r="I141" s="10"/>
      <c r="J141" s="10"/>
      <c r="K141" s="14"/>
      <c r="L141" s="11"/>
      <c r="M141" s="14"/>
      <c r="N141" s="14"/>
      <c r="O141" s="4"/>
      <c r="P141" s="3"/>
      <c r="Q141" s="4"/>
      <c r="R141" s="3"/>
      <c r="S141" s="3"/>
      <c r="T141" s="3"/>
      <c r="U141" s="4"/>
      <c r="V141" s="4"/>
      <c r="W141" s="4"/>
      <c r="X141" s="4"/>
      <c r="Y141" s="4"/>
      <c r="Z141" s="11"/>
      <c r="AA141" s="15"/>
      <c r="AB141" s="15"/>
      <c r="AC141" s="15"/>
      <c r="AD141" s="16"/>
      <c r="AE141" s="16"/>
      <c r="AF141" s="16"/>
      <c r="AG141" s="16"/>
      <c r="AH141" s="16"/>
      <c r="AI141" s="16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16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</row>
    <row r="142" spans="1:96" ht="12" customHeight="1" x14ac:dyDescent="0.25">
      <c r="A142" s="3"/>
      <c r="B142" s="14"/>
      <c r="C142" s="14"/>
      <c r="D142" s="14"/>
      <c r="E142" s="14"/>
      <c r="F142" s="26"/>
      <c r="G142" s="26"/>
      <c r="H142" s="26"/>
      <c r="I142" s="10"/>
      <c r="J142" s="10"/>
      <c r="K142" s="14"/>
      <c r="L142" s="11"/>
      <c r="M142" s="14"/>
      <c r="N142" s="14"/>
      <c r="O142" s="4"/>
      <c r="P142" s="3"/>
      <c r="Q142" s="4"/>
      <c r="R142" s="3"/>
      <c r="S142" s="3"/>
      <c r="T142" s="3"/>
      <c r="U142" s="4"/>
      <c r="V142" s="4"/>
      <c r="W142" s="4"/>
      <c r="X142" s="4"/>
      <c r="Y142" s="4"/>
      <c r="Z142" s="11"/>
      <c r="AA142" s="15"/>
      <c r="AB142" s="15"/>
      <c r="AC142" s="15"/>
      <c r="AD142" s="16"/>
      <c r="AE142" s="16"/>
      <c r="AF142" s="16"/>
      <c r="AG142" s="16"/>
      <c r="AH142" s="16"/>
      <c r="AI142" s="16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16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</row>
    <row r="143" spans="1:96" ht="12" customHeight="1" x14ac:dyDescent="0.25">
      <c r="A143" s="3"/>
      <c r="B143" s="14"/>
      <c r="C143" s="14"/>
      <c r="D143" s="14"/>
      <c r="E143" s="14"/>
      <c r="F143" s="26"/>
      <c r="G143" s="26"/>
      <c r="H143" s="26"/>
      <c r="I143" s="10"/>
      <c r="J143" s="10"/>
      <c r="K143" s="14"/>
      <c r="L143" s="11"/>
      <c r="M143" s="14"/>
      <c r="N143" s="14"/>
      <c r="O143" s="4"/>
      <c r="P143" s="3"/>
      <c r="Q143" s="4"/>
      <c r="R143" s="3"/>
      <c r="S143" s="3"/>
      <c r="T143" s="3"/>
      <c r="U143" s="4"/>
      <c r="V143" s="4"/>
      <c r="W143" s="4"/>
      <c r="X143" s="4"/>
      <c r="Y143" s="4"/>
      <c r="Z143" s="11"/>
      <c r="AA143" s="15"/>
      <c r="AB143" s="15"/>
      <c r="AC143" s="15"/>
      <c r="AD143" s="16"/>
      <c r="AE143" s="16"/>
      <c r="AF143" s="16"/>
      <c r="AG143" s="16"/>
      <c r="AH143" s="16"/>
      <c r="AI143" s="16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16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</row>
    <row r="144" spans="1:96" ht="12" customHeight="1" x14ac:dyDescent="0.25">
      <c r="A144" s="3"/>
      <c r="B144" s="14"/>
      <c r="C144" s="14"/>
      <c r="D144" s="14"/>
      <c r="E144" s="14"/>
      <c r="F144" s="26"/>
      <c r="G144" s="26"/>
      <c r="H144" s="26"/>
      <c r="I144" s="10"/>
      <c r="J144" s="10"/>
      <c r="K144" s="14"/>
      <c r="L144" s="11"/>
      <c r="M144" s="14"/>
      <c r="N144" s="14"/>
      <c r="O144" s="4"/>
      <c r="P144" s="3"/>
      <c r="Q144" s="4"/>
      <c r="R144" s="3"/>
      <c r="S144" s="3"/>
      <c r="T144" s="3"/>
      <c r="U144" s="4"/>
      <c r="V144" s="4"/>
      <c r="W144" s="4"/>
      <c r="X144" s="4"/>
      <c r="Y144" s="4"/>
      <c r="Z144" s="11"/>
      <c r="AA144" s="15"/>
      <c r="AB144" s="15"/>
      <c r="AC144" s="15"/>
      <c r="AD144" s="16"/>
      <c r="AE144" s="16"/>
      <c r="AF144" s="16"/>
      <c r="AG144" s="16"/>
      <c r="AH144" s="16"/>
      <c r="AI144" s="16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16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</row>
    <row r="145" spans="1:96" ht="12" customHeight="1" x14ac:dyDescent="0.25">
      <c r="A145" s="3"/>
      <c r="B145" s="14"/>
      <c r="C145" s="14"/>
      <c r="D145" s="14"/>
      <c r="E145" s="14"/>
      <c r="F145" s="26"/>
      <c r="G145" s="26"/>
      <c r="H145" s="26"/>
      <c r="I145" s="10"/>
      <c r="J145" s="10"/>
      <c r="K145" s="14"/>
      <c r="L145" s="11"/>
      <c r="M145" s="14"/>
      <c r="N145" s="14"/>
      <c r="O145" s="4"/>
      <c r="P145" s="3"/>
      <c r="Q145" s="4"/>
      <c r="R145" s="3"/>
      <c r="S145" s="3"/>
      <c r="T145" s="3"/>
      <c r="U145" s="4"/>
      <c r="V145" s="4"/>
      <c r="W145" s="4"/>
      <c r="X145" s="4"/>
      <c r="Y145" s="4"/>
      <c r="Z145" s="11"/>
      <c r="AA145" s="15"/>
      <c r="AB145" s="15"/>
      <c r="AC145" s="15"/>
      <c r="AD145" s="16"/>
      <c r="AE145" s="16"/>
      <c r="AF145" s="16"/>
      <c r="AG145" s="16"/>
      <c r="AH145" s="16"/>
      <c r="AI145" s="16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16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</row>
    <row r="146" spans="1:96" ht="12" customHeight="1" x14ac:dyDescent="0.25">
      <c r="A146" s="3"/>
      <c r="B146" s="14"/>
      <c r="C146" s="14"/>
      <c r="D146" s="14"/>
      <c r="E146" s="14"/>
      <c r="F146" s="26"/>
      <c r="G146" s="26"/>
      <c r="H146" s="26"/>
      <c r="I146" s="10"/>
      <c r="J146" s="10"/>
      <c r="K146" s="14"/>
      <c r="L146" s="11"/>
      <c r="M146" s="14"/>
      <c r="N146" s="14"/>
      <c r="O146" s="4"/>
      <c r="P146" s="3"/>
      <c r="Q146" s="4"/>
      <c r="R146" s="3"/>
      <c r="S146" s="3"/>
      <c r="T146" s="3"/>
      <c r="U146" s="4"/>
      <c r="V146" s="4"/>
      <c r="W146" s="4"/>
      <c r="X146" s="4"/>
      <c r="Y146" s="4"/>
      <c r="Z146" s="11"/>
      <c r="AA146" s="15"/>
      <c r="AB146" s="15"/>
      <c r="AC146" s="15"/>
      <c r="AD146" s="16"/>
      <c r="AE146" s="16"/>
      <c r="AF146" s="16"/>
      <c r="AG146" s="16"/>
      <c r="AH146" s="16"/>
      <c r="AI146" s="16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16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</row>
    <row r="147" spans="1:96" ht="12" customHeight="1" x14ac:dyDescent="0.25">
      <c r="A147" s="3"/>
      <c r="B147" s="14"/>
      <c r="C147" s="14"/>
      <c r="D147" s="14"/>
      <c r="E147" s="14"/>
      <c r="F147" s="26"/>
      <c r="G147" s="26"/>
      <c r="H147" s="26"/>
      <c r="I147" s="10"/>
      <c r="J147" s="10"/>
      <c r="K147" s="14"/>
      <c r="L147" s="11"/>
      <c r="M147" s="14"/>
      <c r="N147" s="14"/>
      <c r="O147" s="4"/>
      <c r="P147" s="3"/>
      <c r="Q147" s="4"/>
      <c r="R147" s="3"/>
      <c r="S147" s="3"/>
      <c r="T147" s="3"/>
      <c r="U147" s="4"/>
      <c r="V147" s="4"/>
      <c r="W147" s="4"/>
      <c r="X147" s="4"/>
      <c r="Y147" s="4"/>
      <c r="Z147" s="11"/>
      <c r="AA147" s="15"/>
      <c r="AB147" s="15"/>
      <c r="AC147" s="15"/>
      <c r="AD147" s="16"/>
      <c r="AE147" s="16"/>
      <c r="AF147" s="16"/>
      <c r="AG147" s="16"/>
      <c r="AH147" s="16"/>
      <c r="AI147" s="16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16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</row>
    <row r="148" spans="1:96" ht="12" customHeight="1" x14ac:dyDescent="0.25">
      <c r="A148" s="3"/>
      <c r="B148" s="14"/>
      <c r="C148" s="14"/>
      <c r="D148" s="14"/>
      <c r="E148" s="14"/>
      <c r="F148" s="26"/>
      <c r="G148" s="26"/>
      <c r="H148" s="26"/>
      <c r="I148" s="10"/>
      <c r="J148" s="10"/>
      <c r="K148" s="14"/>
      <c r="L148" s="11"/>
      <c r="M148" s="14"/>
      <c r="N148" s="14"/>
      <c r="O148" s="4"/>
      <c r="P148" s="3"/>
      <c r="Q148" s="4"/>
      <c r="R148" s="3"/>
      <c r="S148" s="3"/>
      <c r="T148" s="3"/>
      <c r="U148" s="4"/>
      <c r="V148" s="4"/>
      <c r="W148" s="4"/>
      <c r="X148" s="4"/>
      <c r="Y148" s="4"/>
      <c r="Z148" s="11"/>
      <c r="AA148" s="15"/>
      <c r="AB148" s="15"/>
      <c r="AC148" s="15"/>
      <c r="AD148" s="16"/>
      <c r="AE148" s="16"/>
      <c r="AF148" s="16"/>
      <c r="AG148" s="16"/>
      <c r="AH148" s="16"/>
      <c r="AI148" s="16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16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</row>
    <row r="149" spans="1:96" ht="12" customHeight="1" x14ac:dyDescent="0.25">
      <c r="A149" s="3"/>
      <c r="B149" s="14"/>
      <c r="C149" s="14"/>
      <c r="D149" s="14"/>
      <c r="E149" s="14"/>
      <c r="F149" s="26"/>
      <c r="G149" s="26"/>
      <c r="H149" s="26"/>
      <c r="I149" s="10"/>
      <c r="J149" s="10"/>
      <c r="K149" s="14"/>
      <c r="L149" s="11"/>
      <c r="M149" s="14"/>
      <c r="N149" s="14"/>
      <c r="O149" s="4"/>
      <c r="P149" s="3"/>
      <c r="Q149" s="4"/>
      <c r="R149" s="3"/>
      <c r="S149" s="3"/>
      <c r="T149" s="3"/>
      <c r="U149" s="4"/>
      <c r="V149" s="4"/>
      <c r="W149" s="4"/>
      <c r="X149" s="4"/>
      <c r="Y149" s="4"/>
      <c r="Z149" s="11"/>
      <c r="AA149" s="15"/>
      <c r="AB149" s="15"/>
      <c r="AC149" s="15"/>
      <c r="AD149" s="16"/>
      <c r="AE149" s="16"/>
      <c r="AF149" s="16"/>
      <c r="AG149" s="16"/>
      <c r="AH149" s="16"/>
      <c r="AI149" s="16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16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</row>
    <row r="150" spans="1:96" ht="12" customHeight="1" x14ac:dyDescent="0.25">
      <c r="A150" s="3"/>
      <c r="B150" s="14"/>
      <c r="C150" s="14"/>
      <c r="D150" s="14"/>
      <c r="E150" s="14"/>
      <c r="F150" s="26"/>
      <c r="G150" s="26"/>
      <c r="H150" s="26"/>
      <c r="I150" s="10"/>
      <c r="J150" s="10"/>
      <c r="K150" s="14"/>
      <c r="L150" s="11"/>
      <c r="M150" s="14"/>
      <c r="N150" s="14"/>
      <c r="O150" s="4"/>
      <c r="P150" s="3"/>
      <c r="Q150" s="4"/>
      <c r="R150" s="3"/>
      <c r="S150" s="3"/>
      <c r="T150" s="3"/>
      <c r="U150" s="4"/>
      <c r="V150" s="4"/>
      <c r="W150" s="4"/>
      <c r="X150" s="4"/>
      <c r="Y150" s="4"/>
      <c r="Z150" s="11"/>
      <c r="AA150" s="15"/>
      <c r="AB150" s="15"/>
      <c r="AC150" s="15"/>
      <c r="AD150" s="16"/>
      <c r="AE150" s="16"/>
      <c r="AF150" s="16"/>
      <c r="AG150" s="16"/>
      <c r="AH150" s="16"/>
      <c r="AI150" s="16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16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</row>
    <row r="151" spans="1:96" ht="12" customHeight="1" x14ac:dyDescent="0.25">
      <c r="A151" s="3"/>
      <c r="B151" s="14"/>
      <c r="C151" s="14"/>
      <c r="D151" s="14"/>
      <c r="E151" s="14"/>
      <c r="F151" s="26"/>
      <c r="G151" s="26"/>
      <c r="H151" s="26"/>
      <c r="I151" s="10"/>
      <c r="J151" s="10"/>
      <c r="K151" s="14"/>
      <c r="L151" s="11"/>
      <c r="M151" s="14"/>
      <c r="N151" s="14"/>
      <c r="O151" s="4"/>
      <c r="P151" s="3"/>
      <c r="Q151" s="4"/>
      <c r="R151" s="3"/>
      <c r="S151" s="3"/>
      <c r="T151" s="3"/>
      <c r="U151" s="4"/>
      <c r="V151" s="4"/>
      <c r="W151" s="4"/>
      <c r="X151" s="4"/>
      <c r="Y151" s="4"/>
      <c r="Z151" s="11"/>
      <c r="AA151" s="15"/>
      <c r="AB151" s="15"/>
      <c r="AC151" s="15"/>
      <c r="AD151" s="16"/>
      <c r="AE151" s="16"/>
      <c r="AF151" s="16"/>
      <c r="AG151" s="16"/>
      <c r="AH151" s="16"/>
      <c r="AI151" s="16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16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</row>
    <row r="152" spans="1:96" ht="12" customHeight="1" x14ac:dyDescent="0.25">
      <c r="A152" s="3"/>
      <c r="B152" s="14"/>
      <c r="C152" s="14"/>
      <c r="D152" s="14"/>
      <c r="E152" s="14"/>
      <c r="F152" s="26"/>
      <c r="G152" s="26"/>
      <c r="H152" s="26"/>
      <c r="I152" s="10"/>
      <c r="J152" s="10"/>
      <c r="K152" s="14"/>
      <c r="L152" s="11"/>
      <c r="M152" s="14"/>
      <c r="N152" s="14"/>
      <c r="O152" s="4"/>
      <c r="P152" s="3"/>
      <c r="Q152" s="4"/>
      <c r="R152" s="3"/>
      <c r="S152" s="3"/>
      <c r="T152" s="3"/>
      <c r="U152" s="4"/>
      <c r="V152" s="4"/>
      <c r="W152" s="4"/>
      <c r="X152" s="4"/>
      <c r="Y152" s="4"/>
      <c r="Z152" s="11"/>
      <c r="AA152" s="15"/>
      <c r="AB152" s="15"/>
      <c r="AC152" s="15"/>
      <c r="AD152" s="16"/>
      <c r="AE152" s="16"/>
      <c r="AF152" s="16"/>
      <c r="AG152" s="16"/>
      <c r="AH152" s="16"/>
      <c r="AI152" s="16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16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</row>
    <row r="153" spans="1:96" ht="12" customHeight="1" x14ac:dyDescent="0.25">
      <c r="A153" s="3"/>
      <c r="B153" s="14"/>
      <c r="C153" s="14"/>
      <c r="D153" s="14"/>
      <c r="E153" s="14"/>
      <c r="F153" s="26"/>
      <c r="G153" s="26"/>
      <c r="H153" s="26"/>
      <c r="I153" s="10"/>
      <c r="J153" s="10"/>
      <c r="K153" s="14"/>
      <c r="L153" s="11"/>
      <c r="M153" s="14"/>
      <c r="N153" s="14"/>
      <c r="O153" s="4"/>
      <c r="P153" s="3"/>
      <c r="Q153" s="4"/>
      <c r="R153" s="3"/>
      <c r="S153" s="3"/>
      <c r="T153" s="3"/>
      <c r="U153" s="4"/>
      <c r="V153" s="4"/>
      <c r="W153" s="4"/>
      <c r="X153" s="4"/>
      <c r="Y153" s="4"/>
      <c r="Z153" s="11"/>
      <c r="AA153" s="15"/>
      <c r="AB153" s="15"/>
      <c r="AC153" s="15"/>
      <c r="AD153" s="16"/>
      <c r="AE153" s="16"/>
      <c r="AF153" s="16"/>
      <c r="AG153" s="16"/>
      <c r="AH153" s="16"/>
      <c r="AI153" s="16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16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</row>
    <row r="154" spans="1:96" ht="12" customHeight="1" x14ac:dyDescent="0.25">
      <c r="A154" s="3"/>
      <c r="B154" s="14"/>
      <c r="C154" s="14"/>
      <c r="D154" s="14"/>
      <c r="E154" s="14"/>
      <c r="F154" s="26"/>
      <c r="G154" s="26"/>
      <c r="H154" s="26"/>
      <c r="I154" s="10"/>
      <c r="J154" s="10"/>
      <c r="K154" s="14"/>
      <c r="L154" s="11"/>
      <c r="M154" s="14"/>
      <c r="N154" s="14"/>
      <c r="O154" s="4"/>
      <c r="P154" s="3"/>
      <c r="Q154" s="4"/>
      <c r="R154" s="3"/>
      <c r="S154" s="3"/>
      <c r="T154" s="3"/>
      <c r="U154" s="4"/>
      <c r="V154" s="4"/>
      <c r="W154" s="4"/>
      <c r="X154" s="4"/>
      <c r="Y154" s="4"/>
      <c r="Z154" s="11"/>
      <c r="AA154" s="15"/>
      <c r="AB154" s="15"/>
      <c r="AC154" s="15"/>
      <c r="AD154" s="16"/>
      <c r="AE154" s="16"/>
      <c r="AF154" s="16"/>
      <c r="AG154" s="16"/>
      <c r="AH154" s="16"/>
      <c r="AI154" s="16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16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</row>
    <row r="155" spans="1:96" ht="12" customHeight="1" x14ac:dyDescent="0.25">
      <c r="A155" s="3"/>
      <c r="B155" s="14"/>
      <c r="C155" s="14"/>
      <c r="D155" s="14"/>
      <c r="E155" s="14"/>
      <c r="F155" s="26"/>
      <c r="G155" s="26"/>
      <c r="H155" s="26"/>
      <c r="I155" s="10"/>
      <c r="J155" s="10"/>
      <c r="K155" s="14"/>
      <c r="L155" s="11"/>
      <c r="M155" s="14"/>
      <c r="N155" s="14"/>
      <c r="O155" s="4"/>
      <c r="P155" s="3"/>
      <c r="Q155" s="4"/>
      <c r="R155" s="3"/>
      <c r="S155" s="3"/>
      <c r="T155" s="3"/>
      <c r="U155" s="4"/>
      <c r="V155" s="4"/>
      <c r="W155" s="4"/>
      <c r="X155" s="4"/>
      <c r="Y155" s="4"/>
      <c r="Z155" s="11"/>
      <c r="AA155" s="15"/>
      <c r="AB155" s="15"/>
      <c r="AC155" s="15"/>
      <c r="AD155" s="16"/>
      <c r="AE155" s="16"/>
      <c r="AF155" s="16"/>
      <c r="AG155" s="16"/>
      <c r="AH155" s="16"/>
      <c r="AI155" s="16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16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</row>
    <row r="156" spans="1:96" ht="12" customHeight="1" x14ac:dyDescent="0.25">
      <c r="A156" s="3"/>
      <c r="B156" s="14"/>
      <c r="C156" s="14"/>
      <c r="D156" s="14"/>
      <c r="E156" s="14"/>
      <c r="F156" s="26"/>
      <c r="G156" s="26"/>
      <c r="H156" s="26"/>
      <c r="I156" s="10"/>
      <c r="J156" s="10"/>
      <c r="K156" s="14"/>
      <c r="L156" s="11"/>
      <c r="M156" s="14"/>
      <c r="N156" s="14"/>
      <c r="O156" s="4"/>
      <c r="P156" s="3"/>
      <c r="Q156" s="4"/>
      <c r="R156" s="3"/>
      <c r="S156" s="3"/>
      <c r="T156" s="3"/>
      <c r="U156" s="4"/>
      <c r="V156" s="4"/>
      <c r="W156" s="4"/>
      <c r="X156" s="4"/>
      <c r="Y156" s="4"/>
      <c r="Z156" s="11"/>
      <c r="AA156" s="15"/>
      <c r="AB156" s="15"/>
      <c r="AC156" s="15"/>
      <c r="AD156" s="16"/>
      <c r="AE156" s="16"/>
      <c r="AF156" s="16"/>
      <c r="AG156" s="16"/>
      <c r="AH156" s="16"/>
      <c r="AI156" s="16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16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</row>
    <row r="157" spans="1:96" ht="12" customHeight="1" x14ac:dyDescent="0.25">
      <c r="A157" s="3"/>
      <c r="B157" s="14"/>
      <c r="C157" s="14"/>
      <c r="D157" s="14"/>
      <c r="E157" s="14"/>
      <c r="F157" s="26"/>
      <c r="G157" s="26"/>
      <c r="H157" s="26"/>
      <c r="I157" s="10"/>
      <c r="J157" s="10"/>
      <c r="K157" s="14"/>
      <c r="L157" s="11"/>
      <c r="M157" s="14"/>
      <c r="N157" s="14"/>
      <c r="O157" s="4"/>
      <c r="P157" s="3"/>
      <c r="Q157" s="4"/>
      <c r="R157" s="3"/>
      <c r="S157" s="3"/>
      <c r="T157" s="3"/>
      <c r="U157" s="4"/>
      <c r="V157" s="4"/>
      <c r="W157" s="4"/>
      <c r="X157" s="4"/>
      <c r="Y157" s="4"/>
      <c r="Z157" s="11"/>
      <c r="AA157" s="15"/>
      <c r="AB157" s="15"/>
      <c r="AC157" s="15"/>
      <c r="AD157" s="16"/>
      <c r="AE157" s="16"/>
      <c r="AF157" s="16"/>
      <c r="AG157" s="16"/>
      <c r="AH157" s="16"/>
      <c r="AI157" s="16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16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</row>
    <row r="158" spans="1:96" ht="12" customHeight="1" x14ac:dyDescent="0.25">
      <c r="A158" s="3"/>
      <c r="B158" s="14"/>
      <c r="C158" s="14"/>
      <c r="D158" s="14"/>
      <c r="E158" s="14"/>
      <c r="F158" s="26"/>
      <c r="G158" s="26"/>
      <c r="H158" s="26"/>
      <c r="I158" s="10"/>
      <c r="J158" s="10"/>
      <c r="K158" s="14"/>
      <c r="L158" s="11"/>
      <c r="M158" s="14"/>
      <c r="N158" s="14"/>
      <c r="O158" s="4"/>
      <c r="P158" s="3"/>
      <c r="Q158" s="4"/>
      <c r="R158" s="3"/>
      <c r="S158" s="3"/>
      <c r="T158" s="3"/>
      <c r="U158" s="4"/>
      <c r="V158" s="4"/>
      <c r="W158" s="4"/>
      <c r="X158" s="4"/>
      <c r="Y158" s="4"/>
      <c r="Z158" s="11"/>
      <c r="AA158" s="15"/>
      <c r="AB158" s="15"/>
      <c r="AC158" s="15"/>
      <c r="AD158" s="16"/>
      <c r="AE158" s="16"/>
      <c r="AF158" s="16"/>
      <c r="AG158" s="16"/>
      <c r="AH158" s="16"/>
      <c r="AI158" s="16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16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</row>
    <row r="159" spans="1:96" ht="12" customHeight="1" x14ac:dyDescent="0.25">
      <c r="A159" s="3"/>
      <c r="B159" s="14"/>
      <c r="C159" s="14"/>
      <c r="D159" s="14"/>
      <c r="E159" s="14"/>
      <c r="F159" s="26"/>
      <c r="G159" s="26"/>
      <c r="H159" s="26"/>
      <c r="I159" s="10"/>
      <c r="J159" s="10"/>
      <c r="K159" s="14"/>
      <c r="L159" s="11"/>
      <c r="M159" s="14"/>
      <c r="N159" s="14"/>
      <c r="O159" s="4"/>
      <c r="P159" s="3"/>
      <c r="Q159" s="4"/>
      <c r="R159" s="3"/>
      <c r="S159" s="3"/>
      <c r="T159" s="3"/>
      <c r="U159" s="4"/>
      <c r="V159" s="4"/>
      <c r="W159" s="4"/>
      <c r="X159" s="4"/>
      <c r="Y159" s="4"/>
      <c r="Z159" s="11"/>
      <c r="AA159" s="15"/>
      <c r="AB159" s="15"/>
      <c r="AC159" s="15"/>
      <c r="AD159" s="16"/>
      <c r="AE159" s="16"/>
      <c r="AF159" s="16"/>
      <c r="AG159" s="16"/>
      <c r="AH159" s="16"/>
      <c r="AI159" s="16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16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</row>
    <row r="160" spans="1:96" ht="12" customHeight="1" x14ac:dyDescent="0.25">
      <c r="A160" s="3"/>
      <c r="B160" s="14"/>
      <c r="C160" s="14"/>
      <c r="D160" s="14"/>
      <c r="E160" s="14"/>
      <c r="F160" s="26"/>
      <c r="G160" s="26"/>
      <c r="H160" s="26"/>
      <c r="I160" s="10"/>
      <c r="J160" s="10"/>
      <c r="K160" s="14"/>
      <c r="L160" s="11"/>
      <c r="M160" s="14"/>
      <c r="N160" s="14"/>
      <c r="O160" s="4"/>
      <c r="P160" s="3"/>
      <c r="Q160" s="4"/>
      <c r="R160" s="3"/>
      <c r="S160" s="3"/>
      <c r="T160" s="3"/>
      <c r="U160" s="4"/>
      <c r="V160" s="4"/>
      <c r="W160" s="4"/>
      <c r="X160" s="4"/>
      <c r="Y160" s="4"/>
      <c r="Z160" s="11"/>
      <c r="AA160" s="15"/>
      <c r="AB160" s="15"/>
      <c r="AC160" s="15"/>
      <c r="AD160" s="16"/>
      <c r="AE160" s="16"/>
      <c r="AF160" s="16"/>
      <c r="AG160" s="16"/>
      <c r="AH160" s="16"/>
      <c r="AI160" s="16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16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</row>
    <row r="161" spans="1:96" ht="12" customHeight="1" x14ac:dyDescent="0.25">
      <c r="A161" s="3"/>
      <c r="B161" s="14"/>
      <c r="C161" s="14"/>
      <c r="D161" s="14"/>
      <c r="E161" s="14"/>
      <c r="F161" s="26"/>
      <c r="G161" s="26"/>
      <c r="H161" s="26"/>
      <c r="I161" s="10"/>
      <c r="J161" s="10"/>
      <c r="K161" s="14"/>
      <c r="L161" s="11"/>
      <c r="M161" s="14"/>
      <c r="N161" s="14"/>
      <c r="O161" s="4"/>
      <c r="P161" s="3"/>
      <c r="Q161" s="4"/>
      <c r="R161" s="3"/>
      <c r="S161" s="3"/>
      <c r="T161" s="3"/>
      <c r="U161" s="4"/>
      <c r="V161" s="4"/>
      <c r="W161" s="4"/>
      <c r="X161" s="4"/>
      <c r="Y161" s="4"/>
      <c r="Z161" s="11"/>
      <c r="AA161" s="15"/>
      <c r="AB161" s="15"/>
      <c r="AC161" s="15"/>
      <c r="AD161" s="16"/>
      <c r="AE161" s="16"/>
      <c r="AF161" s="16"/>
      <c r="AG161" s="16"/>
      <c r="AH161" s="16"/>
      <c r="AI161" s="16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16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</row>
    <row r="162" spans="1:96" ht="12" customHeight="1" x14ac:dyDescent="0.25">
      <c r="A162" s="3"/>
      <c r="B162" s="14"/>
      <c r="C162" s="14"/>
      <c r="D162" s="14"/>
      <c r="E162" s="14"/>
      <c r="F162" s="26"/>
      <c r="G162" s="26"/>
      <c r="H162" s="26"/>
      <c r="I162" s="10"/>
      <c r="J162" s="10"/>
      <c r="K162" s="14"/>
      <c r="L162" s="11"/>
      <c r="M162" s="14"/>
      <c r="N162" s="14"/>
      <c r="O162" s="4"/>
      <c r="P162" s="3"/>
      <c r="Q162" s="4"/>
      <c r="R162" s="3"/>
      <c r="S162" s="3"/>
      <c r="T162" s="3"/>
      <c r="U162" s="4"/>
      <c r="V162" s="4"/>
      <c r="W162" s="4"/>
      <c r="X162" s="4"/>
      <c r="Y162" s="4"/>
      <c r="Z162" s="11"/>
      <c r="AA162" s="15"/>
      <c r="AB162" s="15"/>
      <c r="AC162" s="15"/>
      <c r="AD162" s="16"/>
      <c r="AE162" s="16"/>
      <c r="AF162" s="16"/>
      <c r="AG162" s="16"/>
      <c r="AH162" s="16"/>
      <c r="AI162" s="16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16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</row>
    <row r="163" spans="1:96" ht="12" customHeight="1" x14ac:dyDescent="0.25">
      <c r="A163" s="3"/>
      <c r="B163" s="14"/>
      <c r="C163" s="14"/>
      <c r="D163" s="14"/>
      <c r="E163" s="14"/>
      <c r="F163" s="26"/>
      <c r="G163" s="26"/>
      <c r="H163" s="26"/>
      <c r="I163" s="10"/>
      <c r="J163" s="10"/>
      <c r="K163" s="14"/>
      <c r="L163" s="11"/>
      <c r="M163" s="14"/>
      <c r="N163" s="14"/>
      <c r="O163" s="4"/>
      <c r="P163" s="3"/>
      <c r="Q163" s="4"/>
      <c r="R163" s="3"/>
      <c r="S163" s="3"/>
      <c r="T163" s="3"/>
      <c r="U163" s="4"/>
      <c r="V163" s="4"/>
      <c r="W163" s="4"/>
      <c r="X163" s="4"/>
      <c r="Y163" s="4"/>
      <c r="Z163" s="11"/>
      <c r="AA163" s="15"/>
      <c r="AB163" s="15"/>
      <c r="AC163" s="15"/>
      <c r="AD163" s="16"/>
      <c r="AE163" s="16"/>
      <c r="AF163" s="16"/>
      <c r="AG163" s="16"/>
      <c r="AH163" s="16"/>
      <c r="AI163" s="16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16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</row>
    <row r="164" spans="1:96" ht="12" customHeight="1" x14ac:dyDescent="0.25">
      <c r="A164" s="3"/>
      <c r="B164" s="14"/>
      <c r="C164" s="14"/>
      <c r="D164" s="14"/>
      <c r="E164" s="14"/>
      <c r="F164" s="9"/>
      <c r="G164" s="9"/>
      <c r="H164" s="9"/>
      <c r="I164" s="10"/>
      <c r="J164" s="10"/>
      <c r="K164" s="14"/>
      <c r="L164" s="11"/>
      <c r="M164" s="14"/>
      <c r="N164" s="14"/>
      <c r="O164" s="4"/>
      <c r="P164" s="3"/>
      <c r="Q164" s="4"/>
      <c r="R164" s="3"/>
      <c r="S164" s="3"/>
      <c r="T164" s="3"/>
      <c r="U164" s="4"/>
      <c r="V164" s="4"/>
      <c r="W164" s="4"/>
      <c r="X164" s="4"/>
      <c r="Y164" s="4"/>
      <c r="Z164" s="11"/>
      <c r="AA164" s="15"/>
      <c r="AB164" s="15"/>
      <c r="AC164" s="15"/>
      <c r="AD164" s="16"/>
      <c r="AE164" s="16"/>
      <c r="AF164" s="16"/>
      <c r="AG164" s="16"/>
      <c r="AH164" s="16"/>
      <c r="AI164" s="16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16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</row>
    <row r="165" spans="1:96" ht="12" customHeight="1" x14ac:dyDescent="0.25">
      <c r="A165" s="3"/>
      <c r="B165" s="14"/>
      <c r="C165" s="14"/>
      <c r="D165" s="14"/>
      <c r="E165" s="14"/>
      <c r="F165" s="9"/>
      <c r="G165" s="9"/>
      <c r="H165" s="9"/>
      <c r="I165" s="10"/>
      <c r="J165" s="10"/>
      <c r="K165" s="14"/>
      <c r="L165" s="11"/>
      <c r="M165" s="14"/>
      <c r="N165" s="14"/>
      <c r="O165" s="4"/>
      <c r="P165" s="3"/>
      <c r="Q165" s="4"/>
      <c r="R165" s="3"/>
      <c r="S165" s="3"/>
      <c r="T165" s="3"/>
      <c r="U165" s="4"/>
      <c r="V165" s="4"/>
      <c r="W165" s="4"/>
      <c r="X165" s="4"/>
      <c r="Y165" s="4"/>
      <c r="Z165" s="11"/>
      <c r="AA165" s="15"/>
      <c r="AB165" s="15"/>
      <c r="AC165" s="15"/>
      <c r="AD165" s="16"/>
      <c r="AE165" s="16"/>
      <c r="AF165" s="16"/>
      <c r="AG165" s="16"/>
      <c r="AH165" s="16"/>
      <c r="AI165" s="16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16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</row>
    <row r="166" spans="1:96" ht="12" customHeight="1" x14ac:dyDescent="0.25">
      <c r="A166" s="3"/>
      <c r="B166" s="14"/>
      <c r="C166" s="14"/>
      <c r="D166" s="14"/>
      <c r="E166" s="14"/>
      <c r="F166" s="9"/>
      <c r="G166" s="9"/>
      <c r="H166" s="9"/>
      <c r="I166" s="10"/>
      <c r="J166" s="10"/>
      <c r="K166" s="14"/>
      <c r="L166" s="11"/>
      <c r="M166" s="14"/>
      <c r="N166" s="14"/>
      <c r="O166" s="4"/>
      <c r="P166" s="3"/>
      <c r="Q166" s="4"/>
      <c r="R166" s="3"/>
      <c r="S166" s="3"/>
      <c r="T166" s="3"/>
      <c r="U166" s="4"/>
      <c r="V166" s="4"/>
      <c r="W166" s="4"/>
      <c r="X166" s="4"/>
      <c r="Y166" s="4"/>
      <c r="Z166" s="11"/>
      <c r="AA166" s="15"/>
      <c r="AB166" s="15"/>
      <c r="AC166" s="15"/>
      <c r="AD166" s="16"/>
      <c r="AE166" s="16"/>
      <c r="AF166" s="16"/>
      <c r="AG166" s="16"/>
      <c r="AH166" s="16"/>
      <c r="AI166" s="16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16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</row>
    <row r="167" spans="1:96" ht="12" customHeight="1" x14ac:dyDescent="0.25">
      <c r="A167" s="3"/>
      <c r="B167" s="14"/>
      <c r="C167" s="14"/>
      <c r="D167" s="14"/>
      <c r="E167" s="14"/>
      <c r="F167" s="9"/>
      <c r="G167" s="9"/>
      <c r="H167" s="9"/>
      <c r="I167" s="10"/>
      <c r="J167" s="10"/>
      <c r="K167" s="14"/>
      <c r="L167" s="11"/>
      <c r="M167" s="14"/>
      <c r="N167" s="14"/>
      <c r="O167" s="4"/>
      <c r="P167" s="3"/>
      <c r="Q167" s="4"/>
      <c r="R167" s="3"/>
      <c r="S167" s="3"/>
      <c r="T167" s="3"/>
      <c r="U167" s="4"/>
      <c r="V167" s="4"/>
      <c r="W167" s="4"/>
      <c r="X167" s="4"/>
      <c r="Y167" s="4"/>
      <c r="Z167" s="11"/>
      <c r="AA167" s="15"/>
      <c r="AB167" s="15"/>
      <c r="AC167" s="15"/>
      <c r="AD167" s="16"/>
      <c r="AE167" s="16"/>
      <c r="AF167" s="16"/>
      <c r="AG167" s="16"/>
      <c r="AH167" s="16"/>
      <c r="AI167" s="16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16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</row>
    <row r="168" spans="1:96" ht="12" customHeight="1" x14ac:dyDescent="0.25">
      <c r="A168" s="3"/>
      <c r="B168" s="14"/>
      <c r="C168" s="14"/>
      <c r="D168" s="14"/>
      <c r="E168" s="14"/>
      <c r="F168" s="9"/>
      <c r="G168" s="9"/>
      <c r="H168" s="9"/>
      <c r="I168" s="10"/>
      <c r="J168" s="10"/>
      <c r="K168" s="14"/>
      <c r="L168" s="11"/>
      <c r="M168" s="14"/>
      <c r="N168" s="14"/>
      <c r="O168" s="4"/>
      <c r="P168" s="3"/>
      <c r="Q168" s="4"/>
      <c r="R168" s="3"/>
      <c r="S168" s="3"/>
      <c r="T168" s="3"/>
      <c r="U168" s="4"/>
      <c r="V168" s="4"/>
      <c r="W168" s="4"/>
      <c r="X168" s="4"/>
      <c r="Y168" s="4"/>
      <c r="Z168" s="11"/>
      <c r="AA168" s="15"/>
      <c r="AB168" s="15"/>
      <c r="AC168" s="15"/>
      <c r="AD168" s="16"/>
      <c r="AE168" s="16"/>
      <c r="AF168" s="16"/>
      <c r="AG168" s="16"/>
      <c r="AH168" s="16"/>
      <c r="AI168" s="16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16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</row>
    <row r="169" spans="1:96" ht="12" customHeight="1" x14ac:dyDescent="0.25">
      <c r="A169" s="3"/>
      <c r="B169" s="14"/>
      <c r="C169" s="14"/>
      <c r="D169" s="14"/>
      <c r="E169" s="14"/>
      <c r="F169" s="9"/>
      <c r="G169" s="9"/>
      <c r="H169" s="9"/>
      <c r="I169" s="10"/>
      <c r="J169" s="10"/>
      <c r="K169" s="14"/>
      <c r="L169" s="11"/>
      <c r="M169" s="14"/>
      <c r="N169" s="14"/>
      <c r="O169" s="4"/>
      <c r="P169" s="3"/>
      <c r="Q169" s="4"/>
      <c r="R169" s="3"/>
      <c r="S169" s="3"/>
      <c r="T169" s="3"/>
      <c r="U169" s="4"/>
      <c r="V169" s="4"/>
      <c r="W169" s="4"/>
      <c r="X169" s="4"/>
      <c r="Y169" s="4"/>
      <c r="Z169" s="11"/>
      <c r="AA169" s="15"/>
      <c r="AB169" s="15"/>
      <c r="AC169" s="15"/>
      <c r="AD169" s="16"/>
      <c r="AE169" s="16"/>
      <c r="AF169" s="16"/>
      <c r="AG169" s="16"/>
      <c r="AH169" s="16"/>
      <c r="AI169" s="16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16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</row>
    <row r="170" spans="1:96" ht="12" customHeight="1" x14ac:dyDescent="0.25">
      <c r="A170" s="3"/>
      <c r="B170" s="14"/>
      <c r="C170" s="14"/>
      <c r="D170" s="14"/>
      <c r="E170" s="14"/>
      <c r="F170" s="9"/>
      <c r="G170" s="9"/>
      <c r="H170" s="9"/>
      <c r="I170" s="10"/>
      <c r="J170" s="10"/>
      <c r="K170" s="14"/>
      <c r="L170" s="11"/>
      <c r="M170" s="14"/>
      <c r="N170" s="14"/>
      <c r="O170" s="4"/>
      <c r="P170" s="3"/>
      <c r="Q170" s="4"/>
      <c r="R170" s="3"/>
      <c r="S170" s="3"/>
      <c r="T170" s="3"/>
      <c r="U170" s="4"/>
      <c r="V170" s="4"/>
      <c r="W170" s="4"/>
      <c r="X170" s="4"/>
      <c r="Y170" s="4"/>
      <c r="Z170" s="11"/>
      <c r="AA170" s="15"/>
      <c r="AB170" s="15"/>
      <c r="AC170" s="15"/>
      <c r="AD170" s="16"/>
      <c r="AE170" s="16"/>
      <c r="AF170" s="16"/>
      <c r="AG170" s="16"/>
      <c r="AH170" s="16"/>
      <c r="AI170" s="16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16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</row>
    <row r="171" spans="1:96" ht="12" customHeight="1" x14ac:dyDescent="0.25">
      <c r="A171" s="3"/>
      <c r="B171" s="14"/>
      <c r="C171" s="14"/>
      <c r="D171" s="14"/>
      <c r="E171" s="14"/>
      <c r="F171" s="9"/>
      <c r="G171" s="9"/>
      <c r="H171" s="9"/>
      <c r="I171" s="10"/>
      <c r="J171" s="10"/>
      <c r="K171" s="14"/>
      <c r="L171" s="11"/>
      <c r="M171" s="14"/>
      <c r="N171" s="14"/>
      <c r="O171" s="4"/>
      <c r="P171" s="3"/>
      <c r="Q171" s="4"/>
      <c r="R171" s="3"/>
      <c r="S171" s="3"/>
      <c r="T171" s="3"/>
      <c r="U171" s="4"/>
      <c r="V171" s="4"/>
      <c r="W171" s="4"/>
      <c r="X171" s="4"/>
      <c r="Y171" s="4"/>
      <c r="Z171" s="11"/>
      <c r="AA171" s="15"/>
      <c r="AB171" s="15"/>
      <c r="AC171" s="15"/>
      <c r="AD171" s="16"/>
      <c r="AE171" s="16"/>
      <c r="AF171" s="16"/>
      <c r="AG171" s="16"/>
      <c r="AH171" s="16"/>
      <c r="AI171" s="16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16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</row>
    <row r="172" spans="1:96" ht="12" customHeight="1" x14ac:dyDescent="0.25">
      <c r="A172" s="3"/>
      <c r="B172" s="14"/>
      <c r="C172" s="14"/>
      <c r="D172" s="14"/>
      <c r="E172" s="14"/>
      <c r="F172" s="9"/>
      <c r="G172" s="9"/>
      <c r="H172" s="9"/>
      <c r="I172" s="10"/>
      <c r="J172" s="10"/>
      <c r="K172" s="14"/>
      <c r="L172" s="11"/>
      <c r="M172" s="14"/>
      <c r="N172" s="14"/>
      <c r="O172" s="4"/>
      <c r="P172" s="3"/>
      <c r="Q172" s="4"/>
      <c r="R172" s="3"/>
      <c r="S172" s="3"/>
      <c r="T172" s="3"/>
      <c r="U172" s="4"/>
      <c r="V172" s="4"/>
      <c r="W172" s="4"/>
      <c r="X172" s="4"/>
      <c r="Y172" s="4"/>
      <c r="Z172" s="11"/>
      <c r="AA172" s="15"/>
      <c r="AB172" s="15"/>
      <c r="AC172" s="15"/>
      <c r="AD172" s="16"/>
      <c r="AE172" s="16"/>
      <c r="AF172" s="16"/>
      <c r="AG172" s="16"/>
      <c r="AH172" s="16"/>
      <c r="AI172" s="16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16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</row>
    <row r="173" spans="1:96" ht="12" customHeight="1" x14ac:dyDescent="0.25">
      <c r="A173" s="3"/>
      <c r="B173" s="14"/>
      <c r="C173" s="14"/>
      <c r="D173" s="14"/>
      <c r="E173" s="14"/>
      <c r="F173" s="9"/>
      <c r="G173" s="9"/>
      <c r="H173" s="9"/>
      <c r="I173" s="10"/>
      <c r="J173" s="10"/>
      <c r="K173" s="14"/>
      <c r="L173" s="11"/>
      <c r="M173" s="14"/>
      <c r="N173" s="14"/>
      <c r="O173" s="4"/>
      <c r="P173" s="3"/>
      <c r="Q173" s="4"/>
      <c r="R173" s="3"/>
      <c r="S173" s="3"/>
      <c r="T173" s="3"/>
      <c r="U173" s="4"/>
      <c r="V173" s="4"/>
      <c r="W173" s="4"/>
      <c r="X173" s="4"/>
      <c r="Y173" s="4"/>
      <c r="Z173" s="11"/>
      <c r="AA173" s="15"/>
      <c r="AB173" s="15"/>
      <c r="AC173" s="15"/>
      <c r="AD173" s="16"/>
      <c r="AE173" s="16"/>
      <c r="AF173" s="16"/>
      <c r="AG173" s="16"/>
      <c r="AH173" s="16"/>
      <c r="AI173" s="16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16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</row>
    <row r="174" spans="1:96" ht="12" customHeight="1" x14ac:dyDescent="0.25">
      <c r="A174" s="3"/>
      <c r="B174" s="14"/>
      <c r="C174" s="14"/>
      <c r="D174" s="14"/>
      <c r="E174" s="14"/>
      <c r="F174" s="9"/>
      <c r="G174" s="9"/>
      <c r="H174" s="9"/>
      <c r="I174" s="10"/>
      <c r="J174" s="10"/>
      <c r="K174" s="14"/>
      <c r="L174" s="11"/>
      <c r="M174" s="14"/>
      <c r="N174" s="14"/>
      <c r="O174" s="4"/>
      <c r="P174" s="3"/>
      <c r="Q174" s="4"/>
      <c r="R174" s="3"/>
      <c r="S174" s="3"/>
      <c r="T174" s="3"/>
      <c r="U174" s="4"/>
      <c r="V174" s="4"/>
      <c r="W174" s="4"/>
      <c r="X174" s="4"/>
      <c r="Y174" s="4"/>
      <c r="Z174" s="11"/>
      <c r="AA174" s="15"/>
      <c r="AB174" s="15"/>
      <c r="AC174" s="15"/>
      <c r="AD174" s="16"/>
      <c r="AE174" s="16"/>
      <c r="AF174" s="16"/>
      <c r="AG174" s="16"/>
      <c r="AH174" s="16"/>
      <c r="AI174" s="16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16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</row>
    <row r="175" spans="1:96" ht="12" customHeight="1" x14ac:dyDescent="0.25">
      <c r="A175" s="3"/>
      <c r="B175" s="14"/>
      <c r="C175" s="14"/>
      <c r="D175" s="14"/>
      <c r="E175" s="14"/>
      <c r="F175" s="9"/>
      <c r="G175" s="9"/>
      <c r="H175" s="9"/>
      <c r="I175" s="10"/>
      <c r="J175" s="10"/>
      <c r="K175" s="14"/>
      <c r="L175" s="11"/>
      <c r="M175" s="14"/>
      <c r="N175" s="14"/>
      <c r="O175" s="4"/>
      <c r="P175" s="3"/>
      <c r="Q175" s="4"/>
      <c r="R175" s="3"/>
      <c r="S175" s="3"/>
      <c r="T175" s="3"/>
      <c r="U175" s="4"/>
      <c r="V175" s="4"/>
      <c r="W175" s="4"/>
      <c r="X175" s="4"/>
      <c r="Y175" s="4"/>
      <c r="Z175" s="11"/>
      <c r="AA175" s="15"/>
      <c r="AB175" s="15"/>
      <c r="AC175" s="15"/>
      <c r="AD175" s="16"/>
      <c r="AE175" s="16"/>
      <c r="AF175" s="16"/>
      <c r="AG175" s="16"/>
      <c r="AH175" s="16"/>
      <c r="AI175" s="16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16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</row>
    <row r="176" spans="1:96" ht="12" customHeight="1" x14ac:dyDescent="0.25">
      <c r="A176" s="3"/>
      <c r="B176" s="14"/>
      <c r="C176" s="14"/>
      <c r="D176" s="14"/>
      <c r="E176" s="14"/>
      <c r="F176" s="9"/>
      <c r="G176" s="9"/>
      <c r="H176" s="9"/>
      <c r="I176" s="10"/>
      <c r="J176" s="10"/>
      <c r="K176" s="14"/>
      <c r="L176" s="11"/>
      <c r="M176" s="14"/>
      <c r="N176" s="14"/>
      <c r="O176" s="4"/>
      <c r="P176" s="3"/>
      <c r="Q176" s="4"/>
      <c r="R176" s="3"/>
      <c r="S176" s="3"/>
      <c r="T176" s="3"/>
      <c r="U176" s="4"/>
      <c r="V176" s="4"/>
      <c r="W176" s="4"/>
      <c r="X176" s="4"/>
      <c r="Y176" s="4"/>
      <c r="Z176" s="11"/>
      <c r="AA176" s="15"/>
      <c r="AB176" s="15"/>
      <c r="AC176" s="15"/>
      <c r="AD176" s="16"/>
      <c r="AE176" s="16"/>
      <c r="AF176" s="16"/>
      <c r="AG176" s="16"/>
      <c r="AH176" s="16"/>
      <c r="AI176" s="16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16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</row>
    <row r="177" spans="1:96" ht="12" customHeight="1" x14ac:dyDescent="0.25">
      <c r="A177" s="3"/>
      <c r="B177" s="14"/>
      <c r="C177" s="14"/>
      <c r="D177" s="14"/>
      <c r="E177" s="14"/>
      <c r="F177" s="9"/>
      <c r="G177" s="9"/>
      <c r="H177" s="9"/>
      <c r="I177" s="10"/>
      <c r="J177" s="10"/>
      <c r="K177" s="14"/>
      <c r="L177" s="11"/>
      <c r="M177" s="14"/>
      <c r="N177" s="14"/>
      <c r="O177" s="4"/>
      <c r="P177" s="3"/>
      <c r="Q177" s="4"/>
      <c r="R177" s="3"/>
      <c r="S177" s="3"/>
      <c r="T177" s="3"/>
      <c r="U177" s="4"/>
      <c r="V177" s="4"/>
      <c r="W177" s="4"/>
      <c r="X177" s="4"/>
      <c r="Y177" s="4"/>
      <c r="Z177" s="11"/>
      <c r="AA177" s="15"/>
      <c r="AB177" s="15"/>
      <c r="AC177" s="15"/>
      <c r="AD177" s="16"/>
      <c r="AE177" s="16"/>
      <c r="AF177" s="16"/>
      <c r="AG177" s="16"/>
      <c r="AH177" s="16"/>
      <c r="AI177" s="16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16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</row>
    <row r="178" spans="1:96" ht="12" customHeight="1" x14ac:dyDescent="0.25">
      <c r="A178" s="3"/>
      <c r="B178" s="14"/>
      <c r="C178" s="14"/>
      <c r="D178" s="14"/>
      <c r="E178" s="14"/>
      <c r="F178" s="9"/>
      <c r="G178" s="9"/>
      <c r="H178" s="9"/>
      <c r="I178" s="10"/>
      <c r="J178" s="10"/>
      <c r="K178" s="14"/>
      <c r="L178" s="11"/>
      <c r="M178" s="14"/>
      <c r="N178" s="14"/>
      <c r="O178" s="4"/>
      <c r="P178" s="3"/>
      <c r="Q178" s="4"/>
      <c r="R178" s="3"/>
      <c r="S178" s="3"/>
      <c r="T178" s="3"/>
      <c r="U178" s="4"/>
      <c r="V178" s="4"/>
      <c r="W178" s="4"/>
      <c r="X178" s="4"/>
      <c r="Y178" s="4"/>
      <c r="Z178" s="11"/>
      <c r="AA178" s="15"/>
      <c r="AB178" s="15"/>
      <c r="AC178" s="15"/>
      <c r="AD178" s="16"/>
      <c r="AE178" s="16"/>
      <c r="AF178" s="16"/>
      <c r="AG178" s="16"/>
      <c r="AH178" s="16"/>
      <c r="AI178" s="16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16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</row>
    <row r="179" spans="1:96" ht="12" customHeight="1" x14ac:dyDescent="0.25">
      <c r="A179" s="3"/>
      <c r="B179" s="14"/>
      <c r="C179" s="14"/>
      <c r="D179" s="14"/>
      <c r="E179" s="14"/>
      <c r="F179" s="9"/>
      <c r="G179" s="9"/>
      <c r="H179" s="9"/>
      <c r="I179" s="10"/>
      <c r="J179" s="10"/>
      <c r="K179" s="14"/>
      <c r="L179" s="11"/>
      <c r="M179" s="14"/>
      <c r="N179" s="14"/>
      <c r="O179" s="4"/>
      <c r="P179" s="3"/>
      <c r="Q179" s="4"/>
      <c r="R179" s="3"/>
      <c r="S179" s="3"/>
      <c r="T179" s="3"/>
      <c r="U179" s="4"/>
      <c r="V179" s="4"/>
      <c r="W179" s="4"/>
      <c r="X179" s="4"/>
      <c r="Y179" s="4"/>
      <c r="Z179" s="11"/>
      <c r="AA179" s="15"/>
      <c r="AB179" s="15"/>
      <c r="AC179" s="15"/>
      <c r="AD179" s="16"/>
      <c r="AE179" s="16"/>
      <c r="AF179" s="16"/>
      <c r="AG179" s="16"/>
      <c r="AH179" s="16"/>
      <c r="AI179" s="16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16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</row>
    <row r="180" spans="1:96" ht="12" customHeight="1" x14ac:dyDescent="0.25">
      <c r="A180" s="3"/>
      <c r="B180" s="14"/>
      <c r="C180" s="14"/>
      <c r="D180" s="14"/>
      <c r="E180" s="14"/>
      <c r="F180" s="9"/>
      <c r="G180" s="9"/>
      <c r="H180" s="9"/>
      <c r="I180" s="10"/>
      <c r="J180" s="10"/>
      <c r="K180" s="14"/>
      <c r="L180" s="11"/>
      <c r="M180" s="14"/>
      <c r="N180" s="14"/>
      <c r="O180" s="4"/>
      <c r="P180" s="3"/>
      <c r="Q180" s="4"/>
      <c r="R180" s="3"/>
      <c r="S180" s="3"/>
      <c r="T180" s="3"/>
      <c r="U180" s="4"/>
      <c r="V180" s="4"/>
      <c r="W180" s="4"/>
      <c r="X180" s="4"/>
      <c r="Y180" s="4"/>
      <c r="Z180" s="11"/>
      <c r="AA180" s="15"/>
      <c r="AB180" s="15"/>
      <c r="AC180" s="15"/>
      <c r="AD180" s="16"/>
      <c r="AE180" s="16"/>
      <c r="AF180" s="16"/>
      <c r="AG180" s="16"/>
      <c r="AH180" s="16"/>
      <c r="AI180" s="16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16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</row>
    <row r="181" spans="1:96" ht="12" customHeight="1" x14ac:dyDescent="0.25">
      <c r="A181" s="3"/>
      <c r="B181" s="14"/>
      <c r="C181" s="14"/>
      <c r="D181" s="14"/>
      <c r="E181" s="14"/>
      <c r="F181" s="9"/>
      <c r="G181" s="9"/>
      <c r="H181" s="9"/>
      <c r="I181" s="10"/>
      <c r="J181" s="10"/>
      <c r="K181" s="14"/>
      <c r="L181" s="11"/>
      <c r="M181" s="14"/>
      <c r="N181" s="14"/>
      <c r="O181" s="4"/>
      <c r="P181" s="3"/>
      <c r="Q181" s="4"/>
      <c r="R181" s="3"/>
      <c r="S181" s="3"/>
      <c r="T181" s="3"/>
      <c r="U181" s="4"/>
      <c r="V181" s="4"/>
      <c r="W181" s="4"/>
      <c r="X181" s="4"/>
      <c r="Y181" s="4"/>
      <c r="Z181" s="11"/>
      <c r="AA181" s="15"/>
      <c r="AB181" s="15"/>
      <c r="AC181" s="15"/>
      <c r="AD181" s="16"/>
      <c r="AE181" s="16"/>
      <c r="AF181" s="16"/>
      <c r="AG181" s="16"/>
      <c r="AH181" s="16"/>
      <c r="AI181" s="16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16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</row>
    <row r="182" spans="1:96" ht="12" customHeight="1" x14ac:dyDescent="0.25">
      <c r="A182" s="3"/>
      <c r="B182" s="14"/>
      <c r="C182" s="14"/>
      <c r="D182" s="14"/>
      <c r="E182" s="14"/>
      <c r="F182" s="9"/>
      <c r="G182" s="9"/>
      <c r="H182" s="9"/>
      <c r="I182" s="10"/>
      <c r="J182" s="10"/>
      <c r="K182" s="14"/>
      <c r="L182" s="11"/>
      <c r="M182" s="14"/>
      <c r="N182" s="14"/>
      <c r="O182" s="4"/>
      <c r="P182" s="3"/>
      <c r="Q182" s="4"/>
      <c r="R182" s="3"/>
      <c r="S182" s="3"/>
      <c r="T182" s="3"/>
      <c r="U182" s="4"/>
      <c r="V182" s="4"/>
      <c r="W182" s="4"/>
      <c r="X182" s="4"/>
      <c r="Y182" s="4"/>
      <c r="Z182" s="11"/>
      <c r="AA182" s="15"/>
      <c r="AB182" s="15"/>
      <c r="AC182" s="15"/>
      <c r="AD182" s="16"/>
      <c r="AE182" s="16"/>
      <c r="AF182" s="16"/>
      <c r="AG182" s="16"/>
      <c r="AH182" s="16"/>
      <c r="AI182" s="16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16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</row>
    <row r="183" spans="1:96" ht="12" customHeight="1" x14ac:dyDescent="0.25">
      <c r="A183" s="3"/>
      <c r="B183" s="14"/>
      <c r="C183" s="14"/>
      <c r="D183" s="14"/>
      <c r="E183" s="14"/>
      <c r="F183" s="9"/>
      <c r="G183" s="9"/>
      <c r="H183" s="9"/>
      <c r="I183" s="10"/>
      <c r="J183" s="10"/>
      <c r="K183" s="14"/>
      <c r="L183" s="11"/>
      <c r="M183" s="14"/>
      <c r="N183" s="14"/>
      <c r="O183" s="4"/>
      <c r="P183" s="3"/>
      <c r="Q183" s="4"/>
      <c r="R183" s="3"/>
      <c r="S183" s="3"/>
      <c r="T183" s="3"/>
      <c r="U183" s="4"/>
      <c r="V183" s="4"/>
      <c r="W183" s="4"/>
      <c r="X183" s="4"/>
      <c r="Y183" s="4"/>
      <c r="Z183" s="11"/>
      <c r="AA183" s="15"/>
      <c r="AB183" s="15"/>
      <c r="AC183" s="15"/>
      <c r="AD183" s="16"/>
      <c r="AE183" s="16"/>
      <c r="AF183" s="16"/>
      <c r="AG183" s="16"/>
      <c r="AH183" s="16"/>
      <c r="AI183" s="16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16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</row>
    <row r="184" spans="1:96" ht="12" customHeight="1" x14ac:dyDescent="0.25">
      <c r="A184" s="3"/>
      <c r="B184" s="14"/>
      <c r="C184" s="14"/>
      <c r="D184" s="14"/>
      <c r="E184" s="14"/>
      <c r="F184" s="9"/>
      <c r="G184" s="9"/>
      <c r="H184" s="9"/>
      <c r="I184" s="10"/>
      <c r="J184" s="10"/>
      <c r="K184" s="14"/>
      <c r="L184" s="11"/>
      <c r="M184" s="14"/>
      <c r="N184" s="14"/>
      <c r="O184" s="4"/>
      <c r="P184" s="3"/>
      <c r="Q184" s="4"/>
      <c r="R184" s="3"/>
      <c r="S184" s="3"/>
      <c r="T184" s="3"/>
      <c r="U184" s="4"/>
      <c r="V184" s="4"/>
      <c r="W184" s="4"/>
      <c r="X184" s="4"/>
      <c r="Y184" s="4"/>
      <c r="Z184" s="11"/>
      <c r="AA184" s="15"/>
      <c r="AB184" s="15"/>
      <c r="AC184" s="15"/>
      <c r="AD184" s="16"/>
      <c r="AE184" s="16"/>
      <c r="AF184" s="16"/>
      <c r="AG184" s="16"/>
      <c r="AH184" s="16"/>
      <c r="AI184" s="16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16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</row>
    <row r="185" spans="1:96" ht="12" customHeight="1" x14ac:dyDescent="0.25">
      <c r="A185" s="3"/>
      <c r="B185" s="14"/>
      <c r="C185" s="14"/>
      <c r="D185" s="14"/>
      <c r="E185" s="14"/>
      <c r="F185" s="9"/>
      <c r="G185" s="9"/>
      <c r="H185" s="9"/>
      <c r="I185" s="10"/>
      <c r="J185" s="10"/>
      <c r="K185" s="14"/>
      <c r="L185" s="11"/>
      <c r="M185" s="14"/>
      <c r="N185" s="14"/>
      <c r="O185" s="4"/>
      <c r="P185" s="3"/>
      <c r="Q185" s="4"/>
      <c r="R185" s="3"/>
      <c r="S185" s="3"/>
      <c r="T185" s="3"/>
      <c r="U185" s="4"/>
      <c r="V185" s="4"/>
      <c r="W185" s="4"/>
      <c r="X185" s="4"/>
      <c r="Y185" s="4"/>
      <c r="Z185" s="11"/>
      <c r="AA185" s="15"/>
      <c r="AB185" s="15"/>
      <c r="AC185" s="15"/>
      <c r="AD185" s="16"/>
      <c r="AE185" s="16"/>
      <c r="AF185" s="16"/>
      <c r="AG185" s="16"/>
      <c r="AH185" s="16"/>
      <c r="AI185" s="16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16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</row>
    <row r="186" spans="1:96" ht="12" customHeight="1" x14ac:dyDescent="0.25">
      <c r="A186" s="3"/>
      <c r="B186" s="14"/>
      <c r="C186" s="14"/>
      <c r="D186" s="14"/>
      <c r="E186" s="14"/>
      <c r="F186" s="9"/>
      <c r="G186" s="9"/>
      <c r="H186" s="9"/>
      <c r="I186" s="10"/>
      <c r="J186" s="10"/>
      <c r="K186" s="14"/>
      <c r="L186" s="11"/>
      <c r="M186" s="14"/>
      <c r="N186" s="14"/>
      <c r="O186" s="4"/>
      <c r="P186" s="3"/>
      <c r="Q186" s="4"/>
      <c r="R186" s="3"/>
      <c r="S186" s="3"/>
      <c r="T186" s="3"/>
      <c r="U186" s="4"/>
      <c r="V186" s="4"/>
      <c r="W186" s="4"/>
      <c r="X186" s="4"/>
      <c r="Y186" s="4"/>
      <c r="Z186" s="11"/>
      <c r="AA186" s="15"/>
      <c r="AB186" s="15"/>
      <c r="AC186" s="15"/>
      <c r="AD186" s="16"/>
      <c r="AE186" s="16"/>
      <c r="AF186" s="16"/>
      <c r="AG186" s="16"/>
      <c r="AH186" s="16"/>
      <c r="AI186" s="16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16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</row>
    <row r="187" spans="1:96" ht="12" customHeight="1" x14ac:dyDescent="0.25">
      <c r="A187" s="3"/>
      <c r="B187" s="14"/>
      <c r="C187" s="14"/>
      <c r="D187" s="14"/>
      <c r="E187" s="14"/>
      <c r="F187" s="9"/>
      <c r="G187" s="9"/>
      <c r="H187" s="9"/>
      <c r="I187" s="10"/>
      <c r="J187" s="10"/>
      <c r="K187" s="14"/>
      <c r="L187" s="11"/>
      <c r="M187" s="14"/>
      <c r="N187" s="14"/>
      <c r="O187" s="4"/>
      <c r="P187" s="3"/>
      <c r="Q187" s="4"/>
      <c r="R187" s="3"/>
      <c r="S187" s="3"/>
      <c r="T187" s="3"/>
      <c r="U187" s="4"/>
      <c r="V187" s="4"/>
      <c r="W187" s="4"/>
      <c r="X187" s="4"/>
      <c r="Y187" s="4"/>
      <c r="Z187" s="11"/>
      <c r="AA187" s="15"/>
      <c r="AB187" s="15"/>
      <c r="AC187" s="15"/>
      <c r="AD187" s="16"/>
      <c r="AE187" s="16"/>
      <c r="AF187" s="16"/>
      <c r="AG187" s="16"/>
      <c r="AH187" s="16"/>
      <c r="AI187" s="16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16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</row>
    <row r="188" spans="1:96" ht="12" customHeight="1" x14ac:dyDescent="0.25">
      <c r="A188" s="3"/>
      <c r="B188" s="14"/>
      <c r="C188" s="14"/>
      <c r="D188" s="14"/>
      <c r="E188" s="14"/>
      <c r="F188" s="9"/>
      <c r="G188" s="9"/>
      <c r="H188" s="9"/>
      <c r="I188" s="10"/>
      <c r="J188" s="10"/>
      <c r="K188" s="14"/>
      <c r="L188" s="11"/>
      <c r="M188" s="14"/>
      <c r="N188" s="14"/>
      <c r="O188" s="4"/>
      <c r="P188" s="3"/>
      <c r="Q188" s="4"/>
      <c r="R188" s="3"/>
      <c r="S188" s="3"/>
      <c r="T188" s="3"/>
      <c r="U188" s="4"/>
      <c r="V188" s="4"/>
      <c r="W188" s="4"/>
      <c r="X188" s="4"/>
      <c r="Y188" s="4"/>
      <c r="Z188" s="11"/>
      <c r="AA188" s="15"/>
      <c r="AB188" s="15"/>
      <c r="AC188" s="15"/>
      <c r="AD188" s="16"/>
      <c r="AE188" s="16"/>
      <c r="AF188" s="16"/>
      <c r="AG188" s="16"/>
      <c r="AH188" s="16"/>
      <c r="AI188" s="16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16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</row>
    <row r="189" spans="1:96" ht="12" customHeight="1" x14ac:dyDescent="0.25">
      <c r="A189" s="3"/>
      <c r="B189" s="14"/>
      <c r="C189" s="14"/>
      <c r="D189" s="14"/>
      <c r="E189" s="14"/>
      <c r="F189" s="9"/>
      <c r="G189" s="9"/>
      <c r="H189" s="9"/>
      <c r="I189" s="10"/>
      <c r="J189" s="10"/>
      <c r="K189" s="14"/>
      <c r="L189" s="11"/>
      <c r="M189" s="14"/>
      <c r="N189" s="14"/>
      <c r="O189" s="4"/>
      <c r="P189" s="3"/>
      <c r="Q189" s="4"/>
      <c r="R189" s="3"/>
      <c r="S189" s="3"/>
      <c r="T189" s="3"/>
      <c r="U189" s="4"/>
      <c r="V189" s="4"/>
      <c r="W189" s="4"/>
      <c r="X189" s="4"/>
      <c r="Y189" s="4"/>
      <c r="Z189" s="11"/>
      <c r="AA189" s="15"/>
      <c r="AB189" s="15"/>
      <c r="AC189" s="15"/>
      <c r="AD189" s="16"/>
      <c r="AE189" s="16"/>
      <c r="AF189" s="16"/>
      <c r="AG189" s="16"/>
      <c r="AH189" s="16"/>
      <c r="AI189" s="16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16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</row>
    <row r="190" spans="1:96" ht="12" customHeight="1" x14ac:dyDescent="0.25">
      <c r="A190" s="3"/>
      <c r="B190" s="14"/>
      <c r="C190" s="14"/>
      <c r="D190" s="14"/>
      <c r="E190" s="14"/>
      <c r="F190" s="9"/>
      <c r="G190" s="9"/>
      <c r="H190" s="9"/>
      <c r="I190" s="10"/>
      <c r="J190" s="10"/>
      <c r="K190" s="14"/>
      <c r="L190" s="11"/>
      <c r="M190" s="14"/>
      <c r="N190" s="14"/>
      <c r="O190" s="4"/>
      <c r="P190" s="3"/>
      <c r="Q190" s="4"/>
      <c r="R190" s="3"/>
      <c r="S190" s="3"/>
      <c r="T190" s="3"/>
      <c r="U190" s="4"/>
      <c r="V190" s="4"/>
      <c r="W190" s="4"/>
      <c r="X190" s="4"/>
      <c r="Y190" s="4"/>
      <c r="Z190" s="11"/>
      <c r="AA190" s="15"/>
      <c r="AB190" s="15"/>
      <c r="AC190" s="15"/>
      <c r="AD190" s="16"/>
      <c r="AE190" s="16"/>
      <c r="AF190" s="16"/>
      <c r="AG190" s="16"/>
      <c r="AH190" s="16"/>
      <c r="AI190" s="16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16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</row>
    <row r="191" spans="1:96" ht="12" customHeight="1" x14ac:dyDescent="0.25">
      <c r="A191" s="3"/>
      <c r="B191" s="14"/>
      <c r="C191" s="14"/>
      <c r="D191" s="14"/>
      <c r="E191" s="14"/>
      <c r="F191" s="9"/>
      <c r="G191" s="9"/>
      <c r="H191" s="9"/>
      <c r="I191" s="10"/>
      <c r="J191" s="10"/>
      <c r="K191" s="14"/>
      <c r="L191" s="11"/>
      <c r="M191" s="14"/>
      <c r="N191" s="14"/>
      <c r="O191" s="4"/>
      <c r="P191" s="3"/>
      <c r="Q191" s="4"/>
      <c r="R191" s="3"/>
      <c r="S191" s="3"/>
      <c r="T191" s="3"/>
      <c r="U191" s="4"/>
      <c r="V191" s="4"/>
      <c r="W191" s="4"/>
      <c r="X191" s="4"/>
      <c r="Y191" s="4"/>
      <c r="Z191" s="11"/>
      <c r="AA191" s="15"/>
      <c r="AB191" s="15"/>
      <c r="AC191" s="15"/>
      <c r="AD191" s="16"/>
      <c r="AE191" s="16"/>
      <c r="AF191" s="16"/>
      <c r="AG191" s="16"/>
      <c r="AH191" s="16"/>
      <c r="AI191" s="16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16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</row>
    <row r="192" spans="1:96" ht="12" customHeight="1" x14ac:dyDescent="0.25">
      <c r="A192" s="3"/>
      <c r="B192" s="14"/>
      <c r="C192" s="14"/>
      <c r="D192" s="14"/>
      <c r="E192" s="14"/>
      <c r="F192" s="9"/>
      <c r="G192" s="9"/>
      <c r="H192" s="9"/>
      <c r="I192" s="10"/>
      <c r="J192" s="10"/>
      <c r="K192" s="14"/>
      <c r="L192" s="11"/>
      <c r="M192" s="14"/>
      <c r="N192" s="14"/>
      <c r="O192" s="4"/>
      <c r="P192" s="3"/>
      <c r="Q192" s="4"/>
      <c r="R192" s="3"/>
      <c r="S192" s="3"/>
      <c r="T192" s="3"/>
      <c r="U192" s="4"/>
      <c r="V192" s="4"/>
      <c r="W192" s="4"/>
      <c r="X192" s="4"/>
      <c r="Y192" s="4"/>
      <c r="Z192" s="11"/>
      <c r="AA192" s="15"/>
      <c r="AB192" s="15"/>
      <c r="AC192" s="15"/>
      <c r="AD192" s="16"/>
      <c r="AE192" s="16"/>
      <c r="AF192" s="16"/>
      <c r="AG192" s="16"/>
      <c r="AH192" s="16"/>
      <c r="AI192" s="16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16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</row>
    <row r="193" spans="1:96" ht="12" customHeight="1" x14ac:dyDescent="0.25">
      <c r="A193" s="3"/>
      <c r="B193" s="14"/>
      <c r="C193" s="14"/>
      <c r="D193" s="14"/>
      <c r="E193" s="14"/>
      <c r="F193" s="9"/>
      <c r="G193" s="9"/>
      <c r="H193" s="9"/>
      <c r="I193" s="10"/>
      <c r="J193" s="10"/>
      <c r="K193" s="14"/>
      <c r="L193" s="11"/>
      <c r="M193" s="14"/>
      <c r="N193" s="14"/>
      <c r="O193" s="4"/>
      <c r="P193" s="3"/>
      <c r="Q193" s="4"/>
      <c r="R193" s="3"/>
      <c r="S193" s="3"/>
      <c r="T193" s="3"/>
      <c r="U193" s="4"/>
      <c r="V193" s="4"/>
      <c r="W193" s="4"/>
      <c r="X193" s="4"/>
      <c r="Y193" s="4"/>
      <c r="Z193" s="11"/>
      <c r="AA193" s="15"/>
      <c r="AB193" s="15"/>
      <c r="AC193" s="15"/>
      <c r="AD193" s="16"/>
      <c r="AE193" s="16"/>
      <c r="AF193" s="16"/>
      <c r="AG193" s="16"/>
      <c r="AH193" s="16"/>
      <c r="AI193" s="16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16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</row>
    <row r="194" spans="1:96" ht="12" customHeight="1" x14ac:dyDescent="0.25">
      <c r="A194" s="3"/>
      <c r="B194" s="14"/>
      <c r="C194" s="14"/>
      <c r="D194" s="14"/>
      <c r="E194" s="14"/>
      <c r="F194" s="9"/>
      <c r="G194" s="9"/>
      <c r="H194" s="9"/>
      <c r="I194" s="10"/>
      <c r="J194" s="10"/>
      <c r="K194" s="14"/>
      <c r="L194" s="11"/>
      <c r="M194" s="14"/>
      <c r="N194" s="14"/>
      <c r="O194" s="4"/>
      <c r="P194" s="3"/>
      <c r="Q194" s="4"/>
      <c r="R194" s="3"/>
      <c r="S194" s="3"/>
      <c r="T194" s="3"/>
      <c r="U194" s="4"/>
      <c r="V194" s="4"/>
      <c r="W194" s="4"/>
      <c r="X194" s="4"/>
      <c r="Y194" s="4"/>
      <c r="Z194" s="11"/>
      <c r="AA194" s="15"/>
      <c r="AB194" s="15"/>
      <c r="AC194" s="15"/>
      <c r="AD194" s="16"/>
      <c r="AE194" s="16"/>
      <c r="AF194" s="16"/>
      <c r="AG194" s="16"/>
      <c r="AH194" s="16"/>
      <c r="AI194" s="16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16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</row>
    <row r="195" spans="1:96" ht="12" customHeight="1" x14ac:dyDescent="0.25">
      <c r="A195" s="3"/>
      <c r="B195" s="14"/>
      <c r="C195" s="14"/>
      <c r="D195" s="14"/>
      <c r="E195" s="14"/>
      <c r="F195" s="9"/>
      <c r="G195" s="9"/>
      <c r="H195" s="9"/>
      <c r="I195" s="10"/>
      <c r="J195" s="10"/>
      <c r="K195" s="14"/>
      <c r="L195" s="11"/>
      <c r="M195" s="14"/>
      <c r="N195" s="14"/>
      <c r="O195" s="4"/>
      <c r="P195" s="3"/>
      <c r="Q195" s="4"/>
      <c r="R195" s="3"/>
      <c r="S195" s="3"/>
      <c r="T195" s="3"/>
      <c r="U195" s="4"/>
      <c r="V195" s="4"/>
      <c r="W195" s="4"/>
      <c r="X195" s="4"/>
      <c r="Y195" s="4"/>
      <c r="Z195" s="11"/>
      <c r="AA195" s="15"/>
      <c r="AB195" s="15"/>
      <c r="AC195" s="15"/>
      <c r="AD195" s="16"/>
      <c r="AE195" s="16"/>
      <c r="AF195" s="16"/>
      <c r="AG195" s="16"/>
      <c r="AH195" s="16"/>
      <c r="AI195" s="16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16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</row>
    <row r="196" spans="1:96" ht="12" customHeight="1" x14ac:dyDescent="0.25">
      <c r="A196" s="3"/>
      <c r="B196" s="14"/>
      <c r="C196" s="14"/>
      <c r="D196" s="14"/>
      <c r="E196" s="14"/>
      <c r="F196" s="9"/>
      <c r="G196" s="9"/>
      <c r="H196" s="9"/>
      <c r="I196" s="10"/>
      <c r="J196" s="10"/>
      <c r="K196" s="14"/>
      <c r="L196" s="11"/>
      <c r="M196" s="14"/>
      <c r="N196" s="14"/>
      <c r="O196" s="4"/>
      <c r="P196" s="3"/>
      <c r="Q196" s="4"/>
      <c r="R196" s="3"/>
      <c r="S196" s="3"/>
      <c r="T196" s="3"/>
      <c r="U196" s="4"/>
      <c r="V196" s="4"/>
      <c r="W196" s="4"/>
      <c r="X196" s="4"/>
      <c r="Y196" s="4"/>
      <c r="Z196" s="11"/>
      <c r="AA196" s="15"/>
      <c r="AB196" s="15"/>
      <c r="AC196" s="15"/>
      <c r="AD196" s="16"/>
      <c r="AE196" s="16"/>
      <c r="AF196" s="16"/>
      <c r="AG196" s="16"/>
      <c r="AH196" s="16"/>
      <c r="AI196" s="16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16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</row>
    <row r="197" spans="1:96" ht="12" customHeight="1" x14ac:dyDescent="0.25">
      <c r="A197" s="3"/>
      <c r="B197" s="14"/>
      <c r="C197" s="14"/>
      <c r="D197" s="14"/>
      <c r="E197" s="14"/>
      <c r="F197" s="9"/>
      <c r="G197" s="9"/>
      <c r="H197" s="9"/>
      <c r="I197" s="10"/>
      <c r="J197" s="10"/>
      <c r="K197" s="14"/>
      <c r="L197" s="11"/>
      <c r="M197" s="14"/>
      <c r="N197" s="14"/>
      <c r="O197" s="4"/>
      <c r="P197" s="3"/>
      <c r="Q197" s="4"/>
      <c r="R197" s="3"/>
      <c r="S197" s="3"/>
      <c r="T197" s="3"/>
      <c r="U197" s="4"/>
      <c r="V197" s="4"/>
      <c r="W197" s="4"/>
      <c r="X197" s="4"/>
      <c r="Y197" s="4"/>
      <c r="Z197" s="11"/>
      <c r="AA197" s="15"/>
      <c r="AB197" s="15"/>
      <c r="AC197" s="15"/>
      <c r="AD197" s="16"/>
      <c r="AE197" s="16"/>
      <c r="AF197" s="16"/>
      <c r="AG197" s="16"/>
      <c r="AH197" s="16"/>
      <c r="AI197" s="16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16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</row>
    <row r="198" spans="1:96" ht="12" customHeight="1" x14ac:dyDescent="0.25">
      <c r="A198" s="3"/>
      <c r="B198" s="14"/>
      <c r="C198" s="14"/>
      <c r="D198" s="14"/>
      <c r="E198" s="14"/>
      <c r="F198" s="9"/>
      <c r="G198" s="9"/>
      <c r="H198" s="9"/>
      <c r="I198" s="10"/>
      <c r="J198" s="10"/>
      <c r="K198" s="14"/>
      <c r="L198" s="11"/>
      <c r="M198" s="14"/>
      <c r="N198" s="14"/>
      <c r="O198" s="4"/>
      <c r="P198" s="3"/>
      <c r="Q198" s="4"/>
      <c r="R198" s="3"/>
      <c r="S198" s="3"/>
      <c r="T198" s="3"/>
      <c r="U198" s="4"/>
      <c r="V198" s="4"/>
      <c r="W198" s="4"/>
      <c r="X198" s="4"/>
      <c r="Y198" s="4"/>
      <c r="Z198" s="11"/>
      <c r="AA198" s="15"/>
      <c r="AB198" s="15"/>
      <c r="AC198" s="15"/>
      <c r="AD198" s="16"/>
      <c r="AE198" s="16"/>
      <c r="AF198" s="16"/>
      <c r="AG198" s="16"/>
      <c r="AH198" s="16"/>
      <c r="AI198" s="16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16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</row>
    <row r="199" spans="1:96" ht="12" customHeight="1" x14ac:dyDescent="0.25">
      <c r="A199" s="3"/>
      <c r="B199" s="14"/>
      <c r="C199" s="14"/>
      <c r="D199" s="14"/>
      <c r="E199" s="14"/>
      <c r="F199" s="9"/>
      <c r="G199" s="9"/>
      <c r="H199" s="9"/>
      <c r="I199" s="10"/>
      <c r="J199" s="10"/>
      <c r="K199" s="14"/>
      <c r="L199" s="11"/>
      <c r="M199" s="14"/>
      <c r="N199" s="14"/>
      <c r="O199" s="4"/>
      <c r="P199" s="3"/>
      <c r="Q199" s="4"/>
      <c r="R199" s="3"/>
      <c r="S199" s="3"/>
      <c r="T199" s="3"/>
      <c r="U199" s="4"/>
      <c r="V199" s="4"/>
      <c r="W199" s="4"/>
      <c r="X199" s="4"/>
      <c r="Y199" s="4"/>
      <c r="Z199" s="11"/>
      <c r="AA199" s="15"/>
      <c r="AB199" s="15"/>
      <c r="AC199" s="15"/>
      <c r="AD199" s="16"/>
      <c r="AE199" s="16"/>
      <c r="AF199" s="16"/>
      <c r="AG199" s="16"/>
      <c r="AH199" s="16"/>
      <c r="AI199" s="16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16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</row>
    <row r="200" spans="1:96" ht="12" customHeight="1" x14ac:dyDescent="0.25">
      <c r="A200" s="3"/>
      <c r="B200" s="14"/>
      <c r="C200" s="14"/>
      <c r="D200" s="14"/>
      <c r="E200" s="14"/>
      <c r="F200" s="9"/>
      <c r="G200" s="9"/>
      <c r="H200" s="9"/>
      <c r="I200" s="10"/>
      <c r="J200" s="10"/>
      <c r="K200" s="14"/>
      <c r="L200" s="11"/>
      <c r="M200" s="14"/>
      <c r="N200" s="14"/>
      <c r="O200" s="4"/>
      <c r="P200" s="3"/>
      <c r="Q200" s="4"/>
      <c r="R200" s="3"/>
      <c r="S200" s="3"/>
      <c r="T200" s="3"/>
      <c r="U200" s="4"/>
      <c r="V200" s="4"/>
      <c r="W200" s="4"/>
      <c r="X200" s="4"/>
      <c r="Y200" s="4"/>
      <c r="Z200" s="11"/>
      <c r="AA200" s="15"/>
      <c r="AB200" s="15"/>
      <c r="AC200" s="15"/>
      <c r="AD200" s="16"/>
      <c r="AE200" s="16"/>
      <c r="AF200" s="16"/>
      <c r="AG200" s="16"/>
      <c r="AH200" s="16"/>
      <c r="AI200" s="16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16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</row>
    <row r="201" spans="1:96" ht="12" customHeight="1" x14ac:dyDescent="0.25">
      <c r="A201" s="3"/>
      <c r="B201" s="14"/>
      <c r="C201" s="14"/>
      <c r="D201" s="14"/>
      <c r="E201" s="14"/>
      <c r="F201" s="9"/>
      <c r="G201" s="9"/>
      <c r="H201" s="9"/>
      <c r="I201" s="10"/>
      <c r="J201" s="10"/>
      <c r="K201" s="14"/>
      <c r="L201" s="11"/>
      <c r="M201" s="14"/>
      <c r="N201" s="14"/>
      <c r="O201" s="4"/>
      <c r="P201" s="3"/>
      <c r="Q201" s="4"/>
      <c r="R201" s="3"/>
      <c r="S201" s="3"/>
      <c r="T201" s="3"/>
      <c r="U201" s="4"/>
      <c r="V201" s="4"/>
      <c r="W201" s="4"/>
      <c r="X201" s="4"/>
      <c r="Y201" s="4"/>
      <c r="Z201" s="11"/>
      <c r="AA201" s="15"/>
      <c r="AB201" s="15"/>
      <c r="AC201" s="15"/>
      <c r="AD201" s="16"/>
      <c r="AE201" s="16"/>
      <c r="AF201" s="16"/>
      <c r="AG201" s="16"/>
      <c r="AH201" s="16"/>
      <c r="AI201" s="16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16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</row>
    <row r="202" spans="1:96" ht="12" customHeight="1" x14ac:dyDescent="0.25">
      <c r="A202" s="3"/>
      <c r="B202" s="14"/>
      <c r="C202" s="14"/>
      <c r="D202" s="14"/>
      <c r="E202" s="14"/>
      <c r="F202" s="9"/>
      <c r="G202" s="9"/>
      <c r="H202" s="9"/>
      <c r="I202" s="10"/>
      <c r="J202" s="10"/>
      <c r="K202" s="14"/>
      <c r="L202" s="11"/>
      <c r="M202" s="14"/>
      <c r="N202" s="14"/>
      <c r="O202" s="4"/>
      <c r="P202" s="3"/>
      <c r="Q202" s="4"/>
      <c r="R202" s="3"/>
      <c r="S202" s="3"/>
      <c r="T202" s="3"/>
      <c r="U202" s="4"/>
      <c r="V202" s="4"/>
      <c r="W202" s="4"/>
      <c r="X202" s="4"/>
      <c r="Y202" s="4"/>
      <c r="Z202" s="11"/>
      <c r="AA202" s="15"/>
      <c r="AB202" s="15"/>
      <c r="AC202" s="15"/>
      <c r="AD202" s="16"/>
      <c r="AE202" s="16"/>
      <c r="AF202" s="16"/>
      <c r="AG202" s="16"/>
      <c r="AH202" s="16"/>
      <c r="AI202" s="16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16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</row>
    <row r="203" spans="1:96" ht="12" customHeight="1" x14ac:dyDescent="0.25">
      <c r="A203" s="3"/>
      <c r="B203" s="14"/>
      <c r="C203" s="14"/>
      <c r="D203" s="14"/>
      <c r="E203" s="14"/>
      <c r="F203" s="9"/>
      <c r="G203" s="9"/>
      <c r="H203" s="9"/>
      <c r="I203" s="10"/>
      <c r="J203" s="10"/>
      <c r="K203" s="14"/>
      <c r="L203" s="11"/>
      <c r="M203" s="14"/>
      <c r="N203" s="14"/>
      <c r="O203" s="4"/>
      <c r="P203" s="3"/>
      <c r="Q203" s="4"/>
      <c r="R203" s="3"/>
      <c r="S203" s="3"/>
      <c r="T203" s="3"/>
      <c r="U203" s="4"/>
      <c r="V203" s="4"/>
      <c r="W203" s="4"/>
      <c r="X203" s="4"/>
      <c r="Y203" s="4"/>
      <c r="Z203" s="11"/>
      <c r="AA203" s="15"/>
      <c r="AB203" s="15"/>
      <c r="AC203" s="15"/>
      <c r="AD203" s="16"/>
      <c r="AE203" s="16"/>
      <c r="AF203" s="16"/>
      <c r="AG203" s="16"/>
      <c r="AH203" s="16"/>
      <c r="AI203" s="16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16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</row>
    <row r="204" spans="1:96" ht="12" customHeight="1" x14ac:dyDescent="0.25">
      <c r="A204" s="3"/>
      <c r="B204" s="14"/>
      <c r="C204" s="14"/>
      <c r="D204" s="14"/>
      <c r="E204" s="14"/>
      <c r="F204" s="9"/>
      <c r="G204" s="9"/>
      <c r="H204" s="9"/>
      <c r="I204" s="10"/>
      <c r="J204" s="10"/>
      <c r="K204" s="14"/>
      <c r="L204" s="11"/>
      <c r="M204" s="14"/>
      <c r="N204" s="14"/>
      <c r="O204" s="4"/>
      <c r="P204" s="3"/>
      <c r="Q204" s="4"/>
      <c r="R204" s="3"/>
      <c r="S204" s="3"/>
      <c r="T204" s="3"/>
      <c r="U204" s="4"/>
      <c r="V204" s="4"/>
      <c r="W204" s="4"/>
      <c r="X204" s="4"/>
      <c r="Y204" s="4"/>
      <c r="Z204" s="11"/>
      <c r="AA204" s="15"/>
      <c r="AB204" s="15"/>
      <c r="AC204" s="15"/>
      <c r="AD204" s="16"/>
      <c r="AE204" s="16"/>
      <c r="AF204" s="16"/>
      <c r="AG204" s="16"/>
      <c r="AH204" s="16"/>
      <c r="AI204" s="16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16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</row>
    <row r="205" spans="1:96" ht="12" customHeight="1" x14ac:dyDescent="0.25">
      <c r="A205" s="3"/>
      <c r="B205" s="14"/>
      <c r="C205" s="14"/>
      <c r="D205" s="14"/>
      <c r="E205" s="14"/>
      <c r="F205" s="9"/>
      <c r="G205" s="9"/>
      <c r="H205" s="9"/>
      <c r="I205" s="10"/>
      <c r="J205" s="10"/>
      <c r="K205" s="14"/>
      <c r="L205" s="11"/>
      <c r="M205" s="14"/>
      <c r="N205" s="14"/>
      <c r="O205" s="4"/>
      <c r="P205" s="3"/>
      <c r="Q205" s="4"/>
      <c r="R205" s="3"/>
      <c r="S205" s="3"/>
      <c r="T205" s="3"/>
      <c r="U205" s="4"/>
      <c r="V205" s="4"/>
      <c r="W205" s="4"/>
      <c r="X205" s="4"/>
      <c r="Y205" s="4"/>
      <c r="Z205" s="11"/>
      <c r="AA205" s="15"/>
      <c r="AB205" s="15"/>
      <c r="AC205" s="15"/>
      <c r="AD205" s="16"/>
      <c r="AE205" s="16"/>
      <c r="AF205" s="16"/>
      <c r="AG205" s="16"/>
      <c r="AH205" s="16"/>
      <c r="AI205" s="16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16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</row>
    <row r="206" spans="1:96" ht="12" customHeight="1" x14ac:dyDescent="0.25">
      <c r="A206" s="3"/>
      <c r="B206" s="14"/>
      <c r="C206" s="14"/>
      <c r="D206" s="14"/>
      <c r="E206" s="14"/>
      <c r="F206" s="9"/>
      <c r="G206" s="9"/>
      <c r="H206" s="9"/>
      <c r="I206" s="10"/>
      <c r="J206" s="10"/>
      <c r="K206" s="14"/>
      <c r="L206" s="11"/>
      <c r="M206" s="14"/>
      <c r="N206" s="14"/>
      <c r="O206" s="4"/>
      <c r="P206" s="3"/>
      <c r="Q206" s="4"/>
      <c r="R206" s="3"/>
      <c r="S206" s="3"/>
      <c r="T206" s="3"/>
      <c r="U206" s="4"/>
      <c r="V206" s="4"/>
      <c r="W206" s="4"/>
      <c r="X206" s="4"/>
      <c r="Y206" s="4"/>
      <c r="Z206" s="11"/>
      <c r="AA206" s="15"/>
      <c r="AB206" s="15"/>
      <c r="AC206" s="15"/>
      <c r="AD206" s="16"/>
      <c r="AE206" s="16"/>
      <c r="AF206" s="16"/>
      <c r="AG206" s="16"/>
      <c r="AH206" s="16"/>
      <c r="AI206" s="16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16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</row>
    <row r="207" spans="1:96" ht="12" customHeight="1" x14ac:dyDescent="0.25">
      <c r="A207" s="3"/>
      <c r="B207" s="14"/>
      <c r="C207" s="14"/>
      <c r="D207" s="14"/>
      <c r="E207" s="14"/>
      <c r="F207" s="9"/>
      <c r="G207" s="9"/>
      <c r="H207" s="9"/>
      <c r="I207" s="10"/>
      <c r="J207" s="10"/>
      <c r="K207" s="14"/>
      <c r="L207" s="11"/>
      <c r="M207" s="14"/>
      <c r="N207" s="14"/>
      <c r="O207" s="4"/>
      <c r="P207" s="3"/>
      <c r="Q207" s="4"/>
      <c r="R207" s="3"/>
      <c r="S207" s="3"/>
      <c r="T207" s="3"/>
      <c r="U207" s="4"/>
      <c r="V207" s="4"/>
      <c r="W207" s="4"/>
      <c r="X207" s="4"/>
      <c r="Y207" s="4"/>
      <c r="Z207" s="11"/>
      <c r="AA207" s="15"/>
      <c r="AB207" s="15"/>
      <c r="AC207" s="15"/>
      <c r="AD207" s="16"/>
      <c r="AE207" s="16"/>
      <c r="AF207" s="16"/>
      <c r="AG207" s="16"/>
      <c r="AH207" s="16"/>
      <c r="AI207" s="16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16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</row>
    <row r="208" spans="1:96" ht="12" customHeight="1" x14ac:dyDescent="0.25">
      <c r="A208" s="3"/>
      <c r="B208" s="14"/>
      <c r="C208" s="14"/>
      <c r="D208" s="14"/>
      <c r="E208" s="14"/>
      <c r="F208" s="9"/>
      <c r="G208" s="9"/>
      <c r="H208" s="9"/>
      <c r="I208" s="10"/>
      <c r="J208" s="10"/>
      <c r="K208" s="14"/>
      <c r="L208" s="11"/>
      <c r="M208" s="14"/>
      <c r="N208" s="14"/>
      <c r="O208" s="4"/>
      <c r="P208" s="3"/>
      <c r="Q208" s="4"/>
      <c r="R208" s="3"/>
      <c r="S208" s="3"/>
      <c r="T208" s="3"/>
      <c r="U208" s="4"/>
      <c r="V208" s="4"/>
      <c r="W208" s="4"/>
      <c r="X208" s="4"/>
      <c r="Y208" s="4"/>
      <c r="Z208" s="11"/>
      <c r="AA208" s="15"/>
      <c r="AB208" s="15"/>
      <c r="AC208" s="15"/>
      <c r="AD208" s="16"/>
      <c r="AE208" s="16"/>
      <c r="AF208" s="16"/>
      <c r="AG208" s="16"/>
      <c r="AH208" s="16"/>
      <c r="AI208" s="16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16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</row>
    <row r="209" spans="1:96" ht="12" customHeight="1" x14ac:dyDescent="0.25">
      <c r="A209" s="3"/>
      <c r="B209" s="14"/>
      <c r="C209" s="14"/>
      <c r="D209" s="14"/>
      <c r="E209" s="14"/>
      <c r="F209" s="9"/>
      <c r="G209" s="9"/>
      <c r="H209" s="9"/>
      <c r="I209" s="10"/>
      <c r="J209" s="10"/>
      <c r="K209" s="14"/>
      <c r="L209" s="11"/>
      <c r="M209" s="14"/>
      <c r="N209" s="14"/>
      <c r="O209" s="4"/>
      <c r="P209" s="3"/>
      <c r="Q209" s="4"/>
      <c r="R209" s="3"/>
      <c r="S209" s="3"/>
      <c r="T209" s="3"/>
      <c r="U209" s="4"/>
      <c r="V209" s="4"/>
      <c r="W209" s="4"/>
      <c r="X209" s="4"/>
      <c r="Y209" s="4"/>
      <c r="Z209" s="11"/>
      <c r="AA209" s="15"/>
      <c r="AB209" s="15"/>
      <c r="AC209" s="15"/>
      <c r="AD209" s="16"/>
      <c r="AE209" s="16"/>
      <c r="AF209" s="16"/>
      <c r="AG209" s="16"/>
      <c r="AH209" s="16"/>
      <c r="AI209" s="16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16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</row>
    <row r="210" spans="1:96" ht="12" customHeight="1" x14ac:dyDescent="0.25">
      <c r="A210" s="3"/>
      <c r="B210" s="14"/>
      <c r="C210" s="14"/>
      <c r="D210" s="14"/>
      <c r="E210" s="14"/>
      <c r="F210" s="9"/>
      <c r="G210" s="9"/>
      <c r="H210" s="9"/>
      <c r="I210" s="10"/>
      <c r="J210" s="10"/>
      <c r="K210" s="14"/>
      <c r="L210" s="11"/>
      <c r="M210" s="14"/>
      <c r="N210" s="14"/>
      <c r="O210" s="4"/>
      <c r="P210" s="3"/>
      <c r="Q210" s="4"/>
      <c r="R210" s="3"/>
      <c r="S210" s="3"/>
      <c r="T210" s="3"/>
      <c r="U210" s="4"/>
      <c r="V210" s="4"/>
      <c r="W210" s="4"/>
      <c r="X210" s="4"/>
      <c r="Y210" s="4"/>
      <c r="Z210" s="11"/>
      <c r="AA210" s="15"/>
      <c r="AB210" s="15"/>
      <c r="AC210" s="15"/>
      <c r="AD210" s="16"/>
      <c r="AE210" s="16"/>
      <c r="AF210" s="16"/>
      <c r="AG210" s="16"/>
      <c r="AH210" s="16"/>
      <c r="AI210" s="16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16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</row>
    <row r="211" spans="1:96" ht="12" customHeight="1" x14ac:dyDescent="0.25">
      <c r="A211" s="3"/>
      <c r="B211" s="14"/>
      <c r="C211" s="14"/>
      <c r="D211" s="14"/>
      <c r="E211" s="14"/>
      <c r="F211" s="9"/>
      <c r="G211" s="9"/>
      <c r="H211" s="9"/>
      <c r="I211" s="10"/>
      <c r="J211" s="10"/>
      <c r="K211" s="14"/>
      <c r="L211" s="11"/>
      <c r="M211" s="14"/>
      <c r="N211" s="14"/>
      <c r="O211" s="4"/>
      <c r="P211" s="3"/>
      <c r="Q211" s="4"/>
      <c r="R211" s="3"/>
      <c r="S211" s="3"/>
      <c r="T211" s="3"/>
      <c r="U211" s="4"/>
      <c r="V211" s="4"/>
      <c r="W211" s="4"/>
      <c r="X211" s="4"/>
      <c r="Y211" s="4"/>
      <c r="Z211" s="11"/>
      <c r="AA211" s="15"/>
      <c r="AB211" s="15"/>
      <c r="AC211" s="15"/>
      <c r="AD211" s="16"/>
      <c r="AE211" s="16"/>
      <c r="AF211" s="16"/>
      <c r="AG211" s="16"/>
      <c r="AH211" s="16"/>
      <c r="AI211" s="16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16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</row>
    <row r="212" spans="1:96" ht="12" customHeight="1" x14ac:dyDescent="0.25">
      <c r="A212" s="3"/>
      <c r="B212" s="14"/>
      <c r="C212" s="14"/>
      <c r="D212" s="14"/>
      <c r="E212" s="14"/>
      <c r="F212" s="9"/>
      <c r="G212" s="9"/>
      <c r="H212" s="9"/>
      <c r="I212" s="10"/>
      <c r="J212" s="10"/>
      <c r="K212" s="14"/>
      <c r="L212" s="11"/>
      <c r="M212" s="14"/>
      <c r="N212" s="14"/>
      <c r="O212" s="4"/>
      <c r="P212" s="3"/>
      <c r="Q212" s="4"/>
      <c r="R212" s="3"/>
      <c r="S212" s="3"/>
      <c r="T212" s="3"/>
      <c r="U212" s="4"/>
      <c r="V212" s="4"/>
      <c r="W212" s="4"/>
      <c r="X212" s="4"/>
      <c r="Y212" s="4"/>
      <c r="Z212" s="11"/>
      <c r="AA212" s="15"/>
      <c r="AB212" s="15"/>
      <c r="AC212" s="15"/>
      <c r="AD212" s="16"/>
      <c r="AE212" s="16"/>
      <c r="AF212" s="16"/>
      <c r="AG212" s="16"/>
      <c r="AH212" s="16"/>
      <c r="AI212" s="16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16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</row>
    <row r="213" spans="1:96" ht="12" customHeight="1" x14ac:dyDescent="0.25">
      <c r="A213" s="3"/>
      <c r="B213" s="14"/>
      <c r="C213" s="14"/>
      <c r="D213" s="14"/>
      <c r="E213" s="14"/>
      <c r="F213" s="9"/>
      <c r="G213" s="9"/>
      <c r="H213" s="9"/>
      <c r="I213" s="10"/>
      <c r="J213" s="10"/>
      <c r="K213" s="14"/>
      <c r="L213" s="11"/>
      <c r="M213" s="14"/>
      <c r="N213" s="14"/>
      <c r="O213" s="4"/>
      <c r="P213" s="3"/>
      <c r="Q213" s="4"/>
      <c r="R213" s="3"/>
      <c r="S213" s="3"/>
      <c r="T213" s="3"/>
      <c r="U213" s="4"/>
      <c r="V213" s="4"/>
      <c r="W213" s="4"/>
      <c r="X213" s="4"/>
      <c r="Y213" s="4"/>
      <c r="Z213" s="11"/>
      <c r="AA213" s="15"/>
      <c r="AB213" s="15"/>
      <c r="AC213" s="15"/>
      <c r="AD213" s="16"/>
      <c r="AE213" s="16"/>
      <c r="AF213" s="16"/>
      <c r="AG213" s="16"/>
      <c r="AH213" s="16"/>
      <c r="AI213" s="16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16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</row>
    <row r="214" spans="1:96" ht="12" customHeight="1" x14ac:dyDescent="0.25">
      <c r="A214" s="3"/>
      <c r="B214" s="14"/>
      <c r="C214" s="14"/>
      <c r="D214" s="14"/>
      <c r="E214" s="14"/>
      <c r="F214" s="9"/>
      <c r="G214" s="9"/>
      <c r="H214" s="9"/>
      <c r="I214" s="10"/>
      <c r="J214" s="10"/>
      <c r="K214" s="14"/>
      <c r="L214" s="11"/>
      <c r="M214" s="14"/>
      <c r="N214" s="14"/>
      <c r="O214" s="4"/>
      <c r="P214" s="3"/>
      <c r="Q214" s="4"/>
      <c r="R214" s="3"/>
      <c r="S214" s="3"/>
      <c r="T214" s="3"/>
      <c r="U214" s="4"/>
      <c r="V214" s="4"/>
      <c r="W214" s="4"/>
      <c r="X214" s="4"/>
      <c r="Y214" s="4"/>
      <c r="Z214" s="11"/>
      <c r="AA214" s="15"/>
      <c r="AB214" s="15"/>
      <c r="AC214" s="15"/>
      <c r="AD214" s="16"/>
      <c r="AE214" s="16"/>
      <c r="AF214" s="16"/>
      <c r="AG214" s="16"/>
      <c r="AH214" s="16"/>
      <c r="AI214" s="16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16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</row>
    <row r="215" spans="1:96" ht="12" customHeight="1" x14ac:dyDescent="0.25">
      <c r="A215" s="3"/>
      <c r="B215" s="14"/>
      <c r="C215" s="14"/>
      <c r="D215" s="14"/>
      <c r="E215" s="14"/>
      <c r="F215" s="9"/>
      <c r="G215" s="9"/>
      <c r="H215" s="9"/>
      <c r="I215" s="10"/>
      <c r="J215" s="10"/>
      <c r="K215" s="14"/>
      <c r="L215" s="11"/>
      <c r="M215" s="14"/>
      <c r="N215" s="14"/>
      <c r="O215" s="4"/>
      <c r="P215" s="3"/>
      <c r="Q215" s="4"/>
      <c r="R215" s="3"/>
      <c r="S215" s="3"/>
      <c r="T215" s="3"/>
      <c r="U215" s="4"/>
      <c r="V215" s="4"/>
      <c r="W215" s="4"/>
      <c r="X215" s="4"/>
      <c r="Y215" s="4"/>
      <c r="Z215" s="11"/>
      <c r="AA215" s="15"/>
      <c r="AB215" s="15"/>
      <c r="AC215" s="15"/>
      <c r="AD215" s="16"/>
      <c r="AE215" s="16"/>
      <c r="AF215" s="16"/>
      <c r="AG215" s="16"/>
      <c r="AH215" s="16"/>
      <c r="AI215" s="16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16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</row>
    <row r="216" spans="1:96" ht="12" customHeight="1" x14ac:dyDescent="0.25">
      <c r="A216" s="3"/>
      <c r="B216" s="14"/>
      <c r="C216" s="14"/>
      <c r="D216" s="14"/>
      <c r="E216" s="14"/>
      <c r="F216" s="9"/>
      <c r="G216" s="9"/>
      <c r="H216" s="9"/>
      <c r="I216" s="10"/>
      <c r="J216" s="10"/>
      <c r="K216" s="14"/>
      <c r="L216" s="11"/>
      <c r="M216" s="14"/>
      <c r="N216" s="14"/>
      <c r="O216" s="4"/>
      <c r="P216" s="3"/>
      <c r="Q216" s="4"/>
      <c r="R216" s="3"/>
      <c r="S216" s="3"/>
      <c r="T216" s="3"/>
      <c r="U216" s="4"/>
      <c r="V216" s="4"/>
      <c r="W216" s="4"/>
      <c r="X216" s="4"/>
      <c r="Y216" s="4"/>
      <c r="Z216" s="11"/>
      <c r="AA216" s="15"/>
      <c r="AB216" s="15"/>
      <c r="AC216" s="15"/>
      <c r="AD216" s="16"/>
      <c r="AE216" s="16"/>
      <c r="AF216" s="16"/>
      <c r="AG216" s="16"/>
      <c r="AH216" s="16"/>
      <c r="AI216" s="16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16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</row>
    <row r="217" spans="1:96" ht="12" customHeight="1" x14ac:dyDescent="0.25">
      <c r="A217" s="3"/>
      <c r="B217" s="14"/>
      <c r="C217" s="14"/>
      <c r="D217" s="14"/>
      <c r="E217" s="14"/>
      <c r="F217" s="9"/>
      <c r="G217" s="9"/>
      <c r="H217" s="9"/>
      <c r="I217" s="10"/>
      <c r="J217" s="10"/>
      <c r="K217" s="14"/>
      <c r="L217" s="11"/>
      <c r="M217" s="14"/>
      <c r="N217" s="14"/>
      <c r="O217" s="4"/>
      <c r="P217" s="3"/>
      <c r="Q217" s="4"/>
      <c r="R217" s="3"/>
      <c r="S217" s="3"/>
      <c r="T217" s="3"/>
      <c r="U217" s="4"/>
      <c r="V217" s="4"/>
      <c r="W217" s="4"/>
      <c r="X217" s="4"/>
      <c r="Y217" s="4"/>
      <c r="Z217" s="11"/>
      <c r="AA217" s="15"/>
      <c r="AB217" s="15"/>
      <c r="AC217" s="15"/>
      <c r="AD217" s="16"/>
      <c r="AE217" s="16"/>
      <c r="AF217" s="16"/>
      <c r="AG217" s="16"/>
      <c r="AH217" s="16"/>
      <c r="AI217" s="16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16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</row>
    <row r="218" spans="1:96" ht="12" customHeight="1" x14ac:dyDescent="0.25">
      <c r="A218" s="3"/>
      <c r="B218" s="14"/>
      <c r="C218" s="14"/>
      <c r="D218" s="14"/>
      <c r="E218" s="14"/>
      <c r="F218" s="9"/>
      <c r="G218" s="9"/>
      <c r="H218" s="9"/>
      <c r="I218" s="10"/>
      <c r="J218" s="10"/>
      <c r="K218" s="14"/>
      <c r="L218" s="11"/>
      <c r="M218" s="14"/>
      <c r="N218" s="14"/>
      <c r="O218" s="4"/>
      <c r="P218" s="3"/>
      <c r="Q218" s="4"/>
      <c r="R218" s="3"/>
      <c r="S218" s="3"/>
      <c r="T218" s="3"/>
      <c r="U218" s="4"/>
      <c r="V218" s="4"/>
      <c r="W218" s="4"/>
      <c r="X218" s="4"/>
      <c r="Y218" s="4"/>
      <c r="Z218" s="11"/>
      <c r="AA218" s="15"/>
      <c r="AB218" s="15"/>
      <c r="AC218" s="15"/>
      <c r="AD218" s="16"/>
      <c r="AE218" s="16"/>
      <c r="AF218" s="16"/>
      <c r="AG218" s="16"/>
      <c r="AH218" s="16"/>
      <c r="AI218" s="16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16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</row>
    <row r="219" spans="1:96" ht="12" customHeight="1" x14ac:dyDescent="0.25">
      <c r="A219" s="3"/>
      <c r="B219" s="14"/>
      <c r="C219" s="14"/>
      <c r="D219" s="14"/>
      <c r="E219" s="14"/>
      <c r="F219" s="9"/>
      <c r="G219" s="9"/>
      <c r="H219" s="9"/>
      <c r="I219" s="10"/>
      <c r="J219" s="10"/>
      <c r="K219" s="14"/>
      <c r="L219" s="11"/>
      <c r="M219" s="14"/>
      <c r="N219" s="14"/>
      <c r="O219" s="4"/>
      <c r="P219" s="3"/>
      <c r="Q219" s="4"/>
      <c r="R219" s="3"/>
      <c r="S219" s="3"/>
      <c r="T219" s="3"/>
      <c r="U219" s="4"/>
      <c r="V219" s="4"/>
      <c r="W219" s="4"/>
      <c r="X219" s="4"/>
      <c r="Y219" s="4"/>
      <c r="Z219" s="11"/>
      <c r="AA219" s="15"/>
      <c r="AB219" s="15"/>
      <c r="AC219" s="15"/>
      <c r="AD219" s="16"/>
      <c r="AE219" s="16"/>
      <c r="AF219" s="16"/>
      <c r="AG219" s="16"/>
      <c r="AH219" s="16"/>
      <c r="AI219" s="16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16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</row>
    <row r="220" spans="1:96" ht="12" customHeight="1" x14ac:dyDescent="0.25">
      <c r="A220" s="3"/>
      <c r="B220" s="14"/>
      <c r="C220" s="14"/>
      <c r="D220" s="14"/>
      <c r="E220" s="14"/>
      <c r="F220" s="9"/>
      <c r="G220" s="9"/>
      <c r="H220" s="9"/>
      <c r="I220" s="10"/>
      <c r="J220" s="10"/>
      <c r="K220" s="14"/>
      <c r="L220" s="11"/>
      <c r="M220" s="14"/>
      <c r="N220" s="14"/>
      <c r="O220" s="4"/>
      <c r="P220" s="3"/>
      <c r="Q220" s="4"/>
      <c r="R220" s="3"/>
      <c r="S220" s="3"/>
      <c r="T220" s="3"/>
      <c r="U220" s="4"/>
      <c r="V220" s="4"/>
      <c r="W220" s="4"/>
      <c r="X220" s="4"/>
      <c r="Y220" s="4"/>
      <c r="Z220" s="11"/>
      <c r="AA220" s="15"/>
      <c r="AB220" s="15"/>
      <c r="AC220" s="15"/>
      <c r="AD220" s="16"/>
      <c r="AE220" s="16"/>
      <c r="AF220" s="16"/>
      <c r="AG220" s="16"/>
      <c r="AH220" s="16"/>
      <c r="AI220" s="16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16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</row>
    <row r="221" spans="1:96" ht="12" customHeight="1" x14ac:dyDescent="0.25">
      <c r="A221" s="3"/>
      <c r="B221" s="14"/>
      <c r="C221" s="14"/>
      <c r="D221" s="14"/>
      <c r="E221" s="14"/>
      <c r="F221" s="9"/>
      <c r="G221" s="9"/>
      <c r="H221" s="9"/>
      <c r="I221" s="10"/>
      <c r="J221" s="10"/>
      <c r="K221" s="14"/>
      <c r="L221" s="11"/>
      <c r="M221" s="14"/>
      <c r="N221" s="14"/>
      <c r="O221" s="4"/>
      <c r="P221" s="3"/>
      <c r="Q221" s="4"/>
      <c r="R221" s="3"/>
      <c r="S221" s="3"/>
      <c r="T221" s="3"/>
      <c r="U221" s="4"/>
      <c r="V221" s="4"/>
      <c r="W221" s="4"/>
      <c r="X221" s="4"/>
      <c r="Y221" s="4"/>
      <c r="Z221" s="11"/>
      <c r="AA221" s="15"/>
      <c r="AB221" s="15"/>
      <c r="AC221" s="15"/>
      <c r="AD221" s="16"/>
      <c r="AE221" s="16"/>
      <c r="AF221" s="16"/>
      <c r="AG221" s="16"/>
      <c r="AH221" s="16"/>
      <c r="AI221" s="16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16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</row>
    <row r="222" spans="1:96" ht="12" customHeight="1" x14ac:dyDescent="0.25">
      <c r="A222" s="3"/>
      <c r="B222" s="14"/>
      <c r="C222" s="14"/>
      <c r="D222" s="14"/>
      <c r="E222" s="14"/>
      <c r="F222" s="9"/>
      <c r="G222" s="9"/>
      <c r="H222" s="9"/>
      <c r="I222" s="10"/>
      <c r="J222" s="10"/>
      <c r="K222" s="14"/>
      <c r="L222" s="11"/>
      <c r="M222" s="14"/>
      <c r="N222" s="14"/>
      <c r="O222" s="4"/>
      <c r="P222" s="3"/>
      <c r="Q222" s="4"/>
      <c r="R222" s="3"/>
      <c r="S222" s="3"/>
      <c r="T222" s="3"/>
      <c r="U222" s="4"/>
      <c r="V222" s="4"/>
      <c r="W222" s="4"/>
      <c r="X222" s="4"/>
      <c r="Y222" s="4"/>
      <c r="Z222" s="11"/>
      <c r="AA222" s="15"/>
      <c r="AB222" s="15"/>
      <c r="AC222" s="15"/>
      <c r="AD222" s="16"/>
      <c r="AE222" s="16"/>
      <c r="AF222" s="16"/>
      <c r="AG222" s="16"/>
      <c r="AH222" s="16"/>
      <c r="AI222" s="16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16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</row>
    <row r="223" spans="1:96" ht="12" customHeight="1" x14ac:dyDescent="0.25">
      <c r="A223" s="3"/>
      <c r="B223" s="14"/>
      <c r="C223" s="14"/>
      <c r="D223" s="14"/>
      <c r="E223" s="14"/>
      <c r="F223" s="9"/>
      <c r="G223" s="9"/>
      <c r="H223" s="9"/>
      <c r="I223" s="10"/>
      <c r="J223" s="10"/>
      <c r="K223" s="14"/>
      <c r="L223" s="11"/>
      <c r="M223" s="14"/>
      <c r="N223" s="14"/>
      <c r="O223" s="4"/>
      <c r="P223" s="3"/>
      <c r="Q223" s="4"/>
      <c r="R223" s="3"/>
      <c r="S223" s="3"/>
      <c r="T223" s="3"/>
      <c r="U223" s="4"/>
      <c r="V223" s="4"/>
      <c r="W223" s="4"/>
      <c r="X223" s="4"/>
      <c r="Y223" s="4"/>
      <c r="Z223" s="11"/>
      <c r="AA223" s="15"/>
      <c r="AB223" s="15"/>
      <c r="AC223" s="15"/>
      <c r="AD223" s="16"/>
      <c r="AE223" s="16"/>
      <c r="AF223" s="16"/>
      <c r="AG223" s="16"/>
      <c r="AH223" s="16"/>
      <c r="AI223" s="16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16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</row>
    <row r="224" spans="1:96" ht="12" customHeight="1" x14ac:dyDescent="0.25">
      <c r="A224" s="3"/>
      <c r="B224" s="14"/>
      <c r="C224" s="14"/>
      <c r="D224" s="14"/>
      <c r="E224" s="14"/>
      <c r="F224" s="9"/>
      <c r="G224" s="9"/>
      <c r="H224" s="9"/>
      <c r="I224" s="10"/>
      <c r="J224" s="10"/>
      <c r="K224" s="14"/>
      <c r="L224" s="11"/>
      <c r="M224" s="14"/>
      <c r="N224" s="14"/>
      <c r="O224" s="4"/>
      <c r="P224" s="3"/>
      <c r="Q224" s="4"/>
      <c r="R224" s="3"/>
      <c r="S224" s="3"/>
      <c r="T224" s="3"/>
      <c r="U224" s="4"/>
      <c r="V224" s="4"/>
      <c r="W224" s="4"/>
      <c r="X224" s="4"/>
      <c r="Y224" s="4"/>
      <c r="Z224" s="11"/>
      <c r="AA224" s="15"/>
      <c r="AB224" s="15"/>
      <c r="AC224" s="15"/>
      <c r="AD224" s="16"/>
      <c r="AE224" s="16"/>
      <c r="AF224" s="16"/>
      <c r="AG224" s="16"/>
      <c r="AH224" s="16"/>
      <c r="AI224" s="16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16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</row>
    <row r="225" spans="1:96" ht="12" customHeight="1" x14ac:dyDescent="0.25">
      <c r="A225" s="3"/>
      <c r="B225" s="14"/>
      <c r="C225" s="14"/>
      <c r="D225" s="14"/>
      <c r="E225" s="14"/>
      <c r="F225" s="9"/>
      <c r="G225" s="9"/>
      <c r="H225" s="9"/>
      <c r="I225" s="10"/>
      <c r="J225" s="10"/>
      <c r="K225" s="14"/>
      <c r="L225" s="11"/>
      <c r="M225" s="14"/>
      <c r="N225" s="14"/>
      <c r="O225" s="4"/>
      <c r="P225" s="3"/>
      <c r="Q225" s="4"/>
      <c r="R225" s="3"/>
      <c r="S225" s="3"/>
      <c r="T225" s="3"/>
      <c r="U225" s="4"/>
      <c r="V225" s="4"/>
      <c r="W225" s="4"/>
      <c r="X225" s="4"/>
      <c r="Y225" s="4"/>
      <c r="Z225" s="11"/>
      <c r="AA225" s="15"/>
      <c r="AB225" s="15"/>
      <c r="AC225" s="15"/>
      <c r="AD225" s="16"/>
      <c r="AE225" s="16"/>
      <c r="AF225" s="16"/>
      <c r="AG225" s="16"/>
      <c r="AH225" s="16"/>
      <c r="AI225" s="16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16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</row>
    <row r="226" spans="1:96" ht="12" customHeight="1" x14ac:dyDescent="0.25">
      <c r="A226" s="3"/>
      <c r="B226" s="14"/>
      <c r="C226" s="14"/>
      <c r="D226" s="14"/>
      <c r="E226" s="14"/>
      <c r="F226" s="9"/>
      <c r="G226" s="9"/>
      <c r="H226" s="9"/>
      <c r="I226" s="10"/>
      <c r="J226" s="10"/>
      <c r="K226" s="14"/>
      <c r="L226" s="11"/>
      <c r="M226" s="14"/>
      <c r="N226" s="14"/>
      <c r="O226" s="4"/>
      <c r="P226" s="3"/>
      <c r="Q226" s="4"/>
      <c r="R226" s="3"/>
      <c r="S226" s="3"/>
      <c r="T226" s="3"/>
      <c r="U226" s="4"/>
      <c r="V226" s="4"/>
      <c r="W226" s="4"/>
      <c r="X226" s="4"/>
      <c r="Y226" s="4"/>
      <c r="Z226" s="11"/>
      <c r="AA226" s="15"/>
      <c r="AB226" s="15"/>
      <c r="AC226" s="15"/>
      <c r="AD226" s="16"/>
      <c r="AE226" s="16"/>
      <c r="AF226" s="16"/>
      <c r="AG226" s="16"/>
      <c r="AH226" s="16"/>
      <c r="AI226" s="16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16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</row>
    <row r="227" spans="1:96" ht="12" customHeight="1" x14ac:dyDescent="0.25">
      <c r="A227" s="3"/>
      <c r="B227" s="14"/>
      <c r="C227" s="14"/>
      <c r="D227" s="14"/>
      <c r="E227" s="14"/>
      <c r="F227" s="9"/>
      <c r="G227" s="9"/>
      <c r="H227" s="9"/>
      <c r="I227" s="10"/>
      <c r="J227" s="10"/>
      <c r="K227" s="14"/>
      <c r="L227" s="11"/>
      <c r="M227" s="14"/>
      <c r="N227" s="14"/>
      <c r="O227" s="4"/>
      <c r="P227" s="3"/>
      <c r="Q227" s="4"/>
      <c r="R227" s="3"/>
      <c r="S227" s="3"/>
      <c r="T227" s="3"/>
      <c r="U227" s="4"/>
      <c r="V227" s="4"/>
      <c r="W227" s="4"/>
      <c r="X227" s="4"/>
      <c r="Y227" s="4"/>
      <c r="Z227" s="11"/>
      <c r="AA227" s="15"/>
      <c r="AB227" s="15"/>
      <c r="AC227" s="15"/>
      <c r="AD227" s="16"/>
      <c r="AE227" s="16"/>
      <c r="AF227" s="16"/>
      <c r="AG227" s="16"/>
      <c r="AH227" s="16"/>
      <c r="AI227" s="16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16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</row>
    <row r="228" spans="1:96" ht="12" customHeight="1" x14ac:dyDescent="0.25">
      <c r="A228" s="3"/>
      <c r="B228" s="14"/>
      <c r="C228" s="14"/>
      <c r="D228" s="14"/>
      <c r="E228" s="14"/>
      <c r="F228" s="9"/>
      <c r="G228" s="9"/>
      <c r="H228" s="9"/>
      <c r="I228" s="10"/>
      <c r="J228" s="10"/>
      <c r="K228" s="14"/>
      <c r="L228" s="11"/>
      <c r="M228" s="14"/>
      <c r="N228" s="14"/>
      <c r="O228" s="4"/>
      <c r="P228" s="3"/>
      <c r="Q228" s="4"/>
      <c r="R228" s="3"/>
      <c r="S228" s="3"/>
      <c r="T228" s="3"/>
      <c r="U228" s="4"/>
      <c r="V228" s="4"/>
      <c r="W228" s="4"/>
      <c r="X228" s="4"/>
      <c r="Y228" s="4"/>
      <c r="Z228" s="11"/>
      <c r="AA228" s="15"/>
      <c r="AB228" s="15"/>
      <c r="AC228" s="15"/>
      <c r="AD228" s="16"/>
      <c r="AE228" s="16"/>
      <c r="AF228" s="16"/>
      <c r="AG228" s="16"/>
      <c r="AH228" s="16"/>
      <c r="AI228" s="16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16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</row>
    <row r="229" spans="1:96" ht="12" customHeight="1" x14ac:dyDescent="0.25">
      <c r="A229" s="3"/>
      <c r="B229" s="14"/>
      <c r="C229" s="14"/>
      <c r="D229" s="14"/>
      <c r="E229" s="14"/>
      <c r="F229" s="9"/>
      <c r="G229" s="9"/>
      <c r="H229" s="9"/>
      <c r="I229" s="10"/>
      <c r="J229" s="10"/>
      <c r="K229" s="14"/>
      <c r="L229" s="11"/>
      <c r="M229" s="14"/>
      <c r="N229" s="14"/>
      <c r="O229" s="4"/>
      <c r="P229" s="3"/>
      <c r="Q229" s="4"/>
      <c r="R229" s="3"/>
      <c r="S229" s="3"/>
      <c r="T229" s="3"/>
      <c r="U229" s="4"/>
      <c r="V229" s="4"/>
      <c r="W229" s="4"/>
      <c r="X229" s="4"/>
      <c r="Y229" s="4"/>
      <c r="Z229" s="11"/>
      <c r="AA229" s="15"/>
      <c r="AB229" s="15"/>
      <c r="AC229" s="15"/>
      <c r="AD229" s="16"/>
      <c r="AE229" s="16"/>
      <c r="AF229" s="16"/>
      <c r="AG229" s="16"/>
      <c r="AH229" s="16"/>
      <c r="AI229" s="16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16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</row>
    <row r="230" spans="1:96" ht="12" customHeight="1" x14ac:dyDescent="0.25">
      <c r="A230" s="3"/>
      <c r="B230" s="14"/>
      <c r="C230" s="14"/>
      <c r="D230" s="14"/>
      <c r="E230" s="14"/>
      <c r="F230" s="9"/>
      <c r="G230" s="9"/>
      <c r="H230" s="9"/>
      <c r="I230" s="10"/>
      <c r="J230" s="10"/>
      <c r="K230" s="14"/>
      <c r="L230" s="11"/>
      <c r="M230" s="14"/>
      <c r="N230" s="14"/>
      <c r="O230" s="4"/>
      <c r="P230" s="3"/>
      <c r="Q230" s="4"/>
      <c r="R230" s="3"/>
      <c r="S230" s="3"/>
      <c r="T230" s="3"/>
      <c r="U230" s="4"/>
      <c r="V230" s="4"/>
      <c r="W230" s="4"/>
      <c r="X230" s="4"/>
      <c r="Y230" s="4"/>
      <c r="Z230" s="11"/>
      <c r="AA230" s="15"/>
      <c r="AB230" s="15"/>
      <c r="AC230" s="15"/>
      <c r="AD230" s="16"/>
      <c r="AE230" s="16"/>
      <c r="AF230" s="16"/>
      <c r="AG230" s="16"/>
      <c r="AH230" s="16"/>
      <c r="AI230" s="16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16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</row>
    <row r="231" spans="1:96" ht="12" customHeight="1" x14ac:dyDescent="0.25">
      <c r="A231" s="3"/>
      <c r="B231" s="14"/>
      <c r="C231" s="14"/>
      <c r="D231" s="14"/>
      <c r="E231" s="14"/>
      <c r="F231" s="9"/>
      <c r="G231" s="9"/>
      <c r="H231" s="9"/>
      <c r="I231" s="10"/>
      <c r="J231" s="10"/>
      <c r="K231" s="14"/>
      <c r="L231" s="11"/>
      <c r="M231" s="14"/>
      <c r="N231" s="14"/>
      <c r="O231" s="4"/>
      <c r="P231" s="3"/>
      <c r="Q231" s="4"/>
      <c r="R231" s="3"/>
      <c r="S231" s="3"/>
      <c r="T231" s="3"/>
      <c r="U231" s="4"/>
      <c r="V231" s="4"/>
      <c r="W231" s="4"/>
      <c r="X231" s="4"/>
      <c r="Y231" s="4"/>
      <c r="Z231" s="11"/>
      <c r="AA231" s="15"/>
      <c r="AB231" s="15"/>
      <c r="AC231" s="15"/>
      <c r="AD231" s="16"/>
      <c r="AE231" s="16"/>
      <c r="AF231" s="16"/>
      <c r="AG231" s="16"/>
      <c r="AH231" s="16"/>
      <c r="AI231" s="16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16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</row>
    <row r="232" spans="1:96" ht="12" customHeight="1" x14ac:dyDescent="0.25">
      <c r="A232" s="3"/>
      <c r="B232" s="14"/>
      <c r="C232" s="14"/>
      <c r="D232" s="14"/>
      <c r="E232" s="14"/>
      <c r="F232" s="9"/>
      <c r="G232" s="9"/>
      <c r="H232" s="9"/>
      <c r="I232" s="10"/>
      <c r="J232" s="10"/>
      <c r="K232" s="14"/>
      <c r="L232" s="11"/>
      <c r="M232" s="14"/>
      <c r="N232" s="14"/>
      <c r="O232" s="4"/>
      <c r="P232" s="3"/>
      <c r="Q232" s="4"/>
      <c r="R232" s="3"/>
      <c r="S232" s="3"/>
      <c r="T232" s="3"/>
      <c r="U232" s="4"/>
      <c r="V232" s="4"/>
      <c r="W232" s="4"/>
      <c r="X232" s="4"/>
      <c r="Y232" s="4"/>
      <c r="Z232" s="11"/>
      <c r="AA232" s="15"/>
      <c r="AB232" s="15"/>
      <c r="AC232" s="15"/>
      <c r="AD232" s="16"/>
      <c r="AE232" s="16"/>
      <c r="AF232" s="16"/>
      <c r="AG232" s="16"/>
      <c r="AH232" s="16"/>
      <c r="AI232" s="16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16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</row>
    <row r="233" spans="1:96" ht="12" customHeight="1" x14ac:dyDescent="0.25">
      <c r="A233" s="3"/>
      <c r="B233" s="14"/>
      <c r="C233" s="14"/>
      <c r="D233" s="14"/>
      <c r="E233" s="14"/>
      <c r="F233" s="9"/>
      <c r="G233" s="9"/>
      <c r="H233" s="9"/>
      <c r="I233" s="10"/>
      <c r="J233" s="10"/>
      <c r="K233" s="14"/>
      <c r="L233" s="11"/>
      <c r="M233" s="14"/>
      <c r="N233" s="14"/>
      <c r="O233" s="4"/>
      <c r="P233" s="3"/>
      <c r="Q233" s="4"/>
      <c r="R233" s="3"/>
      <c r="S233" s="3"/>
      <c r="T233" s="3"/>
      <c r="U233" s="4"/>
      <c r="V233" s="4"/>
      <c r="W233" s="4"/>
      <c r="X233" s="4"/>
      <c r="Y233" s="4"/>
      <c r="Z233" s="11"/>
      <c r="AA233" s="15"/>
      <c r="AB233" s="15"/>
      <c r="AC233" s="15"/>
      <c r="AD233" s="16"/>
      <c r="AE233" s="16"/>
      <c r="AF233" s="16"/>
      <c r="AG233" s="16"/>
      <c r="AH233" s="16"/>
      <c r="AI233" s="16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16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</row>
    <row r="234" spans="1:96" ht="12" customHeight="1" x14ac:dyDescent="0.25">
      <c r="A234" s="3"/>
      <c r="B234" s="14"/>
      <c r="C234" s="14"/>
      <c r="D234" s="14"/>
      <c r="E234" s="14"/>
      <c r="F234" s="9"/>
      <c r="G234" s="9"/>
      <c r="H234" s="9"/>
      <c r="I234" s="10"/>
      <c r="J234" s="10"/>
      <c r="K234" s="14"/>
      <c r="L234" s="11"/>
      <c r="M234" s="14"/>
      <c r="N234" s="14"/>
      <c r="O234" s="4"/>
      <c r="P234" s="3"/>
      <c r="Q234" s="4"/>
      <c r="R234" s="3"/>
      <c r="S234" s="3"/>
      <c r="T234" s="3"/>
      <c r="U234" s="4"/>
      <c r="V234" s="4"/>
      <c r="W234" s="4"/>
      <c r="X234" s="4"/>
      <c r="Y234" s="4"/>
      <c r="Z234" s="11"/>
      <c r="AA234" s="15"/>
      <c r="AB234" s="15"/>
      <c r="AC234" s="15"/>
      <c r="AD234" s="16"/>
      <c r="AE234" s="16"/>
      <c r="AF234" s="16"/>
      <c r="AG234" s="16"/>
      <c r="AH234" s="16"/>
      <c r="AI234" s="16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16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</row>
    <row r="235" spans="1:96" ht="12" customHeight="1" x14ac:dyDescent="0.25">
      <c r="A235" s="3"/>
      <c r="B235" s="14"/>
      <c r="C235" s="14"/>
      <c r="D235" s="14"/>
      <c r="E235" s="14"/>
      <c r="F235" s="9"/>
      <c r="G235" s="9"/>
      <c r="H235" s="9"/>
      <c r="I235" s="10"/>
      <c r="J235" s="10"/>
      <c r="K235" s="14"/>
      <c r="L235" s="11"/>
      <c r="M235" s="14"/>
      <c r="N235" s="14"/>
      <c r="O235" s="4"/>
      <c r="P235" s="3"/>
      <c r="Q235" s="4"/>
      <c r="R235" s="3"/>
      <c r="S235" s="3"/>
      <c r="T235" s="3"/>
      <c r="U235" s="4"/>
      <c r="V235" s="4"/>
      <c r="W235" s="4"/>
      <c r="X235" s="4"/>
      <c r="Y235" s="4"/>
      <c r="Z235" s="11"/>
      <c r="AA235" s="15"/>
      <c r="AB235" s="15"/>
      <c r="AC235" s="15"/>
      <c r="AD235" s="16"/>
      <c r="AE235" s="16"/>
      <c r="AF235" s="16"/>
      <c r="AG235" s="16"/>
      <c r="AH235" s="16"/>
      <c r="AI235" s="16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16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</row>
    <row r="236" spans="1:96" ht="12" customHeight="1" x14ac:dyDescent="0.25">
      <c r="A236" s="3"/>
      <c r="B236" s="14"/>
      <c r="C236" s="14"/>
      <c r="D236" s="14"/>
      <c r="E236" s="14"/>
      <c r="F236" s="9"/>
      <c r="G236" s="9"/>
      <c r="H236" s="9"/>
      <c r="I236" s="10"/>
      <c r="J236" s="10"/>
      <c r="K236" s="14"/>
      <c r="L236" s="11"/>
      <c r="M236" s="14"/>
      <c r="N236" s="14"/>
      <c r="O236" s="4"/>
      <c r="P236" s="3"/>
      <c r="Q236" s="4"/>
      <c r="R236" s="3"/>
      <c r="S236" s="3"/>
      <c r="T236" s="3"/>
      <c r="U236" s="4"/>
      <c r="V236" s="4"/>
      <c r="W236" s="4"/>
      <c r="X236" s="4"/>
      <c r="Y236" s="4"/>
      <c r="Z236" s="11"/>
      <c r="AA236" s="15"/>
      <c r="AB236" s="15"/>
      <c r="AC236" s="15"/>
      <c r="AD236" s="16"/>
      <c r="AE236" s="16"/>
      <c r="AF236" s="16"/>
      <c r="AG236" s="16"/>
      <c r="AH236" s="16"/>
      <c r="AI236" s="16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16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</row>
    <row r="237" spans="1:96" ht="12" customHeight="1" x14ac:dyDescent="0.25">
      <c r="A237" s="3"/>
      <c r="B237" s="14"/>
      <c r="C237" s="14"/>
      <c r="D237" s="14"/>
      <c r="E237" s="14"/>
      <c r="F237" s="9"/>
      <c r="G237" s="9"/>
      <c r="H237" s="9"/>
      <c r="I237" s="10"/>
      <c r="J237" s="10"/>
      <c r="K237" s="14"/>
      <c r="L237" s="11"/>
      <c r="M237" s="14"/>
      <c r="N237" s="14"/>
      <c r="O237" s="4"/>
      <c r="P237" s="3"/>
      <c r="Q237" s="4"/>
      <c r="R237" s="3"/>
      <c r="S237" s="3"/>
      <c r="T237" s="3"/>
      <c r="U237" s="4"/>
      <c r="V237" s="4"/>
      <c r="W237" s="4"/>
      <c r="X237" s="4"/>
      <c r="Y237" s="4"/>
      <c r="Z237" s="11"/>
      <c r="AA237" s="15"/>
      <c r="AB237" s="15"/>
      <c r="AC237" s="15"/>
      <c r="AD237" s="16"/>
      <c r="AE237" s="16"/>
      <c r="AF237" s="16"/>
      <c r="AG237" s="16"/>
      <c r="AH237" s="16"/>
      <c r="AI237" s="16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16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</row>
    <row r="238" spans="1:96" ht="12" customHeight="1" x14ac:dyDescent="0.25">
      <c r="A238" s="3"/>
      <c r="B238" s="14"/>
      <c r="C238" s="14"/>
      <c r="D238" s="14"/>
      <c r="E238" s="14"/>
      <c r="F238" s="9"/>
      <c r="G238" s="9"/>
      <c r="H238" s="9"/>
      <c r="I238" s="10"/>
      <c r="J238" s="10"/>
      <c r="K238" s="14"/>
      <c r="L238" s="11"/>
      <c r="M238" s="14"/>
      <c r="N238" s="14"/>
      <c r="O238" s="4"/>
      <c r="P238" s="3"/>
      <c r="Q238" s="4"/>
      <c r="R238" s="3"/>
      <c r="S238" s="3"/>
      <c r="T238" s="3"/>
      <c r="U238" s="4"/>
      <c r="V238" s="4"/>
      <c r="W238" s="4"/>
      <c r="X238" s="4"/>
      <c r="Y238" s="4"/>
      <c r="Z238" s="11"/>
      <c r="AA238" s="15"/>
      <c r="AB238" s="15"/>
      <c r="AC238" s="15"/>
      <c r="AD238" s="16"/>
      <c r="AE238" s="16"/>
      <c r="AF238" s="16"/>
      <c r="AG238" s="16"/>
      <c r="AH238" s="16"/>
      <c r="AI238" s="16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16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</row>
    <row r="239" spans="1:96" ht="12" customHeight="1" x14ac:dyDescent="0.25">
      <c r="A239" s="3"/>
      <c r="B239" s="14"/>
      <c r="C239" s="14"/>
      <c r="D239" s="14"/>
      <c r="E239" s="14"/>
      <c r="F239" s="9"/>
      <c r="G239" s="9"/>
      <c r="H239" s="9"/>
      <c r="I239" s="10"/>
      <c r="J239" s="10"/>
      <c r="K239" s="14"/>
      <c r="L239" s="11"/>
      <c r="M239" s="14"/>
      <c r="N239" s="14"/>
      <c r="O239" s="4"/>
      <c r="P239" s="3"/>
      <c r="Q239" s="4"/>
      <c r="R239" s="3"/>
      <c r="S239" s="3"/>
      <c r="T239" s="3"/>
      <c r="U239" s="4"/>
      <c r="V239" s="4"/>
      <c r="W239" s="4"/>
      <c r="X239" s="4"/>
      <c r="Y239" s="4"/>
      <c r="Z239" s="11"/>
      <c r="AA239" s="15"/>
      <c r="AB239" s="15"/>
      <c r="AC239" s="15"/>
      <c r="AD239" s="16"/>
      <c r="AE239" s="16"/>
      <c r="AF239" s="16"/>
      <c r="AG239" s="16"/>
      <c r="AH239" s="16"/>
      <c r="AI239" s="16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16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</row>
    <row r="240" spans="1:96" ht="12" customHeight="1" x14ac:dyDescent="0.25">
      <c r="A240" s="3"/>
      <c r="B240" s="14"/>
      <c r="C240" s="14"/>
      <c r="D240" s="14"/>
      <c r="E240" s="14"/>
      <c r="F240" s="9"/>
      <c r="G240" s="9"/>
      <c r="H240" s="9"/>
      <c r="I240" s="10"/>
      <c r="J240" s="10"/>
      <c r="K240" s="14"/>
      <c r="L240" s="11"/>
      <c r="M240" s="14"/>
      <c r="N240" s="14"/>
      <c r="O240" s="4"/>
      <c r="P240" s="3"/>
      <c r="Q240" s="4"/>
      <c r="R240" s="3"/>
      <c r="S240" s="3"/>
      <c r="T240" s="3"/>
      <c r="U240" s="4"/>
      <c r="V240" s="4"/>
      <c r="W240" s="4"/>
      <c r="X240" s="4"/>
      <c r="Y240" s="4"/>
      <c r="Z240" s="11"/>
      <c r="AA240" s="15"/>
      <c r="AB240" s="15"/>
      <c r="AC240" s="15"/>
      <c r="AD240" s="16"/>
      <c r="AE240" s="16"/>
      <c r="AF240" s="16"/>
      <c r="AG240" s="16"/>
      <c r="AH240" s="16"/>
      <c r="AI240" s="16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16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</row>
    <row r="241" spans="1:96" ht="12" customHeight="1" x14ac:dyDescent="0.25">
      <c r="A241" s="3"/>
      <c r="B241" s="14"/>
      <c r="C241" s="14"/>
      <c r="D241" s="14"/>
      <c r="E241" s="14"/>
      <c r="F241" s="9"/>
      <c r="G241" s="9"/>
      <c r="H241" s="9"/>
      <c r="I241" s="10"/>
      <c r="J241" s="10"/>
      <c r="K241" s="14"/>
      <c r="L241" s="11"/>
      <c r="M241" s="14"/>
      <c r="N241" s="14"/>
      <c r="O241" s="4"/>
      <c r="P241" s="3"/>
      <c r="Q241" s="4"/>
      <c r="R241" s="3"/>
      <c r="S241" s="3"/>
      <c r="T241" s="3"/>
      <c r="U241" s="4"/>
      <c r="V241" s="4"/>
      <c r="W241" s="4"/>
      <c r="X241" s="4"/>
      <c r="Y241" s="4"/>
      <c r="Z241" s="11"/>
      <c r="AA241" s="15"/>
      <c r="AB241" s="15"/>
      <c r="AC241" s="15"/>
      <c r="AD241" s="16"/>
      <c r="AE241" s="16"/>
      <c r="AF241" s="16"/>
      <c r="AG241" s="16"/>
      <c r="AH241" s="16"/>
      <c r="AI241" s="16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16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</row>
    <row r="242" spans="1:96" ht="12" customHeight="1" x14ac:dyDescent="0.25">
      <c r="A242" s="3"/>
      <c r="B242" s="14"/>
      <c r="C242" s="14"/>
      <c r="D242" s="14"/>
      <c r="E242" s="14"/>
      <c r="F242" s="9"/>
      <c r="G242" s="9"/>
      <c r="H242" s="9"/>
      <c r="I242" s="10"/>
      <c r="J242" s="10"/>
      <c r="K242" s="14"/>
      <c r="L242" s="11"/>
      <c r="M242" s="14"/>
      <c r="N242" s="14"/>
      <c r="O242" s="4"/>
      <c r="P242" s="3"/>
      <c r="Q242" s="4"/>
      <c r="R242" s="3"/>
      <c r="S242" s="3"/>
      <c r="T242" s="3"/>
      <c r="U242" s="4"/>
      <c r="V242" s="4"/>
      <c r="W242" s="4"/>
      <c r="X242" s="4"/>
      <c r="Y242" s="4"/>
      <c r="Z242" s="11"/>
      <c r="AA242" s="15"/>
      <c r="AB242" s="15"/>
      <c r="AC242" s="15"/>
      <c r="AD242" s="16"/>
      <c r="AE242" s="16"/>
      <c r="AF242" s="16"/>
      <c r="AG242" s="16"/>
      <c r="AH242" s="16"/>
      <c r="AI242" s="16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16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</row>
    <row r="243" spans="1:96" ht="12" customHeight="1" x14ac:dyDescent="0.25">
      <c r="A243" s="3"/>
      <c r="B243" s="14"/>
      <c r="C243" s="14"/>
      <c r="D243" s="14"/>
      <c r="E243" s="14"/>
      <c r="F243" s="9"/>
      <c r="G243" s="9"/>
      <c r="H243" s="9"/>
      <c r="I243" s="10"/>
      <c r="J243" s="10"/>
      <c r="K243" s="14"/>
      <c r="L243" s="11"/>
      <c r="M243" s="14"/>
      <c r="N243" s="14"/>
      <c r="O243" s="4"/>
      <c r="P243" s="3"/>
      <c r="Q243" s="4"/>
      <c r="R243" s="3"/>
      <c r="S243" s="3"/>
      <c r="T243" s="3"/>
      <c r="U243" s="4"/>
      <c r="V243" s="4"/>
      <c r="W243" s="4"/>
      <c r="X243" s="4"/>
      <c r="Y243" s="4"/>
      <c r="Z243" s="11"/>
      <c r="AA243" s="15"/>
      <c r="AB243" s="15"/>
      <c r="AC243" s="15"/>
      <c r="AD243" s="16"/>
      <c r="AE243" s="16"/>
      <c r="AF243" s="16"/>
      <c r="AG243" s="16"/>
      <c r="AH243" s="16"/>
      <c r="AI243" s="16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16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</row>
    <row r="244" spans="1:96" ht="12" customHeight="1" x14ac:dyDescent="0.25">
      <c r="A244" s="3"/>
      <c r="B244" s="14"/>
      <c r="C244" s="14"/>
      <c r="D244" s="14"/>
      <c r="E244" s="14"/>
      <c r="F244" s="9"/>
      <c r="G244" s="9"/>
      <c r="H244" s="9"/>
      <c r="I244" s="10"/>
      <c r="J244" s="10"/>
      <c r="K244" s="14"/>
      <c r="L244" s="11"/>
      <c r="M244" s="14"/>
      <c r="N244" s="14"/>
      <c r="O244" s="4"/>
      <c r="P244" s="3"/>
      <c r="Q244" s="4"/>
      <c r="R244" s="3"/>
      <c r="S244" s="3"/>
      <c r="T244" s="3"/>
      <c r="U244" s="4"/>
      <c r="V244" s="4"/>
      <c r="W244" s="4"/>
      <c r="X244" s="4"/>
      <c r="Y244" s="4"/>
      <c r="Z244" s="11"/>
      <c r="AA244" s="15"/>
      <c r="AB244" s="15"/>
      <c r="AC244" s="15"/>
      <c r="AD244" s="16"/>
      <c r="AE244" s="16"/>
      <c r="AF244" s="16"/>
      <c r="AG244" s="16"/>
      <c r="AH244" s="16"/>
      <c r="AI244" s="16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16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</row>
    <row r="245" spans="1:96" ht="12" customHeight="1" x14ac:dyDescent="0.25">
      <c r="A245" s="3"/>
      <c r="B245" s="14"/>
      <c r="C245" s="14"/>
      <c r="D245" s="14"/>
      <c r="E245" s="14"/>
      <c r="F245" s="9"/>
      <c r="G245" s="9"/>
      <c r="H245" s="9"/>
      <c r="I245" s="10"/>
      <c r="J245" s="10"/>
      <c r="K245" s="14"/>
      <c r="L245" s="11"/>
      <c r="M245" s="14"/>
      <c r="N245" s="14"/>
      <c r="O245" s="4"/>
      <c r="P245" s="3"/>
      <c r="Q245" s="4"/>
      <c r="R245" s="3"/>
      <c r="S245" s="3"/>
      <c r="T245" s="3"/>
      <c r="U245" s="4"/>
      <c r="V245" s="4"/>
      <c r="W245" s="4"/>
      <c r="X245" s="4"/>
      <c r="Y245" s="4"/>
      <c r="Z245" s="11"/>
      <c r="AA245" s="15"/>
      <c r="AB245" s="15"/>
      <c r="AC245" s="15"/>
      <c r="AD245" s="16"/>
      <c r="AE245" s="16"/>
      <c r="AF245" s="16"/>
      <c r="AG245" s="16"/>
      <c r="AH245" s="16"/>
      <c r="AI245" s="16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16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</row>
    <row r="246" spans="1:96" ht="12" customHeight="1" x14ac:dyDescent="0.25">
      <c r="A246" s="3"/>
      <c r="B246" s="14"/>
      <c r="C246" s="14"/>
      <c r="D246" s="14"/>
      <c r="E246" s="14"/>
      <c r="F246" s="9"/>
      <c r="G246" s="9"/>
      <c r="H246" s="9"/>
      <c r="I246" s="10"/>
      <c r="J246" s="10"/>
      <c r="K246" s="14"/>
      <c r="L246" s="11"/>
      <c r="M246" s="14"/>
      <c r="N246" s="14"/>
      <c r="O246" s="4"/>
      <c r="P246" s="3"/>
      <c r="Q246" s="4"/>
      <c r="R246" s="3"/>
      <c r="S246" s="3"/>
      <c r="T246" s="3"/>
      <c r="U246" s="4"/>
      <c r="V246" s="4"/>
      <c r="W246" s="4"/>
      <c r="X246" s="4"/>
      <c r="Y246" s="4"/>
      <c r="Z246" s="11"/>
      <c r="AA246" s="15"/>
      <c r="AB246" s="15"/>
      <c r="AC246" s="15"/>
      <c r="AD246" s="16"/>
      <c r="AE246" s="16"/>
      <c r="AF246" s="16"/>
      <c r="AG246" s="16"/>
      <c r="AH246" s="16"/>
      <c r="AI246" s="16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16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</row>
    <row r="247" spans="1:96" ht="12" customHeight="1" x14ac:dyDescent="0.25">
      <c r="A247" s="3"/>
      <c r="B247" s="14"/>
      <c r="C247" s="14"/>
      <c r="D247" s="14"/>
      <c r="E247" s="14"/>
      <c r="F247" s="9"/>
      <c r="G247" s="9"/>
      <c r="H247" s="9"/>
      <c r="I247" s="10"/>
      <c r="J247" s="10"/>
      <c r="K247" s="14"/>
      <c r="L247" s="11"/>
      <c r="M247" s="14"/>
      <c r="N247" s="14"/>
      <c r="O247" s="4"/>
      <c r="P247" s="3"/>
      <c r="Q247" s="4"/>
      <c r="R247" s="3"/>
      <c r="S247" s="3"/>
      <c r="T247" s="3"/>
      <c r="U247" s="4"/>
      <c r="V247" s="4"/>
      <c r="W247" s="4"/>
      <c r="X247" s="4"/>
      <c r="Y247" s="4"/>
      <c r="Z247" s="11"/>
      <c r="AA247" s="15"/>
      <c r="AB247" s="15"/>
      <c r="AC247" s="15"/>
      <c r="AD247" s="16"/>
      <c r="AE247" s="16"/>
      <c r="AF247" s="16"/>
      <c r="AG247" s="16"/>
      <c r="AH247" s="16"/>
      <c r="AI247" s="16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16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</row>
    <row r="248" spans="1:96" ht="12" customHeight="1" x14ac:dyDescent="0.25">
      <c r="A248" s="3"/>
      <c r="B248" s="14"/>
      <c r="C248" s="14"/>
      <c r="D248" s="14"/>
      <c r="E248" s="14"/>
      <c r="F248" s="9"/>
      <c r="G248" s="9"/>
      <c r="H248" s="9"/>
      <c r="I248" s="10"/>
      <c r="J248" s="10"/>
      <c r="K248" s="14"/>
      <c r="L248" s="11"/>
      <c r="M248" s="14"/>
      <c r="N248" s="14"/>
      <c r="O248" s="4"/>
      <c r="P248" s="3"/>
      <c r="Q248" s="4"/>
      <c r="R248" s="3"/>
      <c r="S248" s="3"/>
      <c r="T248" s="3"/>
      <c r="U248" s="4"/>
      <c r="V248" s="4"/>
      <c r="W248" s="4"/>
      <c r="X248" s="4"/>
      <c r="Y248" s="4"/>
      <c r="Z248" s="11"/>
      <c r="AA248" s="15"/>
      <c r="AB248" s="15"/>
      <c r="AC248" s="15"/>
      <c r="AD248" s="16"/>
      <c r="AE248" s="16"/>
      <c r="AF248" s="16"/>
      <c r="AG248" s="16"/>
      <c r="AH248" s="16"/>
      <c r="AI248" s="16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16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</row>
    <row r="249" spans="1:96" ht="12" customHeight="1" x14ac:dyDescent="0.25">
      <c r="A249" s="3"/>
      <c r="B249" s="14"/>
      <c r="C249" s="14"/>
      <c r="D249" s="14"/>
      <c r="E249" s="14"/>
      <c r="F249" s="9"/>
      <c r="G249" s="9"/>
      <c r="H249" s="9"/>
      <c r="I249" s="10"/>
      <c r="J249" s="10"/>
      <c r="K249" s="14"/>
      <c r="L249" s="11"/>
      <c r="M249" s="14"/>
      <c r="N249" s="14"/>
      <c r="O249" s="4"/>
      <c r="P249" s="3"/>
      <c r="Q249" s="4"/>
      <c r="R249" s="3"/>
      <c r="S249" s="3"/>
      <c r="T249" s="3"/>
      <c r="U249" s="4"/>
      <c r="V249" s="4"/>
      <c r="W249" s="4"/>
      <c r="X249" s="4"/>
      <c r="Y249" s="4"/>
      <c r="Z249" s="11"/>
      <c r="AA249" s="15"/>
      <c r="AB249" s="15"/>
      <c r="AC249" s="15"/>
      <c r="AD249" s="16"/>
      <c r="AE249" s="16"/>
      <c r="AF249" s="16"/>
      <c r="AG249" s="16"/>
      <c r="AH249" s="16"/>
      <c r="AI249" s="16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16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</row>
    <row r="250" spans="1:96" ht="12" customHeight="1" x14ac:dyDescent="0.25">
      <c r="A250" s="3"/>
      <c r="B250" s="14"/>
      <c r="C250" s="14"/>
      <c r="D250" s="14"/>
      <c r="E250" s="14"/>
      <c r="F250" s="9"/>
      <c r="G250" s="9"/>
      <c r="H250" s="9"/>
      <c r="I250" s="10"/>
      <c r="J250" s="10"/>
      <c r="K250" s="14"/>
      <c r="L250" s="11"/>
      <c r="M250" s="14"/>
      <c r="N250" s="14"/>
      <c r="O250" s="4"/>
      <c r="P250" s="3"/>
      <c r="Q250" s="4"/>
      <c r="R250" s="3"/>
      <c r="S250" s="3"/>
      <c r="T250" s="3"/>
      <c r="U250" s="4"/>
      <c r="V250" s="4"/>
      <c r="W250" s="4"/>
      <c r="X250" s="4"/>
      <c r="Y250" s="4"/>
      <c r="Z250" s="11"/>
      <c r="AA250" s="15"/>
      <c r="AB250" s="15"/>
      <c r="AC250" s="15"/>
      <c r="AD250" s="16"/>
      <c r="AE250" s="16"/>
      <c r="AF250" s="16"/>
      <c r="AG250" s="16"/>
      <c r="AH250" s="16"/>
      <c r="AI250" s="16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16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</row>
    <row r="251" spans="1:96" ht="12" customHeight="1" x14ac:dyDescent="0.25">
      <c r="A251" s="3"/>
      <c r="B251" s="14"/>
      <c r="C251" s="14"/>
      <c r="D251" s="14"/>
      <c r="E251" s="14"/>
      <c r="F251" s="9"/>
      <c r="G251" s="9"/>
      <c r="H251" s="9"/>
      <c r="I251" s="10"/>
      <c r="J251" s="10"/>
      <c r="K251" s="14"/>
      <c r="L251" s="11"/>
      <c r="M251" s="14"/>
      <c r="N251" s="14"/>
      <c r="O251" s="4"/>
      <c r="P251" s="3"/>
      <c r="Q251" s="4"/>
      <c r="R251" s="3"/>
      <c r="S251" s="3"/>
      <c r="T251" s="3"/>
      <c r="U251" s="4"/>
      <c r="V251" s="4"/>
      <c r="W251" s="4"/>
      <c r="X251" s="4"/>
      <c r="Y251" s="4"/>
      <c r="Z251" s="11"/>
      <c r="AA251" s="15"/>
      <c r="AB251" s="15"/>
      <c r="AC251" s="15"/>
      <c r="AD251" s="16"/>
      <c r="AE251" s="16"/>
      <c r="AF251" s="16"/>
      <c r="AG251" s="16"/>
      <c r="AH251" s="16"/>
      <c r="AI251" s="16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16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</row>
    <row r="252" spans="1:96" ht="12" customHeight="1" x14ac:dyDescent="0.25">
      <c r="A252" s="3"/>
      <c r="B252" s="14"/>
      <c r="C252" s="14"/>
      <c r="D252" s="14"/>
      <c r="E252" s="14"/>
      <c r="F252" s="9"/>
      <c r="G252" s="9"/>
      <c r="H252" s="9"/>
      <c r="I252" s="10"/>
      <c r="J252" s="10"/>
      <c r="K252" s="14"/>
      <c r="L252" s="11"/>
      <c r="M252" s="14"/>
      <c r="N252" s="14"/>
      <c r="O252" s="4"/>
      <c r="P252" s="3"/>
      <c r="Q252" s="4"/>
      <c r="R252" s="3"/>
      <c r="S252" s="3"/>
      <c r="T252" s="3"/>
      <c r="U252" s="4"/>
      <c r="V252" s="4"/>
      <c r="W252" s="4"/>
      <c r="X252" s="4"/>
      <c r="Y252" s="4"/>
      <c r="Z252" s="11"/>
      <c r="AA252" s="15"/>
      <c r="AB252" s="15"/>
      <c r="AC252" s="15"/>
      <c r="AD252" s="16"/>
      <c r="AE252" s="16"/>
      <c r="AF252" s="16"/>
      <c r="AG252" s="16"/>
      <c r="AH252" s="16"/>
      <c r="AI252" s="16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16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</row>
    <row r="253" spans="1:96" ht="12" customHeight="1" x14ac:dyDescent="0.25">
      <c r="A253" s="3"/>
      <c r="B253" s="14"/>
      <c r="C253" s="14"/>
      <c r="D253" s="14"/>
      <c r="E253" s="14"/>
      <c r="F253" s="9"/>
      <c r="G253" s="9"/>
      <c r="H253" s="9"/>
      <c r="I253" s="10"/>
      <c r="J253" s="10"/>
      <c r="K253" s="14"/>
      <c r="L253" s="11"/>
      <c r="M253" s="14"/>
      <c r="N253" s="14"/>
      <c r="O253" s="4"/>
      <c r="P253" s="3"/>
      <c r="Q253" s="4"/>
      <c r="R253" s="3"/>
      <c r="S253" s="3"/>
      <c r="T253" s="3"/>
      <c r="U253" s="4"/>
      <c r="V253" s="4"/>
      <c r="W253" s="4"/>
      <c r="X253" s="4"/>
      <c r="Y253" s="4"/>
      <c r="Z253" s="11"/>
      <c r="AA253" s="15"/>
      <c r="AB253" s="15"/>
      <c r="AC253" s="15"/>
      <c r="AD253" s="16"/>
      <c r="AE253" s="16"/>
      <c r="AF253" s="16"/>
      <c r="AG253" s="16"/>
      <c r="AH253" s="16"/>
      <c r="AI253" s="16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16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</row>
    <row r="254" spans="1:96" ht="12" customHeight="1" x14ac:dyDescent="0.25">
      <c r="A254" s="3"/>
      <c r="B254" s="14"/>
      <c r="C254" s="14"/>
      <c r="D254" s="14"/>
      <c r="E254" s="14"/>
      <c r="F254" s="9"/>
      <c r="G254" s="9"/>
      <c r="H254" s="9"/>
      <c r="I254" s="10"/>
      <c r="J254" s="10"/>
      <c r="K254" s="14"/>
      <c r="L254" s="11"/>
      <c r="M254" s="14"/>
      <c r="N254" s="14"/>
      <c r="O254" s="4"/>
      <c r="P254" s="3"/>
      <c r="Q254" s="4"/>
      <c r="R254" s="3"/>
      <c r="S254" s="3"/>
      <c r="T254" s="3"/>
      <c r="U254" s="4"/>
      <c r="V254" s="4"/>
      <c r="W254" s="4"/>
      <c r="X254" s="4"/>
      <c r="Y254" s="4"/>
      <c r="Z254" s="11"/>
      <c r="AA254" s="15"/>
      <c r="AB254" s="15"/>
      <c r="AC254" s="15"/>
      <c r="AD254" s="16"/>
      <c r="AE254" s="16"/>
      <c r="AF254" s="16"/>
      <c r="AG254" s="16"/>
      <c r="AH254" s="16"/>
      <c r="AI254" s="16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16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</row>
    <row r="255" spans="1:96" ht="12" customHeight="1" x14ac:dyDescent="0.25">
      <c r="A255" s="3"/>
      <c r="B255" s="14"/>
      <c r="C255" s="14"/>
      <c r="D255" s="14"/>
      <c r="E255" s="14"/>
      <c r="F255" s="9"/>
      <c r="G255" s="9"/>
      <c r="H255" s="9"/>
      <c r="I255" s="10"/>
      <c r="J255" s="10"/>
      <c r="K255" s="14"/>
      <c r="L255" s="11"/>
      <c r="M255" s="14"/>
      <c r="N255" s="14"/>
      <c r="O255" s="4"/>
      <c r="P255" s="3"/>
      <c r="Q255" s="4"/>
      <c r="R255" s="3"/>
      <c r="S255" s="3"/>
      <c r="T255" s="3"/>
      <c r="U255" s="4"/>
      <c r="V255" s="4"/>
      <c r="W255" s="4"/>
      <c r="X255" s="4"/>
      <c r="Y255" s="4"/>
      <c r="Z255" s="11"/>
      <c r="AA255" s="15"/>
      <c r="AB255" s="15"/>
      <c r="AC255" s="15"/>
      <c r="AD255" s="16"/>
      <c r="AE255" s="16"/>
      <c r="AF255" s="16"/>
      <c r="AG255" s="16"/>
      <c r="AH255" s="16"/>
      <c r="AI255" s="16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16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</row>
    <row r="256" spans="1:96" ht="12" customHeight="1" x14ac:dyDescent="0.25">
      <c r="A256" s="3"/>
      <c r="B256" s="14"/>
      <c r="C256" s="14"/>
      <c r="D256" s="14"/>
      <c r="E256" s="14"/>
      <c r="F256" s="9"/>
      <c r="G256" s="9"/>
      <c r="H256" s="9"/>
      <c r="I256" s="10"/>
      <c r="J256" s="10"/>
      <c r="K256" s="14"/>
      <c r="L256" s="11"/>
      <c r="M256" s="14"/>
      <c r="N256" s="14"/>
      <c r="O256" s="4"/>
      <c r="P256" s="3"/>
      <c r="Q256" s="4"/>
      <c r="R256" s="3"/>
      <c r="S256" s="3"/>
      <c r="T256" s="3"/>
      <c r="U256" s="4"/>
      <c r="V256" s="4"/>
      <c r="W256" s="4"/>
      <c r="X256" s="4"/>
      <c r="Y256" s="4"/>
      <c r="Z256" s="11"/>
      <c r="AA256" s="15"/>
      <c r="AB256" s="15"/>
      <c r="AC256" s="15"/>
      <c r="AD256" s="16"/>
      <c r="AE256" s="16"/>
      <c r="AF256" s="16"/>
      <c r="AG256" s="16"/>
      <c r="AH256" s="16"/>
      <c r="AI256" s="16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16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</row>
    <row r="257" spans="1:96" ht="12" customHeight="1" x14ac:dyDescent="0.25">
      <c r="A257" s="3"/>
      <c r="B257" s="14"/>
      <c r="C257" s="14"/>
      <c r="D257" s="14"/>
      <c r="E257" s="14"/>
      <c r="F257" s="9"/>
      <c r="G257" s="9"/>
      <c r="H257" s="9"/>
      <c r="I257" s="10"/>
      <c r="J257" s="10"/>
      <c r="K257" s="14"/>
      <c r="L257" s="11"/>
      <c r="M257" s="14"/>
      <c r="N257" s="14"/>
      <c r="O257" s="4"/>
      <c r="P257" s="3"/>
      <c r="Q257" s="4"/>
      <c r="R257" s="3"/>
      <c r="S257" s="3"/>
      <c r="T257" s="3"/>
      <c r="U257" s="4"/>
      <c r="V257" s="4"/>
      <c r="W257" s="4"/>
      <c r="X257" s="4"/>
      <c r="Y257" s="4"/>
      <c r="Z257" s="11"/>
      <c r="AA257" s="15"/>
      <c r="AB257" s="15"/>
      <c r="AC257" s="15"/>
      <c r="AD257" s="16"/>
      <c r="AE257" s="16"/>
      <c r="AF257" s="16"/>
      <c r="AG257" s="16"/>
      <c r="AH257" s="16"/>
      <c r="AI257" s="16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16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</row>
    <row r="258" spans="1:96" ht="12" customHeight="1" x14ac:dyDescent="0.25">
      <c r="A258" s="3"/>
      <c r="B258" s="14"/>
      <c r="C258" s="14"/>
      <c r="D258" s="14"/>
      <c r="E258" s="14"/>
      <c r="F258" s="9"/>
      <c r="G258" s="9"/>
      <c r="H258" s="9"/>
      <c r="I258" s="10"/>
      <c r="J258" s="10"/>
      <c r="K258" s="14"/>
      <c r="L258" s="11"/>
      <c r="M258" s="14"/>
      <c r="N258" s="14"/>
      <c r="O258" s="4"/>
      <c r="P258" s="3"/>
      <c r="Q258" s="4"/>
      <c r="R258" s="3"/>
      <c r="S258" s="3"/>
      <c r="T258" s="3"/>
      <c r="U258" s="4"/>
      <c r="V258" s="4"/>
      <c r="W258" s="4"/>
      <c r="X258" s="4"/>
      <c r="Y258" s="4"/>
      <c r="Z258" s="11"/>
      <c r="AA258" s="15"/>
      <c r="AB258" s="15"/>
      <c r="AC258" s="15"/>
      <c r="AD258" s="16"/>
      <c r="AE258" s="16"/>
      <c r="AF258" s="16"/>
      <c r="AG258" s="16"/>
      <c r="AH258" s="16"/>
      <c r="AI258" s="16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16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</row>
    <row r="259" spans="1:96" ht="12" customHeight="1" x14ac:dyDescent="0.25">
      <c r="A259" s="3"/>
      <c r="B259" s="14"/>
      <c r="C259" s="14"/>
      <c r="D259" s="14"/>
      <c r="E259" s="14"/>
      <c r="F259" s="9"/>
      <c r="G259" s="9"/>
      <c r="H259" s="9"/>
      <c r="I259" s="10"/>
      <c r="J259" s="10"/>
      <c r="K259" s="14"/>
      <c r="L259" s="11"/>
      <c r="M259" s="14"/>
      <c r="N259" s="14"/>
      <c r="O259" s="4"/>
      <c r="P259" s="3"/>
      <c r="Q259" s="4"/>
      <c r="R259" s="3"/>
      <c r="S259" s="3"/>
      <c r="T259" s="3"/>
      <c r="U259" s="4"/>
      <c r="V259" s="4"/>
      <c r="W259" s="4"/>
      <c r="X259" s="4"/>
      <c r="Y259" s="4"/>
      <c r="Z259" s="11"/>
      <c r="AA259" s="15"/>
      <c r="AB259" s="15"/>
      <c r="AC259" s="15"/>
      <c r="AD259" s="16"/>
      <c r="AE259" s="16"/>
      <c r="AF259" s="16"/>
      <c r="AG259" s="16"/>
      <c r="AH259" s="16"/>
      <c r="AI259" s="16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16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</row>
    <row r="260" spans="1:96" ht="12" customHeight="1" x14ac:dyDescent="0.25">
      <c r="A260" s="3"/>
      <c r="B260" s="14"/>
      <c r="C260" s="14"/>
      <c r="D260" s="14"/>
      <c r="E260" s="14"/>
      <c r="F260" s="9"/>
      <c r="G260" s="9"/>
      <c r="H260" s="9"/>
      <c r="I260" s="10"/>
      <c r="J260" s="10"/>
      <c r="K260" s="14"/>
      <c r="L260" s="11"/>
      <c r="M260" s="14"/>
      <c r="N260" s="14"/>
      <c r="O260" s="4"/>
      <c r="P260" s="3"/>
      <c r="Q260" s="4"/>
      <c r="R260" s="3"/>
      <c r="S260" s="3"/>
      <c r="T260" s="3"/>
      <c r="U260" s="4"/>
      <c r="V260" s="4"/>
      <c r="W260" s="4"/>
      <c r="X260" s="4"/>
      <c r="Y260" s="4"/>
      <c r="Z260" s="11"/>
      <c r="AA260" s="15"/>
      <c r="AB260" s="15"/>
      <c r="AC260" s="15"/>
      <c r="AD260" s="16"/>
      <c r="AE260" s="16"/>
      <c r="AF260" s="16"/>
      <c r="AG260" s="16"/>
      <c r="AH260" s="16"/>
      <c r="AI260" s="16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16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</row>
    <row r="261" spans="1:96" ht="12" customHeight="1" x14ac:dyDescent="0.25">
      <c r="A261" s="3"/>
      <c r="B261" s="14"/>
      <c r="C261" s="14"/>
      <c r="D261" s="14"/>
      <c r="E261" s="14"/>
      <c r="F261" s="9"/>
      <c r="G261" s="9"/>
      <c r="H261" s="9"/>
      <c r="I261" s="10"/>
      <c r="J261" s="10"/>
      <c r="K261" s="14"/>
      <c r="L261" s="11"/>
      <c r="M261" s="14"/>
      <c r="N261" s="14"/>
      <c r="O261" s="4"/>
      <c r="P261" s="3"/>
      <c r="Q261" s="4"/>
      <c r="R261" s="3"/>
      <c r="S261" s="3"/>
      <c r="T261" s="3"/>
      <c r="U261" s="4"/>
      <c r="V261" s="4"/>
      <c r="W261" s="4"/>
      <c r="X261" s="4"/>
      <c r="Y261" s="4"/>
      <c r="Z261" s="11"/>
      <c r="AA261" s="15"/>
      <c r="AB261" s="15"/>
      <c r="AC261" s="15"/>
      <c r="AD261" s="16"/>
      <c r="AE261" s="16"/>
      <c r="AF261" s="16"/>
      <c r="AG261" s="16"/>
      <c r="AH261" s="16"/>
      <c r="AI261" s="16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16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</row>
    <row r="262" spans="1:96" ht="12" customHeight="1" x14ac:dyDescent="0.25">
      <c r="A262" s="3"/>
      <c r="B262" s="14"/>
      <c r="C262" s="14"/>
      <c r="D262" s="14"/>
      <c r="E262" s="14"/>
      <c r="F262" s="9"/>
      <c r="G262" s="9"/>
      <c r="H262" s="9"/>
      <c r="I262" s="10"/>
      <c r="J262" s="10"/>
      <c r="K262" s="14"/>
      <c r="L262" s="11"/>
      <c r="M262" s="14"/>
      <c r="N262" s="14"/>
      <c r="O262" s="4"/>
      <c r="P262" s="3"/>
      <c r="Q262" s="4"/>
      <c r="R262" s="3"/>
      <c r="S262" s="3"/>
      <c r="T262" s="3"/>
      <c r="U262" s="4"/>
      <c r="V262" s="4"/>
      <c r="W262" s="4"/>
      <c r="X262" s="4"/>
      <c r="Y262" s="4"/>
      <c r="Z262" s="11"/>
      <c r="AA262" s="15"/>
      <c r="AB262" s="15"/>
      <c r="AC262" s="15"/>
      <c r="AD262" s="16"/>
      <c r="AE262" s="16"/>
      <c r="AF262" s="16"/>
      <c r="AG262" s="16"/>
      <c r="AH262" s="16"/>
      <c r="AI262" s="16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16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</row>
    <row r="263" spans="1:96" ht="12" customHeight="1" x14ac:dyDescent="0.25">
      <c r="A263" s="3"/>
      <c r="B263" s="14"/>
      <c r="C263" s="14"/>
      <c r="D263" s="14"/>
      <c r="E263" s="14"/>
      <c r="F263" s="9"/>
      <c r="G263" s="9"/>
      <c r="H263" s="9"/>
      <c r="I263" s="10"/>
      <c r="J263" s="10"/>
      <c r="K263" s="14"/>
      <c r="L263" s="11"/>
      <c r="M263" s="14"/>
      <c r="N263" s="14"/>
      <c r="O263" s="4"/>
      <c r="P263" s="3"/>
      <c r="Q263" s="4"/>
      <c r="R263" s="3"/>
      <c r="S263" s="3"/>
      <c r="T263" s="3"/>
      <c r="U263" s="4"/>
      <c r="V263" s="4"/>
      <c r="W263" s="4"/>
      <c r="X263" s="4"/>
      <c r="Y263" s="4"/>
      <c r="Z263" s="11"/>
      <c r="AA263" s="15"/>
      <c r="AB263" s="15"/>
      <c r="AC263" s="15"/>
      <c r="AD263" s="16"/>
      <c r="AE263" s="16"/>
      <c r="AF263" s="16"/>
      <c r="AG263" s="16"/>
      <c r="AH263" s="16"/>
      <c r="AI263" s="16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16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</row>
    <row r="264" spans="1:96" ht="12" customHeight="1" x14ac:dyDescent="0.25">
      <c r="A264" s="3"/>
      <c r="B264" s="14"/>
      <c r="C264" s="14"/>
      <c r="D264" s="14"/>
      <c r="E264" s="14"/>
      <c r="F264" s="9"/>
      <c r="G264" s="9"/>
      <c r="H264" s="9"/>
      <c r="I264" s="10"/>
      <c r="J264" s="10"/>
      <c r="K264" s="14"/>
      <c r="L264" s="11"/>
      <c r="M264" s="14"/>
      <c r="N264" s="14"/>
      <c r="O264" s="4"/>
      <c r="P264" s="3"/>
      <c r="Q264" s="4"/>
      <c r="R264" s="3"/>
      <c r="S264" s="3"/>
      <c r="T264" s="3"/>
      <c r="U264" s="4"/>
      <c r="V264" s="4"/>
      <c r="W264" s="4"/>
      <c r="X264" s="4"/>
      <c r="Y264" s="4"/>
      <c r="Z264" s="11"/>
      <c r="AA264" s="15"/>
      <c r="AB264" s="15"/>
      <c r="AC264" s="15"/>
      <c r="AD264" s="16"/>
      <c r="AE264" s="16"/>
      <c r="AF264" s="16"/>
      <c r="AG264" s="16"/>
      <c r="AH264" s="16"/>
      <c r="AI264" s="16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16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</row>
    <row r="265" spans="1:96" ht="12" customHeight="1" x14ac:dyDescent="0.25">
      <c r="A265" s="3"/>
      <c r="B265" s="14"/>
      <c r="C265" s="14"/>
      <c r="D265" s="14"/>
      <c r="E265" s="14"/>
      <c r="F265" s="9"/>
      <c r="G265" s="9"/>
      <c r="H265" s="9"/>
      <c r="I265" s="10"/>
      <c r="J265" s="10"/>
      <c r="K265" s="14"/>
      <c r="L265" s="11"/>
      <c r="M265" s="14"/>
      <c r="N265" s="14"/>
      <c r="O265" s="4"/>
      <c r="P265" s="3"/>
      <c r="Q265" s="4"/>
      <c r="R265" s="3"/>
      <c r="S265" s="3"/>
      <c r="T265" s="3"/>
      <c r="U265" s="4"/>
      <c r="V265" s="4"/>
      <c r="W265" s="4"/>
      <c r="X265" s="4"/>
      <c r="Y265" s="4"/>
      <c r="Z265" s="11"/>
      <c r="AA265" s="15"/>
      <c r="AB265" s="15"/>
      <c r="AC265" s="15"/>
      <c r="AD265" s="16"/>
      <c r="AE265" s="16"/>
      <c r="AF265" s="16"/>
      <c r="AG265" s="16"/>
      <c r="AH265" s="16"/>
      <c r="AI265" s="16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16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</row>
    <row r="266" spans="1:96" ht="12" customHeight="1" x14ac:dyDescent="0.25">
      <c r="A266" s="3"/>
      <c r="B266" s="14"/>
      <c r="C266" s="14"/>
      <c r="D266" s="14"/>
      <c r="E266" s="14"/>
      <c r="F266" s="9"/>
      <c r="G266" s="9"/>
      <c r="H266" s="9"/>
      <c r="I266" s="10"/>
      <c r="J266" s="10"/>
      <c r="K266" s="14"/>
      <c r="L266" s="11"/>
      <c r="M266" s="14"/>
      <c r="N266" s="14"/>
      <c r="O266" s="4"/>
      <c r="P266" s="3"/>
      <c r="Q266" s="4"/>
      <c r="R266" s="3"/>
      <c r="S266" s="3"/>
      <c r="T266" s="3"/>
      <c r="U266" s="4"/>
      <c r="V266" s="4"/>
      <c r="W266" s="4"/>
      <c r="X266" s="4"/>
      <c r="Y266" s="4"/>
      <c r="Z266" s="11"/>
      <c r="AA266" s="15"/>
      <c r="AB266" s="15"/>
      <c r="AC266" s="15"/>
      <c r="AD266" s="16"/>
      <c r="AE266" s="16"/>
      <c r="AF266" s="16"/>
      <c r="AG266" s="16"/>
      <c r="AH266" s="16"/>
      <c r="AI266" s="16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16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</row>
    <row r="267" spans="1:96" ht="12" customHeight="1" x14ac:dyDescent="0.25">
      <c r="A267" s="3"/>
      <c r="B267" s="14"/>
      <c r="C267" s="14"/>
      <c r="D267" s="14"/>
      <c r="E267" s="14"/>
      <c r="F267" s="9"/>
      <c r="G267" s="9"/>
      <c r="H267" s="9"/>
      <c r="I267" s="10"/>
      <c r="J267" s="10"/>
      <c r="K267" s="14"/>
      <c r="L267" s="11"/>
      <c r="M267" s="14"/>
      <c r="N267" s="14"/>
      <c r="O267" s="4"/>
      <c r="P267" s="3"/>
      <c r="Q267" s="4"/>
      <c r="R267" s="3"/>
      <c r="S267" s="3"/>
      <c r="T267" s="3"/>
      <c r="U267" s="4"/>
      <c r="V267" s="4"/>
      <c r="W267" s="4"/>
      <c r="X267" s="4"/>
      <c r="Y267" s="4"/>
      <c r="Z267" s="11"/>
      <c r="AA267" s="15"/>
      <c r="AB267" s="15"/>
      <c r="AC267" s="15"/>
      <c r="AD267" s="16"/>
      <c r="AE267" s="16"/>
      <c r="AF267" s="16"/>
      <c r="AG267" s="16"/>
      <c r="AH267" s="16"/>
      <c r="AI267" s="16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16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</row>
    <row r="268" spans="1:96" ht="12" customHeight="1" x14ac:dyDescent="0.25">
      <c r="A268" s="3"/>
      <c r="B268" s="14"/>
      <c r="C268" s="14"/>
      <c r="D268" s="14"/>
      <c r="E268" s="14"/>
      <c r="F268" s="9"/>
      <c r="G268" s="9"/>
      <c r="H268" s="9"/>
      <c r="I268" s="10"/>
      <c r="J268" s="10"/>
      <c r="K268" s="14"/>
      <c r="L268" s="11"/>
      <c r="M268" s="14"/>
      <c r="N268" s="14"/>
      <c r="O268" s="4"/>
      <c r="P268" s="3"/>
      <c r="Q268" s="4"/>
      <c r="R268" s="3"/>
      <c r="S268" s="3"/>
      <c r="T268" s="3"/>
      <c r="U268" s="4"/>
      <c r="V268" s="4"/>
      <c r="W268" s="4"/>
      <c r="X268" s="4"/>
      <c r="Y268" s="4"/>
      <c r="Z268" s="11"/>
      <c r="AA268" s="15"/>
      <c r="AB268" s="15"/>
      <c r="AC268" s="15"/>
      <c r="AD268" s="16"/>
      <c r="AE268" s="16"/>
      <c r="AF268" s="16"/>
      <c r="AG268" s="16"/>
      <c r="AH268" s="16"/>
      <c r="AI268" s="16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16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</row>
    <row r="269" spans="1:96" ht="12" customHeight="1" x14ac:dyDescent="0.25">
      <c r="A269" s="3"/>
      <c r="B269" s="14"/>
      <c r="C269" s="14"/>
      <c r="D269" s="14"/>
      <c r="E269" s="14"/>
      <c r="F269" s="9"/>
      <c r="G269" s="9"/>
      <c r="H269" s="9"/>
      <c r="I269" s="10"/>
      <c r="J269" s="10"/>
      <c r="K269" s="14"/>
      <c r="L269" s="11"/>
      <c r="M269" s="14"/>
      <c r="N269" s="14"/>
      <c r="O269" s="4"/>
      <c r="P269" s="3"/>
      <c r="Q269" s="4"/>
      <c r="R269" s="3"/>
      <c r="S269" s="3"/>
      <c r="T269" s="3"/>
      <c r="U269" s="4"/>
      <c r="V269" s="4"/>
      <c r="W269" s="4"/>
      <c r="X269" s="4"/>
      <c r="Y269" s="4"/>
      <c r="Z269" s="11"/>
      <c r="AA269" s="15"/>
      <c r="AB269" s="15"/>
      <c r="AC269" s="15"/>
      <c r="AD269" s="16"/>
      <c r="AE269" s="16"/>
      <c r="AF269" s="16"/>
      <c r="AG269" s="16"/>
      <c r="AH269" s="16"/>
      <c r="AI269" s="16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16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</row>
    <row r="270" spans="1:96" ht="12" customHeight="1" x14ac:dyDescent="0.25">
      <c r="A270" s="3"/>
      <c r="B270" s="14"/>
      <c r="C270" s="14"/>
      <c r="D270" s="14"/>
      <c r="E270" s="14"/>
      <c r="F270" s="9"/>
      <c r="G270" s="9"/>
      <c r="H270" s="9"/>
      <c r="I270" s="10"/>
      <c r="J270" s="10"/>
      <c r="K270" s="14"/>
      <c r="L270" s="11"/>
      <c r="M270" s="14"/>
      <c r="N270" s="14"/>
      <c r="O270" s="4"/>
      <c r="P270" s="3"/>
      <c r="Q270" s="4"/>
      <c r="R270" s="3"/>
      <c r="S270" s="3"/>
      <c r="T270" s="3"/>
      <c r="U270" s="4"/>
      <c r="V270" s="4"/>
      <c r="W270" s="4"/>
      <c r="X270" s="4"/>
      <c r="Y270" s="4"/>
      <c r="Z270" s="11"/>
      <c r="AA270" s="15"/>
      <c r="AB270" s="15"/>
      <c r="AC270" s="15"/>
      <c r="AD270" s="16"/>
      <c r="AE270" s="16"/>
      <c r="AF270" s="16"/>
      <c r="AG270" s="16"/>
      <c r="AH270" s="16"/>
      <c r="AI270" s="16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16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</row>
    <row r="271" spans="1:96" ht="12" customHeight="1" x14ac:dyDescent="0.25">
      <c r="A271" s="3"/>
      <c r="B271" s="14"/>
      <c r="C271" s="14"/>
      <c r="D271" s="14"/>
      <c r="E271" s="14"/>
      <c r="F271" s="9"/>
      <c r="G271" s="9"/>
      <c r="H271" s="9"/>
      <c r="I271" s="10"/>
      <c r="J271" s="10"/>
      <c r="K271" s="14"/>
      <c r="M271" s="14"/>
      <c r="N271" s="14"/>
      <c r="O271" s="4"/>
      <c r="P271" s="3"/>
      <c r="Q271" s="4"/>
      <c r="R271" s="3"/>
      <c r="S271" s="3"/>
      <c r="T271" s="3"/>
      <c r="U271" s="4"/>
      <c r="V271" s="4"/>
      <c r="W271" s="4"/>
      <c r="X271" s="4"/>
      <c r="Y271" s="4"/>
      <c r="Z271" s="11"/>
      <c r="AA271" s="15"/>
      <c r="AB271" s="15"/>
      <c r="AC271" s="15"/>
      <c r="AD271" s="16"/>
      <c r="AE271" s="16"/>
      <c r="AF271" s="16"/>
      <c r="AG271" s="16"/>
      <c r="AH271" s="16"/>
      <c r="AI271" s="16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16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</row>
    <row r="272" spans="1:96" ht="12" customHeight="1" x14ac:dyDescent="0.25">
      <c r="A272" s="3"/>
      <c r="B272" s="14"/>
      <c r="C272" s="14"/>
      <c r="D272" s="14"/>
      <c r="E272" s="14"/>
      <c r="K272" s="14"/>
      <c r="M272" s="14"/>
      <c r="N272" s="14"/>
      <c r="P272" s="3"/>
      <c r="Q272" s="4"/>
      <c r="R272" s="3"/>
      <c r="S272" s="3"/>
      <c r="T272" s="3"/>
      <c r="U272" s="4"/>
      <c r="V272" s="4"/>
      <c r="Z272" s="11"/>
      <c r="AA272" s="15"/>
      <c r="AB272" s="15"/>
      <c r="AC272" s="15"/>
      <c r="AD272" s="16"/>
      <c r="AE272" s="16"/>
      <c r="AF272" s="16"/>
      <c r="AG272" s="16"/>
      <c r="AH272" s="16"/>
      <c r="AI272" s="16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16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</row>
    <row r="273" spans="1:96" ht="12" customHeight="1" x14ac:dyDescent="0.25">
      <c r="A273" s="3"/>
      <c r="B273" s="14"/>
      <c r="C273" s="14"/>
      <c r="D273" s="14"/>
      <c r="E273" s="14"/>
      <c r="K273" s="14"/>
      <c r="M273" s="14"/>
      <c r="N273" s="14"/>
      <c r="P273" s="3"/>
      <c r="Q273" s="4"/>
      <c r="R273" s="3"/>
      <c r="S273" s="3"/>
      <c r="T273" s="3"/>
      <c r="U273" s="4"/>
      <c r="V273" s="4"/>
      <c r="Z273" s="11"/>
      <c r="AA273" s="15"/>
      <c r="AB273" s="15"/>
      <c r="AC273" s="15"/>
      <c r="AD273" s="16"/>
      <c r="AE273" s="16"/>
      <c r="AF273" s="16"/>
      <c r="AG273" s="16"/>
      <c r="AH273" s="16"/>
      <c r="AI273" s="16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16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</row>
    <row r="274" spans="1:96" ht="12" customHeight="1" x14ac:dyDescent="0.25">
      <c r="A274" s="3"/>
      <c r="B274" s="14"/>
      <c r="C274" s="14"/>
      <c r="D274" s="14"/>
      <c r="E274" s="14"/>
      <c r="K274" s="14"/>
      <c r="M274" s="14"/>
      <c r="N274" s="14"/>
      <c r="P274" s="3"/>
      <c r="Q274" s="4"/>
      <c r="R274" s="3"/>
      <c r="S274" s="3"/>
      <c r="T274" s="3"/>
      <c r="U274" s="4"/>
      <c r="V274" s="4"/>
      <c r="Z274" s="11"/>
      <c r="AA274" s="15"/>
      <c r="AB274" s="15"/>
      <c r="AC274" s="15"/>
      <c r="AD274" s="16"/>
      <c r="AE274" s="16"/>
      <c r="AF274" s="16"/>
      <c r="AG274" s="16"/>
      <c r="AH274" s="16"/>
      <c r="AI274" s="16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16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</row>
    <row r="275" spans="1:96" ht="12" customHeight="1" x14ac:dyDescent="0.25">
      <c r="A275" s="3"/>
      <c r="B275" s="14"/>
      <c r="C275" s="14"/>
      <c r="D275" s="14"/>
      <c r="E275" s="14"/>
      <c r="K275" s="14"/>
      <c r="M275" s="14"/>
      <c r="N275" s="14"/>
      <c r="P275" s="3"/>
      <c r="Q275" s="4"/>
      <c r="R275" s="3"/>
      <c r="S275" s="3"/>
      <c r="T275" s="3"/>
      <c r="U275" s="4"/>
      <c r="V275" s="4"/>
      <c r="Z275" s="11"/>
      <c r="AA275" s="15"/>
      <c r="AB275" s="15"/>
      <c r="AC275" s="15"/>
      <c r="AD275" s="16"/>
      <c r="AE275" s="16"/>
      <c r="AF275" s="16"/>
      <c r="AG275" s="16"/>
      <c r="AH275" s="16"/>
      <c r="AI275" s="16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16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</row>
    <row r="276" spans="1:96" ht="12" customHeight="1" x14ac:dyDescent="0.25">
      <c r="A276" s="3"/>
      <c r="B276" s="14"/>
      <c r="C276" s="14"/>
      <c r="D276" s="14"/>
      <c r="E276" s="14"/>
      <c r="K276" s="14"/>
      <c r="M276" s="14"/>
      <c r="N276" s="14"/>
      <c r="P276" s="3"/>
      <c r="Q276" s="4"/>
      <c r="R276" s="3"/>
      <c r="S276" s="3"/>
      <c r="T276" s="3"/>
      <c r="U276" s="4"/>
      <c r="V276" s="4"/>
      <c r="Z276" s="11"/>
      <c r="AA276" s="15"/>
      <c r="AB276" s="15"/>
      <c r="AC276" s="15"/>
      <c r="AD276" s="16"/>
      <c r="AE276" s="16"/>
      <c r="AF276" s="16"/>
      <c r="AG276" s="16"/>
      <c r="AH276" s="16"/>
      <c r="AI276" s="16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16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</row>
    <row r="277" spans="1:96" ht="12" customHeight="1" x14ac:dyDescent="0.25">
      <c r="A277" s="3"/>
      <c r="B277" s="14"/>
      <c r="C277" s="14"/>
      <c r="D277" s="14"/>
      <c r="E277" s="14"/>
      <c r="K277" s="14"/>
      <c r="M277" s="14"/>
      <c r="N277" s="14"/>
      <c r="P277" s="3"/>
      <c r="Q277" s="4"/>
      <c r="R277" s="3"/>
      <c r="S277" s="3"/>
      <c r="T277" s="3"/>
      <c r="U277" s="4"/>
      <c r="V277" s="4"/>
      <c r="Z277" s="11"/>
      <c r="AA277" s="15"/>
      <c r="AB277" s="15"/>
      <c r="AC277" s="15"/>
      <c r="AD277" s="16"/>
      <c r="AE277" s="16"/>
      <c r="AF277" s="16"/>
      <c r="AG277" s="16"/>
      <c r="AH277" s="16"/>
      <c r="AI277" s="16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16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</row>
    <row r="278" spans="1:96" ht="12" customHeight="1" x14ac:dyDescent="0.25">
      <c r="A278" s="3"/>
      <c r="B278" s="14"/>
      <c r="C278" s="14"/>
      <c r="D278" s="14"/>
      <c r="E278" s="14"/>
      <c r="K278" s="14"/>
      <c r="M278" s="14"/>
      <c r="N278" s="14"/>
      <c r="P278" s="3"/>
      <c r="Q278" s="4"/>
      <c r="R278" s="3"/>
      <c r="S278" s="3"/>
      <c r="T278" s="3"/>
      <c r="U278" s="4"/>
      <c r="V278" s="4"/>
      <c r="Z278" s="11"/>
      <c r="AA278" s="15"/>
      <c r="AB278" s="15"/>
      <c r="AC278" s="15"/>
      <c r="AD278" s="16"/>
      <c r="AE278" s="16"/>
      <c r="AF278" s="16"/>
      <c r="AG278" s="16"/>
      <c r="AH278" s="16"/>
      <c r="AI278" s="16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16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</row>
    <row r="279" spans="1:96" ht="12" customHeight="1" x14ac:dyDescent="0.25">
      <c r="A279" s="3"/>
      <c r="B279" s="14"/>
      <c r="C279" s="14"/>
      <c r="D279" s="14"/>
      <c r="E279" s="14"/>
      <c r="K279" s="14"/>
      <c r="M279" s="14"/>
      <c r="N279" s="14"/>
      <c r="P279" s="3"/>
      <c r="Q279" s="4"/>
      <c r="R279" s="3"/>
      <c r="S279" s="3"/>
      <c r="T279" s="3"/>
      <c r="U279" s="4"/>
      <c r="V279" s="4"/>
      <c r="Z279" s="11"/>
      <c r="AA279" s="15"/>
      <c r="AB279" s="15"/>
      <c r="AC279" s="15"/>
      <c r="AD279" s="16"/>
      <c r="AE279" s="16"/>
      <c r="AF279" s="16"/>
      <c r="AG279" s="16"/>
      <c r="AH279" s="16"/>
      <c r="AI279" s="16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16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</row>
    <row r="280" spans="1:96" ht="12" customHeight="1" x14ac:dyDescent="0.25">
      <c r="A280" s="3"/>
      <c r="B280" s="14"/>
      <c r="C280" s="14"/>
      <c r="D280" s="14"/>
      <c r="E280" s="14"/>
      <c r="K280" s="14"/>
      <c r="M280" s="14"/>
      <c r="N280" s="14"/>
      <c r="P280" s="3"/>
      <c r="Q280" s="4"/>
      <c r="R280" s="3"/>
      <c r="S280" s="3"/>
      <c r="T280" s="3"/>
      <c r="U280" s="4"/>
      <c r="V280" s="4"/>
      <c r="Z280" s="11"/>
      <c r="AA280" s="15"/>
      <c r="AB280" s="15"/>
      <c r="AC280" s="15"/>
      <c r="AD280" s="16"/>
      <c r="AE280" s="16"/>
      <c r="AF280" s="16"/>
      <c r="AG280" s="16"/>
      <c r="AH280" s="16"/>
      <c r="AI280" s="16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16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</row>
    <row r="281" spans="1:96" ht="12" customHeight="1" x14ac:dyDescent="0.25">
      <c r="A281" s="3"/>
      <c r="B281" s="14"/>
      <c r="C281" s="14"/>
      <c r="D281" s="14"/>
      <c r="E281" s="14"/>
      <c r="K281" s="14"/>
      <c r="M281" s="14"/>
      <c r="N281" s="14"/>
      <c r="P281" s="3"/>
      <c r="Q281" s="4"/>
      <c r="R281" s="3"/>
      <c r="S281" s="3"/>
      <c r="T281" s="3"/>
      <c r="U281" s="4"/>
      <c r="V281" s="4"/>
      <c r="Z281" s="11"/>
      <c r="AA281" s="15"/>
      <c r="AB281" s="15"/>
      <c r="AC281" s="15"/>
      <c r="AD281" s="16"/>
      <c r="AE281" s="16"/>
      <c r="AF281" s="16"/>
      <c r="AG281" s="16"/>
      <c r="AH281" s="16"/>
      <c r="AI281" s="16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16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</row>
    <row r="282" spans="1:96" ht="12" customHeight="1" x14ac:dyDescent="0.25">
      <c r="A282" s="3"/>
      <c r="B282" s="14"/>
      <c r="C282" s="14"/>
      <c r="D282" s="14"/>
      <c r="E282" s="14"/>
      <c r="K282" s="14"/>
      <c r="M282" s="14"/>
      <c r="N282" s="14"/>
      <c r="P282" s="3"/>
      <c r="Q282" s="4"/>
      <c r="R282" s="3"/>
      <c r="S282" s="3"/>
      <c r="T282" s="3"/>
      <c r="U282" s="4"/>
      <c r="V282" s="4"/>
      <c r="Z282" s="11"/>
      <c r="AA282" s="15"/>
      <c r="AB282" s="15"/>
      <c r="AC282" s="15"/>
      <c r="AD282" s="16"/>
      <c r="AE282" s="16"/>
      <c r="AF282" s="16"/>
      <c r="AG282" s="16"/>
      <c r="AH282" s="16"/>
      <c r="AI282" s="16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16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</row>
    <row r="283" spans="1:96" ht="12" customHeight="1" x14ac:dyDescent="0.25">
      <c r="A283" s="3"/>
      <c r="B283" s="14"/>
      <c r="C283" s="14"/>
      <c r="D283" s="14"/>
      <c r="E283" s="14"/>
      <c r="K283" s="14"/>
      <c r="M283" s="14"/>
      <c r="N283" s="14"/>
      <c r="P283" s="3"/>
      <c r="Q283" s="4"/>
      <c r="R283" s="3"/>
      <c r="S283" s="3"/>
      <c r="T283" s="3"/>
      <c r="U283" s="4"/>
      <c r="V283" s="4"/>
      <c r="Z283" s="11"/>
      <c r="AA283" s="15"/>
      <c r="AB283" s="15"/>
      <c r="AC283" s="15"/>
      <c r="AD283" s="16"/>
      <c r="AE283" s="16"/>
      <c r="AF283" s="16"/>
      <c r="AG283" s="16"/>
      <c r="AH283" s="16"/>
      <c r="AI283" s="16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16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</row>
    <row r="284" spans="1:96" ht="12" customHeight="1" x14ac:dyDescent="0.25">
      <c r="A284" s="3"/>
      <c r="B284" s="14"/>
      <c r="C284" s="14"/>
      <c r="D284" s="14"/>
      <c r="E284" s="14"/>
      <c r="K284" s="14"/>
      <c r="M284" s="14"/>
      <c r="N284" s="14"/>
      <c r="P284" s="3"/>
      <c r="Q284" s="4"/>
      <c r="R284" s="3"/>
      <c r="S284" s="3"/>
      <c r="T284" s="3"/>
      <c r="U284" s="4"/>
      <c r="V284" s="4"/>
      <c r="Z284" s="11"/>
      <c r="AA284" s="15"/>
      <c r="AB284" s="15"/>
      <c r="AC284" s="15"/>
      <c r="AD284" s="16"/>
      <c r="AE284" s="16"/>
      <c r="AF284" s="16"/>
      <c r="AG284" s="16"/>
      <c r="AH284" s="16"/>
      <c r="AI284" s="16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16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</row>
    <row r="285" spans="1:96" ht="12" customHeight="1" x14ac:dyDescent="0.25">
      <c r="A285" s="3"/>
      <c r="B285" s="14"/>
      <c r="C285" s="14"/>
      <c r="D285" s="14"/>
      <c r="E285" s="14"/>
      <c r="K285" s="14"/>
      <c r="M285" s="14"/>
      <c r="N285" s="14"/>
      <c r="P285" s="3"/>
      <c r="Q285" s="4"/>
      <c r="R285" s="3"/>
      <c r="S285" s="3"/>
      <c r="T285" s="3"/>
      <c r="U285" s="4"/>
      <c r="V285" s="4"/>
      <c r="Z285" s="11"/>
      <c r="AA285" s="15"/>
      <c r="AB285" s="15"/>
      <c r="AC285" s="15"/>
      <c r="AD285" s="16"/>
      <c r="AE285" s="16"/>
      <c r="AF285" s="16"/>
      <c r="AG285" s="16"/>
      <c r="AH285" s="16"/>
      <c r="AI285" s="16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16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</row>
    <row r="286" spans="1:96" ht="12" customHeight="1" x14ac:dyDescent="0.25">
      <c r="A286" s="3"/>
      <c r="B286" s="14"/>
      <c r="C286" s="14"/>
      <c r="D286" s="14"/>
      <c r="E286" s="14"/>
      <c r="K286" s="14"/>
      <c r="M286" s="14"/>
      <c r="N286" s="14"/>
      <c r="P286" s="3"/>
      <c r="Q286" s="4"/>
      <c r="R286" s="3"/>
      <c r="S286" s="3"/>
      <c r="T286" s="3"/>
      <c r="U286" s="4"/>
      <c r="V286" s="4"/>
      <c r="Z286" s="11"/>
      <c r="AA286" s="15"/>
      <c r="AB286" s="15"/>
      <c r="AC286" s="15"/>
      <c r="AD286" s="16"/>
      <c r="AE286" s="16"/>
      <c r="AF286" s="16"/>
      <c r="AG286" s="16"/>
      <c r="AH286" s="16"/>
      <c r="AI286" s="16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16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</row>
    <row r="287" spans="1:96" ht="12" customHeight="1" x14ac:dyDescent="0.25">
      <c r="A287" s="3"/>
      <c r="B287" s="14"/>
      <c r="C287" s="14"/>
      <c r="D287" s="14"/>
      <c r="E287" s="14"/>
      <c r="K287" s="14"/>
      <c r="M287" s="14"/>
      <c r="N287" s="14"/>
      <c r="P287" s="3"/>
      <c r="Q287" s="4"/>
      <c r="R287" s="3"/>
      <c r="S287" s="3"/>
      <c r="T287" s="3"/>
      <c r="U287" s="4"/>
      <c r="V287" s="4"/>
      <c r="Z287" s="11"/>
      <c r="AA287" s="15"/>
      <c r="AB287" s="15"/>
      <c r="AC287" s="15"/>
      <c r="AD287" s="16"/>
      <c r="AE287" s="16"/>
      <c r="AF287" s="16"/>
      <c r="AG287" s="16"/>
      <c r="AH287" s="16"/>
      <c r="AI287" s="16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16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</row>
    <row r="288" spans="1:96" ht="12" customHeight="1" x14ac:dyDescent="0.25">
      <c r="A288" s="3"/>
      <c r="B288" s="14"/>
      <c r="C288" s="14"/>
      <c r="D288" s="14"/>
      <c r="E288" s="14"/>
      <c r="K288" s="14"/>
      <c r="M288" s="14"/>
      <c r="N288" s="14"/>
      <c r="P288" s="3"/>
      <c r="Q288" s="4"/>
      <c r="R288" s="3"/>
      <c r="S288" s="3"/>
      <c r="T288" s="3"/>
      <c r="U288" s="4"/>
      <c r="V288" s="4"/>
      <c r="Z288" s="11"/>
      <c r="AA288" s="15"/>
      <c r="AB288" s="15"/>
      <c r="AC288" s="15"/>
      <c r="AD288" s="16"/>
      <c r="AE288" s="16"/>
      <c r="AF288" s="16"/>
      <c r="AG288" s="16"/>
      <c r="AH288" s="16"/>
      <c r="AI288" s="16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16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</row>
    <row r="289" spans="1:96" ht="12" customHeight="1" x14ac:dyDescent="0.25">
      <c r="A289" s="3"/>
      <c r="B289" s="14"/>
      <c r="C289" s="14"/>
      <c r="D289" s="14"/>
      <c r="E289" s="14"/>
      <c r="K289" s="14"/>
      <c r="M289" s="14"/>
      <c r="N289" s="14"/>
      <c r="P289" s="3"/>
      <c r="Q289" s="4"/>
      <c r="R289" s="3"/>
      <c r="S289" s="3"/>
      <c r="T289" s="3"/>
      <c r="U289" s="4"/>
      <c r="V289" s="4"/>
      <c r="Z289" s="11"/>
      <c r="AA289" s="15"/>
      <c r="AB289" s="15"/>
      <c r="AC289" s="15"/>
      <c r="AD289" s="16"/>
      <c r="AE289" s="16"/>
      <c r="AF289" s="16"/>
      <c r="AG289" s="16"/>
      <c r="AH289" s="16"/>
      <c r="AI289" s="16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16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</row>
    <row r="290" spans="1:96" ht="12" customHeight="1" x14ac:dyDescent="0.25">
      <c r="A290" s="3"/>
      <c r="B290" s="14"/>
      <c r="C290" s="14"/>
      <c r="D290" s="14"/>
      <c r="E290" s="14"/>
      <c r="K290" s="14"/>
      <c r="M290" s="14"/>
      <c r="N290" s="14"/>
      <c r="P290" s="3"/>
      <c r="Q290" s="4"/>
      <c r="R290" s="3"/>
      <c r="S290" s="3"/>
      <c r="T290" s="3"/>
      <c r="U290" s="4"/>
      <c r="V290" s="4"/>
      <c r="Z290" s="11"/>
      <c r="AA290" s="15"/>
      <c r="AB290" s="15"/>
      <c r="AC290" s="15"/>
      <c r="AD290" s="16"/>
      <c r="AE290" s="16"/>
      <c r="AF290" s="16"/>
      <c r="AG290" s="16"/>
      <c r="AH290" s="16"/>
      <c r="AI290" s="16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16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</row>
    <row r="291" spans="1:96" ht="12" customHeight="1" x14ac:dyDescent="0.25">
      <c r="A291" s="3"/>
      <c r="B291" s="14"/>
      <c r="C291" s="14"/>
      <c r="D291" s="14"/>
      <c r="E291" s="14"/>
      <c r="K291" s="14"/>
      <c r="M291" s="14"/>
      <c r="N291" s="14"/>
      <c r="P291" s="3"/>
      <c r="Q291" s="4"/>
      <c r="R291" s="3"/>
      <c r="S291" s="3"/>
      <c r="T291" s="3"/>
      <c r="U291" s="4"/>
      <c r="V291" s="4"/>
      <c r="Z291" s="11"/>
      <c r="AA291" s="15"/>
      <c r="AB291" s="15"/>
      <c r="AC291" s="15"/>
      <c r="AD291" s="16"/>
      <c r="AE291" s="16"/>
      <c r="AF291" s="16"/>
      <c r="AG291" s="16"/>
      <c r="AH291" s="16"/>
      <c r="AI291" s="16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16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</row>
    <row r="292" spans="1:96" ht="12" customHeight="1" x14ac:dyDescent="0.25">
      <c r="A292" s="3"/>
      <c r="B292" s="14"/>
      <c r="C292" s="14"/>
      <c r="D292" s="14"/>
      <c r="E292" s="14"/>
      <c r="K292" s="14"/>
      <c r="M292" s="14"/>
      <c r="N292" s="14"/>
      <c r="P292" s="3"/>
      <c r="Q292" s="4"/>
      <c r="R292" s="3"/>
      <c r="S292" s="3"/>
      <c r="T292" s="3"/>
      <c r="U292" s="4"/>
      <c r="V292" s="4"/>
      <c r="Z292" s="11"/>
      <c r="AA292" s="15"/>
      <c r="AB292" s="15"/>
      <c r="AC292" s="15"/>
      <c r="AD292" s="16"/>
      <c r="AE292" s="16"/>
      <c r="AF292" s="16"/>
      <c r="AG292" s="16"/>
      <c r="AH292" s="16"/>
      <c r="AI292" s="16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16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</row>
    <row r="293" spans="1:96" ht="12" customHeight="1" x14ac:dyDescent="0.25">
      <c r="A293" s="3"/>
      <c r="B293" s="14"/>
      <c r="C293" s="14"/>
      <c r="D293" s="14"/>
      <c r="E293" s="14"/>
      <c r="K293" s="14"/>
      <c r="M293" s="14"/>
      <c r="N293" s="14"/>
      <c r="P293" s="3"/>
      <c r="Q293" s="4"/>
      <c r="R293" s="3"/>
      <c r="S293" s="3"/>
      <c r="T293" s="3"/>
      <c r="U293" s="4"/>
      <c r="V293" s="4"/>
      <c r="Z293" s="11"/>
      <c r="AA293" s="15"/>
      <c r="AB293" s="15"/>
      <c r="AC293" s="15"/>
      <c r="AD293" s="16"/>
      <c r="AE293" s="16"/>
      <c r="AF293" s="16"/>
      <c r="AG293" s="16"/>
      <c r="AH293" s="16"/>
      <c r="AI293" s="16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16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</row>
    <row r="294" spans="1:96" ht="12" customHeight="1" x14ac:dyDescent="0.25">
      <c r="A294" s="3"/>
      <c r="B294" s="14"/>
      <c r="C294" s="14"/>
      <c r="D294" s="14"/>
      <c r="E294" s="14"/>
      <c r="K294" s="14"/>
      <c r="M294" s="14"/>
      <c r="N294" s="14"/>
      <c r="P294" s="3"/>
      <c r="Q294" s="4"/>
      <c r="R294" s="3"/>
      <c r="S294" s="3"/>
      <c r="T294" s="3"/>
      <c r="U294" s="4"/>
      <c r="V294" s="4"/>
      <c r="Z294" s="11"/>
      <c r="AA294" s="15"/>
      <c r="AB294" s="15"/>
      <c r="AC294" s="15"/>
      <c r="AD294" s="16"/>
      <c r="AE294" s="16"/>
      <c r="AF294" s="16"/>
      <c r="AG294" s="16"/>
      <c r="AH294" s="16"/>
      <c r="AI294" s="16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16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</row>
    <row r="295" spans="1:96" ht="12" customHeight="1" x14ac:dyDescent="0.25">
      <c r="A295" s="3"/>
      <c r="B295" s="14"/>
      <c r="C295" s="14"/>
      <c r="D295" s="14"/>
      <c r="E295" s="14"/>
      <c r="K295" s="14"/>
      <c r="M295" s="14"/>
      <c r="N295" s="14"/>
      <c r="P295" s="3"/>
      <c r="Q295" s="4"/>
      <c r="R295" s="3"/>
      <c r="S295" s="3"/>
      <c r="T295" s="3"/>
      <c r="U295" s="4"/>
      <c r="V295" s="4"/>
      <c r="Z295" s="11"/>
      <c r="AA295" s="15"/>
      <c r="AB295" s="15"/>
      <c r="AC295" s="15"/>
      <c r="AD295" s="16"/>
      <c r="AE295" s="16"/>
      <c r="AF295" s="16"/>
      <c r="AG295" s="16"/>
      <c r="AH295" s="16"/>
      <c r="AI295" s="16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16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</row>
    <row r="296" spans="1:96" ht="12" customHeight="1" x14ac:dyDescent="0.25">
      <c r="A296" s="3"/>
      <c r="B296" s="14"/>
      <c r="C296" s="14"/>
      <c r="D296" s="14"/>
      <c r="E296" s="14"/>
      <c r="K296" s="14"/>
      <c r="M296" s="14"/>
      <c r="N296" s="14"/>
      <c r="P296" s="3"/>
      <c r="Q296" s="4"/>
      <c r="R296" s="3"/>
      <c r="S296" s="3"/>
      <c r="T296" s="3"/>
      <c r="U296" s="4"/>
      <c r="V296" s="4"/>
      <c r="Z296" s="11"/>
      <c r="AA296" s="15"/>
      <c r="AB296" s="15"/>
      <c r="AC296" s="15"/>
      <c r="AD296" s="16"/>
      <c r="AE296" s="16"/>
      <c r="AF296" s="16"/>
      <c r="AG296" s="16"/>
      <c r="AH296" s="16"/>
      <c r="AI296" s="16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16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</row>
    <row r="297" spans="1:96" ht="12" customHeight="1" x14ac:dyDescent="0.25">
      <c r="A297" s="3"/>
      <c r="B297" s="14"/>
      <c r="C297" s="14"/>
      <c r="D297" s="14"/>
      <c r="E297" s="14"/>
      <c r="K297" s="14"/>
      <c r="M297" s="14"/>
      <c r="N297" s="14"/>
      <c r="P297" s="3"/>
      <c r="Q297" s="4"/>
      <c r="R297" s="3"/>
      <c r="S297" s="3"/>
      <c r="T297" s="3"/>
      <c r="U297" s="4"/>
      <c r="V297" s="4"/>
      <c r="Z297" s="11"/>
      <c r="AA297" s="15"/>
      <c r="AB297" s="15"/>
      <c r="AC297" s="15"/>
      <c r="AD297" s="16"/>
      <c r="AE297" s="16"/>
      <c r="AF297" s="16"/>
      <c r="AG297" s="16"/>
      <c r="AH297" s="16"/>
      <c r="AI297" s="16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16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</row>
    <row r="298" spans="1:96" ht="12" customHeight="1" x14ac:dyDescent="0.25">
      <c r="A298" s="3"/>
      <c r="B298" s="14"/>
      <c r="C298" s="14"/>
      <c r="D298" s="14"/>
      <c r="E298" s="14"/>
      <c r="K298" s="14"/>
      <c r="M298" s="14"/>
      <c r="N298" s="14"/>
      <c r="P298" s="3"/>
      <c r="Q298" s="4"/>
      <c r="R298" s="3"/>
      <c r="S298" s="3"/>
      <c r="T298" s="3"/>
      <c r="U298" s="4"/>
      <c r="V298" s="4"/>
      <c r="Z298" s="11"/>
      <c r="AA298" s="15"/>
      <c r="AB298" s="15"/>
      <c r="AC298" s="15"/>
      <c r="AD298" s="16"/>
      <c r="AE298" s="16"/>
      <c r="AF298" s="16"/>
      <c r="AG298" s="16"/>
      <c r="AH298" s="16"/>
      <c r="AI298" s="16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16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</row>
    <row r="299" spans="1:96" ht="12" customHeight="1" x14ac:dyDescent="0.25">
      <c r="A299" s="3"/>
      <c r="B299" s="14"/>
      <c r="C299" s="14"/>
      <c r="D299" s="14"/>
      <c r="E299" s="14"/>
      <c r="K299" s="14"/>
      <c r="M299" s="14"/>
      <c r="N299" s="14"/>
      <c r="P299" s="3"/>
      <c r="Q299" s="4"/>
      <c r="R299" s="3"/>
      <c r="S299" s="3"/>
      <c r="T299" s="3"/>
      <c r="U299" s="4"/>
      <c r="V299" s="4"/>
      <c r="Z299" s="11"/>
      <c r="AA299" s="15"/>
      <c r="AB299" s="15"/>
      <c r="AC299" s="15"/>
      <c r="AD299" s="16"/>
      <c r="AE299" s="16"/>
      <c r="AF299" s="16"/>
      <c r="AG299" s="16"/>
      <c r="AH299" s="16"/>
      <c r="AI299" s="16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16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</row>
    <row r="300" spans="1:96" ht="12" customHeight="1" x14ac:dyDescent="0.25">
      <c r="A300" s="3"/>
      <c r="B300" s="14"/>
      <c r="C300" s="14"/>
      <c r="D300" s="14"/>
      <c r="E300" s="14"/>
      <c r="K300" s="14"/>
      <c r="M300" s="14"/>
      <c r="N300" s="14"/>
      <c r="P300" s="3"/>
      <c r="Q300" s="4"/>
      <c r="R300" s="3"/>
      <c r="S300" s="3"/>
      <c r="T300" s="3"/>
      <c r="U300" s="4"/>
      <c r="V300" s="4"/>
      <c r="Z300" s="11"/>
      <c r="AA300" s="15"/>
      <c r="AB300" s="15"/>
      <c r="AC300" s="15"/>
      <c r="AD300" s="16"/>
      <c r="AE300" s="16"/>
      <c r="AF300" s="16"/>
      <c r="AG300" s="16"/>
      <c r="AH300" s="16"/>
      <c r="AI300" s="16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16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</row>
    <row r="301" spans="1:96" ht="12" customHeight="1" x14ac:dyDescent="0.25">
      <c r="A301" s="3"/>
      <c r="B301" s="14"/>
      <c r="C301" s="14"/>
      <c r="D301" s="14"/>
      <c r="E301" s="14"/>
      <c r="K301" s="14"/>
      <c r="M301" s="14"/>
      <c r="N301" s="14"/>
      <c r="P301" s="3"/>
      <c r="Q301" s="4"/>
      <c r="R301" s="3"/>
      <c r="S301" s="3"/>
      <c r="T301" s="3"/>
      <c r="U301" s="4"/>
      <c r="V301" s="4"/>
      <c r="Z301" s="11"/>
      <c r="AA301" s="15"/>
      <c r="AB301" s="15"/>
      <c r="AC301" s="15"/>
      <c r="AD301" s="16"/>
      <c r="AE301" s="16"/>
      <c r="AF301" s="16"/>
      <c r="AG301" s="16"/>
      <c r="AH301" s="16"/>
      <c r="AI301" s="16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16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</row>
    <row r="302" spans="1:96" ht="12" customHeight="1" x14ac:dyDescent="0.25">
      <c r="A302" s="3"/>
      <c r="B302" s="14"/>
      <c r="C302" s="14"/>
      <c r="D302" s="14"/>
      <c r="E302" s="14"/>
      <c r="K302" s="14"/>
      <c r="M302" s="14"/>
      <c r="N302" s="14"/>
      <c r="P302" s="3"/>
      <c r="Q302" s="4"/>
      <c r="R302" s="3"/>
      <c r="S302" s="3"/>
      <c r="T302" s="3"/>
      <c r="U302" s="4"/>
      <c r="V302" s="4"/>
      <c r="Z302" s="11"/>
      <c r="AA302" s="15"/>
      <c r="AB302" s="15"/>
      <c r="AC302" s="15"/>
      <c r="AD302" s="16"/>
      <c r="AE302" s="16"/>
      <c r="AF302" s="16"/>
      <c r="AG302" s="16"/>
      <c r="AH302" s="16"/>
      <c r="AI302" s="16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16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</row>
    <row r="303" spans="1:96" ht="12" customHeight="1" x14ac:dyDescent="0.25">
      <c r="A303" s="3"/>
      <c r="B303" s="14"/>
      <c r="C303" s="14"/>
      <c r="D303" s="14"/>
      <c r="E303" s="14"/>
      <c r="K303" s="14"/>
      <c r="M303" s="14"/>
      <c r="N303" s="14"/>
      <c r="P303" s="3"/>
      <c r="Q303" s="4"/>
      <c r="R303" s="3"/>
      <c r="S303" s="3"/>
      <c r="T303" s="3"/>
      <c r="U303" s="4"/>
      <c r="V303" s="4"/>
      <c r="Z303" s="11"/>
      <c r="AA303" s="15"/>
      <c r="AB303" s="15"/>
      <c r="AC303" s="15"/>
      <c r="AD303" s="16"/>
      <c r="AE303" s="16"/>
      <c r="AF303" s="16"/>
      <c r="AG303" s="16"/>
      <c r="AH303" s="16"/>
      <c r="AI303" s="16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16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</row>
    <row r="304" spans="1:96" ht="12" customHeight="1" x14ac:dyDescent="0.25">
      <c r="A304" s="3"/>
      <c r="B304" s="14"/>
      <c r="C304" s="14"/>
      <c r="D304" s="14"/>
      <c r="E304" s="14"/>
      <c r="K304" s="14"/>
      <c r="M304" s="14"/>
      <c r="N304" s="14"/>
      <c r="P304" s="3"/>
      <c r="Q304" s="4"/>
      <c r="R304" s="3"/>
      <c r="S304" s="3"/>
      <c r="T304" s="3"/>
      <c r="U304" s="4"/>
      <c r="V304" s="4"/>
      <c r="Z304" s="11"/>
      <c r="AA304" s="15"/>
      <c r="AB304" s="15"/>
      <c r="AC304" s="15"/>
      <c r="AD304" s="16"/>
      <c r="AE304" s="16"/>
      <c r="AF304" s="16"/>
      <c r="AG304" s="16"/>
      <c r="AH304" s="16"/>
      <c r="AI304" s="16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16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</row>
    <row r="305" spans="1:96" ht="12" customHeight="1" x14ac:dyDescent="0.25">
      <c r="A305" s="3"/>
      <c r="B305" s="14"/>
      <c r="C305" s="14"/>
      <c r="D305" s="14"/>
      <c r="E305" s="14"/>
      <c r="K305" s="14"/>
      <c r="M305" s="14"/>
      <c r="N305" s="14"/>
      <c r="P305" s="3"/>
      <c r="Q305" s="4"/>
      <c r="R305" s="3"/>
      <c r="S305" s="3"/>
      <c r="T305" s="3"/>
      <c r="U305" s="4"/>
      <c r="V305" s="4"/>
      <c r="Z305" s="11"/>
      <c r="AA305" s="15"/>
      <c r="AB305" s="15"/>
      <c r="AC305" s="15"/>
      <c r="AD305" s="16"/>
      <c r="AE305" s="16"/>
      <c r="AF305" s="16"/>
      <c r="AG305" s="16"/>
      <c r="AH305" s="16"/>
      <c r="AI305" s="16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16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</row>
    <row r="306" spans="1:96" ht="12" customHeight="1" x14ac:dyDescent="0.25">
      <c r="A306" s="3"/>
      <c r="B306" s="14"/>
      <c r="C306" s="14"/>
      <c r="D306" s="14"/>
      <c r="E306" s="14"/>
      <c r="K306" s="14"/>
      <c r="M306" s="14"/>
      <c r="N306" s="14"/>
      <c r="P306" s="3"/>
      <c r="Q306" s="4"/>
      <c r="R306" s="3"/>
      <c r="S306" s="3"/>
      <c r="T306" s="3"/>
      <c r="U306" s="4"/>
      <c r="V306" s="4"/>
      <c r="Z306" s="11"/>
      <c r="AA306" s="15"/>
      <c r="AB306" s="15"/>
      <c r="AC306" s="15"/>
      <c r="AD306" s="16"/>
      <c r="AE306" s="16"/>
      <c r="AF306" s="16"/>
      <c r="AG306" s="16"/>
      <c r="AH306" s="16"/>
      <c r="AI306" s="16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16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</row>
    <row r="307" spans="1:96" ht="12" customHeight="1" x14ac:dyDescent="0.25">
      <c r="A307" s="3"/>
      <c r="B307" s="14"/>
      <c r="C307" s="14"/>
      <c r="D307" s="14"/>
      <c r="E307" s="14"/>
      <c r="K307" s="14"/>
      <c r="M307" s="14"/>
      <c r="N307" s="14"/>
      <c r="P307" s="3"/>
      <c r="Q307" s="4"/>
      <c r="R307" s="3"/>
      <c r="S307" s="3"/>
      <c r="T307" s="3"/>
      <c r="U307" s="4"/>
      <c r="V307" s="4"/>
      <c r="Z307" s="11"/>
      <c r="AA307" s="15"/>
      <c r="AB307" s="15"/>
      <c r="AC307" s="15"/>
      <c r="AD307" s="16"/>
      <c r="AE307" s="16"/>
      <c r="AF307" s="16"/>
      <c r="AG307" s="16"/>
      <c r="AH307" s="16"/>
      <c r="AI307" s="16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16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</row>
    <row r="308" spans="1:96" ht="12" customHeight="1" x14ac:dyDescent="0.25">
      <c r="A308" s="3"/>
      <c r="B308" s="14"/>
      <c r="C308" s="14"/>
      <c r="D308" s="14"/>
      <c r="E308" s="14"/>
      <c r="K308" s="14"/>
      <c r="M308" s="14"/>
      <c r="N308" s="14"/>
      <c r="P308" s="3"/>
      <c r="Q308" s="4"/>
      <c r="R308" s="3"/>
      <c r="S308" s="3"/>
      <c r="T308" s="3"/>
      <c r="U308" s="4"/>
      <c r="V308" s="4"/>
      <c r="Z308" s="11"/>
      <c r="AA308" s="15"/>
      <c r="AB308" s="15"/>
      <c r="AC308" s="15"/>
      <c r="AD308" s="16"/>
      <c r="AE308" s="16"/>
      <c r="AF308" s="16"/>
      <c r="AG308" s="16"/>
      <c r="AH308" s="16"/>
      <c r="AI308" s="16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16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</row>
    <row r="309" spans="1:96" ht="12" customHeight="1" x14ac:dyDescent="0.25">
      <c r="A309" s="3"/>
      <c r="B309" s="14"/>
      <c r="C309" s="14"/>
      <c r="D309" s="14"/>
      <c r="E309" s="14"/>
      <c r="K309" s="14"/>
      <c r="M309" s="14"/>
      <c r="N309" s="14"/>
      <c r="Z309" s="11"/>
      <c r="AA309" s="15"/>
      <c r="AB309" s="15"/>
      <c r="AC309" s="15"/>
      <c r="AD309" s="16"/>
      <c r="AE309" s="16"/>
      <c r="AF309" s="16"/>
      <c r="AG309" s="16"/>
      <c r="AH309" s="16"/>
      <c r="AI309" s="16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16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</row>
    <row r="310" spans="1:96" ht="12" customHeight="1" x14ac:dyDescent="0.25">
      <c r="A310" s="3"/>
      <c r="B310" s="14"/>
      <c r="C310" s="14"/>
      <c r="D310" s="14"/>
      <c r="E310" s="14"/>
      <c r="K310" s="14"/>
      <c r="M310" s="14"/>
      <c r="N310" s="14"/>
      <c r="Z310" s="11"/>
      <c r="AA310" s="15"/>
      <c r="AB310" s="15"/>
      <c r="AC310" s="15"/>
      <c r="AD310" s="16"/>
      <c r="AE310" s="16"/>
      <c r="AF310" s="16"/>
      <c r="AG310" s="16"/>
      <c r="AH310" s="16"/>
      <c r="AI310" s="16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16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</row>
    <row r="311" spans="1:96" ht="12" customHeight="1" x14ac:dyDescent="0.25">
      <c r="A311" s="3"/>
      <c r="B311" s="14"/>
      <c r="C311" s="14"/>
      <c r="D311" s="14"/>
      <c r="E311" s="14"/>
      <c r="K311" s="14"/>
      <c r="M311" s="14"/>
      <c r="N311" s="14"/>
      <c r="Z311" s="11"/>
      <c r="AA311" s="15"/>
      <c r="AB311" s="15"/>
      <c r="AC311" s="15"/>
      <c r="AD311" s="16"/>
      <c r="AE311" s="16"/>
      <c r="AF311" s="16"/>
      <c r="AG311" s="16"/>
      <c r="AH311" s="16"/>
      <c r="AI311" s="16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16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</row>
    <row r="312" spans="1:96" ht="12" customHeight="1" x14ac:dyDescent="0.25">
      <c r="A312" s="3"/>
      <c r="B312" s="14"/>
      <c r="C312" s="14"/>
      <c r="D312" s="14"/>
      <c r="E312" s="14"/>
      <c r="K312" s="14"/>
      <c r="M312" s="14"/>
      <c r="N312" s="14"/>
      <c r="Z312" s="11"/>
      <c r="AA312" s="15"/>
      <c r="AB312" s="15"/>
      <c r="AC312" s="15"/>
      <c r="AD312" s="16"/>
      <c r="AE312" s="16"/>
      <c r="AF312" s="16"/>
      <c r="AG312" s="16"/>
      <c r="AH312" s="16"/>
      <c r="AI312" s="16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16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</row>
    <row r="313" spans="1:96" ht="12" customHeight="1" x14ac:dyDescent="0.25">
      <c r="A313" s="3"/>
      <c r="B313" s="14"/>
      <c r="C313" s="14"/>
      <c r="D313" s="14"/>
      <c r="E313" s="14"/>
      <c r="K313" s="14"/>
      <c r="M313" s="14"/>
      <c r="N313" s="14"/>
      <c r="Z313" s="11"/>
      <c r="AA313" s="15"/>
      <c r="AB313" s="15"/>
      <c r="AC313" s="15"/>
      <c r="AD313" s="16"/>
      <c r="AE313" s="16"/>
      <c r="AF313" s="16"/>
      <c r="AG313" s="16"/>
      <c r="AH313" s="16"/>
      <c r="AI313" s="16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16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</row>
    <row r="314" spans="1:96" ht="12" customHeight="1" x14ac:dyDescent="0.25">
      <c r="A314" s="3"/>
      <c r="B314" s="14"/>
      <c r="C314" s="14"/>
      <c r="D314" s="14"/>
      <c r="E314" s="14"/>
      <c r="K314" s="14"/>
      <c r="M314" s="14"/>
      <c r="N314" s="14"/>
      <c r="Z314" s="11"/>
      <c r="AA314" s="15"/>
      <c r="AB314" s="15"/>
      <c r="AC314" s="15"/>
      <c r="AD314" s="16"/>
      <c r="AE314" s="16"/>
      <c r="AF314" s="16"/>
      <c r="AG314" s="16"/>
      <c r="AH314" s="16"/>
      <c r="AI314" s="16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16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</row>
    <row r="315" spans="1:96" ht="12" customHeight="1" x14ac:dyDescent="0.25">
      <c r="A315" s="3"/>
      <c r="B315" s="14"/>
      <c r="C315" s="14"/>
      <c r="D315" s="14"/>
      <c r="E315" s="14"/>
      <c r="K315" s="14"/>
      <c r="M315" s="14"/>
      <c r="N315" s="14"/>
      <c r="Z315" s="11"/>
      <c r="AA315" s="15"/>
      <c r="AB315" s="15"/>
      <c r="AC315" s="15"/>
      <c r="AD315" s="16"/>
      <c r="AE315" s="16"/>
      <c r="AF315" s="16"/>
      <c r="AG315" s="16"/>
      <c r="AH315" s="16"/>
      <c r="AI315" s="16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16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</row>
    <row r="316" spans="1:96" ht="12" customHeight="1" x14ac:dyDescent="0.25">
      <c r="A316" s="3"/>
      <c r="B316" s="14"/>
      <c r="C316" s="14"/>
      <c r="D316" s="14"/>
      <c r="E316" s="14"/>
      <c r="K316" s="14"/>
      <c r="M316" s="14"/>
      <c r="N316" s="14"/>
      <c r="Z316" s="11"/>
      <c r="AA316" s="15"/>
      <c r="AB316" s="15"/>
      <c r="AC316" s="15"/>
      <c r="AD316" s="16"/>
      <c r="AE316" s="16"/>
      <c r="AF316" s="16"/>
      <c r="AG316" s="16"/>
      <c r="AH316" s="16"/>
      <c r="AI316" s="16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16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</row>
    <row r="317" spans="1:96" ht="12" customHeight="1" x14ac:dyDescent="0.25">
      <c r="A317" s="3"/>
      <c r="B317" s="14"/>
      <c r="C317" s="14"/>
      <c r="D317" s="14"/>
      <c r="E317" s="14"/>
      <c r="K317" s="14"/>
      <c r="M317" s="14"/>
      <c r="N317" s="14"/>
      <c r="Z317" s="11"/>
      <c r="AA317" s="15"/>
      <c r="AB317" s="15"/>
      <c r="AC317" s="15"/>
      <c r="AD317" s="16"/>
      <c r="AE317" s="16"/>
      <c r="AF317" s="16"/>
      <c r="AG317" s="16"/>
      <c r="AH317" s="16"/>
      <c r="AI317" s="16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16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</row>
    <row r="318" spans="1:96" ht="12" customHeight="1" x14ac:dyDescent="0.25">
      <c r="A318" s="3"/>
      <c r="B318" s="14"/>
      <c r="C318" s="14"/>
      <c r="D318" s="14"/>
      <c r="E318" s="14"/>
      <c r="K318" s="14"/>
      <c r="M318" s="14"/>
      <c r="N318" s="14"/>
      <c r="Z318" s="11"/>
      <c r="AA318" s="15"/>
      <c r="AB318" s="15"/>
      <c r="AC318" s="15"/>
      <c r="AD318" s="16"/>
      <c r="AE318" s="16"/>
      <c r="AF318" s="16"/>
      <c r="AG318" s="16"/>
      <c r="AH318" s="16"/>
      <c r="AI318" s="16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16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</row>
    <row r="319" spans="1:96" ht="12" customHeight="1" x14ac:dyDescent="0.25">
      <c r="A319" s="3"/>
      <c r="B319" s="14"/>
      <c r="C319" s="14"/>
      <c r="D319" s="14"/>
      <c r="E319" s="14"/>
      <c r="K319" s="14"/>
      <c r="M319" s="14"/>
      <c r="N319" s="14"/>
      <c r="Z319" s="11"/>
      <c r="AA319" s="15"/>
      <c r="AB319" s="15"/>
      <c r="AC319" s="15"/>
      <c r="AD319" s="16"/>
      <c r="AE319" s="16"/>
      <c r="AF319" s="16"/>
      <c r="AG319" s="16"/>
      <c r="AH319" s="16"/>
      <c r="AI319" s="16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16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</row>
    <row r="320" spans="1:96" ht="12" customHeight="1" x14ac:dyDescent="0.25">
      <c r="A320" s="3"/>
      <c r="B320" s="14"/>
      <c r="C320" s="14"/>
      <c r="D320" s="14"/>
      <c r="E320" s="14"/>
      <c r="K320" s="14"/>
      <c r="M320" s="14"/>
      <c r="N320" s="14"/>
      <c r="Z320" s="11"/>
      <c r="AA320" s="15"/>
      <c r="AB320" s="15"/>
      <c r="AC320" s="15"/>
      <c r="AD320" s="16"/>
      <c r="AE320" s="16"/>
      <c r="AF320" s="16"/>
      <c r="AG320" s="16"/>
      <c r="AH320" s="16"/>
      <c r="AI320" s="16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16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</row>
    <row r="321" spans="1:96" ht="12" customHeight="1" x14ac:dyDescent="0.25">
      <c r="A321" s="3"/>
      <c r="B321" s="14"/>
      <c r="C321" s="14"/>
      <c r="D321" s="14"/>
      <c r="E321" s="14"/>
      <c r="K321" s="14"/>
      <c r="M321" s="14"/>
      <c r="N321" s="14"/>
      <c r="Z321" s="11"/>
      <c r="AA321" s="15"/>
      <c r="AB321" s="15"/>
      <c r="AC321" s="15"/>
      <c r="AD321" s="16"/>
      <c r="AE321" s="16"/>
      <c r="AF321" s="16"/>
      <c r="AG321" s="16"/>
      <c r="AH321" s="16"/>
      <c r="AI321" s="16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16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</row>
    <row r="322" spans="1:96" ht="12" customHeight="1" x14ac:dyDescent="0.25">
      <c r="A322" s="3"/>
      <c r="B322" s="14"/>
      <c r="C322" s="14"/>
      <c r="D322" s="14"/>
      <c r="E322" s="14"/>
      <c r="K322" s="14"/>
      <c r="M322" s="14"/>
      <c r="N322" s="14"/>
      <c r="Z322" s="11"/>
      <c r="AA322" s="15"/>
      <c r="AB322" s="15"/>
      <c r="AC322" s="15"/>
      <c r="AD322" s="16"/>
      <c r="AE322" s="16"/>
      <c r="AF322" s="16"/>
      <c r="AG322" s="16"/>
      <c r="AH322" s="16"/>
      <c r="AI322" s="16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16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</row>
    <row r="323" spans="1:96" ht="12" customHeight="1" x14ac:dyDescent="0.25">
      <c r="A323" s="3"/>
      <c r="B323" s="14"/>
      <c r="C323" s="14"/>
      <c r="D323" s="14"/>
      <c r="E323" s="14"/>
      <c r="K323" s="14"/>
      <c r="M323" s="14"/>
      <c r="N323" s="14"/>
      <c r="Z323" s="11"/>
      <c r="AA323" s="15"/>
      <c r="AB323" s="15"/>
      <c r="AC323" s="15"/>
      <c r="AD323" s="16"/>
      <c r="AE323" s="16"/>
      <c r="AF323" s="16"/>
      <c r="AG323" s="16"/>
      <c r="AH323" s="16"/>
      <c r="AI323" s="16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16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</row>
    <row r="324" spans="1:96" ht="12" customHeight="1" x14ac:dyDescent="0.25">
      <c r="A324" s="3"/>
      <c r="B324" s="14"/>
      <c r="C324" s="14"/>
      <c r="D324" s="14"/>
      <c r="E324" s="14"/>
      <c r="K324" s="14"/>
      <c r="M324" s="14"/>
      <c r="N324" s="14"/>
      <c r="Z324" s="11"/>
      <c r="AA324" s="15"/>
      <c r="AB324" s="15"/>
      <c r="AC324" s="15"/>
      <c r="AD324" s="16"/>
      <c r="AE324" s="16"/>
      <c r="AF324" s="16"/>
      <c r="AG324" s="16"/>
      <c r="AH324" s="16"/>
      <c r="AI324" s="16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16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</row>
    <row r="325" spans="1:96" ht="12" customHeight="1" x14ac:dyDescent="0.25">
      <c r="A325" s="3"/>
      <c r="B325" s="14"/>
      <c r="C325" s="14"/>
      <c r="D325" s="14"/>
      <c r="E325" s="14"/>
      <c r="K325" s="14"/>
      <c r="M325" s="14"/>
      <c r="N325" s="14"/>
      <c r="Z325" s="11"/>
      <c r="AA325" s="15"/>
      <c r="AB325" s="15"/>
      <c r="AC325" s="15"/>
      <c r="AD325" s="16"/>
      <c r="AE325" s="16"/>
      <c r="AF325" s="16"/>
      <c r="AG325" s="16"/>
      <c r="AH325" s="16"/>
      <c r="AI325" s="16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16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</row>
    <row r="326" spans="1:96" ht="12" customHeight="1" x14ac:dyDescent="0.25">
      <c r="A326" s="3"/>
      <c r="B326" s="14"/>
      <c r="C326" s="14"/>
      <c r="D326" s="14"/>
      <c r="E326" s="14"/>
      <c r="K326" s="14"/>
      <c r="M326" s="14"/>
      <c r="N326" s="14"/>
      <c r="Z326" s="11"/>
      <c r="AA326" s="15"/>
      <c r="AB326" s="15"/>
      <c r="AC326" s="15"/>
      <c r="AD326" s="16"/>
      <c r="AE326" s="16"/>
      <c r="AF326" s="16"/>
      <c r="AG326" s="16"/>
      <c r="AH326" s="16"/>
      <c r="AI326" s="16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16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</row>
    <row r="327" spans="1:96" ht="12" customHeight="1" x14ac:dyDescent="0.25">
      <c r="A327" s="3"/>
      <c r="B327" s="14"/>
      <c r="C327" s="14"/>
      <c r="D327" s="14"/>
      <c r="E327" s="14"/>
      <c r="K327" s="14"/>
      <c r="M327" s="14"/>
      <c r="N327" s="14"/>
      <c r="Z327" s="11"/>
      <c r="AA327" s="15"/>
      <c r="AB327" s="15"/>
      <c r="AC327" s="15"/>
      <c r="AD327" s="16"/>
      <c r="AE327" s="16"/>
      <c r="AF327" s="16"/>
      <c r="AG327" s="16"/>
      <c r="AH327" s="16"/>
      <c r="AI327" s="16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16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</row>
    <row r="328" spans="1:96" ht="12" customHeight="1" x14ac:dyDescent="0.25">
      <c r="A328" s="3"/>
      <c r="B328" s="14"/>
      <c r="C328" s="14"/>
      <c r="D328" s="14"/>
      <c r="E328" s="14"/>
      <c r="K328" s="14"/>
      <c r="M328" s="14"/>
      <c r="N328" s="14"/>
      <c r="Z328" s="11"/>
      <c r="AA328" s="15"/>
      <c r="AB328" s="15"/>
      <c r="AC328" s="15"/>
      <c r="AD328" s="16"/>
      <c r="AE328" s="16"/>
      <c r="AF328" s="16"/>
      <c r="AG328" s="16"/>
      <c r="AH328" s="16"/>
      <c r="AI328" s="16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16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</row>
    <row r="329" spans="1:96" ht="12" customHeight="1" x14ac:dyDescent="0.25">
      <c r="A329" s="3"/>
      <c r="B329" s="14"/>
      <c r="C329" s="14"/>
      <c r="D329" s="14"/>
      <c r="E329" s="14"/>
      <c r="K329" s="14"/>
      <c r="M329" s="14"/>
      <c r="N329" s="14"/>
      <c r="Z329" s="11"/>
      <c r="AA329" s="15"/>
      <c r="AB329" s="15"/>
      <c r="AC329" s="15"/>
      <c r="AD329" s="16"/>
      <c r="AE329" s="16"/>
      <c r="AF329" s="16"/>
      <c r="AG329" s="16"/>
      <c r="AH329" s="16"/>
      <c r="AI329" s="16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16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</row>
    <row r="330" spans="1:96" ht="12" customHeight="1" x14ac:dyDescent="0.25">
      <c r="A330" s="3"/>
      <c r="B330" s="14"/>
      <c r="C330" s="14"/>
      <c r="D330" s="14"/>
      <c r="E330" s="14"/>
      <c r="K330" s="14"/>
      <c r="M330" s="14"/>
      <c r="N330" s="14"/>
      <c r="Z330" s="11"/>
      <c r="AA330" s="15"/>
      <c r="AB330" s="15"/>
      <c r="AC330" s="15"/>
      <c r="AD330" s="16"/>
      <c r="AE330" s="16"/>
      <c r="AF330" s="16"/>
      <c r="AG330" s="16"/>
      <c r="AH330" s="16"/>
      <c r="AI330" s="16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16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</row>
    <row r="331" spans="1:96" ht="12" customHeight="1" x14ac:dyDescent="0.25">
      <c r="A331" s="3"/>
      <c r="B331" s="14"/>
      <c r="C331" s="14"/>
      <c r="D331" s="14"/>
      <c r="E331" s="14"/>
      <c r="K331" s="14"/>
      <c r="M331" s="14"/>
      <c r="N331" s="14"/>
      <c r="Z331" s="11"/>
      <c r="AA331" s="15"/>
      <c r="AB331" s="15"/>
      <c r="AC331" s="15"/>
      <c r="AD331" s="16"/>
      <c r="AE331" s="16"/>
      <c r="AF331" s="16"/>
      <c r="AG331" s="16"/>
      <c r="AH331" s="16"/>
      <c r="AI331" s="16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16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</row>
    <row r="332" spans="1:96" ht="12" customHeight="1" x14ac:dyDescent="0.25">
      <c r="A332" s="3"/>
      <c r="B332" s="14"/>
      <c r="C332" s="14"/>
      <c r="D332" s="14"/>
      <c r="E332" s="14"/>
      <c r="K332" s="14"/>
      <c r="M332" s="14"/>
      <c r="N332" s="14"/>
      <c r="Z332" s="11"/>
      <c r="AA332" s="15"/>
      <c r="AB332" s="15"/>
      <c r="AC332" s="15"/>
      <c r="AD332" s="16"/>
      <c r="AE332" s="16"/>
      <c r="AF332" s="16"/>
      <c r="AG332" s="16"/>
      <c r="AH332" s="16"/>
      <c r="AI332" s="16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16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</row>
    <row r="333" spans="1:96" ht="12" customHeight="1" x14ac:dyDescent="0.25">
      <c r="A333" s="3"/>
      <c r="B333" s="14"/>
      <c r="C333" s="14"/>
      <c r="D333" s="14"/>
      <c r="E333" s="14"/>
      <c r="K333" s="14"/>
      <c r="M333" s="14"/>
      <c r="N333" s="14"/>
      <c r="Z333" s="11"/>
      <c r="AA333" s="15"/>
      <c r="AB333" s="15"/>
      <c r="AC333" s="15"/>
      <c r="AD333" s="16"/>
      <c r="AE333" s="16"/>
      <c r="AF333" s="16"/>
      <c r="AG333" s="16"/>
      <c r="AH333" s="16"/>
      <c r="AI333" s="16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16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</row>
    <row r="334" spans="1:96" ht="12" customHeight="1" x14ac:dyDescent="0.25">
      <c r="A334" s="3"/>
      <c r="B334" s="14"/>
      <c r="C334" s="14"/>
      <c r="D334" s="14"/>
      <c r="E334" s="14"/>
      <c r="K334" s="14"/>
      <c r="M334" s="14"/>
      <c r="N334" s="14"/>
      <c r="Z334" s="11"/>
      <c r="AA334" s="15"/>
      <c r="AB334" s="15"/>
      <c r="AC334" s="15"/>
      <c r="AD334" s="16"/>
      <c r="AE334" s="16"/>
      <c r="AF334" s="16"/>
      <c r="AG334" s="16"/>
      <c r="AH334" s="16"/>
      <c r="AI334" s="16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16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</row>
    <row r="335" spans="1:96" ht="12" customHeight="1" x14ac:dyDescent="0.25">
      <c r="A335" s="3"/>
      <c r="B335" s="14"/>
      <c r="C335" s="14"/>
      <c r="D335" s="14"/>
      <c r="E335" s="14"/>
      <c r="K335" s="14"/>
      <c r="M335" s="14"/>
      <c r="N335" s="14"/>
      <c r="Z335" s="11"/>
      <c r="AA335" s="15"/>
      <c r="AB335" s="15"/>
      <c r="AC335" s="15"/>
      <c r="AD335" s="16"/>
      <c r="AE335" s="16"/>
      <c r="AF335" s="16"/>
      <c r="AG335" s="16"/>
      <c r="AH335" s="16"/>
      <c r="AI335" s="16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16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</row>
    <row r="336" spans="1:96" ht="12" customHeight="1" x14ac:dyDescent="0.25">
      <c r="A336" s="3"/>
      <c r="B336" s="14"/>
      <c r="C336" s="14"/>
      <c r="D336" s="14"/>
      <c r="E336" s="14"/>
      <c r="K336" s="14"/>
      <c r="M336" s="14"/>
      <c r="N336" s="14"/>
      <c r="Z336" s="11"/>
      <c r="AA336" s="15"/>
      <c r="AB336" s="15"/>
      <c r="AC336" s="15"/>
      <c r="AD336" s="16"/>
      <c r="AE336" s="16"/>
      <c r="AF336" s="16"/>
      <c r="AG336" s="16"/>
      <c r="AH336" s="16"/>
      <c r="AI336" s="16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16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</row>
    <row r="337" spans="1:96" ht="12" customHeight="1" x14ac:dyDescent="0.25">
      <c r="A337" s="3"/>
      <c r="B337" s="14"/>
      <c r="C337" s="14"/>
      <c r="D337" s="14"/>
      <c r="E337" s="14"/>
      <c r="K337" s="14"/>
      <c r="M337" s="14"/>
      <c r="N337" s="14"/>
      <c r="Z337" s="11"/>
      <c r="AA337" s="15"/>
      <c r="AB337" s="15"/>
      <c r="AC337" s="15"/>
      <c r="AD337" s="16"/>
      <c r="AE337" s="16"/>
      <c r="AF337" s="16"/>
      <c r="AG337" s="16"/>
      <c r="AH337" s="16"/>
      <c r="AI337" s="16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16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</row>
    <row r="338" spans="1:96" ht="12" customHeight="1" x14ac:dyDescent="0.25">
      <c r="A338" s="3"/>
      <c r="B338" s="14"/>
      <c r="C338" s="14"/>
      <c r="D338" s="14"/>
      <c r="E338" s="14"/>
      <c r="K338" s="14"/>
      <c r="M338" s="14"/>
      <c r="N338" s="14"/>
      <c r="Z338" s="11"/>
      <c r="AA338" s="15"/>
      <c r="AB338" s="15"/>
      <c r="AC338" s="15"/>
      <c r="AD338" s="16"/>
      <c r="AE338" s="16"/>
      <c r="AF338" s="16"/>
      <c r="AG338" s="16"/>
      <c r="AH338" s="16"/>
      <c r="AI338" s="16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16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</row>
    <row r="339" spans="1:96" ht="12" customHeight="1" x14ac:dyDescent="0.25">
      <c r="A339" s="3"/>
      <c r="B339" s="14"/>
      <c r="C339" s="14"/>
      <c r="D339" s="14"/>
      <c r="E339" s="14"/>
      <c r="K339" s="14"/>
      <c r="M339" s="14"/>
      <c r="N339" s="14"/>
      <c r="Z339" s="11"/>
      <c r="AA339" s="15"/>
      <c r="AB339" s="15"/>
      <c r="AC339" s="15"/>
      <c r="AD339" s="16"/>
      <c r="AE339" s="16"/>
      <c r="AF339" s="16"/>
      <c r="AG339" s="16"/>
      <c r="AH339" s="16"/>
      <c r="AI339" s="16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16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</row>
    <row r="340" spans="1:96" ht="12" customHeight="1" x14ac:dyDescent="0.25">
      <c r="A340" s="3"/>
      <c r="B340" s="14"/>
      <c r="C340" s="14"/>
      <c r="D340" s="14"/>
      <c r="E340" s="14"/>
      <c r="K340" s="14"/>
      <c r="M340" s="14"/>
      <c r="N340" s="14"/>
      <c r="Z340" s="11"/>
      <c r="AA340" s="15"/>
      <c r="AB340" s="15"/>
      <c r="AC340" s="15"/>
      <c r="AD340" s="16"/>
      <c r="AE340" s="16"/>
      <c r="AF340" s="16"/>
      <c r="AG340" s="16"/>
      <c r="AH340" s="16"/>
      <c r="AI340" s="16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16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</row>
    <row r="341" spans="1:96" ht="12" customHeight="1" x14ac:dyDescent="0.25">
      <c r="A341" s="3"/>
      <c r="B341" s="14"/>
      <c r="C341" s="14"/>
      <c r="D341" s="14"/>
      <c r="E341" s="14"/>
      <c r="K341" s="14"/>
      <c r="M341" s="14"/>
      <c r="N341" s="14"/>
      <c r="Z341" s="11"/>
      <c r="AA341" s="15"/>
      <c r="AB341" s="15"/>
      <c r="AC341" s="15"/>
      <c r="AD341" s="16"/>
      <c r="AE341" s="16"/>
      <c r="AF341" s="16"/>
      <c r="AG341" s="16"/>
      <c r="AH341" s="16"/>
      <c r="AI341" s="16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16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</row>
    <row r="342" spans="1:96" ht="12" customHeight="1" x14ac:dyDescent="0.25">
      <c r="A342" s="3"/>
      <c r="B342" s="14"/>
      <c r="C342" s="14"/>
      <c r="D342" s="14"/>
      <c r="E342" s="14"/>
      <c r="K342" s="14"/>
      <c r="M342" s="14"/>
      <c r="N342" s="14"/>
      <c r="Z342" s="11"/>
      <c r="AA342" s="15"/>
      <c r="AB342" s="15"/>
      <c r="AC342" s="15"/>
      <c r="AD342" s="16"/>
      <c r="AE342" s="16"/>
      <c r="AF342" s="16"/>
      <c r="AG342" s="16"/>
      <c r="AH342" s="16"/>
      <c r="AI342" s="16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16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</row>
    <row r="343" spans="1:96" ht="12" customHeight="1" x14ac:dyDescent="0.25">
      <c r="A343" s="3"/>
      <c r="B343" s="14"/>
      <c r="C343" s="14"/>
      <c r="D343" s="14"/>
      <c r="E343" s="14"/>
      <c r="K343" s="14"/>
      <c r="M343" s="14"/>
      <c r="N343" s="14"/>
      <c r="Z343" s="11"/>
      <c r="AA343" s="15"/>
      <c r="AB343" s="15"/>
      <c r="AC343" s="15"/>
      <c r="AD343" s="16"/>
      <c r="AE343" s="16"/>
      <c r="AF343" s="16"/>
      <c r="AG343" s="16"/>
      <c r="AH343" s="16"/>
      <c r="AI343" s="16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16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</row>
    <row r="344" spans="1:96" ht="12" customHeight="1" x14ac:dyDescent="0.25">
      <c r="A344" s="3"/>
      <c r="B344" s="14"/>
      <c r="C344" s="14"/>
      <c r="D344" s="14"/>
      <c r="E344" s="14"/>
      <c r="K344" s="14"/>
      <c r="M344" s="14"/>
      <c r="N344" s="14"/>
      <c r="Z344" s="11"/>
      <c r="AA344" s="15"/>
      <c r="AB344" s="15"/>
      <c r="AC344" s="15"/>
      <c r="AD344" s="16"/>
      <c r="AE344" s="16"/>
      <c r="AF344" s="16"/>
      <c r="AG344" s="16"/>
      <c r="AH344" s="16"/>
      <c r="AI344" s="16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16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</row>
    <row r="345" spans="1:96" ht="12" customHeight="1" x14ac:dyDescent="0.25">
      <c r="A345" s="3"/>
      <c r="B345" s="14"/>
      <c r="C345" s="14"/>
      <c r="D345" s="14"/>
      <c r="E345" s="14"/>
      <c r="K345" s="14"/>
      <c r="M345" s="14"/>
      <c r="N345" s="14"/>
      <c r="Z345" s="11"/>
      <c r="AA345" s="15"/>
      <c r="AB345" s="15"/>
      <c r="AC345" s="15"/>
      <c r="AD345" s="16"/>
      <c r="AE345" s="16"/>
      <c r="AF345" s="16"/>
      <c r="AG345" s="16"/>
      <c r="AH345" s="16"/>
      <c r="AI345" s="16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16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</row>
    <row r="346" spans="1:96" ht="12" customHeight="1" x14ac:dyDescent="0.25">
      <c r="A346" s="3"/>
      <c r="B346" s="14"/>
      <c r="C346" s="14"/>
      <c r="D346" s="14"/>
      <c r="E346" s="14"/>
      <c r="K346" s="14"/>
      <c r="M346" s="14"/>
      <c r="N346" s="14"/>
      <c r="Z346" s="11"/>
      <c r="AA346" s="15"/>
      <c r="AB346" s="15"/>
      <c r="AC346" s="15"/>
      <c r="AD346" s="16"/>
      <c r="AE346" s="16"/>
      <c r="AF346" s="16"/>
      <c r="AG346" s="16"/>
      <c r="AH346" s="16"/>
      <c r="AI346" s="16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16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</row>
    <row r="347" spans="1:96" ht="12" customHeight="1" x14ac:dyDescent="0.25">
      <c r="A347" s="3"/>
      <c r="B347" s="14"/>
      <c r="C347" s="14"/>
      <c r="D347" s="14"/>
      <c r="E347" s="14"/>
      <c r="K347" s="14"/>
      <c r="M347" s="14"/>
      <c r="N347" s="14"/>
      <c r="Z347" s="11"/>
      <c r="AA347" s="15"/>
      <c r="AB347" s="15"/>
      <c r="AC347" s="15"/>
      <c r="AD347" s="16"/>
      <c r="AE347" s="16"/>
      <c r="AF347" s="16"/>
      <c r="AG347" s="16"/>
      <c r="AH347" s="16"/>
      <c r="AI347" s="16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16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</row>
    <row r="348" spans="1:96" ht="12" customHeight="1" x14ac:dyDescent="0.25">
      <c r="A348" s="3"/>
      <c r="B348" s="14"/>
      <c r="C348" s="14"/>
      <c r="D348" s="14"/>
      <c r="E348" s="14"/>
      <c r="K348" s="14"/>
      <c r="M348" s="14"/>
      <c r="N348" s="14"/>
      <c r="Z348" s="11"/>
      <c r="AA348" s="15"/>
      <c r="AB348" s="15"/>
      <c r="AC348" s="15"/>
      <c r="AD348" s="16"/>
      <c r="AE348" s="16"/>
      <c r="AF348" s="16"/>
      <c r="AG348" s="16"/>
      <c r="AH348" s="16"/>
      <c r="AI348" s="16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16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</row>
    <row r="349" spans="1:96" ht="12" customHeight="1" x14ac:dyDescent="0.25">
      <c r="A349" s="3"/>
      <c r="B349" s="14"/>
      <c r="C349" s="14"/>
      <c r="D349" s="14"/>
      <c r="E349" s="14"/>
      <c r="K349" s="14"/>
      <c r="M349" s="14"/>
      <c r="N349" s="14"/>
      <c r="Z349" s="11"/>
      <c r="AA349" s="15"/>
      <c r="AB349" s="15"/>
      <c r="AC349" s="15"/>
      <c r="AD349" s="16"/>
      <c r="AE349" s="16"/>
      <c r="AF349" s="16"/>
      <c r="AG349" s="16"/>
      <c r="AH349" s="16"/>
      <c r="AI349" s="16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16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</row>
    <row r="350" spans="1:96" ht="12" customHeight="1" x14ac:dyDescent="0.25">
      <c r="A350" s="3"/>
      <c r="B350" s="14"/>
      <c r="C350" s="14"/>
      <c r="D350" s="14"/>
      <c r="E350" s="14"/>
      <c r="K350" s="14"/>
      <c r="M350" s="14"/>
      <c r="N350" s="14"/>
      <c r="Z350" s="11"/>
      <c r="AA350" s="15"/>
      <c r="AB350" s="15"/>
      <c r="AC350" s="15"/>
      <c r="AD350" s="16"/>
      <c r="AE350" s="16"/>
      <c r="AF350" s="16"/>
      <c r="AG350" s="16"/>
      <c r="AH350" s="16"/>
      <c r="AI350" s="16"/>
      <c r="AJ350" s="3"/>
      <c r="AK350" s="3"/>
      <c r="AL350" s="3"/>
      <c r="AM350" s="3"/>
      <c r="AN350" s="3"/>
      <c r="AO350" s="3"/>
      <c r="AP350" s="3"/>
      <c r="AQ350" s="3"/>
      <c r="AR350" s="3"/>
      <c r="AS350" s="3"/>
      <c r="AT350" s="16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</row>
    <row r="351" spans="1:96" ht="12" customHeight="1" x14ac:dyDescent="0.25">
      <c r="A351" s="3"/>
      <c r="B351" s="14"/>
      <c r="C351" s="14"/>
      <c r="D351" s="14"/>
      <c r="E351" s="14"/>
      <c r="K351" s="14"/>
      <c r="M351" s="14"/>
      <c r="N351" s="14"/>
      <c r="Z351" s="11"/>
      <c r="AA351" s="15"/>
      <c r="AB351" s="15"/>
      <c r="AC351" s="15"/>
      <c r="AD351" s="16"/>
      <c r="AE351" s="16"/>
      <c r="AF351" s="16"/>
      <c r="AG351" s="16"/>
      <c r="AH351" s="16"/>
      <c r="AI351" s="16"/>
      <c r="AJ351" s="3"/>
      <c r="AK351" s="3"/>
      <c r="AL351" s="3"/>
      <c r="AM351" s="3"/>
      <c r="AN351" s="3"/>
      <c r="AO351" s="3"/>
      <c r="AP351" s="3"/>
      <c r="AQ351" s="3"/>
      <c r="AR351" s="3"/>
      <c r="AS351" s="3"/>
      <c r="AT351" s="16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</row>
    <row r="352" spans="1:96" ht="12" customHeight="1" x14ac:dyDescent="0.25">
      <c r="A352" s="3"/>
      <c r="B352" s="14"/>
      <c r="C352" s="14"/>
      <c r="D352" s="14"/>
      <c r="E352" s="14"/>
      <c r="K352" s="14"/>
      <c r="M352" s="14"/>
      <c r="N352" s="14"/>
      <c r="Z352" s="11"/>
      <c r="AA352" s="15"/>
      <c r="AB352" s="15"/>
      <c r="AC352" s="15"/>
      <c r="AD352" s="16"/>
      <c r="AE352" s="16"/>
      <c r="AF352" s="16"/>
      <c r="AG352" s="16"/>
      <c r="AH352" s="16"/>
      <c r="AI352" s="16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16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</row>
    <row r="353" spans="1:96" ht="12" customHeight="1" x14ac:dyDescent="0.25">
      <c r="A353" s="3"/>
      <c r="B353" s="14"/>
      <c r="C353" s="14"/>
      <c r="D353" s="14"/>
      <c r="E353" s="14"/>
      <c r="K353" s="14"/>
      <c r="M353" s="14"/>
      <c r="N353" s="14"/>
      <c r="Z353" s="11"/>
      <c r="AA353" s="15"/>
      <c r="AB353" s="15"/>
      <c r="AC353" s="15"/>
      <c r="AD353" s="16"/>
      <c r="AE353" s="16"/>
      <c r="AF353" s="16"/>
      <c r="AG353" s="16"/>
      <c r="AH353" s="16"/>
      <c r="AI353" s="16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16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</row>
    <row r="354" spans="1:96" ht="12" customHeight="1" x14ac:dyDescent="0.25">
      <c r="A354" s="3"/>
      <c r="B354" s="14"/>
      <c r="C354" s="14"/>
      <c r="D354" s="14"/>
      <c r="E354" s="14"/>
      <c r="K354" s="14"/>
      <c r="M354" s="14"/>
      <c r="N354" s="14"/>
      <c r="Z354" s="11"/>
      <c r="AA354" s="15"/>
      <c r="AB354" s="15"/>
      <c r="AC354" s="15"/>
      <c r="AD354" s="16"/>
      <c r="AE354" s="16"/>
      <c r="AF354" s="16"/>
      <c r="AG354" s="16"/>
      <c r="AH354" s="16"/>
      <c r="AI354" s="16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16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</row>
    <row r="355" spans="1:96" ht="12" customHeight="1" x14ac:dyDescent="0.25">
      <c r="A355" s="3"/>
      <c r="B355" s="14"/>
      <c r="C355" s="14"/>
      <c r="D355" s="14"/>
      <c r="E355" s="14"/>
      <c r="K355" s="14"/>
      <c r="M355" s="14"/>
      <c r="N355" s="14"/>
      <c r="Z355" s="11"/>
      <c r="AA355" s="15"/>
      <c r="AB355" s="15"/>
      <c r="AC355" s="15"/>
      <c r="AD355" s="16"/>
      <c r="AE355" s="16"/>
      <c r="AF355" s="16"/>
      <c r="AG355" s="16"/>
      <c r="AH355" s="16"/>
      <c r="AI355" s="16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16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</row>
    <row r="356" spans="1:96" ht="12" customHeight="1" x14ac:dyDescent="0.25">
      <c r="A356" s="3"/>
      <c r="B356" s="14"/>
      <c r="C356" s="14"/>
      <c r="D356" s="14"/>
      <c r="E356" s="14"/>
      <c r="K356" s="14"/>
      <c r="M356" s="14"/>
      <c r="N356" s="14"/>
      <c r="Z356" s="11"/>
      <c r="AA356" s="15"/>
      <c r="AB356" s="15"/>
      <c r="AC356" s="15"/>
      <c r="AD356" s="16"/>
      <c r="AE356" s="16"/>
      <c r="AF356" s="16"/>
      <c r="AG356" s="16"/>
      <c r="AH356" s="16"/>
      <c r="AI356" s="16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16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</row>
    <row r="357" spans="1:96" ht="12" customHeight="1" x14ac:dyDescent="0.25">
      <c r="A357" s="3"/>
      <c r="B357" s="14"/>
      <c r="C357" s="14"/>
      <c r="D357" s="14"/>
      <c r="E357" s="14"/>
      <c r="K357" s="14"/>
      <c r="M357" s="14"/>
      <c r="N357" s="14"/>
      <c r="Z357" s="11"/>
      <c r="AA357" s="15"/>
      <c r="AB357" s="15"/>
      <c r="AC357" s="15"/>
      <c r="AD357" s="16"/>
      <c r="AE357" s="16"/>
      <c r="AF357" s="16"/>
      <c r="AG357" s="16"/>
      <c r="AH357" s="16"/>
      <c r="AI357" s="16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16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</row>
    <row r="358" spans="1:96" ht="12" customHeight="1" x14ac:dyDescent="0.25">
      <c r="A358" s="3"/>
      <c r="B358" s="14"/>
      <c r="C358" s="14"/>
      <c r="D358" s="14"/>
      <c r="E358" s="14"/>
      <c r="K358" s="14"/>
      <c r="M358" s="14"/>
      <c r="N358" s="14"/>
      <c r="Z358" s="11"/>
      <c r="AA358" s="15"/>
      <c r="AB358" s="15"/>
      <c r="AC358" s="15"/>
      <c r="AD358" s="16"/>
      <c r="AE358" s="16"/>
      <c r="AF358" s="16"/>
      <c r="AG358" s="16"/>
      <c r="AH358" s="16"/>
      <c r="AI358" s="16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16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</row>
    <row r="359" spans="1:96" ht="12" customHeight="1" x14ac:dyDescent="0.25">
      <c r="A359" s="3"/>
      <c r="B359" s="14"/>
      <c r="C359" s="14"/>
      <c r="D359" s="14"/>
      <c r="E359" s="14"/>
      <c r="K359" s="14"/>
      <c r="M359" s="14"/>
      <c r="N359" s="14"/>
      <c r="Z359" s="11"/>
      <c r="AA359" s="15"/>
      <c r="AB359" s="15"/>
      <c r="AC359" s="15"/>
      <c r="AD359" s="16"/>
      <c r="AE359" s="16"/>
      <c r="AF359" s="16"/>
      <c r="AG359" s="16"/>
      <c r="AH359" s="16"/>
      <c r="AI359" s="16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16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</row>
    <row r="360" spans="1:96" ht="12" customHeight="1" x14ac:dyDescent="0.25">
      <c r="A360" s="3"/>
      <c r="B360" s="14"/>
      <c r="C360" s="14"/>
      <c r="D360" s="14"/>
      <c r="E360" s="14"/>
      <c r="K360" s="14"/>
      <c r="M360" s="14"/>
      <c r="N360" s="14"/>
      <c r="Z360" s="11"/>
      <c r="AA360" s="15"/>
      <c r="AB360" s="15"/>
      <c r="AC360" s="15"/>
      <c r="AD360" s="16"/>
      <c r="AE360" s="16"/>
      <c r="AF360" s="16"/>
      <c r="AG360" s="16"/>
      <c r="AH360" s="16"/>
      <c r="AI360" s="16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16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</row>
    <row r="361" spans="1:96" ht="12" customHeight="1" x14ac:dyDescent="0.25">
      <c r="A361" s="3"/>
      <c r="B361" s="14"/>
      <c r="C361" s="14"/>
      <c r="D361" s="14"/>
      <c r="E361" s="14"/>
      <c r="K361" s="14"/>
      <c r="M361" s="14"/>
      <c r="N361" s="14"/>
      <c r="Z361" s="11"/>
      <c r="AA361" s="15"/>
      <c r="AB361" s="15"/>
      <c r="AC361" s="15"/>
      <c r="AD361" s="16"/>
      <c r="AE361" s="16"/>
      <c r="AF361" s="16"/>
      <c r="AG361" s="16"/>
      <c r="AH361" s="16"/>
      <c r="AI361" s="16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16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</row>
    <row r="362" spans="1:96" ht="12" customHeight="1" x14ac:dyDescent="0.25">
      <c r="A362" s="3"/>
      <c r="B362" s="14"/>
      <c r="C362" s="14"/>
      <c r="D362" s="14"/>
      <c r="E362" s="14"/>
      <c r="K362" s="14"/>
      <c r="M362" s="14"/>
      <c r="N362" s="14"/>
      <c r="Z362" s="11"/>
      <c r="AA362" s="15"/>
      <c r="AB362" s="15"/>
      <c r="AC362" s="15"/>
      <c r="AD362" s="16"/>
      <c r="AE362" s="16"/>
      <c r="AF362" s="16"/>
      <c r="AG362" s="16"/>
      <c r="AH362" s="16"/>
      <c r="AI362" s="16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16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</row>
    <row r="363" spans="1:96" ht="12" customHeight="1" x14ac:dyDescent="0.25">
      <c r="A363" s="3"/>
      <c r="B363" s="14"/>
      <c r="C363" s="14"/>
      <c r="D363" s="14"/>
      <c r="E363" s="14"/>
      <c r="K363" s="14"/>
      <c r="M363" s="14"/>
      <c r="N363" s="14"/>
      <c r="Z363" s="11"/>
      <c r="AA363" s="15"/>
      <c r="AB363" s="15"/>
      <c r="AC363" s="15"/>
      <c r="AD363" s="16"/>
      <c r="AE363" s="16"/>
      <c r="AF363" s="16"/>
      <c r="AG363" s="16"/>
      <c r="AH363" s="16"/>
      <c r="AI363" s="16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16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</row>
    <row r="364" spans="1:96" ht="12" customHeight="1" x14ac:dyDescent="0.25">
      <c r="A364" s="3"/>
      <c r="B364" s="14"/>
      <c r="C364" s="14"/>
      <c r="D364" s="14"/>
      <c r="E364" s="14"/>
      <c r="K364" s="14"/>
      <c r="M364" s="14"/>
      <c r="N364" s="14"/>
      <c r="Z364" s="11"/>
      <c r="AA364" s="15"/>
      <c r="AB364" s="15"/>
      <c r="AC364" s="15"/>
      <c r="AD364" s="16"/>
      <c r="AE364" s="16"/>
      <c r="AF364" s="16"/>
      <c r="AG364" s="16"/>
      <c r="AH364" s="16"/>
      <c r="AI364" s="16"/>
      <c r="AJ364" s="3"/>
      <c r="AK364" s="3"/>
      <c r="AL364" s="3"/>
      <c r="AM364" s="3"/>
      <c r="AN364" s="3"/>
      <c r="AO364" s="3"/>
      <c r="AP364" s="3"/>
      <c r="AQ364" s="3"/>
      <c r="AR364" s="3"/>
      <c r="AS364" s="3"/>
      <c r="AT364" s="16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</row>
    <row r="365" spans="1:96" ht="12" customHeight="1" x14ac:dyDescent="0.25">
      <c r="A365" s="3"/>
      <c r="B365" s="14"/>
      <c r="C365" s="14"/>
      <c r="D365" s="14"/>
      <c r="E365" s="14"/>
      <c r="K365" s="14"/>
      <c r="M365" s="14"/>
      <c r="N365" s="14"/>
      <c r="Z365" s="11"/>
      <c r="AA365" s="15"/>
      <c r="AB365" s="15"/>
      <c r="AC365" s="15"/>
      <c r="AD365" s="16"/>
      <c r="AE365" s="16"/>
      <c r="AF365" s="16"/>
      <c r="AG365" s="16"/>
      <c r="AH365" s="16"/>
      <c r="AI365" s="16"/>
      <c r="AJ365" s="3"/>
      <c r="AK365" s="3"/>
      <c r="AL365" s="3"/>
      <c r="AM365" s="3"/>
      <c r="AN365" s="3"/>
      <c r="AO365" s="3"/>
      <c r="AP365" s="3"/>
      <c r="AQ365" s="3"/>
      <c r="AR365" s="3"/>
      <c r="AS365" s="3"/>
      <c r="AT365" s="16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</row>
    <row r="366" spans="1:96" ht="12" customHeight="1" x14ac:dyDescent="0.25">
      <c r="A366" s="3"/>
      <c r="B366" s="14"/>
      <c r="C366" s="14"/>
      <c r="D366" s="14"/>
      <c r="E366" s="14"/>
      <c r="K366" s="14"/>
      <c r="M366" s="14"/>
      <c r="N366" s="14"/>
      <c r="Z366" s="11"/>
      <c r="AA366" s="15"/>
      <c r="AB366" s="15"/>
      <c r="AC366" s="15"/>
      <c r="AD366" s="16"/>
      <c r="AE366" s="16"/>
      <c r="AF366" s="16"/>
      <c r="AG366" s="16"/>
      <c r="AH366" s="16"/>
      <c r="AI366" s="16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16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</row>
    <row r="367" spans="1:96" ht="12" customHeight="1" x14ac:dyDescent="0.25">
      <c r="A367" s="3"/>
      <c r="B367" s="14"/>
      <c r="C367" s="14"/>
      <c r="D367" s="14"/>
      <c r="E367" s="14"/>
      <c r="K367" s="14"/>
      <c r="M367" s="14"/>
      <c r="N367" s="14"/>
      <c r="Z367" s="11"/>
      <c r="AA367" s="15"/>
      <c r="AB367" s="15"/>
      <c r="AC367" s="15"/>
      <c r="AD367" s="16"/>
      <c r="AE367" s="16"/>
      <c r="AF367" s="16"/>
      <c r="AG367" s="16"/>
      <c r="AH367" s="16"/>
      <c r="AI367" s="16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16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</row>
    <row r="368" spans="1:96" ht="12" customHeight="1" x14ac:dyDescent="0.25">
      <c r="A368" s="3"/>
      <c r="B368" s="14"/>
      <c r="C368" s="14"/>
      <c r="D368" s="14"/>
      <c r="E368" s="14"/>
      <c r="K368" s="14"/>
      <c r="M368" s="14"/>
      <c r="N368" s="14"/>
      <c r="Z368" s="11"/>
      <c r="AA368" s="15"/>
      <c r="AB368" s="15"/>
      <c r="AC368" s="15"/>
      <c r="AD368" s="16"/>
      <c r="AE368" s="16"/>
      <c r="AF368" s="16"/>
      <c r="AG368" s="16"/>
      <c r="AH368" s="16"/>
      <c r="AI368" s="16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16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</row>
    <row r="369" spans="1:96" ht="12" customHeight="1" x14ac:dyDescent="0.25">
      <c r="A369" s="3"/>
      <c r="B369" s="14"/>
      <c r="C369" s="14"/>
      <c r="D369" s="14"/>
      <c r="E369" s="14"/>
      <c r="K369" s="14"/>
      <c r="M369" s="14"/>
      <c r="N369" s="14"/>
      <c r="Z369" s="11"/>
      <c r="AA369" s="15"/>
      <c r="AB369" s="15"/>
      <c r="AC369" s="15"/>
      <c r="AD369" s="16"/>
      <c r="AE369" s="16"/>
      <c r="AF369" s="16"/>
      <c r="AG369" s="16"/>
      <c r="AH369" s="16"/>
      <c r="AI369" s="16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16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</row>
    <row r="370" spans="1:96" ht="12" customHeight="1" x14ac:dyDescent="0.25">
      <c r="A370" s="3"/>
      <c r="B370" s="14"/>
      <c r="C370" s="14"/>
      <c r="D370" s="14"/>
      <c r="E370" s="14"/>
      <c r="K370" s="14"/>
      <c r="M370" s="14"/>
      <c r="N370" s="14"/>
      <c r="Z370" s="11"/>
      <c r="AA370" s="15"/>
      <c r="AB370" s="15"/>
      <c r="AC370" s="15"/>
      <c r="AD370" s="16"/>
      <c r="AE370" s="16"/>
      <c r="AF370" s="16"/>
      <c r="AG370" s="16"/>
      <c r="AH370" s="16"/>
      <c r="AI370" s="16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16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</row>
    <row r="371" spans="1:96" ht="12" customHeight="1" x14ac:dyDescent="0.25">
      <c r="A371" s="3"/>
      <c r="B371" s="14"/>
      <c r="C371" s="14"/>
      <c r="D371" s="14"/>
      <c r="E371" s="14"/>
      <c r="K371" s="14"/>
      <c r="M371" s="14"/>
      <c r="N371" s="14"/>
      <c r="Z371" s="11"/>
      <c r="AA371" s="15"/>
      <c r="AB371" s="15"/>
      <c r="AC371" s="15"/>
      <c r="AD371" s="16"/>
      <c r="AE371" s="16"/>
      <c r="AF371" s="16"/>
      <c r="AG371" s="16"/>
      <c r="AH371" s="16"/>
      <c r="AI371" s="16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16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</row>
    <row r="372" spans="1:96" ht="12" customHeight="1" x14ac:dyDescent="0.25">
      <c r="A372" s="3"/>
      <c r="B372" s="14"/>
      <c r="C372" s="14"/>
      <c r="D372" s="14"/>
      <c r="E372" s="14"/>
      <c r="K372" s="14"/>
      <c r="M372" s="14"/>
      <c r="N372" s="14"/>
      <c r="Z372" s="11"/>
      <c r="AA372" s="15"/>
      <c r="AB372" s="15"/>
      <c r="AC372" s="15"/>
      <c r="AD372" s="16"/>
      <c r="AE372" s="16"/>
      <c r="AF372" s="16"/>
      <c r="AG372" s="16"/>
      <c r="AH372" s="16"/>
      <c r="AI372" s="16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16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</row>
    <row r="373" spans="1:96" ht="12" customHeight="1" x14ac:dyDescent="0.25">
      <c r="A373" s="3"/>
      <c r="B373" s="14"/>
      <c r="C373" s="14"/>
      <c r="D373" s="14"/>
      <c r="E373" s="14"/>
      <c r="K373" s="14"/>
      <c r="M373" s="14"/>
      <c r="N373" s="14"/>
      <c r="Z373" s="11"/>
      <c r="AA373" s="15"/>
      <c r="AB373" s="15"/>
      <c r="AC373" s="15"/>
      <c r="AD373" s="16"/>
      <c r="AE373" s="16"/>
      <c r="AF373" s="16"/>
      <c r="AG373" s="16"/>
      <c r="AH373" s="16"/>
      <c r="AI373" s="16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16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</row>
    <row r="374" spans="1:96" ht="12" customHeight="1" x14ac:dyDescent="0.25">
      <c r="A374" s="3"/>
      <c r="B374" s="14"/>
      <c r="C374" s="14"/>
      <c r="D374" s="14"/>
      <c r="E374" s="14"/>
      <c r="K374" s="14"/>
      <c r="M374" s="14"/>
      <c r="N374" s="14"/>
      <c r="Z374" s="11"/>
      <c r="AA374" s="15"/>
      <c r="AB374" s="15"/>
      <c r="AC374" s="15"/>
      <c r="AD374" s="16"/>
      <c r="AE374" s="16"/>
      <c r="AF374" s="16"/>
      <c r="AG374" s="16"/>
      <c r="AH374" s="16"/>
      <c r="AI374" s="16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16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</row>
    <row r="375" spans="1:96" ht="12" customHeight="1" x14ac:dyDescent="0.25">
      <c r="A375" s="3"/>
      <c r="B375" s="14"/>
      <c r="C375" s="14"/>
      <c r="D375" s="14"/>
      <c r="E375" s="14"/>
      <c r="K375" s="14"/>
      <c r="M375" s="14"/>
      <c r="N375" s="14"/>
      <c r="Z375" s="11"/>
      <c r="AA375" s="15"/>
      <c r="AB375" s="15"/>
      <c r="AC375" s="15"/>
      <c r="AD375" s="16"/>
      <c r="AE375" s="16"/>
      <c r="AF375" s="16"/>
      <c r="AG375" s="16"/>
      <c r="AH375" s="16"/>
      <c r="AI375" s="16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16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</row>
    <row r="376" spans="1:96" ht="12" customHeight="1" x14ac:dyDescent="0.25">
      <c r="A376" s="3"/>
      <c r="B376" s="14"/>
      <c r="C376" s="14"/>
      <c r="D376" s="14"/>
      <c r="E376" s="14"/>
      <c r="K376" s="14"/>
      <c r="M376" s="14"/>
      <c r="N376" s="14"/>
      <c r="Z376" s="11"/>
      <c r="AA376" s="15"/>
      <c r="AB376" s="15"/>
      <c r="AC376" s="15"/>
      <c r="AD376" s="16"/>
      <c r="AE376" s="16"/>
      <c r="AF376" s="16"/>
      <c r="AG376" s="16"/>
      <c r="AH376" s="16"/>
      <c r="AI376" s="16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16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</row>
    <row r="377" spans="1:96" ht="12" customHeight="1" x14ac:dyDescent="0.25">
      <c r="A377" s="3"/>
      <c r="B377" s="14"/>
      <c r="C377" s="14"/>
      <c r="D377" s="14"/>
      <c r="E377" s="14"/>
      <c r="K377" s="14"/>
      <c r="M377" s="14"/>
      <c r="N377" s="14"/>
      <c r="Z377" s="11"/>
      <c r="AA377" s="15"/>
      <c r="AB377" s="15"/>
      <c r="AC377" s="15"/>
      <c r="AD377" s="16"/>
      <c r="AE377" s="16"/>
      <c r="AF377" s="16"/>
      <c r="AG377" s="16"/>
      <c r="AH377" s="16"/>
      <c r="AI377" s="16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16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</row>
    <row r="378" spans="1:96" ht="12" customHeight="1" x14ac:dyDescent="0.25">
      <c r="A378" s="3"/>
      <c r="B378" s="14"/>
      <c r="C378" s="14"/>
      <c r="D378" s="14"/>
      <c r="E378" s="14"/>
      <c r="K378" s="14"/>
      <c r="M378" s="14"/>
      <c r="N378" s="14"/>
      <c r="Z378" s="11"/>
      <c r="AA378" s="15"/>
      <c r="AB378" s="15"/>
      <c r="AC378" s="15"/>
      <c r="AD378" s="16"/>
      <c r="AE378" s="16"/>
      <c r="AF378" s="16"/>
      <c r="AG378" s="16"/>
      <c r="AH378" s="16"/>
      <c r="AI378" s="16"/>
      <c r="AJ378" s="3"/>
      <c r="AK378" s="3"/>
      <c r="AL378" s="3"/>
      <c r="AM378" s="3"/>
      <c r="AN378" s="3"/>
      <c r="AO378" s="3"/>
      <c r="AP378" s="3"/>
      <c r="AQ378" s="3"/>
      <c r="AR378" s="3"/>
      <c r="AS378" s="3"/>
      <c r="AT378" s="16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</row>
    <row r="379" spans="1:96" ht="12" customHeight="1" x14ac:dyDescent="0.25">
      <c r="A379" s="3"/>
      <c r="B379" s="14"/>
      <c r="C379" s="14"/>
      <c r="D379" s="14"/>
      <c r="E379" s="14"/>
      <c r="K379" s="14"/>
      <c r="M379" s="14"/>
      <c r="N379" s="14"/>
      <c r="Z379" s="11"/>
      <c r="AA379" s="15"/>
      <c r="AB379" s="15"/>
      <c r="AC379" s="15"/>
      <c r="AD379" s="16"/>
      <c r="AE379" s="16"/>
      <c r="AF379" s="16"/>
      <c r="AG379" s="16"/>
      <c r="AH379" s="16"/>
      <c r="AI379" s="16"/>
      <c r="AJ379" s="3"/>
      <c r="AK379" s="3"/>
      <c r="AL379" s="3"/>
      <c r="AM379" s="3"/>
      <c r="AN379" s="3"/>
      <c r="AO379" s="3"/>
      <c r="AP379" s="3"/>
      <c r="AQ379" s="3"/>
      <c r="AR379" s="3"/>
      <c r="AS379" s="3"/>
      <c r="AT379" s="16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</row>
    <row r="380" spans="1:96" ht="12" customHeight="1" x14ac:dyDescent="0.25">
      <c r="A380" s="3"/>
      <c r="B380" s="14"/>
      <c r="C380" s="14"/>
      <c r="D380" s="14"/>
      <c r="E380" s="14"/>
      <c r="K380" s="14"/>
      <c r="M380" s="14"/>
      <c r="N380" s="14"/>
      <c r="Z380" s="11"/>
      <c r="AA380" s="15"/>
      <c r="AB380" s="15"/>
      <c r="AC380" s="15"/>
      <c r="AD380" s="16"/>
      <c r="AE380" s="16"/>
      <c r="AF380" s="16"/>
      <c r="AG380" s="16"/>
      <c r="AH380" s="16"/>
      <c r="AI380" s="16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16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</row>
    <row r="381" spans="1:96" ht="12" customHeight="1" x14ac:dyDescent="0.25">
      <c r="A381" s="3"/>
      <c r="B381" s="14"/>
      <c r="C381" s="14"/>
      <c r="D381" s="14"/>
      <c r="E381" s="14"/>
      <c r="K381" s="14"/>
      <c r="M381" s="14"/>
      <c r="N381" s="14"/>
      <c r="Z381" s="11"/>
      <c r="AA381" s="15"/>
      <c r="AB381" s="15"/>
      <c r="AC381" s="15"/>
      <c r="AD381" s="16"/>
      <c r="AE381" s="16"/>
      <c r="AF381" s="16"/>
      <c r="AG381" s="16"/>
      <c r="AH381" s="16"/>
      <c r="AI381" s="16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16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</row>
    <row r="382" spans="1:96" ht="12" customHeight="1" x14ac:dyDescent="0.25">
      <c r="A382" s="3"/>
      <c r="B382" s="14"/>
      <c r="C382" s="14"/>
      <c r="D382" s="14"/>
      <c r="E382" s="14"/>
      <c r="K382" s="14"/>
      <c r="M382" s="14"/>
      <c r="N382" s="14"/>
      <c r="Z382" s="11"/>
      <c r="AA382" s="15"/>
      <c r="AB382" s="15"/>
      <c r="AC382" s="15"/>
      <c r="AD382" s="16"/>
      <c r="AE382" s="16"/>
      <c r="AF382" s="16"/>
      <c r="AG382" s="16"/>
      <c r="AH382" s="16"/>
      <c r="AI382" s="16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16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</row>
    <row r="383" spans="1:96" ht="12" customHeight="1" x14ac:dyDescent="0.25">
      <c r="A383" s="3"/>
      <c r="B383" s="14"/>
      <c r="C383" s="14"/>
      <c r="D383" s="14"/>
      <c r="E383" s="14"/>
      <c r="K383" s="14"/>
      <c r="M383" s="14"/>
      <c r="N383" s="14"/>
      <c r="Z383" s="11"/>
      <c r="AA383" s="15"/>
      <c r="AB383" s="15"/>
      <c r="AC383" s="15"/>
      <c r="AD383" s="16"/>
      <c r="AE383" s="16"/>
      <c r="AF383" s="16"/>
      <c r="AG383" s="16"/>
      <c r="AH383" s="16"/>
      <c r="AI383" s="16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16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</row>
    <row r="384" spans="1:96" ht="12" customHeight="1" x14ac:dyDescent="0.25">
      <c r="A384" s="3"/>
      <c r="B384" s="14"/>
      <c r="C384" s="14"/>
      <c r="D384" s="14"/>
      <c r="E384" s="14"/>
      <c r="K384" s="14"/>
      <c r="M384" s="14"/>
      <c r="N384" s="14"/>
      <c r="Z384" s="11"/>
      <c r="AA384" s="15"/>
      <c r="AB384" s="15"/>
      <c r="AC384" s="15"/>
      <c r="AD384" s="16"/>
      <c r="AE384" s="16"/>
      <c r="AF384" s="16"/>
      <c r="AG384" s="16"/>
      <c r="AH384" s="16"/>
      <c r="AI384" s="16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16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</row>
    <row r="385" spans="1:96" ht="12" customHeight="1" x14ac:dyDescent="0.25">
      <c r="A385" s="3"/>
      <c r="B385" s="14"/>
      <c r="C385" s="14"/>
      <c r="D385" s="14"/>
      <c r="E385" s="14"/>
      <c r="K385" s="14"/>
      <c r="M385" s="14"/>
      <c r="N385" s="14"/>
      <c r="Z385" s="11"/>
      <c r="AA385" s="15"/>
      <c r="AB385" s="15"/>
      <c r="AC385" s="15"/>
      <c r="AD385" s="16"/>
      <c r="AE385" s="16"/>
      <c r="AF385" s="16"/>
      <c r="AG385" s="16"/>
      <c r="AH385" s="16"/>
      <c r="AI385" s="16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16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</row>
    <row r="386" spans="1:96" ht="12" customHeight="1" x14ac:dyDescent="0.25">
      <c r="A386" s="3"/>
      <c r="B386" s="14"/>
      <c r="C386" s="14"/>
      <c r="D386" s="14"/>
      <c r="E386" s="14"/>
      <c r="K386" s="14"/>
      <c r="M386" s="14"/>
      <c r="N386" s="14"/>
      <c r="Z386" s="11"/>
      <c r="AA386" s="15"/>
      <c r="AB386" s="15"/>
      <c r="AC386" s="15"/>
      <c r="AD386" s="16"/>
      <c r="AE386" s="16"/>
      <c r="AF386" s="16"/>
      <c r="AG386" s="16"/>
      <c r="AH386" s="16"/>
      <c r="AI386" s="16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16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</row>
    <row r="387" spans="1:96" ht="12" customHeight="1" x14ac:dyDescent="0.25">
      <c r="A387" s="3"/>
      <c r="B387" s="14"/>
      <c r="C387" s="14"/>
      <c r="D387" s="14"/>
      <c r="E387" s="14"/>
      <c r="K387" s="14"/>
      <c r="M387" s="14"/>
      <c r="N387" s="14"/>
      <c r="Z387" s="11"/>
      <c r="AA387" s="15"/>
      <c r="AB387" s="15"/>
      <c r="AC387" s="15"/>
      <c r="AD387" s="16"/>
      <c r="AE387" s="16"/>
      <c r="AF387" s="16"/>
      <c r="AG387" s="16"/>
      <c r="AH387" s="16"/>
      <c r="AI387" s="16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16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</row>
    <row r="388" spans="1:96" ht="12" customHeight="1" x14ac:dyDescent="0.25">
      <c r="A388" s="3"/>
      <c r="B388" s="14"/>
      <c r="C388" s="14"/>
      <c r="D388" s="14"/>
      <c r="E388" s="14"/>
      <c r="K388" s="14"/>
      <c r="M388" s="14"/>
      <c r="N388" s="14"/>
      <c r="Z388" s="11"/>
      <c r="AA388" s="15"/>
      <c r="AB388" s="15"/>
      <c r="AC388" s="15"/>
      <c r="AD388" s="16"/>
      <c r="AE388" s="16"/>
      <c r="AF388" s="16"/>
      <c r="AG388" s="16"/>
      <c r="AH388" s="16"/>
      <c r="AI388" s="16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16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</row>
    <row r="389" spans="1:96" ht="12" customHeight="1" x14ac:dyDescent="0.25">
      <c r="A389" s="3"/>
      <c r="B389" s="14"/>
      <c r="C389" s="14"/>
      <c r="D389" s="14"/>
      <c r="E389" s="14"/>
      <c r="K389" s="14"/>
      <c r="M389" s="14"/>
      <c r="N389" s="14"/>
      <c r="Z389" s="11"/>
      <c r="AA389" s="15"/>
      <c r="AB389" s="15"/>
      <c r="AC389" s="15"/>
      <c r="AD389" s="16"/>
      <c r="AE389" s="16"/>
      <c r="AF389" s="16"/>
      <c r="AG389" s="16"/>
      <c r="AH389" s="16"/>
      <c r="AI389" s="16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16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</row>
    <row r="390" spans="1:96" ht="12" customHeight="1" x14ac:dyDescent="0.25">
      <c r="A390" s="3"/>
      <c r="B390" s="14"/>
      <c r="C390" s="14"/>
      <c r="D390" s="14"/>
      <c r="E390" s="14"/>
      <c r="K390" s="14"/>
      <c r="M390" s="14"/>
      <c r="N390" s="14"/>
      <c r="Z390" s="11"/>
      <c r="AA390" s="15"/>
      <c r="AB390" s="15"/>
      <c r="AC390" s="15"/>
      <c r="AD390" s="16"/>
      <c r="AE390" s="16"/>
      <c r="AF390" s="16"/>
      <c r="AG390" s="16"/>
      <c r="AH390" s="16"/>
      <c r="AI390" s="16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16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</row>
    <row r="391" spans="1:96" ht="12" customHeight="1" x14ac:dyDescent="0.25">
      <c r="A391" s="3"/>
      <c r="B391" s="14"/>
      <c r="C391" s="14"/>
      <c r="D391" s="14"/>
      <c r="E391" s="14"/>
      <c r="K391" s="14"/>
      <c r="M391" s="14"/>
      <c r="N391" s="14"/>
      <c r="Z391" s="11"/>
      <c r="AA391" s="15"/>
      <c r="AB391" s="15"/>
      <c r="AC391" s="15"/>
      <c r="AD391" s="16"/>
      <c r="AE391" s="16"/>
      <c r="AF391" s="16"/>
      <c r="AG391" s="16"/>
      <c r="AH391" s="16"/>
      <c r="AI391" s="16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16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</row>
    <row r="392" spans="1:96" ht="12" customHeight="1" x14ac:dyDescent="0.25">
      <c r="A392" s="3"/>
      <c r="B392" s="14"/>
      <c r="C392" s="14"/>
      <c r="D392" s="14"/>
      <c r="E392" s="14"/>
      <c r="K392" s="14"/>
      <c r="M392" s="14"/>
      <c r="N392" s="14"/>
      <c r="Z392" s="11"/>
      <c r="AA392" s="15"/>
      <c r="AB392" s="15"/>
      <c r="AC392" s="15"/>
      <c r="AD392" s="16"/>
      <c r="AE392" s="16"/>
      <c r="AF392" s="16"/>
      <c r="AG392" s="16"/>
      <c r="AH392" s="16"/>
      <c r="AI392" s="16"/>
      <c r="AJ392" s="3"/>
      <c r="AK392" s="3"/>
      <c r="AL392" s="3"/>
      <c r="AM392" s="3"/>
      <c r="AN392" s="3"/>
      <c r="AO392" s="3"/>
      <c r="AP392" s="3"/>
      <c r="AQ392" s="3"/>
      <c r="AR392" s="3"/>
      <c r="AS392" s="3"/>
      <c r="AT392" s="16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</row>
    <row r="393" spans="1:96" ht="12" customHeight="1" x14ac:dyDescent="0.25">
      <c r="A393" s="3"/>
      <c r="B393" s="14"/>
      <c r="C393" s="14"/>
      <c r="D393" s="14"/>
      <c r="E393" s="14"/>
      <c r="K393" s="14"/>
      <c r="M393" s="14"/>
      <c r="N393" s="14"/>
      <c r="Z393" s="11"/>
      <c r="AA393" s="15"/>
      <c r="AB393" s="15"/>
      <c r="AC393" s="15"/>
      <c r="AD393" s="16"/>
      <c r="AE393" s="16"/>
      <c r="AF393" s="16"/>
      <c r="AG393" s="16"/>
      <c r="AH393" s="16"/>
      <c r="AI393" s="16"/>
      <c r="AJ393" s="3"/>
      <c r="AK393" s="3"/>
      <c r="AL393" s="3"/>
      <c r="AM393" s="3"/>
      <c r="AN393" s="3"/>
      <c r="AO393" s="3"/>
      <c r="AP393" s="3"/>
      <c r="AQ393" s="3"/>
      <c r="AR393" s="3"/>
      <c r="AS393" s="3"/>
      <c r="AT393" s="16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</row>
    <row r="394" spans="1:96" ht="12" customHeight="1" x14ac:dyDescent="0.25">
      <c r="A394" s="3"/>
      <c r="B394" s="14"/>
      <c r="C394" s="14"/>
      <c r="D394" s="14"/>
      <c r="E394" s="14"/>
      <c r="K394" s="14"/>
      <c r="M394" s="14"/>
      <c r="N394" s="14"/>
      <c r="Z394" s="11"/>
      <c r="AA394" s="15"/>
      <c r="AB394" s="15"/>
      <c r="AC394" s="15"/>
      <c r="AD394" s="16"/>
      <c r="AE394" s="16"/>
      <c r="AF394" s="16"/>
      <c r="AG394" s="16"/>
      <c r="AH394" s="16"/>
      <c r="AI394" s="16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16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</row>
    <row r="395" spans="1:96" ht="12" customHeight="1" x14ac:dyDescent="0.25">
      <c r="A395" s="3"/>
      <c r="B395" s="14"/>
      <c r="C395" s="14"/>
      <c r="D395" s="14"/>
      <c r="E395" s="14"/>
      <c r="K395" s="14"/>
      <c r="M395" s="14"/>
      <c r="N395" s="14"/>
      <c r="Z395" s="11"/>
      <c r="AA395" s="15"/>
      <c r="AB395" s="15"/>
      <c r="AC395" s="15"/>
      <c r="AD395" s="16"/>
      <c r="AE395" s="16"/>
      <c r="AF395" s="16"/>
      <c r="AG395" s="16"/>
      <c r="AH395" s="16"/>
      <c r="AI395" s="16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16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</row>
    <row r="396" spans="1:96" ht="12" customHeight="1" x14ac:dyDescent="0.25">
      <c r="A396" s="3"/>
      <c r="B396" s="14"/>
      <c r="C396" s="14"/>
      <c r="D396" s="14"/>
      <c r="E396" s="14"/>
      <c r="K396" s="14"/>
      <c r="M396" s="14"/>
      <c r="N396" s="14"/>
      <c r="Z396" s="11"/>
      <c r="AA396" s="15"/>
      <c r="AB396" s="15"/>
      <c r="AC396" s="15"/>
      <c r="AD396" s="16"/>
      <c r="AE396" s="16"/>
      <c r="AF396" s="16"/>
      <c r="AG396" s="16"/>
      <c r="AH396" s="16"/>
      <c r="AI396" s="16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16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</row>
    <row r="397" spans="1:96" ht="12" customHeight="1" x14ac:dyDescent="0.25">
      <c r="A397" s="3"/>
      <c r="B397" s="14"/>
      <c r="C397" s="14"/>
      <c r="D397" s="14"/>
      <c r="E397" s="14"/>
      <c r="K397" s="14"/>
      <c r="M397" s="14"/>
      <c r="N397" s="14"/>
      <c r="Z397" s="11"/>
      <c r="AA397" s="15"/>
      <c r="AB397" s="15"/>
      <c r="AC397" s="15"/>
      <c r="AD397" s="16"/>
      <c r="AE397" s="16"/>
      <c r="AF397" s="16"/>
      <c r="AG397" s="16"/>
      <c r="AH397" s="16"/>
      <c r="AI397" s="16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16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</row>
    <row r="398" spans="1:96" ht="12" customHeight="1" x14ac:dyDescent="0.25">
      <c r="A398" s="3"/>
      <c r="B398" s="14"/>
      <c r="C398" s="14"/>
      <c r="D398" s="14"/>
      <c r="E398" s="14"/>
      <c r="K398" s="14"/>
      <c r="M398" s="14"/>
      <c r="N398" s="14"/>
      <c r="Z398" s="11"/>
      <c r="AA398" s="15"/>
      <c r="AB398" s="15"/>
      <c r="AC398" s="15"/>
      <c r="AD398" s="16"/>
      <c r="AE398" s="16"/>
      <c r="AF398" s="16"/>
      <c r="AG398" s="16"/>
      <c r="AH398" s="16"/>
      <c r="AI398" s="16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16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</row>
    <row r="399" spans="1:96" ht="12" customHeight="1" x14ac:dyDescent="0.25">
      <c r="A399" s="3"/>
      <c r="B399" s="14"/>
      <c r="C399" s="14"/>
      <c r="D399" s="14"/>
      <c r="E399" s="14"/>
      <c r="K399" s="14"/>
      <c r="M399" s="14"/>
      <c r="N399" s="14"/>
      <c r="Z399" s="11"/>
      <c r="AA399" s="15"/>
      <c r="AB399" s="15"/>
      <c r="AC399" s="15"/>
      <c r="AD399" s="16"/>
      <c r="AE399" s="16"/>
      <c r="AF399" s="16"/>
      <c r="AG399" s="16"/>
      <c r="AH399" s="16"/>
      <c r="AI399" s="16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16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</row>
    <row r="400" spans="1:96" ht="12" customHeight="1" x14ac:dyDescent="0.25">
      <c r="A400" s="3"/>
      <c r="B400" s="14"/>
      <c r="C400" s="14"/>
      <c r="D400" s="14"/>
      <c r="E400" s="14"/>
      <c r="K400" s="14"/>
      <c r="M400" s="14"/>
      <c r="N400" s="14"/>
      <c r="Z400" s="11"/>
      <c r="AA400" s="15"/>
      <c r="AB400" s="15"/>
      <c r="AC400" s="15"/>
      <c r="AD400" s="16"/>
      <c r="AE400" s="16"/>
      <c r="AF400" s="16"/>
      <c r="AG400" s="16"/>
      <c r="AH400" s="16"/>
      <c r="AI400" s="16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16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</row>
    <row r="401" spans="1:96" ht="12" customHeight="1" x14ac:dyDescent="0.25">
      <c r="A401" s="3"/>
      <c r="B401" s="14"/>
      <c r="C401" s="14"/>
      <c r="D401" s="14"/>
      <c r="E401" s="14"/>
      <c r="K401" s="14"/>
      <c r="M401" s="14"/>
      <c r="N401" s="14"/>
      <c r="Z401" s="11"/>
      <c r="AA401" s="15"/>
      <c r="AB401" s="15"/>
      <c r="AC401" s="15"/>
      <c r="AD401" s="16"/>
      <c r="AE401" s="16"/>
      <c r="AF401" s="16"/>
      <c r="AG401" s="16"/>
      <c r="AH401" s="16"/>
      <c r="AI401" s="16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16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</row>
    <row r="402" spans="1:96" ht="12" customHeight="1" x14ac:dyDescent="0.25">
      <c r="A402" s="3"/>
      <c r="B402" s="14"/>
      <c r="C402" s="14"/>
      <c r="D402" s="14"/>
      <c r="E402" s="14"/>
      <c r="K402" s="14"/>
      <c r="M402" s="14"/>
      <c r="N402" s="14"/>
      <c r="Z402" s="11"/>
      <c r="AA402" s="15"/>
      <c r="AB402" s="15"/>
      <c r="AC402" s="15"/>
      <c r="AD402" s="16"/>
      <c r="AE402" s="16"/>
      <c r="AF402" s="16"/>
      <c r="AG402" s="16"/>
      <c r="AH402" s="16"/>
      <c r="AI402" s="16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16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</row>
    <row r="403" spans="1:96" ht="12" customHeight="1" x14ac:dyDescent="0.25">
      <c r="A403" s="3"/>
      <c r="B403" s="14"/>
      <c r="C403" s="14"/>
      <c r="D403" s="14"/>
      <c r="E403" s="14"/>
      <c r="K403" s="14"/>
      <c r="M403" s="14"/>
      <c r="N403" s="14"/>
      <c r="Z403" s="11"/>
      <c r="AA403" s="15"/>
      <c r="AB403" s="15"/>
      <c r="AC403" s="15"/>
      <c r="AD403" s="16"/>
      <c r="AE403" s="16"/>
      <c r="AF403" s="16"/>
      <c r="AG403" s="16"/>
      <c r="AH403" s="16"/>
      <c r="AI403" s="16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16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</row>
    <row r="404" spans="1:96" ht="12" customHeight="1" x14ac:dyDescent="0.25">
      <c r="A404" s="3"/>
      <c r="B404" s="14"/>
      <c r="C404" s="14"/>
      <c r="D404" s="14"/>
      <c r="E404" s="14"/>
      <c r="K404" s="14"/>
      <c r="M404" s="14"/>
      <c r="N404" s="14"/>
      <c r="Z404" s="11"/>
      <c r="AA404" s="15"/>
      <c r="AB404" s="15"/>
      <c r="AC404" s="15"/>
      <c r="AD404" s="16"/>
      <c r="AE404" s="16"/>
      <c r="AF404" s="16"/>
      <c r="AG404" s="16"/>
      <c r="AH404" s="16"/>
      <c r="AI404" s="16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16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</row>
    <row r="405" spans="1:96" ht="12" customHeight="1" x14ac:dyDescent="0.25">
      <c r="A405" s="3"/>
      <c r="B405" s="14"/>
      <c r="C405" s="14"/>
      <c r="D405" s="14"/>
      <c r="E405" s="14"/>
      <c r="K405" s="14"/>
      <c r="M405" s="14"/>
      <c r="N405" s="14"/>
      <c r="Z405" s="11"/>
      <c r="AA405" s="15"/>
      <c r="AB405" s="15"/>
      <c r="AC405" s="15"/>
      <c r="AD405" s="16"/>
      <c r="AE405" s="16"/>
      <c r="AF405" s="16"/>
      <c r="AG405" s="16"/>
      <c r="AH405" s="16"/>
      <c r="AI405" s="16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16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</row>
    <row r="406" spans="1:96" ht="12" customHeight="1" x14ac:dyDescent="0.25">
      <c r="A406" s="3"/>
      <c r="B406" s="14"/>
      <c r="C406" s="14"/>
      <c r="D406" s="14"/>
      <c r="E406" s="14"/>
      <c r="K406" s="14"/>
      <c r="M406" s="14"/>
      <c r="N406" s="14"/>
      <c r="Z406" s="11"/>
      <c r="AA406" s="15"/>
      <c r="AB406" s="15"/>
      <c r="AC406" s="15"/>
      <c r="AD406" s="16"/>
      <c r="AE406" s="16"/>
      <c r="AF406" s="16"/>
      <c r="AG406" s="16"/>
      <c r="AH406" s="16"/>
      <c r="AI406" s="16"/>
      <c r="AJ406" s="3"/>
      <c r="AK406" s="3"/>
      <c r="AL406" s="3"/>
      <c r="AM406" s="3"/>
      <c r="AN406" s="3"/>
      <c r="AO406" s="3"/>
      <c r="AP406" s="3"/>
      <c r="AQ406" s="3"/>
      <c r="AR406" s="3"/>
      <c r="AS406" s="3"/>
      <c r="AT406" s="16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</row>
    <row r="407" spans="1:96" ht="12" customHeight="1" x14ac:dyDescent="0.25">
      <c r="A407" s="3"/>
      <c r="B407" s="14"/>
      <c r="C407" s="14"/>
      <c r="D407" s="14"/>
      <c r="E407" s="14"/>
      <c r="K407" s="14"/>
      <c r="M407" s="14"/>
      <c r="N407" s="14"/>
      <c r="Z407" s="11"/>
      <c r="AA407" s="15"/>
      <c r="AB407" s="15"/>
      <c r="AC407" s="15"/>
      <c r="AD407" s="16"/>
      <c r="AE407" s="16"/>
      <c r="AF407" s="16"/>
      <c r="AG407" s="16"/>
      <c r="AH407" s="16"/>
      <c r="AI407" s="16"/>
      <c r="AJ407" s="3"/>
      <c r="AK407" s="3"/>
      <c r="AL407" s="3"/>
      <c r="AM407" s="3"/>
      <c r="AN407" s="3"/>
      <c r="AO407" s="3"/>
      <c r="AP407" s="3"/>
      <c r="AQ407" s="3"/>
      <c r="AR407" s="3"/>
      <c r="AS407" s="3"/>
      <c r="AT407" s="16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</row>
    <row r="408" spans="1:96" ht="12" customHeight="1" x14ac:dyDescent="0.25">
      <c r="A408" s="3"/>
      <c r="B408" s="14"/>
      <c r="C408" s="14"/>
      <c r="D408" s="14"/>
      <c r="E408" s="14"/>
      <c r="K408" s="14"/>
      <c r="M408" s="14"/>
      <c r="N408" s="14"/>
      <c r="Z408" s="11"/>
      <c r="AA408" s="15"/>
      <c r="AB408" s="15"/>
      <c r="AC408" s="15"/>
      <c r="AD408" s="16"/>
      <c r="AE408" s="16"/>
      <c r="AF408" s="16"/>
      <c r="AG408" s="16"/>
      <c r="AH408" s="16"/>
      <c r="AI408" s="16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16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</row>
    <row r="409" spans="1:96" ht="12" customHeight="1" x14ac:dyDescent="0.25">
      <c r="A409" s="3"/>
      <c r="B409" s="14"/>
      <c r="C409" s="14"/>
      <c r="D409" s="14"/>
      <c r="E409" s="14"/>
      <c r="K409" s="14"/>
      <c r="M409" s="14"/>
      <c r="N409" s="14"/>
      <c r="Z409" s="11"/>
      <c r="AA409" s="15"/>
      <c r="AB409" s="15"/>
      <c r="AC409" s="15"/>
      <c r="AD409" s="16"/>
      <c r="AE409" s="16"/>
      <c r="AF409" s="16"/>
      <c r="AG409" s="16"/>
      <c r="AH409" s="16"/>
      <c r="AI409" s="16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16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</row>
    <row r="410" spans="1:96" ht="12" customHeight="1" x14ac:dyDescent="0.25">
      <c r="A410" s="3"/>
      <c r="B410" s="14"/>
      <c r="C410" s="14"/>
      <c r="D410" s="14"/>
      <c r="E410" s="14"/>
      <c r="K410" s="14"/>
      <c r="M410" s="14"/>
      <c r="N410" s="14"/>
      <c r="Z410" s="11"/>
      <c r="AA410" s="15"/>
      <c r="AB410" s="15"/>
      <c r="AC410" s="15"/>
      <c r="AD410" s="16"/>
      <c r="AE410" s="16"/>
      <c r="AF410" s="16"/>
      <c r="AG410" s="16"/>
      <c r="AH410" s="16"/>
      <c r="AI410" s="16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16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</row>
    <row r="411" spans="1:96" ht="12" customHeight="1" x14ac:dyDescent="0.25">
      <c r="A411" s="3"/>
      <c r="B411" s="14"/>
      <c r="C411" s="14"/>
      <c r="D411" s="14"/>
      <c r="E411" s="14"/>
      <c r="K411" s="14"/>
      <c r="M411" s="14"/>
      <c r="N411" s="14"/>
      <c r="Z411" s="11"/>
      <c r="AA411" s="15"/>
      <c r="AB411" s="15"/>
      <c r="AC411" s="15"/>
      <c r="AD411" s="16"/>
      <c r="AE411" s="16"/>
      <c r="AF411" s="16"/>
      <c r="AG411" s="16"/>
      <c r="AH411" s="16"/>
      <c r="AI411" s="16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16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</row>
    <row r="412" spans="1:96" ht="12" customHeight="1" x14ac:dyDescent="0.25">
      <c r="A412" s="3"/>
      <c r="B412" s="14"/>
      <c r="C412" s="14"/>
      <c r="D412" s="14"/>
      <c r="E412" s="14"/>
      <c r="K412" s="14"/>
      <c r="M412" s="14"/>
      <c r="N412" s="14"/>
      <c r="Z412" s="11"/>
      <c r="AA412" s="15"/>
      <c r="AB412" s="15"/>
      <c r="AC412" s="15"/>
      <c r="AD412" s="16"/>
      <c r="AE412" s="16"/>
      <c r="AF412" s="16"/>
      <c r="AG412" s="16"/>
      <c r="AH412" s="16"/>
      <c r="AI412" s="16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16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</row>
    <row r="413" spans="1:96" ht="12" customHeight="1" x14ac:dyDescent="0.25">
      <c r="A413" s="3"/>
      <c r="B413" s="14"/>
      <c r="C413" s="14"/>
      <c r="D413" s="14"/>
      <c r="E413" s="14"/>
      <c r="K413" s="14"/>
      <c r="M413" s="14"/>
      <c r="N413" s="14"/>
      <c r="Z413" s="11"/>
      <c r="AA413" s="15"/>
      <c r="AB413" s="15"/>
      <c r="AC413" s="15"/>
      <c r="AD413" s="16"/>
      <c r="AE413" s="16"/>
      <c r="AF413" s="16"/>
      <c r="AG413" s="16"/>
      <c r="AH413" s="16"/>
      <c r="AI413" s="16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16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</row>
    <row r="414" spans="1:96" ht="12" customHeight="1" x14ac:dyDescent="0.25">
      <c r="A414" s="3"/>
      <c r="B414" s="14"/>
      <c r="C414" s="14"/>
      <c r="D414" s="14"/>
      <c r="E414" s="14"/>
      <c r="K414" s="14"/>
      <c r="M414" s="14"/>
      <c r="N414" s="14"/>
      <c r="Z414" s="11"/>
      <c r="AA414" s="15"/>
      <c r="AB414" s="15"/>
      <c r="AC414" s="15"/>
      <c r="AD414" s="16"/>
      <c r="AE414" s="16"/>
      <c r="AF414" s="16"/>
      <c r="AG414" s="16"/>
      <c r="AH414" s="16"/>
      <c r="AI414" s="16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16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</row>
    <row r="415" spans="1:96" ht="12" customHeight="1" x14ac:dyDescent="0.25">
      <c r="A415" s="3"/>
      <c r="B415" s="14"/>
      <c r="C415" s="14"/>
      <c r="D415" s="14"/>
      <c r="E415" s="14"/>
      <c r="K415" s="14"/>
      <c r="M415" s="14"/>
      <c r="N415" s="14"/>
      <c r="Z415" s="11"/>
      <c r="AA415" s="15"/>
      <c r="AB415" s="15"/>
      <c r="AC415" s="15"/>
      <c r="AD415" s="16"/>
      <c r="AE415" s="16"/>
      <c r="AF415" s="16"/>
      <c r="AG415" s="16"/>
      <c r="AH415" s="16"/>
      <c r="AI415" s="16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16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</row>
    <row r="416" spans="1:96" ht="12" customHeight="1" x14ac:dyDescent="0.25">
      <c r="A416" s="3"/>
      <c r="B416" s="14"/>
      <c r="C416" s="14"/>
      <c r="D416" s="14"/>
      <c r="E416" s="14"/>
      <c r="K416" s="14"/>
      <c r="M416" s="14"/>
      <c r="N416" s="14"/>
      <c r="Z416" s="11"/>
      <c r="AA416" s="15"/>
      <c r="AB416" s="15"/>
      <c r="AC416" s="15"/>
      <c r="AD416" s="16"/>
      <c r="AE416" s="16"/>
      <c r="AF416" s="16"/>
      <c r="AG416" s="16"/>
      <c r="AH416" s="16"/>
      <c r="AI416" s="16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16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</row>
    <row r="417" spans="1:96" ht="12" customHeight="1" x14ac:dyDescent="0.25">
      <c r="A417" s="3"/>
      <c r="B417" s="14"/>
      <c r="C417" s="14"/>
      <c r="D417" s="14"/>
      <c r="E417" s="14"/>
      <c r="K417" s="14"/>
      <c r="M417" s="14"/>
      <c r="N417" s="14"/>
      <c r="Z417" s="11"/>
      <c r="AA417" s="15"/>
      <c r="AB417" s="15"/>
      <c r="AC417" s="15"/>
      <c r="AD417" s="16"/>
      <c r="AE417" s="16"/>
      <c r="AF417" s="16"/>
      <c r="AG417" s="16"/>
      <c r="AH417" s="16"/>
      <c r="AI417" s="16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16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</row>
    <row r="418" spans="1:96" ht="12" customHeight="1" x14ac:dyDescent="0.25">
      <c r="A418" s="3"/>
      <c r="B418" s="14"/>
      <c r="C418" s="14"/>
      <c r="D418" s="14"/>
      <c r="E418" s="14"/>
      <c r="K418" s="14"/>
      <c r="M418" s="14"/>
      <c r="N418" s="14"/>
      <c r="Z418" s="11"/>
      <c r="AA418" s="15"/>
      <c r="AB418" s="15"/>
      <c r="AC418" s="15"/>
      <c r="AD418" s="16"/>
      <c r="AE418" s="16"/>
      <c r="AF418" s="16"/>
      <c r="AG418" s="16"/>
      <c r="AH418" s="16"/>
      <c r="AI418" s="16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16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</row>
    <row r="419" spans="1:96" ht="12" customHeight="1" x14ac:dyDescent="0.25">
      <c r="A419" s="3"/>
      <c r="B419" s="14"/>
      <c r="C419" s="14"/>
      <c r="D419" s="14"/>
      <c r="E419" s="14"/>
      <c r="K419" s="14"/>
      <c r="M419" s="14"/>
      <c r="N419" s="14"/>
      <c r="Z419" s="11"/>
      <c r="AA419" s="15"/>
      <c r="AB419" s="15"/>
      <c r="AC419" s="15"/>
      <c r="AD419" s="16"/>
      <c r="AE419" s="16"/>
      <c r="AF419" s="16"/>
      <c r="AG419" s="16"/>
      <c r="AH419" s="16"/>
      <c r="AI419" s="16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16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</row>
    <row r="420" spans="1:96" ht="12" customHeight="1" x14ac:dyDescent="0.25">
      <c r="A420" s="3"/>
      <c r="B420" s="14"/>
      <c r="C420" s="14"/>
      <c r="D420" s="14"/>
      <c r="E420" s="14"/>
      <c r="K420" s="14"/>
      <c r="M420" s="14"/>
      <c r="N420" s="14"/>
      <c r="Z420" s="11"/>
      <c r="AA420" s="15"/>
      <c r="AB420" s="15"/>
      <c r="AC420" s="15"/>
      <c r="AD420" s="16"/>
      <c r="AE420" s="16"/>
      <c r="AF420" s="16"/>
      <c r="AG420" s="16"/>
      <c r="AH420" s="16"/>
      <c r="AI420" s="16"/>
      <c r="AJ420" s="3"/>
      <c r="AK420" s="3"/>
      <c r="AL420" s="3"/>
      <c r="AM420" s="3"/>
      <c r="AN420" s="3"/>
      <c r="AO420" s="3"/>
      <c r="AP420" s="3"/>
      <c r="AQ420" s="3"/>
      <c r="AR420" s="3"/>
      <c r="AS420" s="3"/>
      <c r="AT420" s="16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</row>
    <row r="421" spans="1:96" ht="12" customHeight="1" x14ac:dyDescent="0.25">
      <c r="A421" s="3"/>
      <c r="B421" s="14"/>
      <c r="C421" s="14"/>
      <c r="D421" s="14"/>
      <c r="E421" s="14"/>
      <c r="K421" s="14"/>
      <c r="M421" s="14"/>
      <c r="N421" s="14"/>
      <c r="Z421" s="11"/>
      <c r="AA421" s="15"/>
      <c r="AB421" s="15"/>
      <c r="AC421" s="15"/>
      <c r="AD421" s="16"/>
      <c r="AE421" s="16"/>
      <c r="AF421" s="16"/>
      <c r="AG421" s="16"/>
      <c r="AH421" s="16"/>
      <c r="AI421" s="16"/>
      <c r="AJ421" s="3"/>
      <c r="AK421" s="3"/>
      <c r="AL421" s="3"/>
      <c r="AM421" s="3"/>
      <c r="AN421" s="3"/>
      <c r="AO421" s="3"/>
      <c r="AP421" s="3"/>
      <c r="AQ421" s="3"/>
      <c r="AR421" s="3"/>
      <c r="AS421" s="3"/>
      <c r="AT421" s="16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</row>
    <row r="422" spans="1:96" ht="12" customHeight="1" x14ac:dyDescent="0.25">
      <c r="A422" s="3"/>
      <c r="B422" s="14"/>
      <c r="C422" s="14"/>
      <c r="D422" s="14"/>
      <c r="E422" s="14"/>
      <c r="K422" s="14"/>
      <c r="M422" s="14"/>
      <c r="N422" s="14"/>
      <c r="Z422" s="11"/>
      <c r="AA422" s="15"/>
      <c r="AB422" s="15"/>
      <c r="AC422" s="15"/>
      <c r="AD422" s="16"/>
      <c r="AE422" s="16"/>
      <c r="AF422" s="16"/>
      <c r="AG422" s="16"/>
      <c r="AH422" s="16"/>
      <c r="AI422" s="16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16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</row>
    <row r="423" spans="1:96" ht="12" customHeight="1" x14ac:dyDescent="0.25">
      <c r="A423" s="3"/>
      <c r="B423" s="14"/>
      <c r="C423" s="14"/>
      <c r="D423" s="14"/>
      <c r="E423" s="14"/>
      <c r="K423" s="14"/>
      <c r="M423" s="14"/>
      <c r="N423" s="14"/>
      <c r="Z423" s="11"/>
      <c r="AA423" s="15"/>
      <c r="AB423" s="15"/>
      <c r="AC423" s="15"/>
      <c r="AD423" s="16"/>
      <c r="AE423" s="16"/>
      <c r="AF423" s="16"/>
      <c r="AG423" s="16"/>
      <c r="AH423" s="16"/>
      <c r="AI423" s="16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16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</row>
    <row r="424" spans="1:96" ht="12" customHeight="1" x14ac:dyDescent="0.25">
      <c r="A424" s="3"/>
      <c r="B424" s="14"/>
      <c r="C424" s="14"/>
      <c r="D424" s="14"/>
      <c r="E424" s="14"/>
      <c r="K424" s="14"/>
      <c r="M424" s="14"/>
      <c r="N424" s="14"/>
      <c r="Z424" s="11"/>
      <c r="AA424" s="15"/>
      <c r="AB424" s="15"/>
      <c r="AC424" s="15"/>
      <c r="AD424" s="16"/>
      <c r="AE424" s="16"/>
      <c r="AF424" s="16"/>
      <c r="AG424" s="16"/>
      <c r="AH424" s="16"/>
      <c r="AI424" s="16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16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</row>
    <row r="425" spans="1:96" ht="12" customHeight="1" x14ac:dyDescent="0.25">
      <c r="A425" s="3"/>
      <c r="B425" s="14"/>
      <c r="C425" s="14"/>
      <c r="D425" s="14"/>
      <c r="E425" s="14"/>
      <c r="K425" s="14"/>
      <c r="M425" s="14"/>
      <c r="N425" s="14"/>
      <c r="Z425" s="11"/>
      <c r="AA425" s="15"/>
      <c r="AB425" s="15"/>
      <c r="AC425" s="15"/>
      <c r="AD425" s="16"/>
      <c r="AE425" s="16"/>
      <c r="AF425" s="16"/>
      <c r="AG425" s="16"/>
      <c r="AH425" s="16"/>
      <c r="AI425" s="16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16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</row>
    <row r="426" spans="1:96" ht="12" customHeight="1" x14ac:dyDescent="0.25">
      <c r="A426" s="3"/>
      <c r="B426" s="14"/>
      <c r="C426" s="14"/>
      <c r="D426" s="14"/>
      <c r="E426" s="14"/>
      <c r="K426" s="14"/>
      <c r="M426" s="14"/>
      <c r="N426" s="14"/>
      <c r="Z426" s="11"/>
      <c r="AA426" s="15"/>
      <c r="AB426" s="15"/>
      <c r="AC426" s="15"/>
      <c r="AD426" s="16"/>
      <c r="AE426" s="16"/>
      <c r="AF426" s="16"/>
      <c r="AG426" s="16"/>
      <c r="AH426" s="16"/>
      <c r="AI426" s="16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16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</row>
    <row r="427" spans="1:96" ht="12" customHeight="1" x14ac:dyDescent="0.25">
      <c r="A427" s="3"/>
      <c r="B427" s="14"/>
      <c r="C427" s="14"/>
      <c r="D427" s="14"/>
      <c r="E427" s="14"/>
      <c r="K427" s="14"/>
      <c r="M427" s="14"/>
      <c r="N427" s="14"/>
      <c r="Z427" s="11"/>
      <c r="AA427" s="15"/>
      <c r="AB427" s="15"/>
      <c r="AC427" s="15"/>
      <c r="AD427" s="16"/>
      <c r="AE427" s="16"/>
      <c r="AF427" s="16"/>
      <c r="AG427" s="16"/>
      <c r="AH427" s="16"/>
      <c r="AI427" s="16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16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</row>
    <row r="428" spans="1:96" ht="12" customHeight="1" x14ac:dyDescent="0.25">
      <c r="A428" s="3"/>
      <c r="B428" s="14"/>
      <c r="C428" s="14"/>
      <c r="D428" s="14"/>
      <c r="E428" s="14"/>
      <c r="K428" s="14"/>
      <c r="M428" s="14"/>
      <c r="N428" s="14"/>
      <c r="Z428" s="11"/>
      <c r="AA428" s="15"/>
      <c r="AB428" s="15"/>
      <c r="AC428" s="15"/>
      <c r="AD428" s="16"/>
      <c r="AE428" s="16"/>
      <c r="AF428" s="16"/>
      <c r="AG428" s="16"/>
      <c r="AH428" s="16"/>
      <c r="AI428" s="16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16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</row>
    <row r="429" spans="1:96" ht="12" customHeight="1" x14ac:dyDescent="0.25">
      <c r="A429" s="3"/>
      <c r="B429" s="14"/>
      <c r="C429" s="14"/>
      <c r="D429" s="14"/>
      <c r="E429" s="14"/>
      <c r="K429" s="14"/>
      <c r="M429" s="14"/>
      <c r="N429" s="14"/>
      <c r="Z429" s="11"/>
      <c r="AA429" s="15"/>
      <c r="AB429" s="15"/>
      <c r="AC429" s="15"/>
      <c r="AD429" s="16"/>
      <c r="AE429" s="16"/>
      <c r="AF429" s="16"/>
      <c r="AG429" s="16"/>
      <c r="AH429" s="16"/>
      <c r="AI429" s="16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16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</row>
    <row r="430" spans="1:96" ht="12" customHeight="1" x14ac:dyDescent="0.25">
      <c r="A430" s="3"/>
      <c r="B430" s="14"/>
      <c r="C430" s="14"/>
      <c r="D430" s="14"/>
      <c r="E430" s="14"/>
      <c r="K430" s="14"/>
      <c r="M430" s="14"/>
      <c r="N430" s="14"/>
      <c r="Z430" s="11"/>
      <c r="AA430" s="15"/>
      <c r="AB430" s="15"/>
      <c r="AC430" s="15"/>
      <c r="AD430" s="16"/>
      <c r="AE430" s="16"/>
      <c r="AF430" s="16"/>
      <c r="AG430" s="16"/>
      <c r="AH430" s="16"/>
      <c r="AI430" s="16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16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</row>
    <row r="431" spans="1:96" ht="12" customHeight="1" x14ac:dyDescent="0.25">
      <c r="A431" s="3"/>
      <c r="B431" s="14"/>
      <c r="C431" s="14"/>
      <c r="D431" s="14"/>
      <c r="E431" s="14"/>
      <c r="K431" s="14"/>
      <c r="M431" s="14"/>
      <c r="N431" s="14"/>
      <c r="Z431" s="11"/>
      <c r="AA431" s="15"/>
      <c r="AB431" s="15"/>
      <c r="AC431" s="15"/>
      <c r="AD431" s="16"/>
      <c r="AE431" s="16"/>
      <c r="AF431" s="16"/>
      <c r="AG431" s="16"/>
      <c r="AH431" s="16"/>
      <c r="AI431" s="16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16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</row>
    <row r="432" spans="1:96" ht="12" customHeight="1" x14ac:dyDescent="0.25">
      <c r="A432" s="3"/>
      <c r="B432" s="14"/>
      <c r="C432" s="14"/>
      <c r="D432" s="14"/>
      <c r="E432" s="14"/>
      <c r="K432" s="14"/>
      <c r="M432" s="14"/>
      <c r="N432" s="14"/>
      <c r="Z432" s="11"/>
      <c r="AA432" s="15"/>
      <c r="AB432" s="15"/>
      <c r="AC432" s="15"/>
      <c r="AD432" s="16"/>
      <c r="AE432" s="16"/>
      <c r="AF432" s="16"/>
      <c r="AG432" s="16"/>
      <c r="AH432" s="16"/>
      <c r="AI432" s="16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16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</row>
    <row r="433" spans="1:96" ht="12" customHeight="1" x14ac:dyDescent="0.25">
      <c r="A433" s="3"/>
      <c r="B433" s="14"/>
      <c r="C433" s="14"/>
      <c r="D433" s="14"/>
      <c r="E433" s="14"/>
      <c r="K433" s="14"/>
      <c r="M433" s="14"/>
      <c r="N433" s="14"/>
      <c r="Z433" s="11"/>
      <c r="AA433" s="15"/>
      <c r="AB433" s="15"/>
      <c r="AC433" s="15"/>
      <c r="AD433" s="16"/>
      <c r="AE433" s="16"/>
      <c r="AF433" s="16"/>
      <c r="AG433" s="16"/>
      <c r="AH433" s="16"/>
      <c r="AI433" s="16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16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</row>
    <row r="434" spans="1:96" ht="12" customHeight="1" x14ac:dyDescent="0.25">
      <c r="A434" s="3"/>
      <c r="B434" s="14"/>
      <c r="C434" s="14"/>
      <c r="D434" s="14"/>
      <c r="E434" s="14"/>
      <c r="K434" s="14"/>
      <c r="M434" s="14"/>
      <c r="N434" s="14"/>
      <c r="Z434" s="11"/>
      <c r="AA434" s="15"/>
      <c r="AB434" s="15"/>
      <c r="AC434" s="15"/>
      <c r="AD434" s="16"/>
      <c r="AE434" s="16"/>
      <c r="AF434" s="16"/>
      <c r="AG434" s="16"/>
      <c r="AH434" s="16"/>
      <c r="AI434" s="16"/>
      <c r="AJ434" s="3"/>
      <c r="AK434" s="3"/>
      <c r="AL434" s="3"/>
      <c r="AM434" s="3"/>
      <c r="AN434" s="3"/>
      <c r="AO434" s="3"/>
      <c r="AP434" s="3"/>
      <c r="AQ434" s="3"/>
      <c r="AR434" s="3"/>
      <c r="AS434" s="3"/>
      <c r="AT434" s="16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</row>
    <row r="435" spans="1:96" ht="12" customHeight="1" x14ac:dyDescent="0.25">
      <c r="A435" s="3"/>
      <c r="B435" s="14"/>
      <c r="C435" s="14"/>
      <c r="D435" s="14"/>
      <c r="E435" s="14"/>
      <c r="K435" s="14"/>
      <c r="M435" s="14"/>
      <c r="N435" s="14"/>
      <c r="Z435" s="11"/>
      <c r="AA435" s="15"/>
      <c r="AB435" s="15"/>
      <c r="AC435" s="15"/>
      <c r="AD435" s="16"/>
      <c r="AE435" s="16"/>
      <c r="AF435" s="16"/>
      <c r="AG435" s="16"/>
      <c r="AH435" s="16"/>
      <c r="AI435" s="16"/>
      <c r="AJ435" s="3"/>
      <c r="AK435" s="3"/>
      <c r="AL435" s="3"/>
      <c r="AM435" s="3"/>
      <c r="AN435" s="3"/>
      <c r="AO435" s="3"/>
      <c r="AP435" s="3"/>
      <c r="AQ435" s="3"/>
      <c r="AR435" s="3"/>
      <c r="AS435" s="3"/>
      <c r="AT435" s="16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</row>
    <row r="436" spans="1:96" ht="12" customHeight="1" x14ac:dyDescent="0.25">
      <c r="A436" s="3"/>
      <c r="B436" s="14"/>
      <c r="C436" s="14"/>
      <c r="D436" s="14"/>
      <c r="E436" s="14"/>
      <c r="K436" s="14"/>
      <c r="M436" s="14"/>
      <c r="N436" s="14"/>
      <c r="Z436" s="11"/>
      <c r="AA436" s="15"/>
      <c r="AB436" s="15"/>
      <c r="AC436" s="15"/>
      <c r="AD436" s="16"/>
      <c r="AE436" s="16"/>
      <c r="AF436" s="16"/>
      <c r="AG436" s="16"/>
      <c r="AH436" s="16"/>
      <c r="AI436" s="16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16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</row>
    <row r="437" spans="1:96" ht="12" customHeight="1" x14ac:dyDescent="0.25">
      <c r="A437" s="3"/>
      <c r="B437" s="14"/>
      <c r="C437" s="14"/>
      <c r="D437" s="14"/>
      <c r="E437" s="14"/>
      <c r="K437" s="14"/>
      <c r="M437" s="14"/>
      <c r="N437" s="14"/>
      <c r="Z437" s="11"/>
      <c r="AA437" s="15"/>
      <c r="AB437" s="15"/>
      <c r="AC437" s="15"/>
      <c r="AD437" s="16"/>
      <c r="AE437" s="16"/>
      <c r="AF437" s="16"/>
      <c r="AG437" s="16"/>
      <c r="AH437" s="16"/>
      <c r="AI437" s="16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16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</row>
    <row r="438" spans="1:96" ht="12" customHeight="1" x14ac:dyDescent="0.25">
      <c r="A438" s="3"/>
      <c r="B438" s="14"/>
      <c r="C438" s="14"/>
      <c r="D438" s="14"/>
      <c r="E438" s="14"/>
      <c r="K438" s="14"/>
      <c r="M438" s="14"/>
      <c r="N438" s="14"/>
      <c r="Z438" s="11"/>
      <c r="AA438" s="15"/>
      <c r="AB438" s="15"/>
      <c r="AC438" s="15"/>
      <c r="AD438" s="16"/>
      <c r="AE438" s="16"/>
      <c r="AF438" s="16"/>
      <c r="AG438" s="16"/>
      <c r="AH438" s="16"/>
      <c r="AI438" s="16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16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</row>
    <row r="439" spans="1:96" ht="12" customHeight="1" x14ac:dyDescent="0.25">
      <c r="A439" s="3"/>
      <c r="B439" s="14"/>
      <c r="C439" s="14"/>
      <c r="D439" s="14"/>
      <c r="E439" s="14"/>
      <c r="K439" s="14"/>
      <c r="M439" s="14"/>
      <c r="N439" s="14"/>
      <c r="Z439" s="11"/>
      <c r="AA439" s="15"/>
      <c r="AB439" s="15"/>
      <c r="AC439" s="15"/>
      <c r="AD439" s="16"/>
      <c r="AE439" s="16"/>
      <c r="AF439" s="16"/>
      <c r="AG439" s="16"/>
      <c r="AH439" s="16"/>
      <c r="AI439" s="16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16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</row>
    <row r="440" spans="1:96" ht="12" customHeight="1" x14ac:dyDescent="0.25">
      <c r="A440" s="3"/>
      <c r="B440" s="14"/>
      <c r="C440" s="14"/>
      <c r="D440" s="14"/>
      <c r="E440" s="14"/>
      <c r="K440" s="14"/>
      <c r="M440" s="14"/>
      <c r="N440" s="14"/>
      <c r="Z440" s="11"/>
      <c r="AA440" s="15"/>
      <c r="AB440" s="15"/>
      <c r="AC440" s="15"/>
      <c r="AD440" s="16"/>
      <c r="AE440" s="16"/>
      <c r="AF440" s="16"/>
      <c r="AG440" s="16"/>
      <c r="AH440" s="16"/>
      <c r="AI440" s="16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16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</row>
    <row r="441" spans="1:96" ht="12" customHeight="1" x14ac:dyDescent="0.25">
      <c r="A441" s="3"/>
      <c r="B441" s="14"/>
      <c r="C441" s="14"/>
      <c r="D441" s="14"/>
      <c r="E441" s="14"/>
      <c r="K441" s="14"/>
      <c r="M441" s="14"/>
      <c r="N441" s="14"/>
      <c r="Z441" s="11"/>
      <c r="AA441" s="15"/>
      <c r="AB441" s="15"/>
      <c r="AC441" s="15"/>
      <c r="AD441" s="16"/>
      <c r="AE441" s="16"/>
      <c r="AF441" s="16"/>
      <c r="AG441" s="16"/>
      <c r="AH441" s="16"/>
      <c r="AI441" s="16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16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</row>
    <row r="442" spans="1:96" ht="12" customHeight="1" x14ac:dyDescent="0.25">
      <c r="A442" s="3"/>
      <c r="B442" s="14"/>
      <c r="C442" s="14"/>
      <c r="D442" s="14"/>
      <c r="E442" s="14"/>
      <c r="K442" s="14"/>
      <c r="M442" s="14"/>
      <c r="N442" s="14"/>
      <c r="Z442" s="11"/>
      <c r="AA442" s="15"/>
      <c r="AB442" s="15"/>
      <c r="AC442" s="15"/>
      <c r="AD442" s="16"/>
      <c r="AE442" s="16"/>
      <c r="AF442" s="16"/>
      <c r="AG442" s="16"/>
      <c r="AH442" s="16"/>
      <c r="AI442" s="16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16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</row>
    <row r="443" spans="1:96" ht="12" customHeight="1" x14ac:dyDescent="0.25">
      <c r="A443" s="3"/>
      <c r="B443" s="14"/>
      <c r="C443" s="14"/>
      <c r="D443" s="14"/>
      <c r="E443" s="14"/>
      <c r="K443" s="14"/>
      <c r="M443" s="14"/>
      <c r="N443" s="14"/>
      <c r="Z443" s="11"/>
      <c r="AA443" s="15"/>
      <c r="AB443" s="15"/>
      <c r="AC443" s="15"/>
      <c r="AD443" s="16"/>
      <c r="AE443" s="16"/>
      <c r="AF443" s="16"/>
      <c r="AG443" s="16"/>
      <c r="AH443" s="16"/>
      <c r="AI443" s="16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16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</row>
    <row r="444" spans="1:96" ht="12" customHeight="1" x14ac:dyDescent="0.25">
      <c r="A444" s="3"/>
      <c r="B444" s="14"/>
      <c r="C444" s="14"/>
      <c r="D444" s="14"/>
      <c r="E444" s="14"/>
      <c r="K444" s="14"/>
      <c r="M444" s="14"/>
      <c r="N444" s="14"/>
      <c r="Z444" s="11"/>
      <c r="AA444" s="15"/>
      <c r="AB444" s="15"/>
      <c r="AC444" s="15"/>
      <c r="AD444" s="16"/>
      <c r="AE444" s="16"/>
      <c r="AF444" s="16"/>
      <c r="AG444" s="16"/>
      <c r="AH444" s="16"/>
      <c r="AI444" s="16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16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</row>
    <row r="445" spans="1:96" ht="12" customHeight="1" x14ac:dyDescent="0.25">
      <c r="A445" s="3"/>
      <c r="B445" s="14"/>
      <c r="C445" s="14"/>
      <c r="D445" s="14"/>
      <c r="E445" s="14"/>
      <c r="K445" s="14"/>
      <c r="M445" s="14"/>
      <c r="N445" s="14"/>
      <c r="Z445" s="11"/>
      <c r="AA445" s="15"/>
      <c r="AB445" s="15"/>
      <c r="AC445" s="15"/>
      <c r="AD445" s="16"/>
      <c r="AE445" s="16"/>
      <c r="AF445" s="16"/>
      <c r="AG445" s="16"/>
      <c r="AH445" s="16"/>
      <c r="AI445" s="16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16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</row>
    <row r="446" spans="1:96" ht="12" customHeight="1" x14ac:dyDescent="0.25">
      <c r="A446" s="3"/>
      <c r="B446" s="14"/>
      <c r="C446" s="14"/>
      <c r="D446" s="14"/>
      <c r="E446" s="14"/>
      <c r="K446" s="14"/>
      <c r="M446" s="14"/>
      <c r="N446" s="14"/>
      <c r="Z446" s="11"/>
      <c r="AA446" s="15"/>
      <c r="AB446" s="15"/>
      <c r="AC446" s="15"/>
      <c r="AD446" s="16"/>
      <c r="AE446" s="16"/>
      <c r="AF446" s="16"/>
      <c r="AG446" s="16"/>
      <c r="AH446" s="16"/>
      <c r="AI446" s="16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16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</row>
    <row r="447" spans="1:96" ht="12" customHeight="1" x14ac:dyDescent="0.25">
      <c r="A447" s="3"/>
      <c r="B447" s="14"/>
      <c r="C447" s="14"/>
      <c r="D447" s="14"/>
      <c r="E447" s="14"/>
      <c r="K447" s="14"/>
      <c r="M447" s="14"/>
      <c r="N447" s="14"/>
      <c r="Z447" s="11"/>
      <c r="AA447" s="15"/>
      <c r="AB447" s="15"/>
      <c r="AC447" s="15"/>
      <c r="AD447" s="16"/>
      <c r="AE447" s="16"/>
      <c r="AF447" s="16"/>
      <c r="AG447" s="16"/>
      <c r="AH447" s="16"/>
      <c r="AI447" s="16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16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</row>
    <row r="448" spans="1:96" ht="12" customHeight="1" x14ac:dyDescent="0.25">
      <c r="A448" s="3"/>
      <c r="B448" s="14"/>
      <c r="C448" s="14"/>
      <c r="D448" s="14"/>
      <c r="E448" s="14"/>
      <c r="K448" s="14"/>
      <c r="M448" s="14"/>
      <c r="N448" s="14"/>
      <c r="Z448" s="11"/>
      <c r="AA448" s="15"/>
      <c r="AB448" s="15"/>
      <c r="AC448" s="15"/>
      <c r="AD448" s="16"/>
      <c r="AE448" s="16"/>
      <c r="AF448" s="16"/>
      <c r="AG448" s="16"/>
      <c r="AH448" s="16"/>
      <c r="AI448" s="16"/>
      <c r="AJ448" s="3"/>
      <c r="AK448" s="3"/>
      <c r="AL448" s="3"/>
      <c r="AM448" s="3"/>
      <c r="AN448" s="3"/>
      <c r="AO448" s="3"/>
      <c r="AP448" s="3"/>
      <c r="AQ448" s="3"/>
      <c r="AR448" s="3"/>
      <c r="AS448" s="3"/>
      <c r="AT448" s="16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</row>
    <row r="449" spans="1:96" ht="12" customHeight="1" x14ac:dyDescent="0.25">
      <c r="A449" s="3"/>
      <c r="B449" s="14"/>
      <c r="C449" s="14"/>
      <c r="D449" s="14"/>
      <c r="E449" s="14"/>
      <c r="K449" s="14"/>
      <c r="M449" s="14"/>
      <c r="N449" s="14"/>
      <c r="Z449" s="11"/>
      <c r="AA449" s="15"/>
      <c r="AB449" s="15"/>
      <c r="AC449" s="15"/>
      <c r="AD449" s="16"/>
      <c r="AE449" s="16"/>
      <c r="AF449" s="16"/>
      <c r="AG449" s="16"/>
      <c r="AH449" s="16"/>
      <c r="AI449" s="16"/>
      <c r="AJ449" s="3"/>
      <c r="AK449" s="3"/>
      <c r="AL449" s="3"/>
      <c r="AM449" s="3"/>
      <c r="AN449" s="3"/>
      <c r="AO449" s="3"/>
      <c r="AP449" s="3"/>
      <c r="AQ449" s="3"/>
      <c r="AR449" s="3"/>
      <c r="AS449" s="3"/>
      <c r="AT449" s="16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</row>
    <row r="450" spans="1:96" ht="12" customHeight="1" x14ac:dyDescent="0.25">
      <c r="A450" s="3"/>
      <c r="B450" s="14"/>
      <c r="C450" s="14"/>
      <c r="D450" s="14"/>
      <c r="E450" s="14"/>
      <c r="K450" s="14"/>
      <c r="M450" s="14"/>
      <c r="N450" s="14"/>
      <c r="Z450" s="11"/>
      <c r="AA450" s="15"/>
      <c r="AB450" s="15"/>
      <c r="AC450" s="15"/>
      <c r="AD450" s="16"/>
      <c r="AE450" s="16"/>
      <c r="AF450" s="16"/>
      <c r="AG450" s="16"/>
      <c r="AH450" s="16"/>
      <c r="AI450" s="16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16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</row>
    <row r="451" spans="1:96" ht="12" customHeight="1" x14ac:dyDescent="0.25">
      <c r="A451" s="3"/>
      <c r="B451" s="14"/>
      <c r="C451" s="14"/>
      <c r="D451" s="14"/>
      <c r="E451" s="14"/>
      <c r="K451" s="14"/>
      <c r="M451" s="14"/>
      <c r="N451" s="14"/>
      <c r="Z451" s="11"/>
      <c r="AA451" s="15"/>
      <c r="AB451" s="15"/>
      <c r="AC451" s="15"/>
      <c r="AD451" s="16"/>
      <c r="AE451" s="16"/>
      <c r="AF451" s="16"/>
      <c r="AG451" s="16"/>
      <c r="AH451" s="16"/>
      <c r="AI451" s="16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16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</row>
    <row r="452" spans="1:96" ht="12" customHeight="1" x14ac:dyDescent="0.25">
      <c r="A452" s="3"/>
      <c r="B452" s="14"/>
      <c r="C452" s="14"/>
      <c r="D452" s="14"/>
      <c r="E452" s="14"/>
      <c r="K452" s="14"/>
      <c r="M452" s="14"/>
      <c r="N452" s="14"/>
      <c r="Z452" s="11"/>
      <c r="AA452" s="15"/>
      <c r="AB452" s="15"/>
      <c r="AC452" s="15"/>
      <c r="AD452" s="16"/>
      <c r="AE452" s="16"/>
      <c r="AF452" s="16"/>
      <c r="AG452" s="16"/>
      <c r="AH452" s="16"/>
      <c r="AI452" s="16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16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</row>
    <row r="453" spans="1:96" ht="12" customHeight="1" x14ac:dyDescent="0.25">
      <c r="A453" s="3"/>
      <c r="B453" s="14"/>
      <c r="C453" s="14"/>
      <c r="D453" s="14"/>
      <c r="E453" s="14"/>
      <c r="K453" s="14"/>
      <c r="M453" s="14"/>
      <c r="N453" s="14"/>
      <c r="Z453" s="11"/>
      <c r="AA453" s="15"/>
      <c r="AB453" s="15"/>
      <c r="AC453" s="15"/>
      <c r="AD453" s="16"/>
      <c r="AE453" s="16"/>
      <c r="AF453" s="16"/>
      <c r="AG453" s="16"/>
      <c r="AH453" s="16"/>
      <c r="AI453" s="16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16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</row>
    <row r="454" spans="1:96" ht="12" customHeight="1" x14ac:dyDescent="0.25">
      <c r="A454" s="3"/>
      <c r="B454" s="14"/>
      <c r="C454" s="14"/>
      <c r="D454" s="14"/>
      <c r="E454" s="14"/>
      <c r="K454" s="14"/>
      <c r="M454" s="14"/>
      <c r="N454" s="14"/>
      <c r="Z454" s="11"/>
      <c r="AA454" s="15"/>
      <c r="AB454" s="15"/>
      <c r="AC454" s="15"/>
      <c r="AD454" s="16"/>
      <c r="AE454" s="16"/>
      <c r="AF454" s="16"/>
      <c r="AG454" s="16"/>
      <c r="AH454" s="16"/>
      <c r="AI454" s="16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16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</row>
    <row r="455" spans="1:96" ht="12" customHeight="1" x14ac:dyDescent="0.25">
      <c r="A455" s="3"/>
      <c r="B455" s="14"/>
      <c r="C455" s="14"/>
      <c r="D455" s="14"/>
      <c r="E455" s="14"/>
      <c r="K455" s="14"/>
      <c r="M455" s="14"/>
      <c r="N455" s="14"/>
      <c r="Z455" s="11"/>
      <c r="AA455" s="15"/>
      <c r="AB455" s="15"/>
      <c r="AC455" s="15"/>
      <c r="AD455" s="16"/>
      <c r="AE455" s="16"/>
      <c r="AF455" s="16"/>
      <c r="AG455" s="16"/>
      <c r="AH455" s="16"/>
      <c r="AI455" s="16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16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</row>
    <row r="456" spans="1:96" ht="12" customHeight="1" x14ac:dyDescent="0.25">
      <c r="A456" s="3"/>
      <c r="B456" s="14"/>
      <c r="C456" s="14"/>
      <c r="D456" s="14"/>
      <c r="E456" s="14"/>
      <c r="K456" s="14"/>
      <c r="M456" s="14"/>
      <c r="N456" s="14"/>
      <c r="Z456" s="11"/>
      <c r="AA456" s="15"/>
      <c r="AB456" s="15"/>
      <c r="AC456" s="15"/>
      <c r="AD456" s="16"/>
      <c r="AE456" s="16"/>
      <c r="AF456" s="16"/>
      <c r="AG456" s="16"/>
      <c r="AH456" s="16"/>
      <c r="AI456" s="16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16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</row>
    <row r="457" spans="1:96" ht="12" customHeight="1" x14ac:dyDescent="0.25">
      <c r="A457" s="3"/>
      <c r="B457" s="14"/>
      <c r="C457" s="14"/>
      <c r="D457" s="14"/>
      <c r="E457" s="14"/>
      <c r="K457" s="14"/>
      <c r="M457" s="14"/>
      <c r="N457" s="14"/>
      <c r="Z457" s="11"/>
      <c r="AA457" s="15"/>
      <c r="AB457" s="15"/>
      <c r="AC457" s="15"/>
      <c r="AD457" s="16"/>
      <c r="AE457" s="16"/>
      <c r="AF457" s="16"/>
      <c r="AG457" s="16"/>
      <c r="AH457" s="16"/>
      <c r="AI457" s="16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16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</row>
    <row r="458" spans="1:96" ht="12" customHeight="1" x14ac:dyDescent="0.25">
      <c r="A458" s="3"/>
      <c r="B458" s="14"/>
      <c r="C458" s="14"/>
      <c r="D458" s="14"/>
      <c r="E458" s="14"/>
      <c r="K458" s="14"/>
      <c r="M458" s="14"/>
      <c r="N458" s="14"/>
      <c r="Z458" s="11"/>
      <c r="AA458" s="15"/>
      <c r="AB458" s="15"/>
      <c r="AC458" s="15"/>
      <c r="AD458" s="16"/>
      <c r="AE458" s="16"/>
      <c r="AF458" s="16"/>
      <c r="AG458" s="16"/>
      <c r="AH458" s="16"/>
      <c r="AI458" s="16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16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</row>
    <row r="459" spans="1:96" ht="12" customHeight="1" x14ac:dyDescent="0.25">
      <c r="A459" s="3"/>
      <c r="B459" s="14"/>
      <c r="C459" s="14"/>
      <c r="D459" s="14"/>
      <c r="E459" s="14"/>
      <c r="K459" s="14"/>
      <c r="M459" s="14"/>
      <c r="N459" s="14"/>
      <c r="Z459" s="11"/>
      <c r="AA459" s="15"/>
      <c r="AB459" s="15"/>
      <c r="AC459" s="15"/>
      <c r="AD459" s="16"/>
      <c r="AE459" s="16"/>
      <c r="AF459" s="16"/>
      <c r="AG459" s="16"/>
      <c r="AH459" s="16"/>
      <c r="AI459" s="16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16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</row>
    <row r="460" spans="1:96" ht="12" customHeight="1" x14ac:dyDescent="0.25">
      <c r="A460" s="3"/>
      <c r="B460" s="14"/>
      <c r="C460" s="14"/>
      <c r="D460" s="14"/>
      <c r="E460" s="14"/>
      <c r="K460" s="14"/>
      <c r="M460" s="14"/>
      <c r="N460" s="14"/>
      <c r="Z460" s="11"/>
      <c r="AA460" s="15"/>
      <c r="AB460" s="15"/>
      <c r="AC460" s="15"/>
      <c r="AD460" s="16"/>
      <c r="AE460" s="16"/>
      <c r="AF460" s="16"/>
      <c r="AG460" s="16"/>
      <c r="AH460" s="16"/>
      <c r="AI460" s="16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16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</row>
    <row r="461" spans="1:96" ht="12" customHeight="1" x14ac:dyDescent="0.25">
      <c r="A461" s="3"/>
      <c r="B461" s="14"/>
      <c r="C461" s="14"/>
      <c r="D461" s="14"/>
      <c r="E461" s="14"/>
      <c r="K461" s="14"/>
      <c r="M461" s="14"/>
      <c r="N461" s="14"/>
      <c r="Z461" s="11"/>
      <c r="AA461" s="15"/>
      <c r="AB461" s="15"/>
      <c r="AC461" s="15"/>
      <c r="AD461" s="16"/>
      <c r="AE461" s="16"/>
      <c r="AF461" s="16"/>
      <c r="AG461" s="16"/>
      <c r="AH461" s="16"/>
      <c r="AI461" s="16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16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</row>
    <row r="462" spans="1:96" ht="12" customHeight="1" x14ac:dyDescent="0.25">
      <c r="A462" s="3"/>
      <c r="B462" s="14"/>
      <c r="C462" s="14"/>
      <c r="D462" s="14"/>
      <c r="E462" s="14"/>
      <c r="K462" s="14"/>
      <c r="M462" s="14"/>
      <c r="N462" s="14"/>
      <c r="Z462" s="11"/>
      <c r="AA462" s="15"/>
      <c r="AB462" s="15"/>
      <c r="AC462" s="15"/>
      <c r="AD462" s="16"/>
      <c r="AE462" s="16"/>
      <c r="AF462" s="16"/>
      <c r="AG462" s="16"/>
      <c r="AH462" s="16"/>
      <c r="AI462" s="16"/>
      <c r="AJ462" s="3"/>
      <c r="AK462" s="3"/>
      <c r="AL462" s="3"/>
      <c r="AM462" s="3"/>
      <c r="AN462" s="3"/>
      <c r="AO462" s="3"/>
      <c r="AP462" s="3"/>
      <c r="AQ462" s="3"/>
      <c r="AR462" s="3"/>
      <c r="AS462" s="3"/>
      <c r="AT462" s="16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</row>
    <row r="463" spans="1:96" ht="12" customHeight="1" x14ac:dyDescent="0.25">
      <c r="A463" s="3"/>
      <c r="B463" s="14"/>
      <c r="C463" s="14"/>
      <c r="D463" s="14"/>
      <c r="E463" s="14"/>
      <c r="K463" s="14"/>
      <c r="M463" s="14"/>
      <c r="N463" s="14"/>
      <c r="Z463" s="11"/>
      <c r="AA463" s="15"/>
      <c r="AB463" s="15"/>
      <c r="AC463" s="15"/>
      <c r="AD463" s="16"/>
      <c r="AE463" s="16"/>
      <c r="AF463" s="16"/>
      <c r="AG463" s="16"/>
      <c r="AH463" s="16"/>
      <c r="AI463" s="16"/>
      <c r="AJ463" s="3"/>
      <c r="AK463" s="3"/>
      <c r="AL463" s="3"/>
      <c r="AM463" s="3"/>
      <c r="AN463" s="3"/>
      <c r="AO463" s="3"/>
      <c r="AP463" s="3"/>
      <c r="AQ463" s="3"/>
      <c r="AR463" s="3"/>
      <c r="AS463" s="3"/>
      <c r="AT463" s="16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</row>
    <row r="464" spans="1:96" ht="12" customHeight="1" x14ac:dyDescent="0.25">
      <c r="A464" s="3"/>
      <c r="B464" s="14"/>
      <c r="C464" s="14"/>
      <c r="D464" s="14"/>
      <c r="E464" s="14"/>
      <c r="K464" s="14"/>
      <c r="M464" s="14"/>
      <c r="N464" s="14"/>
      <c r="Z464" s="11"/>
      <c r="AA464" s="15"/>
      <c r="AB464" s="15"/>
      <c r="AC464" s="15"/>
      <c r="AD464" s="16"/>
      <c r="AE464" s="16"/>
      <c r="AF464" s="16"/>
      <c r="AG464" s="16"/>
      <c r="AH464" s="16"/>
      <c r="AI464" s="16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16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</row>
    <row r="465" spans="1:96" ht="12" customHeight="1" x14ac:dyDescent="0.25">
      <c r="A465" s="3"/>
      <c r="B465" s="14"/>
      <c r="C465" s="14"/>
      <c r="D465" s="14"/>
      <c r="E465" s="14"/>
      <c r="K465" s="14"/>
      <c r="M465" s="14"/>
      <c r="N465" s="14"/>
      <c r="Z465" s="11"/>
      <c r="AA465" s="15"/>
      <c r="AB465" s="15"/>
      <c r="AC465" s="15"/>
      <c r="AD465" s="16"/>
      <c r="AE465" s="16"/>
      <c r="AF465" s="16"/>
      <c r="AG465" s="16"/>
      <c r="AH465" s="16"/>
      <c r="AI465" s="16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16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</row>
    <row r="466" spans="1:96" ht="12" customHeight="1" x14ac:dyDescent="0.25">
      <c r="A466" s="3"/>
      <c r="B466" s="14"/>
      <c r="C466" s="14"/>
      <c r="D466" s="14"/>
      <c r="E466" s="14"/>
      <c r="K466" s="14"/>
      <c r="M466" s="14"/>
      <c r="N466" s="14"/>
      <c r="Z466" s="11"/>
      <c r="AA466" s="15"/>
      <c r="AB466" s="15"/>
      <c r="AC466" s="15"/>
      <c r="AD466" s="16"/>
      <c r="AE466" s="16"/>
      <c r="AF466" s="16"/>
      <c r="AG466" s="16"/>
      <c r="AH466" s="16"/>
      <c r="AI466" s="16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16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</row>
    <row r="467" spans="1:96" ht="12" customHeight="1" x14ac:dyDescent="0.25">
      <c r="A467" s="3"/>
      <c r="B467" s="14"/>
      <c r="C467" s="14"/>
      <c r="D467" s="14"/>
      <c r="E467" s="14"/>
      <c r="K467" s="14"/>
      <c r="M467" s="14"/>
      <c r="N467" s="14"/>
      <c r="Z467" s="11"/>
      <c r="AA467" s="15"/>
      <c r="AB467" s="15"/>
      <c r="AC467" s="15"/>
      <c r="AD467" s="16"/>
      <c r="AE467" s="16"/>
      <c r="AF467" s="16"/>
      <c r="AG467" s="16"/>
      <c r="AH467" s="16"/>
      <c r="AI467" s="16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16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</row>
    <row r="468" spans="1:96" ht="12" customHeight="1" x14ac:dyDescent="0.25">
      <c r="A468" s="3"/>
      <c r="B468" s="14"/>
      <c r="C468" s="14"/>
      <c r="D468" s="14"/>
      <c r="E468" s="14"/>
      <c r="K468" s="14"/>
      <c r="M468" s="14"/>
      <c r="N468" s="14"/>
      <c r="Z468" s="11"/>
      <c r="AA468" s="15"/>
      <c r="AB468" s="15"/>
      <c r="AC468" s="15"/>
      <c r="AD468" s="16"/>
      <c r="AE468" s="16"/>
      <c r="AF468" s="16"/>
      <c r="AG468" s="16"/>
      <c r="AH468" s="16"/>
      <c r="AI468" s="16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16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</row>
    <row r="469" spans="1:96" ht="12" customHeight="1" x14ac:dyDescent="0.25">
      <c r="A469" s="3"/>
      <c r="B469" s="14"/>
      <c r="C469" s="14"/>
      <c r="D469" s="14"/>
      <c r="E469" s="14"/>
      <c r="K469" s="14"/>
      <c r="M469" s="14"/>
      <c r="N469" s="14"/>
      <c r="Z469" s="11"/>
      <c r="AA469" s="15"/>
      <c r="AB469" s="15"/>
      <c r="AC469" s="15"/>
      <c r="AD469" s="16"/>
      <c r="AE469" s="16"/>
      <c r="AF469" s="16"/>
      <c r="AG469" s="16"/>
      <c r="AH469" s="16"/>
      <c r="AI469" s="16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16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</row>
    <row r="470" spans="1:96" ht="12" customHeight="1" x14ac:dyDescent="0.25">
      <c r="A470" s="3"/>
      <c r="B470" s="14"/>
      <c r="C470" s="14"/>
      <c r="D470" s="14"/>
      <c r="E470" s="14"/>
      <c r="K470" s="14"/>
      <c r="M470" s="14"/>
      <c r="N470" s="14"/>
      <c r="Z470" s="11"/>
      <c r="AA470" s="15"/>
      <c r="AB470" s="15"/>
      <c r="AC470" s="15"/>
      <c r="AD470" s="16"/>
      <c r="AE470" s="16"/>
      <c r="AF470" s="16"/>
      <c r="AG470" s="16"/>
      <c r="AH470" s="16"/>
      <c r="AI470" s="16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16"/>
      <c r="AU470" s="17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</row>
    <row r="471" spans="1:96" ht="12" customHeight="1" x14ac:dyDescent="0.25">
      <c r="A471" s="3"/>
      <c r="B471" s="14"/>
      <c r="C471" s="14"/>
      <c r="D471" s="14"/>
      <c r="E471" s="14"/>
      <c r="K471" s="14"/>
      <c r="M471" s="14"/>
      <c r="N471" s="14"/>
      <c r="Z471" s="11"/>
      <c r="AA471" s="15"/>
      <c r="AB471" s="15"/>
      <c r="AC471" s="15"/>
      <c r="AD471" s="16"/>
      <c r="AE471" s="16"/>
      <c r="AF471" s="16"/>
      <c r="AG471" s="16"/>
      <c r="AH471" s="16"/>
      <c r="AI471" s="16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16"/>
      <c r="AU471" s="17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</row>
    <row r="472" spans="1:96" ht="12" customHeight="1" x14ac:dyDescent="0.25">
      <c r="A472" s="3"/>
      <c r="B472" s="14"/>
      <c r="C472" s="14"/>
      <c r="D472" s="14"/>
      <c r="E472" s="14"/>
      <c r="K472" s="14"/>
      <c r="M472" s="14"/>
      <c r="N472" s="14"/>
      <c r="Z472" s="11"/>
      <c r="AA472" s="15"/>
      <c r="AB472" s="15"/>
      <c r="AC472" s="15"/>
      <c r="AD472" s="16"/>
      <c r="AE472" s="16"/>
      <c r="AF472" s="16"/>
      <c r="AG472" s="16"/>
      <c r="AH472" s="16"/>
      <c r="AI472" s="16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16"/>
      <c r="AU472" s="17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</row>
    <row r="473" spans="1:96" ht="12" customHeight="1" x14ac:dyDescent="0.25">
      <c r="A473" s="3"/>
      <c r="B473" s="14"/>
      <c r="C473" s="14"/>
      <c r="D473" s="14"/>
      <c r="E473" s="14"/>
      <c r="K473" s="14"/>
      <c r="M473" s="14"/>
      <c r="N473" s="14"/>
      <c r="Z473" s="11"/>
      <c r="AA473" s="15"/>
      <c r="AB473" s="15"/>
      <c r="AC473" s="15"/>
      <c r="AD473" s="16"/>
      <c r="AE473" s="16"/>
      <c r="AF473" s="16"/>
      <c r="AG473" s="16"/>
      <c r="AH473" s="16"/>
      <c r="AI473" s="16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16"/>
      <c r="AU473" s="17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</row>
    <row r="474" spans="1:96" ht="12" customHeight="1" x14ac:dyDescent="0.25">
      <c r="A474" s="3"/>
      <c r="B474" s="14"/>
      <c r="C474" s="14"/>
      <c r="D474" s="14"/>
      <c r="E474" s="14"/>
      <c r="K474" s="14"/>
      <c r="M474" s="14"/>
      <c r="N474" s="14"/>
      <c r="Z474" s="11"/>
      <c r="AA474" s="15"/>
      <c r="AB474" s="15"/>
      <c r="AC474" s="15"/>
      <c r="AD474" s="16"/>
      <c r="AE474" s="16"/>
      <c r="AF474" s="16"/>
      <c r="AG474" s="16"/>
      <c r="AH474" s="16"/>
      <c r="AI474" s="16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16"/>
      <c r="AU474" s="17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</row>
    <row r="475" spans="1:96" ht="12" customHeight="1" x14ac:dyDescent="0.25">
      <c r="A475" s="3"/>
      <c r="B475" s="14"/>
      <c r="C475" s="14"/>
      <c r="D475" s="14"/>
      <c r="E475" s="14"/>
      <c r="K475" s="14"/>
      <c r="M475" s="14"/>
      <c r="N475" s="14"/>
      <c r="Z475" s="11"/>
      <c r="AA475" s="15"/>
      <c r="AB475" s="15"/>
      <c r="AC475" s="15"/>
      <c r="AD475" s="16"/>
      <c r="AE475" s="16"/>
      <c r="AF475" s="16"/>
      <c r="AG475" s="16"/>
      <c r="AH475" s="16"/>
      <c r="AI475" s="16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16"/>
      <c r="AU475" s="17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</row>
    <row r="476" spans="1:96" ht="12" customHeight="1" x14ac:dyDescent="0.25">
      <c r="A476" s="3"/>
      <c r="B476" s="14"/>
      <c r="C476" s="14"/>
      <c r="D476" s="14"/>
      <c r="E476" s="14"/>
      <c r="K476" s="14"/>
      <c r="M476" s="14"/>
      <c r="N476" s="14"/>
      <c r="Z476" s="11"/>
      <c r="AA476" s="15"/>
      <c r="AB476" s="15"/>
      <c r="AC476" s="15"/>
      <c r="AD476" s="16"/>
      <c r="AE476" s="16"/>
      <c r="AF476" s="16"/>
      <c r="AG476" s="16"/>
      <c r="AH476" s="16"/>
      <c r="AI476" s="16"/>
      <c r="AJ476" s="3"/>
      <c r="AK476" s="3"/>
      <c r="AL476" s="3"/>
      <c r="AM476" s="3"/>
      <c r="AN476" s="3"/>
      <c r="AO476" s="3"/>
      <c r="AP476" s="3"/>
      <c r="AQ476" s="3"/>
      <c r="AR476" s="3"/>
      <c r="AS476" s="3"/>
      <c r="AT476" s="16"/>
      <c r="AU476" s="17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</row>
    <row r="477" spans="1:96" ht="12" customHeight="1" x14ac:dyDescent="0.25">
      <c r="A477" s="3"/>
      <c r="B477" s="14"/>
      <c r="C477" s="14"/>
      <c r="D477" s="14"/>
      <c r="E477" s="14"/>
      <c r="K477" s="14"/>
      <c r="M477" s="14"/>
      <c r="N477" s="14"/>
      <c r="Z477" s="11"/>
      <c r="AA477" s="15"/>
      <c r="AB477" s="15"/>
      <c r="AC477" s="15"/>
      <c r="AD477" s="16"/>
      <c r="AE477" s="16"/>
      <c r="AF477" s="16"/>
      <c r="AG477" s="16"/>
      <c r="AH477" s="16"/>
      <c r="AI477" s="16"/>
      <c r="AJ477" s="3"/>
      <c r="AK477" s="3"/>
      <c r="AL477" s="3"/>
      <c r="AM477" s="3"/>
      <c r="AN477" s="3"/>
      <c r="AO477" s="3"/>
      <c r="AP477" s="3"/>
      <c r="AQ477" s="3"/>
      <c r="AR477" s="3"/>
      <c r="AS477" s="3"/>
      <c r="AT477" s="16"/>
      <c r="AU477" s="17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</row>
    <row r="478" spans="1:96" ht="12" customHeight="1" x14ac:dyDescent="0.25">
      <c r="A478" s="3"/>
      <c r="B478" s="14"/>
      <c r="C478" s="14"/>
      <c r="D478" s="14"/>
      <c r="E478" s="14"/>
      <c r="K478" s="14"/>
      <c r="M478" s="14"/>
      <c r="N478" s="14"/>
      <c r="Z478" s="11"/>
      <c r="AA478" s="15"/>
      <c r="AB478" s="15"/>
      <c r="AC478" s="15"/>
      <c r="AD478" s="16"/>
      <c r="AE478" s="16"/>
      <c r="AF478" s="16"/>
      <c r="AG478" s="16"/>
      <c r="AH478" s="16"/>
      <c r="AI478" s="16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16"/>
      <c r="AU478" s="17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</row>
    <row r="479" spans="1:96" ht="12" customHeight="1" x14ac:dyDescent="0.25">
      <c r="A479" s="3"/>
      <c r="B479" s="14"/>
      <c r="C479" s="14"/>
      <c r="D479" s="14"/>
      <c r="E479" s="14"/>
      <c r="K479" s="14"/>
      <c r="M479" s="14"/>
      <c r="N479" s="14"/>
      <c r="Z479" s="11"/>
      <c r="AA479" s="15"/>
      <c r="AB479" s="15"/>
      <c r="AC479" s="15"/>
      <c r="AD479" s="16"/>
      <c r="AE479" s="16"/>
      <c r="AF479" s="16"/>
      <c r="AG479" s="16"/>
      <c r="AH479" s="16"/>
      <c r="AI479" s="16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16"/>
      <c r="AU479" s="17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</row>
    <row r="480" spans="1:96" ht="12" customHeight="1" x14ac:dyDescent="0.25">
      <c r="A480" s="3"/>
      <c r="B480" s="14"/>
      <c r="C480" s="14"/>
      <c r="D480" s="14"/>
      <c r="E480" s="14"/>
      <c r="K480" s="14"/>
      <c r="M480" s="14"/>
      <c r="N480" s="14"/>
      <c r="Z480" s="11"/>
      <c r="AA480" s="15"/>
      <c r="AB480" s="15"/>
      <c r="AC480" s="15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U480" s="17"/>
    </row>
    <row r="481" spans="1:47" ht="12" customHeight="1" x14ac:dyDescent="0.25">
      <c r="A481" s="3"/>
      <c r="B481" s="14"/>
      <c r="C481" s="14"/>
      <c r="D481" s="14"/>
      <c r="E481" s="14"/>
      <c r="K481" s="14"/>
      <c r="M481" s="14"/>
      <c r="N481" s="14"/>
      <c r="Z481" s="11"/>
      <c r="AA481" s="15"/>
      <c r="AB481" s="15"/>
      <c r="AC481" s="15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U481" s="17"/>
    </row>
    <row r="482" spans="1:47" ht="12" customHeight="1" x14ac:dyDescent="0.25">
      <c r="A482" s="3"/>
      <c r="B482" s="14"/>
      <c r="C482" s="14"/>
      <c r="D482" s="14"/>
      <c r="E482" s="14"/>
      <c r="K482" s="14"/>
      <c r="M482" s="14"/>
      <c r="N482" s="14"/>
      <c r="Z482" s="11"/>
      <c r="AA482" s="15"/>
      <c r="AB482" s="15"/>
      <c r="AC482" s="15"/>
      <c r="AU482" s="17"/>
    </row>
    <row r="483" spans="1:47" ht="12" customHeight="1" x14ac:dyDescent="0.25">
      <c r="A483" s="3"/>
      <c r="B483" s="14"/>
      <c r="C483" s="14"/>
      <c r="D483" s="14"/>
      <c r="E483" s="14"/>
      <c r="K483" s="14"/>
      <c r="M483" s="14"/>
      <c r="N483" s="14"/>
      <c r="Z483" s="11"/>
      <c r="AA483" s="15"/>
      <c r="AB483" s="15"/>
      <c r="AC483" s="15"/>
      <c r="AU483" s="17"/>
    </row>
    <row r="484" spans="1:47" ht="12" customHeight="1" x14ac:dyDescent="0.25">
      <c r="A484" s="3"/>
      <c r="B484" s="14"/>
      <c r="C484" s="14"/>
      <c r="D484" s="14"/>
      <c r="E484" s="14"/>
      <c r="K484" s="14"/>
      <c r="M484" s="14"/>
      <c r="N484" s="14"/>
      <c r="Z484" s="11"/>
      <c r="AA484" s="15"/>
      <c r="AB484" s="15"/>
      <c r="AC484" s="15"/>
      <c r="AU484" s="17"/>
    </row>
    <row r="485" spans="1:47" ht="12" customHeight="1" x14ac:dyDescent="0.25">
      <c r="A485" s="3"/>
      <c r="B485" s="14"/>
      <c r="C485" s="14"/>
      <c r="D485" s="14"/>
      <c r="E485" s="14"/>
      <c r="K485" s="14"/>
      <c r="M485" s="14"/>
      <c r="N485" s="14"/>
      <c r="Z485" s="11"/>
      <c r="AA485" s="15"/>
      <c r="AB485" s="15"/>
      <c r="AC485" s="15"/>
      <c r="AU485" s="17"/>
    </row>
    <row r="486" spans="1:47" ht="12" customHeight="1" x14ac:dyDescent="0.25">
      <c r="A486" s="3"/>
      <c r="B486" s="14"/>
      <c r="C486" s="14"/>
      <c r="D486" s="14"/>
      <c r="E486" s="14"/>
      <c r="K486" s="14"/>
      <c r="M486" s="14"/>
      <c r="N486" s="14"/>
      <c r="Z486" s="11"/>
      <c r="AA486" s="15"/>
      <c r="AB486" s="15"/>
      <c r="AC486" s="15"/>
      <c r="AU486" s="17"/>
    </row>
    <row r="487" spans="1:47" ht="12" customHeight="1" x14ac:dyDescent="0.25">
      <c r="A487" s="3"/>
      <c r="B487" s="14"/>
      <c r="C487" s="14"/>
      <c r="D487" s="14"/>
      <c r="E487" s="14"/>
      <c r="K487" s="14"/>
      <c r="M487" s="14"/>
      <c r="N487" s="14"/>
      <c r="Z487" s="11"/>
      <c r="AA487" s="15"/>
      <c r="AB487" s="15"/>
      <c r="AC487" s="15"/>
      <c r="AU487" s="17"/>
    </row>
    <row r="488" spans="1:47" ht="12" customHeight="1" x14ac:dyDescent="0.25">
      <c r="A488" s="3"/>
      <c r="B488" s="14"/>
      <c r="C488" s="14"/>
      <c r="D488" s="14"/>
      <c r="E488" s="14"/>
      <c r="K488" s="14"/>
      <c r="M488" s="14"/>
      <c r="N488" s="14"/>
      <c r="Z488" s="11"/>
      <c r="AA488" s="15"/>
      <c r="AB488" s="15"/>
      <c r="AC488" s="15"/>
      <c r="AU488" s="17"/>
    </row>
    <row r="489" spans="1:47" ht="12" customHeight="1" x14ac:dyDescent="0.25">
      <c r="A489" s="3"/>
      <c r="B489" s="14"/>
      <c r="C489" s="14"/>
      <c r="D489" s="14"/>
      <c r="E489" s="14"/>
      <c r="K489" s="14"/>
      <c r="M489" s="14"/>
      <c r="N489" s="14"/>
      <c r="Z489" s="11"/>
      <c r="AA489" s="15"/>
      <c r="AB489" s="15"/>
      <c r="AC489" s="15"/>
      <c r="AU489" s="17"/>
    </row>
    <row r="490" spans="1:47" ht="12" customHeight="1" x14ac:dyDescent="0.25">
      <c r="A490" s="3"/>
      <c r="B490" s="14"/>
      <c r="C490" s="14"/>
      <c r="D490" s="14"/>
      <c r="E490" s="14"/>
      <c r="K490" s="14"/>
      <c r="M490" s="14"/>
      <c r="N490" s="14"/>
      <c r="Z490" s="11"/>
      <c r="AA490" s="15"/>
      <c r="AB490" s="15"/>
      <c r="AC490" s="15"/>
      <c r="AU490" s="17"/>
    </row>
    <row r="491" spans="1:47" ht="12" customHeight="1" x14ac:dyDescent="0.25">
      <c r="A491" s="3"/>
      <c r="B491" s="14"/>
      <c r="C491" s="14"/>
      <c r="D491" s="14"/>
      <c r="E491" s="14"/>
      <c r="K491" s="14"/>
      <c r="M491" s="14"/>
      <c r="N491" s="14"/>
      <c r="Z491" s="11"/>
      <c r="AA491" s="15"/>
      <c r="AB491" s="15"/>
      <c r="AC491" s="15"/>
      <c r="AU491" s="17"/>
    </row>
    <row r="492" spans="1:47" ht="12" customHeight="1" x14ac:dyDescent="0.25">
      <c r="A492" s="3"/>
      <c r="B492" s="14"/>
      <c r="C492" s="14"/>
      <c r="D492" s="14"/>
      <c r="E492" s="14"/>
      <c r="K492" s="14"/>
      <c r="M492" s="14"/>
      <c r="N492" s="14"/>
      <c r="Z492" s="11"/>
      <c r="AA492" s="15"/>
      <c r="AB492" s="15"/>
      <c r="AC492" s="15"/>
      <c r="AU492" s="17"/>
    </row>
    <row r="493" spans="1:47" ht="12" customHeight="1" x14ac:dyDescent="0.25">
      <c r="A493" s="3"/>
      <c r="B493" s="14"/>
      <c r="C493" s="14"/>
      <c r="D493" s="14"/>
      <c r="E493" s="14"/>
      <c r="K493" s="14"/>
      <c r="M493" s="14"/>
      <c r="N493" s="14"/>
      <c r="Z493" s="11"/>
      <c r="AA493" s="15"/>
      <c r="AB493" s="15"/>
      <c r="AC493" s="15"/>
      <c r="AU493" s="17"/>
    </row>
    <row r="494" spans="1:47" ht="12" customHeight="1" x14ac:dyDescent="0.25">
      <c r="A494" s="3"/>
      <c r="B494" s="14"/>
      <c r="C494" s="14"/>
      <c r="D494" s="14"/>
      <c r="E494" s="14"/>
      <c r="K494" s="14"/>
      <c r="M494" s="14"/>
      <c r="N494" s="14"/>
      <c r="Z494" s="11"/>
      <c r="AA494" s="15"/>
      <c r="AB494" s="15"/>
      <c r="AC494" s="15"/>
      <c r="AU494" s="17"/>
    </row>
    <row r="495" spans="1:47" ht="12" customHeight="1" x14ac:dyDescent="0.25">
      <c r="A495" s="3"/>
      <c r="B495" s="14"/>
      <c r="C495" s="14"/>
      <c r="D495" s="14"/>
      <c r="E495" s="14"/>
      <c r="K495" s="14"/>
      <c r="M495" s="14"/>
      <c r="N495" s="14"/>
      <c r="Z495" s="11"/>
      <c r="AA495" s="15"/>
      <c r="AB495" s="15"/>
      <c r="AC495" s="15"/>
      <c r="AU495" s="17"/>
    </row>
    <row r="496" spans="1:47" ht="12" customHeight="1" x14ac:dyDescent="0.25">
      <c r="A496" s="3"/>
      <c r="B496" s="14"/>
      <c r="C496" s="14"/>
      <c r="D496" s="14"/>
      <c r="E496" s="14"/>
      <c r="K496" s="14"/>
      <c r="M496" s="14"/>
      <c r="N496" s="14"/>
      <c r="Z496" s="11"/>
      <c r="AA496" s="15"/>
      <c r="AB496" s="15"/>
      <c r="AC496" s="15"/>
      <c r="AU496" s="17"/>
    </row>
    <row r="497" spans="1:47" ht="12" customHeight="1" x14ac:dyDescent="0.25">
      <c r="A497" s="3"/>
      <c r="B497" s="14"/>
      <c r="C497" s="14"/>
      <c r="D497" s="14"/>
      <c r="E497" s="14"/>
      <c r="K497" s="14"/>
      <c r="M497" s="14"/>
      <c r="N497" s="14"/>
      <c r="Z497" s="11"/>
      <c r="AA497" s="15"/>
      <c r="AB497" s="15"/>
      <c r="AC497" s="15"/>
      <c r="AU497" s="17"/>
    </row>
    <row r="498" spans="1:47" ht="12" customHeight="1" x14ac:dyDescent="0.25">
      <c r="A498" s="3"/>
      <c r="B498" s="14"/>
      <c r="C498" s="14"/>
      <c r="D498" s="14"/>
      <c r="E498" s="14"/>
      <c r="K498" s="14"/>
      <c r="M498" s="14"/>
      <c r="N498" s="14"/>
      <c r="Z498" s="11"/>
      <c r="AA498" s="15"/>
      <c r="AB498" s="15"/>
      <c r="AC498" s="15"/>
      <c r="AU498" s="17"/>
    </row>
    <row r="499" spans="1:47" ht="12" customHeight="1" x14ac:dyDescent="0.25">
      <c r="A499" s="3"/>
      <c r="B499" s="14"/>
      <c r="C499" s="14"/>
      <c r="D499" s="14"/>
      <c r="E499" s="14"/>
      <c r="K499" s="14"/>
      <c r="M499" s="14"/>
      <c r="N499" s="14"/>
      <c r="Z499" s="11"/>
      <c r="AA499" s="15"/>
      <c r="AB499" s="15"/>
      <c r="AC499" s="15"/>
      <c r="AU499" s="17"/>
    </row>
    <row r="500" spans="1:47" ht="12" customHeight="1" x14ac:dyDescent="0.25">
      <c r="A500" s="3"/>
      <c r="B500" s="14"/>
      <c r="C500" s="14"/>
      <c r="D500" s="14"/>
      <c r="E500" s="14"/>
      <c r="K500" s="14"/>
      <c r="M500" s="14"/>
      <c r="N500" s="14"/>
      <c r="Z500" s="11"/>
      <c r="AA500" s="15"/>
      <c r="AB500" s="15"/>
      <c r="AC500" s="15"/>
      <c r="AU500" s="17"/>
    </row>
    <row r="501" spans="1:47" ht="12" customHeight="1" x14ac:dyDescent="0.25">
      <c r="A501" s="3"/>
      <c r="B501" s="14"/>
      <c r="C501" s="14"/>
      <c r="D501" s="14"/>
      <c r="E501" s="14"/>
      <c r="K501" s="14"/>
      <c r="M501" s="14"/>
      <c r="N501" s="14"/>
      <c r="Z501" s="11"/>
      <c r="AA501" s="15"/>
      <c r="AB501" s="15"/>
      <c r="AC501" s="15"/>
      <c r="AU501" s="17"/>
    </row>
    <row r="502" spans="1:47" ht="12" customHeight="1" x14ac:dyDescent="0.25">
      <c r="A502" s="3"/>
      <c r="B502" s="14"/>
      <c r="C502" s="14"/>
      <c r="D502" s="14"/>
      <c r="E502" s="14"/>
      <c r="K502" s="14"/>
      <c r="M502" s="14"/>
      <c r="N502" s="14"/>
      <c r="Z502" s="11"/>
      <c r="AA502" s="15"/>
      <c r="AB502" s="15"/>
      <c r="AC502" s="15"/>
      <c r="AU502" s="17"/>
    </row>
    <row r="503" spans="1:47" ht="12" customHeight="1" x14ac:dyDescent="0.25">
      <c r="A503" s="3"/>
      <c r="B503" s="14"/>
      <c r="C503" s="14"/>
      <c r="D503" s="14"/>
      <c r="E503" s="14"/>
      <c r="K503" s="14"/>
      <c r="M503" s="14"/>
      <c r="N503" s="14"/>
      <c r="Z503" s="11"/>
      <c r="AA503" s="15"/>
      <c r="AB503" s="15"/>
      <c r="AC503" s="15"/>
      <c r="AU503" s="17"/>
    </row>
    <row r="504" spans="1:47" ht="12" customHeight="1" x14ac:dyDescent="0.25">
      <c r="A504" s="3"/>
      <c r="B504" s="14"/>
      <c r="C504" s="14"/>
      <c r="D504" s="14"/>
      <c r="E504" s="14"/>
      <c r="K504" s="14"/>
      <c r="M504" s="14"/>
      <c r="N504" s="14"/>
      <c r="Z504" s="11"/>
      <c r="AA504" s="15"/>
      <c r="AB504" s="15"/>
      <c r="AC504" s="15"/>
      <c r="AU504" s="17"/>
    </row>
    <row r="505" spans="1:47" ht="12" customHeight="1" x14ac:dyDescent="0.25">
      <c r="A505" s="3"/>
      <c r="B505" s="14"/>
      <c r="C505" s="14"/>
      <c r="D505" s="14"/>
      <c r="E505" s="14"/>
      <c r="K505" s="14"/>
      <c r="M505" s="14"/>
      <c r="N505" s="14"/>
      <c r="Z505" s="11"/>
      <c r="AA505" s="15"/>
      <c r="AB505" s="15"/>
      <c r="AC505" s="15"/>
      <c r="AU505" s="17"/>
    </row>
    <row r="506" spans="1:47" ht="12" customHeight="1" x14ac:dyDescent="0.25">
      <c r="A506" s="3"/>
      <c r="B506" s="14"/>
      <c r="C506" s="14"/>
      <c r="D506" s="14"/>
      <c r="E506" s="14"/>
      <c r="K506" s="14"/>
      <c r="M506" s="14"/>
      <c r="N506" s="14"/>
      <c r="Z506" s="11"/>
      <c r="AA506" s="15"/>
      <c r="AB506" s="15"/>
      <c r="AC506" s="15"/>
      <c r="AU506" s="17"/>
    </row>
    <row r="507" spans="1:47" ht="12" customHeight="1" x14ac:dyDescent="0.25">
      <c r="A507" s="3"/>
      <c r="B507" s="14"/>
      <c r="C507" s="14"/>
      <c r="D507" s="14"/>
      <c r="E507" s="14"/>
      <c r="K507" s="14"/>
      <c r="M507" s="14"/>
      <c r="N507" s="14"/>
      <c r="Z507" s="11"/>
      <c r="AA507" s="15"/>
      <c r="AB507" s="15"/>
      <c r="AC507" s="15"/>
      <c r="AU507" s="17"/>
    </row>
    <row r="508" spans="1:47" ht="12" customHeight="1" x14ac:dyDescent="0.25">
      <c r="A508" s="3"/>
      <c r="B508" s="14"/>
      <c r="C508" s="14"/>
      <c r="D508" s="14"/>
      <c r="E508" s="14"/>
      <c r="K508" s="14"/>
      <c r="M508" s="14"/>
      <c r="N508" s="14"/>
      <c r="Z508" s="11"/>
      <c r="AA508" s="15"/>
      <c r="AB508" s="15"/>
      <c r="AC508" s="15"/>
      <c r="AU508" s="17"/>
    </row>
    <row r="509" spans="1:47" ht="12" customHeight="1" x14ac:dyDescent="0.25">
      <c r="A509" s="3"/>
      <c r="B509" s="14"/>
      <c r="C509" s="14"/>
      <c r="D509" s="14"/>
      <c r="E509" s="14"/>
      <c r="K509" s="14"/>
      <c r="M509" s="14"/>
      <c r="N509" s="14"/>
      <c r="Z509" s="11"/>
      <c r="AA509" s="15"/>
      <c r="AB509" s="15"/>
      <c r="AC509" s="15"/>
      <c r="AU509" s="17"/>
    </row>
    <row r="510" spans="1:47" ht="12" customHeight="1" x14ac:dyDescent="0.25">
      <c r="A510" s="3"/>
      <c r="B510" s="14"/>
      <c r="C510" s="14"/>
      <c r="D510" s="14"/>
      <c r="E510" s="14"/>
      <c r="K510" s="14"/>
      <c r="M510" s="14"/>
      <c r="N510" s="14"/>
      <c r="Z510" s="11"/>
      <c r="AA510" s="15"/>
      <c r="AB510" s="15"/>
      <c r="AC510" s="15"/>
      <c r="AU510" s="17"/>
    </row>
    <row r="511" spans="1:47" ht="12" customHeight="1" x14ac:dyDescent="0.25">
      <c r="A511" s="3"/>
      <c r="B511" s="14"/>
      <c r="C511" s="14"/>
      <c r="D511" s="14"/>
      <c r="E511" s="14"/>
      <c r="K511" s="14"/>
      <c r="M511" s="14"/>
      <c r="N511" s="14"/>
      <c r="Z511" s="11"/>
      <c r="AA511" s="15"/>
      <c r="AB511" s="15"/>
      <c r="AC511" s="15"/>
      <c r="AU511" s="17"/>
    </row>
    <row r="512" spans="1:47" ht="12" customHeight="1" x14ac:dyDescent="0.25">
      <c r="A512" s="3"/>
      <c r="B512" s="14"/>
      <c r="C512" s="14"/>
      <c r="D512" s="14"/>
      <c r="E512" s="14"/>
      <c r="K512" s="14"/>
      <c r="M512" s="14"/>
      <c r="N512" s="14"/>
      <c r="Z512" s="11"/>
      <c r="AA512" s="15"/>
      <c r="AB512" s="15"/>
      <c r="AC512" s="15"/>
      <c r="AU512" s="17"/>
    </row>
    <row r="513" spans="1:47" ht="12" customHeight="1" x14ac:dyDescent="0.25">
      <c r="A513" s="3"/>
      <c r="B513" s="14"/>
      <c r="C513" s="14"/>
      <c r="D513" s="14"/>
      <c r="E513" s="14"/>
      <c r="K513" s="14"/>
      <c r="M513" s="14"/>
      <c r="N513" s="14"/>
      <c r="Z513" s="11"/>
      <c r="AA513" s="15"/>
      <c r="AB513" s="15"/>
      <c r="AC513" s="15"/>
      <c r="AU513" s="17"/>
    </row>
    <row r="514" spans="1:47" ht="12" customHeight="1" x14ac:dyDescent="0.25">
      <c r="A514" s="3"/>
      <c r="B514" s="14"/>
      <c r="C514" s="14"/>
      <c r="D514" s="14"/>
      <c r="E514" s="14"/>
      <c r="K514" s="14"/>
      <c r="M514" s="14"/>
      <c r="N514" s="14"/>
      <c r="Z514" s="11"/>
      <c r="AA514" s="15"/>
      <c r="AB514" s="15"/>
      <c r="AC514" s="15"/>
      <c r="AU514" s="17"/>
    </row>
    <row r="515" spans="1:47" ht="12" customHeight="1" x14ac:dyDescent="0.25">
      <c r="A515" s="3"/>
      <c r="B515" s="14"/>
      <c r="C515" s="14"/>
      <c r="D515" s="14"/>
      <c r="E515" s="14"/>
      <c r="K515" s="14"/>
      <c r="M515" s="14"/>
      <c r="N515" s="14"/>
      <c r="Z515" s="11"/>
      <c r="AA515" s="15"/>
      <c r="AB515" s="15"/>
      <c r="AC515" s="15"/>
      <c r="AU515" s="17"/>
    </row>
    <row r="516" spans="1:47" ht="12" customHeight="1" x14ac:dyDescent="0.25">
      <c r="A516" s="3"/>
      <c r="B516" s="14"/>
      <c r="C516" s="14"/>
      <c r="D516" s="14"/>
      <c r="E516" s="14"/>
      <c r="K516" s="14"/>
      <c r="M516" s="14"/>
      <c r="N516" s="14"/>
      <c r="Z516" s="11"/>
      <c r="AA516" s="15"/>
      <c r="AB516" s="15"/>
      <c r="AC516" s="15"/>
      <c r="AU516" s="17"/>
    </row>
    <row r="517" spans="1:47" ht="12" customHeight="1" x14ac:dyDescent="0.25">
      <c r="A517" s="3"/>
      <c r="B517" s="14"/>
      <c r="C517" s="14"/>
      <c r="D517" s="14"/>
      <c r="E517" s="14"/>
      <c r="K517" s="14"/>
      <c r="M517" s="14"/>
      <c r="N517" s="14"/>
      <c r="Z517" s="11"/>
      <c r="AA517" s="15"/>
      <c r="AB517" s="15"/>
      <c r="AC517" s="15"/>
      <c r="AU517" s="17"/>
    </row>
    <row r="518" spans="1:47" ht="12" customHeight="1" x14ac:dyDescent="0.25">
      <c r="A518" s="3"/>
      <c r="B518" s="14"/>
      <c r="C518" s="14"/>
      <c r="D518" s="14"/>
      <c r="E518" s="14"/>
      <c r="K518" s="14"/>
      <c r="M518" s="14"/>
      <c r="N518" s="14"/>
      <c r="Z518" s="11"/>
      <c r="AA518" s="15"/>
      <c r="AB518" s="15"/>
      <c r="AC518" s="15"/>
      <c r="AU518" s="17"/>
    </row>
    <row r="519" spans="1:47" ht="12" customHeight="1" x14ac:dyDescent="0.25">
      <c r="A519" s="3"/>
      <c r="B519" s="14"/>
      <c r="C519" s="14"/>
      <c r="D519" s="14"/>
      <c r="E519" s="14"/>
      <c r="K519" s="14"/>
      <c r="M519" s="14"/>
      <c r="N519" s="14"/>
      <c r="Z519" s="11"/>
      <c r="AA519" s="15"/>
      <c r="AB519" s="15"/>
      <c r="AC519" s="15"/>
      <c r="AU519" s="17"/>
    </row>
    <row r="520" spans="1:47" ht="12" customHeight="1" x14ac:dyDescent="0.25">
      <c r="A520" s="3"/>
      <c r="B520" s="14"/>
      <c r="C520" s="14"/>
      <c r="D520" s="14"/>
      <c r="E520" s="14"/>
      <c r="K520" s="14"/>
      <c r="M520" s="14"/>
      <c r="N520" s="14"/>
      <c r="Z520" s="11"/>
      <c r="AA520" s="15"/>
      <c r="AB520" s="15"/>
      <c r="AC520" s="15"/>
      <c r="AU520" s="17"/>
    </row>
    <row r="521" spans="1:47" ht="12" customHeight="1" x14ac:dyDescent="0.25">
      <c r="A521" s="3"/>
      <c r="B521" s="14"/>
      <c r="C521" s="14"/>
      <c r="D521" s="14"/>
      <c r="E521" s="14"/>
      <c r="K521" s="14"/>
      <c r="M521" s="14"/>
      <c r="N521" s="14"/>
      <c r="Z521" s="11"/>
      <c r="AA521" s="15"/>
      <c r="AB521" s="15"/>
      <c r="AC521" s="15"/>
      <c r="AU521" s="17"/>
    </row>
    <row r="522" spans="1:47" ht="12" customHeight="1" x14ac:dyDescent="0.25">
      <c r="A522" s="3"/>
      <c r="B522" s="14"/>
      <c r="C522" s="14"/>
      <c r="D522" s="14"/>
      <c r="E522" s="14"/>
      <c r="K522" s="14"/>
      <c r="M522" s="14"/>
      <c r="N522" s="14"/>
      <c r="Z522" s="11"/>
      <c r="AA522" s="15"/>
      <c r="AB522" s="15"/>
      <c r="AC522" s="15"/>
      <c r="AU522" s="17"/>
    </row>
    <row r="523" spans="1:47" ht="12" customHeight="1" x14ac:dyDescent="0.25">
      <c r="A523" s="3"/>
      <c r="B523" s="14"/>
      <c r="C523" s="14"/>
      <c r="D523" s="14"/>
      <c r="E523" s="14"/>
      <c r="K523" s="14"/>
      <c r="M523" s="14"/>
      <c r="N523" s="14"/>
      <c r="Z523" s="11"/>
      <c r="AA523" s="15"/>
      <c r="AB523" s="15"/>
      <c r="AC523" s="15"/>
      <c r="AU523" s="17"/>
    </row>
    <row r="524" spans="1:47" ht="12" customHeight="1" x14ac:dyDescent="0.25">
      <c r="A524" s="3"/>
      <c r="B524" s="14"/>
      <c r="C524" s="14"/>
      <c r="D524" s="14"/>
      <c r="E524" s="14"/>
      <c r="K524" s="14"/>
      <c r="M524" s="14"/>
      <c r="N524" s="14"/>
      <c r="Z524" s="11"/>
      <c r="AA524" s="15"/>
      <c r="AB524" s="15"/>
      <c r="AC524" s="15"/>
      <c r="AU524" s="17"/>
    </row>
    <row r="525" spans="1:47" ht="12" customHeight="1" x14ac:dyDescent="0.25">
      <c r="A525" s="3"/>
      <c r="B525" s="14"/>
      <c r="C525" s="14"/>
      <c r="D525" s="14"/>
      <c r="E525" s="14"/>
      <c r="K525" s="14"/>
      <c r="M525" s="14"/>
      <c r="N525" s="14"/>
      <c r="Z525" s="11"/>
      <c r="AA525" s="15"/>
      <c r="AB525" s="15"/>
      <c r="AC525" s="15"/>
      <c r="AU525" s="17"/>
    </row>
    <row r="526" spans="1:47" ht="12" customHeight="1" x14ac:dyDescent="0.25">
      <c r="A526" s="3"/>
      <c r="B526" s="14"/>
      <c r="C526" s="14"/>
      <c r="D526" s="14"/>
      <c r="E526" s="14"/>
      <c r="K526" s="14"/>
      <c r="M526" s="14"/>
      <c r="N526" s="14"/>
      <c r="Z526" s="11"/>
      <c r="AA526" s="15"/>
      <c r="AB526" s="15"/>
      <c r="AC526" s="15"/>
      <c r="AU526" s="17"/>
    </row>
    <row r="527" spans="1:47" ht="12" customHeight="1" x14ac:dyDescent="0.25">
      <c r="A527" s="3"/>
      <c r="B527" s="14"/>
      <c r="C527" s="14"/>
      <c r="D527" s="14"/>
      <c r="E527" s="14"/>
      <c r="K527" s="14"/>
      <c r="M527" s="14"/>
      <c r="N527" s="14"/>
      <c r="Z527" s="11"/>
      <c r="AA527" s="15"/>
      <c r="AB527" s="15"/>
      <c r="AC527" s="15"/>
      <c r="AU527" s="17"/>
    </row>
    <row r="528" spans="1:47" ht="12" customHeight="1" x14ac:dyDescent="0.25">
      <c r="A528" s="3"/>
      <c r="B528" s="14"/>
      <c r="C528" s="14"/>
      <c r="D528" s="14"/>
      <c r="E528" s="14"/>
      <c r="K528" s="14"/>
      <c r="M528" s="14"/>
      <c r="N528" s="14"/>
      <c r="Z528" s="11"/>
      <c r="AA528" s="15"/>
      <c r="AB528" s="15"/>
      <c r="AC528" s="15"/>
      <c r="AU528" s="17"/>
    </row>
    <row r="529" spans="1:47" ht="12" customHeight="1" x14ac:dyDescent="0.25">
      <c r="A529" s="3"/>
      <c r="B529" s="14"/>
      <c r="C529" s="14"/>
      <c r="D529" s="14"/>
      <c r="E529" s="14"/>
      <c r="K529" s="14"/>
      <c r="M529" s="14"/>
      <c r="N529" s="14"/>
      <c r="Z529" s="11"/>
      <c r="AA529" s="15"/>
      <c r="AB529" s="15"/>
      <c r="AC529" s="15"/>
      <c r="AU529" s="17"/>
    </row>
    <row r="530" spans="1:47" ht="12" customHeight="1" x14ac:dyDescent="0.25">
      <c r="A530" s="3"/>
      <c r="B530" s="14"/>
      <c r="C530" s="14"/>
      <c r="D530" s="14"/>
      <c r="E530" s="14"/>
      <c r="K530" s="14"/>
      <c r="M530" s="14"/>
      <c r="N530" s="14"/>
      <c r="Z530" s="11"/>
      <c r="AA530" s="15"/>
      <c r="AB530" s="15"/>
      <c r="AC530" s="15"/>
      <c r="AU530" s="17"/>
    </row>
    <row r="531" spans="1:47" ht="12" customHeight="1" x14ac:dyDescent="0.25">
      <c r="A531" s="3"/>
      <c r="B531" s="14"/>
      <c r="C531" s="14"/>
      <c r="D531" s="14"/>
      <c r="E531" s="14"/>
      <c r="K531" s="14"/>
      <c r="M531" s="14"/>
      <c r="N531" s="14"/>
      <c r="Z531" s="11"/>
      <c r="AA531" s="15"/>
      <c r="AB531" s="15"/>
      <c r="AC531" s="15"/>
      <c r="AU531" s="17"/>
    </row>
    <row r="532" spans="1:47" ht="12" customHeight="1" x14ac:dyDescent="0.25">
      <c r="A532" s="3"/>
      <c r="B532" s="14"/>
      <c r="C532" s="14"/>
      <c r="D532" s="14"/>
      <c r="E532" s="14"/>
      <c r="K532" s="14"/>
      <c r="M532" s="14"/>
      <c r="N532" s="14"/>
      <c r="Z532" s="11"/>
      <c r="AA532" s="15"/>
      <c r="AB532" s="15"/>
      <c r="AC532" s="15"/>
      <c r="AU532" s="17"/>
    </row>
    <row r="533" spans="1:47" ht="12" customHeight="1" x14ac:dyDescent="0.25">
      <c r="A533" s="3"/>
      <c r="B533" s="14"/>
      <c r="C533" s="14"/>
      <c r="D533" s="14"/>
      <c r="E533" s="14"/>
      <c r="K533" s="14"/>
      <c r="M533" s="14"/>
      <c r="N533" s="14"/>
      <c r="Z533" s="11"/>
      <c r="AA533" s="15"/>
      <c r="AB533" s="15"/>
      <c r="AC533" s="15"/>
      <c r="AU533" s="17"/>
    </row>
    <row r="534" spans="1:47" ht="12" customHeight="1" x14ac:dyDescent="0.25">
      <c r="A534" s="3"/>
      <c r="B534" s="14"/>
      <c r="C534" s="14"/>
      <c r="D534" s="14"/>
      <c r="E534" s="14"/>
      <c r="K534" s="14"/>
      <c r="M534" s="14"/>
      <c r="N534" s="14"/>
      <c r="Z534" s="11"/>
      <c r="AA534" s="15"/>
      <c r="AB534" s="15"/>
      <c r="AC534" s="15"/>
      <c r="AU534" s="17"/>
    </row>
    <row r="535" spans="1:47" ht="12" customHeight="1" x14ac:dyDescent="0.25">
      <c r="A535" s="3"/>
      <c r="B535" s="14"/>
      <c r="C535" s="14"/>
      <c r="D535" s="14"/>
      <c r="E535" s="14"/>
      <c r="K535" s="14"/>
      <c r="M535" s="14"/>
      <c r="N535" s="14"/>
      <c r="Z535" s="11"/>
      <c r="AA535" s="15"/>
      <c r="AB535" s="15"/>
      <c r="AC535" s="15"/>
      <c r="AU535" s="17"/>
    </row>
    <row r="536" spans="1:47" ht="12" customHeight="1" x14ac:dyDescent="0.25">
      <c r="A536" s="3"/>
      <c r="B536" s="14"/>
      <c r="C536" s="14"/>
      <c r="D536" s="14"/>
      <c r="E536" s="14"/>
      <c r="K536" s="14"/>
      <c r="M536" s="14"/>
      <c r="N536" s="14"/>
      <c r="Z536" s="11"/>
      <c r="AA536" s="15"/>
      <c r="AB536" s="15"/>
      <c r="AC536" s="15"/>
      <c r="AU536" s="17"/>
    </row>
    <row r="537" spans="1:47" ht="12" customHeight="1" x14ac:dyDescent="0.25">
      <c r="A537" s="3"/>
      <c r="B537" s="14"/>
      <c r="C537" s="14"/>
      <c r="D537" s="14"/>
      <c r="E537" s="14"/>
      <c r="K537" s="14"/>
      <c r="M537" s="14"/>
      <c r="N537" s="14"/>
      <c r="Z537" s="11"/>
      <c r="AA537" s="15"/>
      <c r="AB537" s="15"/>
      <c r="AC537" s="15"/>
      <c r="AU537" s="17"/>
    </row>
    <row r="538" spans="1:47" ht="12" customHeight="1" x14ac:dyDescent="0.25">
      <c r="A538" s="3"/>
      <c r="B538" s="14"/>
      <c r="C538" s="14"/>
      <c r="D538" s="14"/>
      <c r="E538" s="14"/>
      <c r="K538" s="14"/>
      <c r="M538" s="14"/>
      <c r="N538" s="14"/>
      <c r="Z538" s="11"/>
      <c r="AA538" s="15"/>
      <c r="AB538" s="15"/>
      <c r="AC538" s="15"/>
      <c r="AU538" s="17"/>
    </row>
    <row r="539" spans="1:47" ht="12" customHeight="1" x14ac:dyDescent="0.25">
      <c r="A539" s="3"/>
      <c r="B539" s="14"/>
      <c r="C539" s="14"/>
      <c r="D539" s="14"/>
      <c r="E539" s="14"/>
      <c r="K539" s="14"/>
      <c r="M539" s="14"/>
      <c r="N539" s="14"/>
      <c r="Z539" s="11"/>
      <c r="AA539" s="15"/>
      <c r="AB539" s="15"/>
      <c r="AC539" s="15"/>
      <c r="AU539" s="17"/>
    </row>
    <row r="540" spans="1:47" ht="12" customHeight="1" x14ac:dyDescent="0.25">
      <c r="A540" s="3"/>
      <c r="B540" s="14"/>
      <c r="C540" s="14"/>
      <c r="D540" s="14"/>
      <c r="E540" s="14"/>
      <c r="K540" s="14"/>
      <c r="M540" s="14"/>
      <c r="N540" s="14"/>
      <c r="Z540" s="11"/>
      <c r="AA540" s="15"/>
      <c r="AB540" s="15"/>
      <c r="AC540" s="15"/>
      <c r="AU540" s="17"/>
    </row>
    <row r="541" spans="1:47" ht="12" customHeight="1" x14ac:dyDescent="0.25">
      <c r="A541" s="3"/>
      <c r="B541" s="14"/>
      <c r="C541" s="14"/>
      <c r="D541" s="14"/>
      <c r="E541" s="14"/>
      <c r="K541" s="14"/>
      <c r="M541" s="14"/>
      <c r="N541" s="14"/>
      <c r="Z541" s="11"/>
      <c r="AA541" s="15"/>
      <c r="AB541" s="15"/>
      <c r="AC541" s="15"/>
      <c r="AU541" s="17"/>
    </row>
    <row r="542" spans="1:47" ht="12" customHeight="1" x14ac:dyDescent="0.25">
      <c r="A542" s="3"/>
      <c r="B542" s="14"/>
      <c r="C542" s="14"/>
      <c r="D542" s="14"/>
      <c r="E542" s="14"/>
      <c r="K542" s="14"/>
      <c r="M542" s="14"/>
      <c r="N542" s="14"/>
      <c r="Z542" s="11"/>
      <c r="AA542" s="15"/>
      <c r="AB542" s="15"/>
      <c r="AC542" s="15"/>
      <c r="AU542" s="17"/>
    </row>
    <row r="543" spans="1:47" ht="12" customHeight="1" x14ac:dyDescent="0.25">
      <c r="A543" s="3"/>
      <c r="B543" s="14"/>
      <c r="C543" s="14"/>
      <c r="D543" s="14"/>
      <c r="E543" s="14"/>
      <c r="K543" s="14"/>
      <c r="M543" s="14"/>
      <c r="N543" s="14"/>
      <c r="Z543" s="11"/>
      <c r="AA543" s="15"/>
      <c r="AB543" s="15"/>
      <c r="AC543" s="15"/>
      <c r="AU543" s="17"/>
    </row>
    <row r="544" spans="1:47" ht="12" customHeight="1" x14ac:dyDescent="0.25">
      <c r="A544" s="3"/>
      <c r="B544" s="14"/>
      <c r="C544" s="14"/>
      <c r="D544" s="14"/>
      <c r="E544" s="14"/>
      <c r="K544" s="14"/>
      <c r="M544" s="14"/>
      <c r="N544" s="14"/>
      <c r="Z544" s="11"/>
      <c r="AA544" s="15"/>
      <c r="AB544" s="15"/>
      <c r="AC544" s="15"/>
      <c r="AU544" s="17"/>
    </row>
    <row r="545" spans="1:47" ht="12" customHeight="1" x14ac:dyDescent="0.25">
      <c r="A545" s="3"/>
      <c r="B545" s="14"/>
      <c r="C545" s="14"/>
      <c r="D545" s="14"/>
      <c r="E545" s="14"/>
      <c r="K545" s="14"/>
      <c r="M545" s="14"/>
      <c r="N545" s="14"/>
      <c r="Z545" s="11"/>
      <c r="AA545" s="15"/>
      <c r="AB545" s="15"/>
      <c r="AC545" s="15"/>
      <c r="AU545" s="17"/>
    </row>
    <row r="546" spans="1:47" ht="12" customHeight="1" x14ac:dyDescent="0.25">
      <c r="A546" s="3"/>
      <c r="B546" s="14"/>
      <c r="C546" s="14"/>
      <c r="D546" s="14"/>
      <c r="E546" s="14"/>
      <c r="K546" s="14"/>
      <c r="M546" s="14"/>
      <c r="N546" s="14"/>
      <c r="Z546" s="11"/>
      <c r="AA546" s="15"/>
      <c r="AB546" s="15"/>
      <c r="AC546" s="15"/>
      <c r="AU546" s="17"/>
    </row>
    <row r="547" spans="1:47" ht="12" customHeight="1" x14ac:dyDescent="0.25">
      <c r="A547" s="3"/>
      <c r="B547" s="14"/>
      <c r="C547" s="14"/>
      <c r="D547" s="14"/>
      <c r="E547" s="14"/>
      <c r="K547" s="14"/>
      <c r="M547" s="14"/>
      <c r="N547" s="14"/>
      <c r="Z547" s="11"/>
      <c r="AA547" s="15"/>
      <c r="AB547" s="15"/>
      <c r="AC547" s="15"/>
      <c r="AU547" s="17"/>
    </row>
    <row r="548" spans="1:47" ht="12" customHeight="1" x14ac:dyDescent="0.25">
      <c r="A548" s="3"/>
      <c r="B548" s="14"/>
      <c r="C548" s="14"/>
      <c r="D548" s="14"/>
      <c r="E548" s="14"/>
      <c r="K548" s="14"/>
      <c r="M548" s="14"/>
      <c r="N548" s="14"/>
      <c r="Z548" s="11"/>
      <c r="AA548" s="15"/>
      <c r="AB548" s="15"/>
      <c r="AC548" s="15"/>
      <c r="AU548" s="17"/>
    </row>
    <row r="549" spans="1:47" ht="12" customHeight="1" x14ac:dyDescent="0.25">
      <c r="A549" s="3"/>
      <c r="B549" s="14"/>
      <c r="C549" s="14"/>
      <c r="D549" s="14"/>
      <c r="E549" s="14"/>
      <c r="K549" s="14"/>
      <c r="M549" s="14"/>
      <c r="N549" s="14"/>
      <c r="Z549" s="11"/>
      <c r="AA549" s="15"/>
      <c r="AB549" s="15"/>
      <c r="AC549" s="15"/>
      <c r="AU549" s="17"/>
    </row>
    <row r="550" spans="1:47" ht="12" customHeight="1" x14ac:dyDescent="0.25">
      <c r="A550" s="3"/>
      <c r="B550" s="14"/>
      <c r="C550" s="14"/>
      <c r="D550" s="14"/>
      <c r="E550" s="14"/>
      <c r="K550" s="14"/>
      <c r="M550" s="14"/>
      <c r="N550" s="14"/>
      <c r="Z550" s="11"/>
      <c r="AA550" s="15"/>
      <c r="AB550" s="15"/>
      <c r="AC550" s="15"/>
      <c r="AU550" s="17"/>
    </row>
    <row r="551" spans="1:47" ht="12" customHeight="1" x14ac:dyDescent="0.25">
      <c r="A551" s="3"/>
      <c r="B551" s="14"/>
      <c r="C551" s="14"/>
      <c r="D551" s="14"/>
      <c r="E551" s="14"/>
      <c r="K551" s="14"/>
      <c r="M551" s="14"/>
      <c r="N551" s="14"/>
      <c r="Z551" s="11"/>
      <c r="AA551" s="15"/>
      <c r="AB551" s="15"/>
      <c r="AC551" s="15"/>
      <c r="AU551" s="17"/>
    </row>
    <row r="552" spans="1:47" ht="12" customHeight="1" x14ac:dyDescent="0.25">
      <c r="A552" s="3"/>
      <c r="B552" s="14"/>
      <c r="C552" s="14"/>
      <c r="D552" s="14"/>
      <c r="E552" s="14"/>
      <c r="K552" s="14"/>
      <c r="M552" s="14"/>
      <c r="N552" s="14"/>
      <c r="Z552" s="11"/>
      <c r="AA552" s="15"/>
      <c r="AB552" s="15"/>
      <c r="AC552" s="15"/>
      <c r="AU552" s="17"/>
    </row>
    <row r="553" spans="1:47" ht="12" customHeight="1" x14ac:dyDescent="0.25">
      <c r="A553" s="3"/>
      <c r="B553" s="14"/>
      <c r="C553" s="14"/>
      <c r="D553" s="14"/>
      <c r="E553" s="14"/>
      <c r="K553" s="14"/>
      <c r="M553" s="14"/>
      <c r="N553" s="14"/>
      <c r="Z553" s="11"/>
      <c r="AA553" s="15"/>
      <c r="AB553" s="15"/>
      <c r="AC553" s="15"/>
      <c r="AU553" s="17"/>
    </row>
    <row r="554" spans="1:47" ht="12" customHeight="1" x14ac:dyDescent="0.25">
      <c r="A554" s="3"/>
      <c r="B554" s="14"/>
      <c r="C554" s="14"/>
      <c r="D554" s="14"/>
      <c r="E554" s="14"/>
      <c r="K554" s="14"/>
      <c r="M554" s="14"/>
      <c r="N554" s="14"/>
      <c r="Z554" s="11"/>
      <c r="AA554" s="15"/>
      <c r="AB554" s="15"/>
      <c r="AC554" s="15"/>
      <c r="AU554" s="17"/>
    </row>
    <row r="555" spans="1:47" ht="12" customHeight="1" x14ac:dyDescent="0.25">
      <c r="A555" s="3"/>
      <c r="B555" s="14"/>
      <c r="C555" s="14"/>
      <c r="D555" s="14"/>
      <c r="E555" s="14"/>
      <c r="K555" s="14"/>
      <c r="M555" s="14"/>
      <c r="N555" s="14"/>
      <c r="Z555" s="11"/>
      <c r="AA555" s="15"/>
      <c r="AB555" s="15"/>
      <c r="AC555" s="15"/>
      <c r="AU555" s="17"/>
    </row>
    <row r="556" spans="1:47" ht="12" customHeight="1" x14ac:dyDescent="0.25">
      <c r="A556" s="3"/>
      <c r="B556" s="14"/>
      <c r="C556" s="14"/>
      <c r="D556" s="14"/>
      <c r="E556" s="14"/>
      <c r="K556" s="14"/>
      <c r="M556" s="14"/>
      <c r="N556" s="14"/>
      <c r="Z556" s="11"/>
      <c r="AA556" s="15"/>
      <c r="AB556" s="15"/>
      <c r="AC556" s="15"/>
      <c r="AU556" s="17"/>
    </row>
    <row r="557" spans="1:47" ht="12" customHeight="1" x14ac:dyDescent="0.25">
      <c r="A557" s="3"/>
      <c r="B557" s="14"/>
      <c r="C557" s="14"/>
      <c r="D557" s="14"/>
      <c r="E557" s="14"/>
      <c r="K557" s="14"/>
      <c r="M557" s="14"/>
      <c r="N557" s="14"/>
      <c r="Z557" s="11"/>
      <c r="AA557" s="15"/>
      <c r="AB557" s="15"/>
      <c r="AC557" s="15"/>
      <c r="AU557" s="17"/>
    </row>
    <row r="558" spans="1:47" ht="12" customHeight="1" x14ac:dyDescent="0.25">
      <c r="A558" s="3"/>
      <c r="B558" s="14"/>
      <c r="C558" s="14"/>
      <c r="D558" s="14"/>
      <c r="E558" s="14"/>
      <c r="K558" s="14"/>
      <c r="M558" s="14"/>
      <c r="N558" s="14"/>
      <c r="Z558" s="11"/>
      <c r="AA558" s="15"/>
      <c r="AB558" s="15"/>
      <c r="AC558" s="15"/>
      <c r="AU558" s="17"/>
    </row>
    <row r="559" spans="1:47" ht="12" customHeight="1" x14ac:dyDescent="0.25">
      <c r="A559" s="3"/>
      <c r="B559" s="14"/>
      <c r="C559" s="14"/>
      <c r="D559" s="14"/>
      <c r="E559" s="14"/>
      <c r="K559" s="14"/>
      <c r="M559" s="14"/>
      <c r="N559" s="14"/>
      <c r="Z559" s="11"/>
      <c r="AA559" s="15"/>
      <c r="AB559" s="15"/>
      <c r="AC559" s="15"/>
      <c r="AU559" s="17"/>
    </row>
    <row r="560" spans="1:47" ht="12" customHeight="1" x14ac:dyDescent="0.25">
      <c r="A560" s="3"/>
      <c r="B560" s="14"/>
      <c r="C560" s="14"/>
      <c r="D560" s="14"/>
      <c r="E560" s="14"/>
      <c r="K560" s="14"/>
      <c r="M560" s="14"/>
      <c r="N560" s="14"/>
      <c r="Z560" s="11"/>
      <c r="AA560" s="15"/>
      <c r="AB560" s="15"/>
      <c r="AC560" s="15"/>
      <c r="AU560" s="17"/>
    </row>
    <row r="561" spans="1:47" ht="12" customHeight="1" x14ac:dyDescent="0.25">
      <c r="A561" s="3"/>
      <c r="B561" s="14"/>
      <c r="C561" s="14"/>
      <c r="D561" s="14"/>
      <c r="E561" s="14"/>
      <c r="K561" s="14"/>
      <c r="M561" s="14"/>
      <c r="N561" s="14"/>
      <c r="Z561" s="11"/>
      <c r="AA561" s="15"/>
      <c r="AB561" s="15"/>
      <c r="AC561" s="15"/>
      <c r="AU561" s="17"/>
    </row>
    <row r="562" spans="1:47" ht="12" customHeight="1" x14ac:dyDescent="0.25">
      <c r="A562" s="3"/>
      <c r="B562" s="14"/>
      <c r="C562" s="14"/>
      <c r="D562" s="14"/>
      <c r="E562" s="14"/>
      <c r="K562" s="14"/>
      <c r="M562" s="14"/>
      <c r="N562" s="14"/>
      <c r="Z562" s="11"/>
      <c r="AA562" s="15"/>
      <c r="AB562" s="15"/>
      <c r="AC562" s="15"/>
      <c r="AU562" s="17"/>
    </row>
    <row r="563" spans="1:47" ht="12" customHeight="1" x14ac:dyDescent="0.25">
      <c r="A563" s="3"/>
      <c r="B563" s="14"/>
      <c r="C563" s="14"/>
      <c r="D563" s="14"/>
      <c r="E563" s="14"/>
      <c r="K563" s="14"/>
      <c r="M563" s="14"/>
      <c r="N563" s="14"/>
      <c r="Z563" s="11"/>
      <c r="AA563" s="15"/>
      <c r="AB563" s="15"/>
      <c r="AC563" s="15"/>
      <c r="AU563" s="17"/>
    </row>
    <row r="564" spans="1:47" ht="12" customHeight="1" x14ac:dyDescent="0.25">
      <c r="A564" s="3"/>
      <c r="B564" s="14"/>
      <c r="C564" s="14"/>
      <c r="D564" s="14"/>
      <c r="E564" s="14"/>
      <c r="K564" s="14"/>
      <c r="M564" s="14"/>
      <c r="N564" s="14"/>
      <c r="Z564" s="11"/>
      <c r="AA564" s="15"/>
      <c r="AB564" s="15"/>
      <c r="AC564" s="15"/>
      <c r="AU564" s="17"/>
    </row>
    <row r="565" spans="1:47" ht="12" customHeight="1" x14ac:dyDescent="0.25">
      <c r="A565" s="3"/>
      <c r="B565" s="14"/>
      <c r="C565" s="14"/>
      <c r="D565" s="14"/>
      <c r="E565" s="14"/>
      <c r="K565" s="14"/>
      <c r="M565" s="14"/>
      <c r="N565" s="14"/>
      <c r="Z565" s="11"/>
      <c r="AA565" s="15"/>
      <c r="AB565" s="15"/>
      <c r="AC565" s="15"/>
      <c r="AU565" s="17"/>
    </row>
    <row r="566" spans="1:47" ht="12" customHeight="1" x14ac:dyDescent="0.25">
      <c r="A566" s="3"/>
      <c r="B566" s="14"/>
      <c r="C566" s="14"/>
      <c r="D566" s="14"/>
      <c r="E566" s="14"/>
      <c r="K566" s="14"/>
      <c r="M566" s="14"/>
      <c r="N566" s="14"/>
      <c r="Z566" s="11"/>
      <c r="AA566" s="15"/>
      <c r="AB566" s="15"/>
      <c r="AC566" s="15"/>
      <c r="AU566" s="17"/>
    </row>
    <row r="567" spans="1:47" ht="12" customHeight="1" x14ac:dyDescent="0.25">
      <c r="A567" s="3"/>
      <c r="B567" s="14"/>
      <c r="C567" s="14"/>
      <c r="D567" s="14"/>
      <c r="E567" s="14"/>
      <c r="K567" s="14"/>
      <c r="M567" s="14"/>
      <c r="N567" s="14"/>
      <c r="Z567" s="11"/>
      <c r="AA567" s="15"/>
      <c r="AB567" s="15"/>
      <c r="AC567" s="15"/>
      <c r="AU567" s="17"/>
    </row>
    <row r="568" spans="1:47" ht="12" customHeight="1" x14ac:dyDescent="0.25">
      <c r="A568" s="3"/>
      <c r="B568" s="14"/>
      <c r="C568" s="14"/>
      <c r="D568" s="14"/>
      <c r="E568" s="14"/>
      <c r="K568" s="14"/>
      <c r="M568" s="14"/>
      <c r="N568" s="14"/>
      <c r="Z568" s="11"/>
      <c r="AA568" s="15"/>
      <c r="AB568" s="15"/>
      <c r="AC568" s="15"/>
      <c r="AU568" s="17"/>
    </row>
    <row r="569" spans="1:47" ht="12" customHeight="1" x14ac:dyDescent="0.25">
      <c r="A569" s="3"/>
      <c r="B569" s="14"/>
      <c r="C569" s="14"/>
      <c r="D569" s="14"/>
      <c r="E569" s="14"/>
      <c r="K569" s="14"/>
      <c r="M569" s="14"/>
      <c r="N569" s="14"/>
      <c r="Z569" s="11"/>
      <c r="AA569" s="15"/>
      <c r="AB569" s="15"/>
      <c r="AC569" s="15"/>
      <c r="AU569" s="17"/>
    </row>
    <row r="570" spans="1:47" ht="12" customHeight="1" x14ac:dyDescent="0.25">
      <c r="A570" s="3"/>
      <c r="B570" s="14"/>
      <c r="C570" s="14"/>
      <c r="D570" s="14"/>
      <c r="E570" s="14"/>
      <c r="K570" s="14"/>
      <c r="M570" s="14"/>
      <c r="N570" s="14"/>
      <c r="Z570" s="11"/>
      <c r="AA570" s="15"/>
      <c r="AB570" s="15"/>
      <c r="AC570" s="15"/>
      <c r="AU570" s="17"/>
    </row>
    <row r="571" spans="1:47" ht="12" customHeight="1" x14ac:dyDescent="0.25">
      <c r="A571" s="3"/>
      <c r="B571" s="14"/>
      <c r="C571" s="14"/>
      <c r="D571" s="14"/>
      <c r="E571" s="14"/>
      <c r="K571" s="14"/>
      <c r="M571" s="14"/>
      <c r="N571" s="14"/>
      <c r="Z571" s="11"/>
      <c r="AA571" s="15"/>
      <c r="AB571" s="15"/>
      <c r="AC571" s="15"/>
      <c r="AU571" s="17"/>
    </row>
    <row r="572" spans="1:47" ht="12" customHeight="1" x14ac:dyDescent="0.25">
      <c r="A572" s="3"/>
      <c r="B572" s="14"/>
      <c r="C572" s="14"/>
      <c r="D572" s="14"/>
      <c r="E572" s="14"/>
      <c r="K572" s="14"/>
      <c r="M572" s="14"/>
      <c r="N572" s="14"/>
      <c r="Z572" s="11"/>
      <c r="AA572" s="15"/>
      <c r="AB572" s="15"/>
      <c r="AC572" s="15"/>
      <c r="AU572" s="17"/>
    </row>
    <row r="573" spans="1:47" ht="12" customHeight="1" x14ac:dyDescent="0.25">
      <c r="A573" s="3"/>
      <c r="B573" s="14"/>
      <c r="C573" s="14"/>
      <c r="D573" s="14"/>
      <c r="E573" s="14"/>
      <c r="K573" s="14"/>
      <c r="M573" s="14"/>
      <c r="N573" s="14"/>
      <c r="Z573" s="11"/>
      <c r="AA573" s="15"/>
      <c r="AB573" s="15"/>
      <c r="AC573" s="15"/>
      <c r="AU573" s="17"/>
    </row>
    <row r="574" spans="1:47" ht="12" customHeight="1" x14ac:dyDescent="0.25">
      <c r="A574" s="3"/>
      <c r="B574" s="14"/>
      <c r="C574" s="14"/>
      <c r="D574" s="14"/>
      <c r="E574" s="14"/>
      <c r="K574" s="14"/>
      <c r="M574" s="14"/>
      <c r="N574" s="14"/>
      <c r="Z574" s="11"/>
      <c r="AA574" s="15"/>
      <c r="AB574" s="15"/>
      <c r="AC574" s="15"/>
      <c r="AU574" s="17"/>
    </row>
    <row r="575" spans="1:47" ht="12" customHeight="1" x14ac:dyDescent="0.25">
      <c r="A575" s="3"/>
      <c r="B575" s="14"/>
      <c r="C575" s="14"/>
      <c r="D575" s="14"/>
      <c r="E575" s="14"/>
      <c r="K575" s="14"/>
      <c r="M575" s="14"/>
      <c r="N575" s="14"/>
      <c r="Z575" s="11"/>
      <c r="AA575" s="15"/>
      <c r="AB575" s="15"/>
      <c r="AC575" s="15"/>
      <c r="AU575" s="17"/>
    </row>
    <row r="576" spans="1:47" ht="12" customHeight="1" x14ac:dyDescent="0.25">
      <c r="A576" s="3"/>
      <c r="B576" s="14"/>
      <c r="C576" s="14"/>
      <c r="D576" s="14"/>
      <c r="E576" s="14"/>
      <c r="K576" s="14"/>
      <c r="M576" s="14"/>
      <c r="N576" s="14"/>
      <c r="Z576" s="11"/>
      <c r="AA576" s="15"/>
      <c r="AB576" s="15"/>
      <c r="AC576" s="15"/>
      <c r="AU576" s="17"/>
    </row>
    <row r="577" spans="1:47" ht="12" customHeight="1" x14ac:dyDescent="0.25">
      <c r="A577" s="3"/>
      <c r="B577" s="14"/>
      <c r="C577" s="14"/>
      <c r="D577" s="14"/>
      <c r="E577" s="14"/>
      <c r="K577" s="14"/>
      <c r="M577" s="14"/>
      <c r="N577" s="14"/>
      <c r="Z577" s="11"/>
      <c r="AA577" s="15"/>
      <c r="AB577" s="15"/>
      <c r="AC577" s="15"/>
      <c r="AU577" s="17"/>
    </row>
    <row r="578" spans="1:47" ht="12" customHeight="1" x14ac:dyDescent="0.25">
      <c r="A578" s="3"/>
      <c r="B578" s="14"/>
      <c r="C578" s="14"/>
      <c r="D578" s="14"/>
      <c r="E578" s="14"/>
      <c r="K578" s="14"/>
      <c r="M578" s="14"/>
      <c r="N578" s="14"/>
      <c r="Z578" s="11"/>
      <c r="AA578" s="15"/>
      <c r="AB578" s="15"/>
      <c r="AC578" s="15"/>
      <c r="AU578" s="17"/>
    </row>
    <row r="579" spans="1:47" ht="12" customHeight="1" x14ac:dyDescent="0.25">
      <c r="A579" s="3"/>
      <c r="B579" s="14"/>
      <c r="C579" s="14"/>
      <c r="D579" s="14"/>
      <c r="E579" s="14"/>
      <c r="K579" s="14"/>
      <c r="M579" s="14"/>
      <c r="N579" s="14"/>
      <c r="Z579" s="11"/>
      <c r="AA579" s="15"/>
      <c r="AB579" s="15"/>
      <c r="AC579" s="15"/>
      <c r="AU579" s="17"/>
    </row>
    <row r="580" spans="1:47" ht="12" customHeight="1" x14ac:dyDescent="0.25">
      <c r="A580" s="3"/>
      <c r="B580" s="14"/>
      <c r="C580" s="14"/>
      <c r="D580" s="14"/>
      <c r="E580" s="14"/>
      <c r="K580" s="14"/>
      <c r="M580" s="14"/>
      <c r="N580" s="14"/>
      <c r="Z580" s="11"/>
      <c r="AA580" s="15"/>
      <c r="AB580" s="15"/>
      <c r="AC580" s="15"/>
      <c r="AU580" s="17"/>
    </row>
    <row r="581" spans="1:47" ht="12" customHeight="1" x14ac:dyDescent="0.25">
      <c r="A581" s="3"/>
      <c r="B581" s="14"/>
      <c r="C581" s="14"/>
      <c r="D581" s="14"/>
      <c r="E581" s="14"/>
      <c r="K581" s="14"/>
      <c r="M581" s="14"/>
      <c r="N581" s="14"/>
      <c r="Z581" s="11"/>
      <c r="AA581" s="15"/>
      <c r="AB581" s="15"/>
      <c r="AC581" s="15"/>
      <c r="AU581" s="17"/>
    </row>
    <row r="582" spans="1:47" ht="12" customHeight="1" x14ac:dyDescent="0.25">
      <c r="A582" s="3"/>
      <c r="B582" s="14"/>
      <c r="C582" s="14"/>
      <c r="D582" s="14"/>
      <c r="E582" s="14"/>
      <c r="K582" s="14"/>
      <c r="M582" s="14"/>
      <c r="N582" s="14"/>
      <c r="Z582" s="11"/>
      <c r="AA582" s="15"/>
      <c r="AB582" s="15"/>
      <c r="AC582" s="15"/>
      <c r="AU582" s="17"/>
    </row>
    <row r="583" spans="1:47" ht="12" customHeight="1" x14ac:dyDescent="0.25">
      <c r="A583" s="3"/>
      <c r="B583" s="14"/>
      <c r="C583" s="14"/>
      <c r="D583" s="14"/>
      <c r="E583" s="14"/>
      <c r="K583" s="14"/>
      <c r="M583" s="14"/>
      <c r="N583" s="14"/>
      <c r="Z583" s="11"/>
      <c r="AA583" s="15"/>
      <c r="AB583" s="15"/>
      <c r="AC583" s="15"/>
      <c r="AU583" s="17"/>
    </row>
    <row r="584" spans="1:47" ht="12" customHeight="1" x14ac:dyDescent="0.25">
      <c r="A584" s="3"/>
      <c r="B584" s="14"/>
      <c r="C584" s="14"/>
      <c r="D584" s="14"/>
      <c r="E584" s="14"/>
      <c r="K584" s="14"/>
      <c r="M584" s="14"/>
      <c r="N584" s="14"/>
      <c r="Z584" s="11"/>
      <c r="AA584" s="15"/>
      <c r="AB584" s="15"/>
      <c r="AC584" s="15"/>
      <c r="AU584" s="17"/>
    </row>
    <row r="585" spans="1:47" ht="12" customHeight="1" x14ac:dyDescent="0.25">
      <c r="A585" s="3"/>
      <c r="B585" s="14"/>
      <c r="C585" s="14"/>
      <c r="D585" s="14"/>
      <c r="E585" s="14"/>
      <c r="K585" s="14"/>
      <c r="M585" s="14"/>
      <c r="N585" s="14"/>
      <c r="Z585" s="11"/>
      <c r="AA585" s="15"/>
      <c r="AB585" s="15"/>
      <c r="AC585" s="15"/>
      <c r="AU585" s="17"/>
    </row>
    <row r="586" spans="1:47" ht="12" customHeight="1" x14ac:dyDescent="0.25">
      <c r="A586" s="3"/>
      <c r="B586" s="14"/>
      <c r="C586" s="14"/>
      <c r="D586" s="14"/>
      <c r="E586" s="14"/>
      <c r="K586" s="14"/>
      <c r="M586" s="14"/>
      <c r="N586" s="14"/>
      <c r="Z586" s="11"/>
      <c r="AA586" s="15"/>
      <c r="AB586" s="15"/>
      <c r="AC586" s="15"/>
      <c r="AU586" s="17"/>
    </row>
    <row r="587" spans="1:47" ht="12" customHeight="1" x14ac:dyDescent="0.25">
      <c r="A587" s="3"/>
      <c r="B587" s="14"/>
      <c r="C587" s="14"/>
      <c r="D587" s="14"/>
      <c r="E587" s="14"/>
      <c r="K587" s="14"/>
      <c r="M587" s="14"/>
      <c r="N587" s="14"/>
      <c r="Z587" s="11"/>
      <c r="AA587" s="15"/>
      <c r="AB587" s="15"/>
      <c r="AC587" s="15"/>
      <c r="AU587" s="17"/>
    </row>
    <row r="588" spans="1:47" ht="12" customHeight="1" x14ac:dyDescent="0.25">
      <c r="A588" s="3"/>
      <c r="B588" s="14"/>
      <c r="C588" s="14"/>
      <c r="D588" s="14"/>
      <c r="E588" s="14"/>
      <c r="K588" s="14"/>
      <c r="M588" s="14"/>
      <c r="N588" s="14"/>
      <c r="Z588" s="11"/>
      <c r="AA588" s="15"/>
      <c r="AB588" s="15"/>
      <c r="AC588" s="15"/>
      <c r="AU588" s="17"/>
    </row>
    <row r="589" spans="1:47" ht="12" customHeight="1" x14ac:dyDescent="0.25">
      <c r="A589" s="3"/>
      <c r="B589" s="14"/>
      <c r="C589" s="14"/>
      <c r="D589" s="14"/>
      <c r="E589" s="14"/>
      <c r="K589" s="14"/>
      <c r="M589" s="14"/>
      <c r="N589" s="14"/>
      <c r="Z589" s="11"/>
      <c r="AA589" s="15"/>
      <c r="AB589" s="15"/>
      <c r="AC589" s="15"/>
      <c r="AU589" s="17"/>
    </row>
    <row r="590" spans="1:47" ht="12" customHeight="1" x14ac:dyDescent="0.25">
      <c r="A590" s="3"/>
      <c r="B590" s="14"/>
      <c r="C590" s="14"/>
      <c r="D590" s="14"/>
      <c r="E590" s="14"/>
      <c r="K590" s="14"/>
      <c r="M590" s="14"/>
      <c r="N590" s="14"/>
      <c r="Z590" s="11"/>
      <c r="AA590" s="15"/>
      <c r="AB590" s="15"/>
      <c r="AC590" s="15"/>
      <c r="AU590" s="17"/>
    </row>
    <row r="591" spans="1:47" ht="12" customHeight="1" x14ac:dyDescent="0.25">
      <c r="A591" s="3"/>
      <c r="B591" s="14"/>
      <c r="C591" s="14"/>
      <c r="D591" s="14"/>
      <c r="E591" s="14"/>
      <c r="K591" s="14"/>
      <c r="M591" s="14"/>
      <c r="N591" s="14"/>
      <c r="Z591" s="11"/>
      <c r="AA591" s="15"/>
      <c r="AB591" s="15"/>
      <c r="AC591" s="15"/>
      <c r="AU591" s="17"/>
    </row>
    <row r="592" spans="1:47" ht="12" customHeight="1" x14ac:dyDescent="0.25">
      <c r="A592" s="3"/>
      <c r="B592" s="14"/>
      <c r="C592" s="14"/>
      <c r="D592" s="14"/>
      <c r="E592" s="14"/>
      <c r="K592" s="14"/>
      <c r="M592" s="14"/>
      <c r="N592" s="14"/>
      <c r="Z592" s="11"/>
      <c r="AA592" s="15"/>
      <c r="AB592" s="15"/>
      <c r="AC592" s="15"/>
      <c r="AU592" s="17"/>
    </row>
    <row r="593" spans="1:47" ht="12" customHeight="1" x14ac:dyDescent="0.25">
      <c r="A593" s="3"/>
      <c r="B593" s="14"/>
      <c r="C593" s="14"/>
      <c r="D593" s="14"/>
      <c r="E593" s="14"/>
      <c r="K593" s="14"/>
      <c r="M593" s="14"/>
      <c r="N593" s="14"/>
      <c r="Z593" s="11"/>
      <c r="AA593" s="15"/>
      <c r="AB593" s="15"/>
      <c r="AC593" s="15"/>
      <c r="AU593" s="17"/>
    </row>
    <row r="594" spans="1:47" ht="12" customHeight="1" x14ac:dyDescent="0.25">
      <c r="A594" s="3"/>
      <c r="B594" s="14"/>
      <c r="C594" s="14"/>
      <c r="D594" s="14"/>
      <c r="E594" s="14"/>
      <c r="K594" s="14"/>
      <c r="M594" s="14"/>
      <c r="N594" s="14"/>
      <c r="Z594" s="11"/>
      <c r="AA594" s="15"/>
      <c r="AB594" s="15"/>
      <c r="AC594" s="15"/>
      <c r="AU594" s="17"/>
    </row>
    <row r="595" spans="1:47" ht="12" customHeight="1" x14ac:dyDescent="0.25">
      <c r="A595" s="3"/>
      <c r="B595" s="14"/>
      <c r="C595" s="14"/>
      <c r="D595" s="14"/>
      <c r="E595" s="14"/>
      <c r="K595" s="14"/>
      <c r="M595" s="14"/>
      <c r="N595" s="14"/>
      <c r="Z595" s="11"/>
      <c r="AA595" s="15"/>
      <c r="AB595" s="15"/>
      <c r="AC595" s="15"/>
      <c r="AU595" s="17"/>
    </row>
    <row r="596" spans="1:47" ht="12" customHeight="1" x14ac:dyDescent="0.25">
      <c r="A596" s="3"/>
      <c r="B596" s="14"/>
      <c r="C596" s="14"/>
      <c r="D596" s="14"/>
      <c r="E596" s="14"/>
      <c r="K596" s="14"/>
      <c r="M596" s="14"/>
      <c r="N596" s="14"/>
      <c r="Z596" s="11"/>
      <c r="AA596" s="15"/>
      <c r="AB596" s="15"/>
      <c r="AC596" s="15"/>
      <c r="AU596" s="17"/>
    </row>
    <row r="597" spans="1:47" ht="12" customHeight="1" x14ac:dyDescent="0.25">
      <c r="A597" s="3"/>
      <c r="B597" s="14"/>
      <c r="C597" s="14"/>
      <c r="D597" s="14"/>
      <c r="E597" s="14"/>
      <c r="K597" s="14"/>
      <c r="M597" s="14"/>
      <c r="N597" s="14"/>
      <c r="Z597" s="11"/>
      <c r="AA597" s="15"/>
      <c r="AB597" s="15"/>
      <c r="AC597" s="15"/>
      <c r="AU597" s="17"/>
    </row>
    <row r="598" spans="1:47" ht="12" customHeight="1" x14ac:dyDescent="0.25">
      <c r="A598" s="3"/>
      <c r="B598" s="14"/>
      <c r="C598" s="14"/>
      <c r="D598" s="14"/>
      <c r="E598" s="14"/>
      <c r="K598" s="14"/>
      <c r="M598" s="14"/>
      <c r="N598" s="14"/>
      <c r="Z598" s="11"/>
      <c r="AA598" s="15"/>
      <c r="AB598" s="15"/>
      <c r="AC598" s="15"/>
      <c r="AU598" s="17"/>
    </row>
    <row r="599" spans="1:47" ht="12" customHeight="1" x14ac:dyDescent="0.25">
      <c r="A599" s="3"/>
      <c r="B599" s="14"/>
      <c r="C599" s="14"/>
      <c r="D599" s="14"/>
      <c r="E599" s="14"/>
      <c r="K599" s="14"/>
      <c r="M599" s="14"/>
      <c r="N599" s="14"/>
      <c r="Z599" s="11"/>
      <c r="AA599" s="15"/>
      <c r="AB599" s="15"/>
      <c r="AC599" s="15"/>
      <c r="AU599" s="17"/>
    </row>
    <row r="600" spans="1:47" ht="12" customHeight="1" x14ac:dyDescent="0.25">
      <c r="A600" s="3"/>
      <c r="B600" s="14"/>
      <c r="C600" s="14"/>
      <c r="D600" s="14"/>
      <c r="E600" s="14"/>
      <c r="K600" s="14"/>
      <c r="M600" s="14"/>
      <c r="N600" s="14"/>
      <c r="Z600" s="11"/>
      <c r="AA600" s="15"/>
      <c r="AB600" s="15"/>
      <c r="AC600" s="15"/>
      <c r="AU600" s="17"/>
    </row>
    <row r="601" spans="1:47" ht="12" customHeight="1" x14ac:dyDescent="0.25">
      <c r="A601" s="3"/>
      <c r="B601" s="14"/>
      <c r="C601" s="14"/>
      <c r="D601" s="14"/>
      <c r="E601" s="14"/>
      <c r="K601" s="14"/>
      <c r="M601" s="14"/>
      <c r="N601" s="14"/>
      <c r="Z601" s="11"/>
      <c r="AA601" s="15"/>
      <c r="AB601" s="15"/>
      <c r="AC601" s="15"/>
      <c r="AU601" s="17"/>
    </row>
    <row r="602" spans="1:47" ht="12" customHeight="1" x14ac:dyDescent="0.25">
      <c r="A602" s="3"/>
      <c r="B602" s="14"/>
      <c r="C602" s="14"/>
      <c r="D602" s="14"/>
      <c r="E602" s="14"/>
      <c r="K602" s="14"/>
      <c r="M602" s="14"/>
      <c r="N602" s="14"/>
      <c r="Z602" s="11"/>
      <c r="AA602" s="15"/>
      <c r="AB602" s="15"/>
      <c r="AC602" s="15"/>
      <c r="AU602" s="17"/>
    </row>
    <row r="603" spans="1:47" ht="12" customHeight="1" x14ac:dyDescent="0.25">
      <c r="A603" s="3"/>
      <c r="B603" s="14"/>
      <c r="C603" s="14"/>
      <c r="D603" s="14"/>
      <c r="E603" s="14"/>
      <c r="K603" s="14"/>
      <c r="M603" s="14"/>
      <c r="N603" s="14"/>
      <c r="Z603" s="11"/>
      <c r="AA603" s="15"/>
      <c r="AB603" s="15"/>
      <c r="AC603" s="15"/>
      <c r="AU603" s="17"/>
    </row>
    <row r="604" spans="1:47" ht="12" customHeight="1" x14ac:dyDescent="0.25">
      <c r="A604" s="3"/>
      <c r="B604" s="14"/>
      <c r="C604" s="14"/>
      <c r="D604" s="14"/>
      <c r="E604" s="14"/>
      <c r="K604" s="14"/>
      <c r="M604" s="14"/>
      <c r="N604" s="14"/>
      <c r="Z604" s="11"/>
      <c r="AA604" s="15"/>
      <c r="AB604" s="15"/>
      <c r="AC604" s="15"/>
      <c r="AU604" s="17"/>
    </row>
    <row r="605" spans="1:47" ht="12" customHeight="1" x14ac:dyDescent="0.25">
      <c r="A605" s="3"/>
      <c r="B605" s="14"/>
      <c r="C605" s="14"/>
      <c r="D605" s="14"/>
      <c r="E605" s="14"/>
      <c r="K605" s="14"/>
      <c r="M605" s="14"/>
      <c r="N605" s="14"/>
      <c r="Z605" s="11"/>
      <c r="AA605" s="15"/>
      <c r="AB605" s="15"/>
      <c r="AC605" s="15"/>
      <c r="AU605" s="17"/>
    </row>
    <row r="606" spans="1:47" ht="12" customHeight="1" x14ac:dyDescent="0.25">
      <c r="A606" s="3"/>
      <c r="B606" s="14"/>
      <c r="C606" s="14"/>
      <c r="D606" s="14"/>
      <c r="E606" s="14"/>
      <c r="K606" s="14"/>
      <c r="M606" s="14"/>
      <c r="N606" s="14"/>
      <c r="Z606" s="11"/>
      <c r="AA606" s="15"/>
      <c r="AB606" s="15"/>
      <c r="AC606" s="15"/>
      <c r="AU606" s="17"/>
    </row>
    <row r="607" spans="1:47" ht="12" customHeight="1" x14ac:dyDescent="0.25">
      <c r="A607" s="3"/>
      <c r="B607" s="14"/>
      <c r="C607" s="14"/>
      <c r="D607" s="14"/>
      <c r="E607" s="14"/>
      <c r="K607" s="14"/>
      <c r="M607" s="14"/>
      <c r="N607" s="14"/>
      <c r="Z607" s="11"/>
      <c r="AA607" s="15"/>
      <c r="AB607" s="15"/>
      <c r="AC607" s="15"/>
      <c r="AU607" s="17"/>
    </row>
    <row r="608" spans="1:47" ht="12" customHeight="1" x14ac:dyDescent="0.25">
      <c r="A608" s="3"/>
      <c r="B608" s="14"/>
      <c r="C608" s="14"/>
      <c r="D608" s="14"/>
      <c r="E608" s="14"/>
      <c r="K608" s="14"/>
      <c r="M608" s="14"/>
      <c r="N608" s="14"/>
      <c r="Z608" s="11"/>
      <c r="AA608" s="15"/>
      <c r="AB608" s="15"/>
      <c r="AC608" s="15"/>
      <c r="AU608" s="17"/>
    </row>
    <row r="609" spans="1:47" ht="12" customHeight="1" x14ac:dyDescent="0.25">
      <c r="A609" s="3"/>
      <c r="B609" s="14"/>
      <c r="C609" s="14"/>
      <c r="D609" s="14"/>
      <c r="E609" s="14"/>
      <c r="K609" s="14"/>
      <c r="M609" s="14"/>
      <c r="N609" s="14"/>
      <c r="Z609" s="11"/>
      <c r="AA609" s="15"/>
      <c r="AB609" s="15"/>
      <c r="AC609" s="15"/>
      <c r="AU609" s="17"/>
    </row>
    <row r="610" spans="1:47" ht="12" customHeight="1" x14ac:dyDescent="0.25">
      <c r="A610" s="3"/>
      <c r="B610" s="14"/>
      <c r="C610" s="14"/>
      <c r="D610" s="14"/>
      <c r="E610" s="14"/>
      <c r="K610" s="14"/>
      <c r="M610" s="14"/>
      <c r="N610" s="14"/>
      <c r="Z610" s="11"/>
      <c r="AA610" s="15"/>
      <c r="AB610" s="15"/>
      <c r="AC610" s="15"/>
      <c r="AU610" s="17"/>
    </row>
    <row r="611" spans="1:47" ht="12" customHeight="1" x14ac:dyDescent="0.25">
      <c r="A611" s="3"/>
      <c r="B611" s="14"/>
      <c r="C611" s="14"/>
      <c r="D611" s="14"/>
      <c r="E611" s="14"/>
      <c r="K611" s="14"/>
      <c r="M611" s="14"/>
      <c r="N611" s="14"/>
      <c r="Z611" s="11"/>
      <c r="AA611" s="15"/>
      <c r="AB611" s="15"/>
      <c r="AC611" s="15"/>
      <c r="AU611" s="17"/>
    </row>
    <row r="612" spans="1:47" ht="12" customHeight="1" x14ac:dyDescent="0.25">
      <c r="A612" s="3"/>
      <c r="B612" s="14"/>
      <c r="C612" s="14"/>
      <c r="D612" s="14"/>
      <c r="E612" s="14"/>
      <c r="K612" s="14"/>
      <c r="M612" s="14"/>
      <c r="N612" s="14"/>
      <c r="Z612" s="11"/>
      <c r="AA612" s="15"/>
      <c r="AB612" s="15"/>
      <c r="AC612" s="15"/>
      <c r="AU612" s="17"/>
    </row>
    <row r="613" spans="1:47" ht="12" customHeight="1" x14ac:dyDescent="0.25">
      <c r="A613" s="3"/>
      <c r="B613" s="14"/>
      <c r="C613" s="14"/>
      <c r="D613" s="14"/>
      <c r="E613" s="14"/>
      <c r="K613" s="14"/>
      <c r="M613" s="14"/>
      <c r="N613" s="14"/>
      <c r="Z613" s="11"/>
      <c r="AA613" s="15"/>
      <c r="AB613" s="15"/>
      <c r="AC613" s="15"/>
      <c r="AU613" s="17"/>
    </row>
    <row r="614" spans="1:47" ht="12" customHeight="1" x14ac:dyDescent="0.25">
      <c r="A614" s="3"/>
      <c r="B614" s="14"/>
      <c r="C614" s="14"/>
      <c r="D614" s="14"/>
      <c r="E614" s="14"/>
      <c r="K614" s="14"/>
      <c r="M614" s="14"/>
      <c r="N614" s="14"/>
      <c r="Z614" s="11"/>
      <c r="AA614" s="15"/>
      <c r="AB614" s="15"/>
      <c r="AC614" s="15"/>
      <c r="AU614" s="17"/>
    </row>
    <row r="615" spans="1:47" ht="12" customHeight="1" x14ac:dyDescent="0.25">
      <c r="A615" s="3"/>
      <c r="B615" s="14"/>
      <c r="C615" s="14"/>
      <c r="D615" s="14"/>
      <c r="E615" s="14"/>
      <c r="K615" s="14"/>
      <c r="M615" s="14"/>
      <c r="N615" s="14"/>
      <c r="Z615" s="11"/>
      <c r="AA615" s="15"/>
      <c r="AB615" s="15"/>
      <c r="AC615" s="15"/>
      <c r="AU615" s="17"/>
    </row>
    <row r="616" spans="1:47" ht="12" customHeight="1" x14ac:dyDescent="0.25">
      <c r="A616" s="3"/>
      <c r="B616" s="14"/>
      <c r="C616" s="14"/>
      <c r="D616" s="14"/>
      <c r="E616" s="14"/>
      <c r="K616" s="14"/>
      <c r="M616" s="14"/>
      <c r="N616" s="14"/>
      <c r="Z616" s="11"/>
      <c r="AA616" s="15"/>
      <c r="AB616" s="15"/>
      <c r="AC616" s="15"/>
      <c r="AU616" s="17"/>
    </row>
    <row r="617" spans="1:47" ht="12" customHeight="1" x14ac:dyDescent="0.25">
      <c r="A617" s="3"/>
      <c r="B617" s="14"/>
      <c r="C617" s="14"/>
      <c r="D617" s="14"/>
      <c r="E617" s="14"/>
      <c r="K617" s="14"/>
      <c r="M617" s="14"/>
      <c r="N617" s="14"/>
      <c r="Z617" s="11"/>
      <c r="AA617" s="15"/>
      <c r="AB617" s="15"/>
      <c r="AC617" s="15"/>
      <c r="AU617" s="17"/>
    </row>
    <row r="618" spans="1:47" ht="12" customHeight="1" x14ac:dyDescent="0.25">
      <c r="A618" s="3"/>
      <c r="B618" s="14"/>
      <c r="C618" s="14"/>
      <c r="D618" s="14"/>
      <c r="E618" s="14"/>
      <c r="K618" s="14"/>
      <c r="M618" s="14"/>
      <c r="N618" s="14"/>
      <c r="Z618" s="11"/>
      <c r="AA618" s="15"/>
      <c r="AB618" s="15"/>
      <c r="AC618" s="15"/>
      <c r="AU618" s="17"/>
    </row>
    <row r="619" spans="1:47" ht="12" customHeight="1" x14ac:dyDescent="0.25">
      <c r="A619" s="3"/>
      <c r="B619" s="14"/>
      <c r="C619" s="14"/>
      <c r="D619" s="14"/>
      <c r="E619" s="14"/>
      <c r="K619" s="14"/>
      <c r="M619" s="14"/>
      <c r="N619" s="14"/>
      <c r="Z619" s="11"/>
      <c r="AA619" s="15"/>
      <c r="AB619" s="15"/>
      <c r="AC619" s="15"/>
      <c r="AU619" s="17"/>
    </row>
    <row r="620" spans="1:47" ht="12" customHeight="1" x14ac:dyDescent="0.25">
      <c r="A620" s="3"/>
      <c r="B620" s="14"/>
      <c r="C620" s="14"/>
      <c r="D620" s="14"/>
      <c r="E620" s="14"/>
      <c r="K620" s="14"/>
      <c r="M620" s="14"/>
      <c r="N620" s="14"/>
      <c r="Z620" s="11"/>
      <c r="AA620" s="15"/>
      <c r="AB620" s="15"/>
      <c r="AC620" s="15"/>
      <c r="AU620" s="17"/>
    </row>
    <row r="621" spans="1:47" ht="12" customHeight="1" x14ac:dyDescent="0.25">
      <c r="A621" s="3"/>
      <c r="B621" s="14"/>
      <c r="C621" s="14"/>
      <c r="D621" s="14"/>
      <c r="E621" s="14"/>
      <c r="K621" s="14"/>
      <c r="M621" s="14"/>
      <c r="N621" s="14"/>
      <c r="Z621" s="11"/>
      <c r="AA621" s="15"/>
      <c r="AB621" s="15"/>
      <c r="AC621" s="15"/>
      <c r="AU621" s="17"/>
    </row>
    <row r="622" spans="1:47" ht="12" customHeight="1" x14ac:dyDescent="0.25">
      <c r="A622" s="3"/>
      <c r="B622" s="14"/>
      <c r="C622" s="14"/>
      <c r="D622" s="14"/>
      <c r="E622" s="14"/>
      <c r="K622" s="14"/>
      <c r="M622" s="14"/>
      <c r="N622" s="14"/>
      <c r="Z622" s="11"/>
      <c r="AA622" s="15"/>
      <c r="AB622" s="15"/>
      <c r="AC622" s="15"/>
      <c r="AU622" s="17"/>
    </row>
    <row r="623" spans="1:47" ht="12" customHeight="1" x14ac:dyDescent="0.25">
      <c r="A623" s="3"/>
      <c r="B623" s="14"/>
      <c r="C623" s="14"/>
      <c r="D623" s="14"/>
      <c r="E623" s="14"/>
      <c r="K623" s="14"/>
      <c r="M623" s="14"/>
      <c r="N623" s="14"/>
      <c r="Z623" s="11"/>
      <c r="AA623" s="15"/>
      <c r="AB623" s="15"/>
      <c r="AC623" s="15"/>
      <c r="AU623" s="17"/>
    </row>
    <row r="624" spans="1:47" ht="12" customHeight="1" x14ac:dyDescent="0.25">
      <c r="A624" s="3"/>
      <c r="B624" s="14"/>
      <c r="C624" s="14"/>
      <c r="D624" s="14"/>
      <c r="E624" s="14"/>
      <c r="K624" s="14"/>
      <c r="M624" s="14"/>
      <c r="N624" s="14"/>
      <c r="Z624" s="11"/>
      <c r="AA624" s="15"/>
      <c r="AB624" s="15"/>
      <c r="AC624" s="15"/>
      <c r="AU624" s="17"/>
    </row>
    <row r="625" spans="1:47" ht="12" customHeight="1" x14ac:dyDescent="0.25">
      <c r="A625" s="3"/>
      <c r="B625" s="14"/>
      <c r="C625" s="14"/>
      <c r="D625" s="14"/>
      <c r="E625" s="14"/>
      <c r="K625" s="14"/>
      <c r="M625" s="14"/>
      <c r="N625" s="14"/>
      <c r="Z625" s="11"/>
      <c r="AA625" s="15"/>
      <c r="AB625" s="15"/>
      <c r="AC625" s="15"/>
      <c r="AU625" s="17"/>
    </row>
    <row r="626" spans="1:47" ht="12" customHeight="1" x14ac:dyDescent="0.25">
      <c r="A626" s="3"/>
      <c r="B626" s="14"/>
      <c r="C626" s="14"/>
      <c r="D626" s="14"/>
      <c r="E626" s="14"/>
      <c r="K626" s="14"/>
      <c r="M626" s="14"/>
      <c r="N626" s="14"/>
      <c r="Z626" s="11"/>
      <c r="AA626" s="15"/>
      <c r="AB626" s="15"/>
      <c r="AC626" s="15"/>
      <c r="AU626" s="17"/>
    </row>
    <row r="627" spans="1:47" ht="12" customHeight="1" x14ac:dyDescent="0.25">
      <c r="A627" s="3"/>
      <c r="B627" s="14"/>
      <c r="C627" s="14"/>
      <c r="D627" s="14"/>
      <c r="E627" s="14"/>
      <c r="K627" s="14"/>
      <c r="M627" s="14"/>
      <c r="N627" s="14"/>
      <c r="Z627" s="11"/>
      <c r="AA627" s="15"/>
      <c r="AB627" s="15"/>
      <c r="AC627" s="15"/>
      <c r="AU627" s="17"/>
    </row>
    <row r="628" spans="1:47" ht="12" customHeight="1" x14ac:dyDescent="0.25">
      <c r="A628" s="3"/>
      <c r="B628" s="14"/>
      <c r="C628" s="14"/>
      <c r="D628" s="14"/>
      <c r="E628" s="14"/>
      <c r="K628" s="14"/>
      <c r="M628" s="14"/>
      <c r="N628" s="14"/>
      <c r="Z628" s="11"/>
      <c r="AA628" s="15"/>
      <c r="AB628" s="15"/>
      <c r="AC628" s="15"/>
      <c r="AU628" s="17"/>
    </row>
    <row r="629" spans="1:47" ht="12" customHeight="1" x14ac:dyDescent="0.25">
      <c r="A629" s="3"/>
      <c r="B629" s="14"/>
      <c r="C629" s="14"/>
      <c r="D629" s="14"/>
      <c r="E629" s="14"/>
      <c r="K629" s="14"/>
      <c r="M629" s="14"/>
      <c r="N629" s="14"/>
      <c r="Z629" s="11"/>
      <c r="AA629" s="15"/>
      <c r="AB629" s="15"/>
      <c r="AC629" s="15"/>
      <c r="AU629" s="17"/>
    </row>
    <row r="630" spans="1:47" ht="12" customHeight="1" x14ac:dyDescent="0.25">
      <c r="A630" s="3"/>
      <c r="B630" s="14"/>
      <c r="C630" s="14"/>
      <c r="D630" s="14"/>
      <c r="E630" s="14"/>
      <c r="K630" s="14"/>
      <c r="M630" s="14"/>
      <c r="N630" s="14"/>
      <c r="Z630" s="11"/>
      <c r="AA630" s="15"/>
      <c r="AB630" s="15"/>
      <c r="AC630" s="15"/>
      <c r="AU630" s="17"/>
    </row>
    <row r="631" spans="1:47" ht="12" customHeight="1" x14ac:dyDescent="0.25">
      <c r="A631" s="3"/>
      <c r="B631" s="14"/>
      <c r="C631" s="14"/>
      <c r="D631" s="14"/>
      <c r="E631" s="14"/>
      <c r="K631" s="14"/>
      <c r="M631" s="14"/>
      <c r="N631" s="14"/>
      <c r="Z631" s="11"/>
      <c r="AA631" s="15"/>
      <c r="AB631" s="15"/>
      <c r="AC631" s="15"/>
      <c r="AU631" s="17"/>
    </row>
    <row r="632" spans="1:47" ht="12" customHeight="1" x14ac:dyDescent="0.25">
      <c r="A632" s="3"/>
      <c r="B632" s="14"/>
      <c r="C632" s="14"/>
      <c r="D632" s="14"/>
      <c r="E632" s="14"/>
      <c r="K632" s="14"/>
      <c r="M632" s="14"/>
      <c r="N632" s="14"/>
      <c r="Z632" s="11"/>
      <c r="AA632" s="15"/>
      <c r="AB632" s="15"/>
      <c r="AC632" s="15"/>
      <c r="AU632" s="17"/>
    </row>
    <row r="633" spans="1:47" ht="12" customHeight="1" x14ac:dyDescent="0.25">
      <c r="A633" s="3"/>
      <c r="B633" s="14"/>
      <c r="C633" s="14"/>
      <c r="D633" s="14"/>
      <c r="E633" s="14"/>
      <c r="K633" s="14"/>
      <c r="M633" s="14"/>
      <c r="N633" s="14"/>
      <c r="Z633" s="11"/>
      <c r="AA633" s="15"/>
      <c r="AB633" s="15"/>
      <c r="AC633" s="15"/>
      <c r="AU633" s="17"/>
    </row>
    <row r="634" spans="1:47" ht="12" customHeight="1" x14ac:dyDescent="0.25">
      <c r="A634" s="3"/>
      <c r="B634" s="14"/>
      <c r="C634" s="14"/>
      <c r="D634" s="14"/>
      <c r="E634" s="14"/>
      <c r="K634" s="14"/>
      <c r="M634" s="14"/>
      <c r="N634" s="14"/>
      <c r="Z634" s="11"/>
      <c r="AA634" s="15"/>
      <c r="AB634" s="15"/>
      <c r="AC634" s="15"/>
      <c r="AU634" s="17"/>
    </row>
    <row r="635" spans="1:47" ht="12" customHeight="1" x14ac:dyDescent="0.25">
      <c r="A635" s="3"/>
      <c r="B635" s="14"/>
      <c r="C635" s="14"/>
      <c r="D635" s="14"/>
      <c r="E635" s="14"/>
      <c r="K635" s="14"/>
      <c r="M635" s="14"/>
      <c r="N635" s="14"/>
      <c r="Z635" s="11"/>
      <c r="AA635" s="15"/>
      <c r="AB635" s="15"/>
      <c r="AC635" s="15"/>
      <c r="AU635" s="17"/>
    </row>
    <row r="636" spans="1:47" ht="12" customHeight="1" x14ac:dyDescent="0.25">
      <c r="A636" s="3"/>
      <c r="B636" s="14"/>
      <c r="C636" s="14"/>
      <c r="D636" s="14"/>
      <c r="E636" s="14"/>
      <c r="K636" s="14"/>
      <c r="M636" s="14"/>
      <c r="N636" s="14"/>
      <c r="Z636" s="11"/>
      <c r="AA636" s="15"/>
      <c r="AB636" s="15"/>
      <c r="AC636" s="15"/>
      <c r="AU636" s="17"/>
    </row>
    <row r="637" spans="1:47" ht="12" customHeight="1" x14ac:dyDescent="0.25">
      <c r="A637" s="3"/>
      <c r="B637" s="14"/>
      <c r="C637" s="14"/>
      <c r="D637" s="14"/>
      <c r="E637" s="14"/>
      <c r="K637" s="14"/>
      <c r="M637" s="14"/>
      <c r="N637" s="14"/>
      <c r="Z637" s="11"/>
      <c r="AA637" s="15"/>
      <c r="AB637" s="15"/>
      <c r="AC637" s="15"/>
      <c r="AU637" s="17"/>
    </row>
    <row r="638" spans="1:47" ht="12" customHeight="1" x14ac:dyDescent="0.25">
      <c r="A638" s="3"/>
      <c r="B638" s="14"/>
      <c r="C638" s="14"/>
      <c r="D638" s="14"/>
      <c r="E638" s="14"/>
      <c r="K638" s="14"/>
      <c r="M638" s="14"/>
      <c r="N638" s="14"/>
      <c r="Z638" s="11"/>
      <c r="AA638" s="15"/>
      <c r="AB638" s="15"/>
      <c r="AC638" s="15"/>
      <c r="AU638" s="17"/>
    </row>
    <row r="639" spans="1:47" ht="12" customHeight="1" x14ac:dyDescent="0.25">
      <c r="A639" s="3"/>
      <c r="B639" s="14"/>
      <c r="C639" s="14"/>
      <c r="D639" s="14"/>
      <c r="E639" s="14"/>
      <c r="K639" s="14"/>
      <c r="M639" s="14"/>
      <c r="N639" s="14"/>
      <c r="Z639" s="11"/>
      <c r="AA639" s="15"/>
      <c r="AB639" s="15"/>
      <c r="AC639" s="15"/>
      <c r="AU639" s="17"/>
    </row>
    <row r="640" spans="1:47" ht="12" customHeight="1" x14ac:dyDescent="0.25">
      <c r="A640" s="3"/>
      <c r="B640" s="14"/>
      <c r="C640" s="14"/>
      <c r="D640" s="14"/>
      <c r="E640" s="14"/>
      <c r="K640" s="14"/>
      <c r="M640" s="14"/>
      <c r="N640" s="14"/>
      <c r="Z640" s="11"/>
      <c r="AA640" s="15"/>
      <c r="AB640" s="15"/>
      <c r="AC640" s="15"/>
      <c r="AU640" s="17"/>
    </row>
    <row r="641" spans="1:47" ht="12" customHeight="1" x14ac:dyDescent="0.25">
      <c r="A641" s="3"/>
      <c r="B641" s="14"/>
      <c r="C641" s="14"/>
      <c r="D641" s="14"/>
      <c r="E641" s="14"/>
      <c r="K641" s="14"/>
      <c r="M641" s="14"/>
      <c r="N641" s="14"/>
      <c r="Z641" s="11"/>
      <c r="AA641" s="15"/>
      <c r="AB641" s="15"/>
      <c r="AC641" s="15"/>
      <c r="AU641" s="17"/>
    </row>
    <row r="642" spans="1:47" ht="12" customHeight="1" x14ac:dyDescent="0.25">
      <c r="A642" s="3"/>
      <c r="B642" s="14"/>
      <c r="C642" s="14"/>
      <c r="D642" s="14"/>
      <c r="E642" s="14"/>
      <c r="K642" s="14"/>
      <c r="M642" s="14"/>
      <c r="N642" s="14"/>
      <c r="Z642" s="11"/>
      <c r="AA642" s="15"/>
      <c r="AB642" s="15"/>
      <c r="AC642" s="15"/>
      <c r="AU642" s="17"/>
    </row>
    <row r="643" spans="1:47" ht="12" customHeight="1" x14ac:dyDescent="0.25">
      <c r="A643" s="3"/>
      <c r="B643" s="14"/>
      <c r="C643" s="14"/>
      <c r="D643" s="14"/>
      <c r="E643" s="14"/>
      <c r="K643" s="14"/>
      <c r="M643" s="14"/>
      <c r="N643" s="14"/>
      <c r="Z643" s="11"/>
      <c r="AA643" s="15"/>
      <c r="AB643" s="15"/>
      <c r="AC643" s="15"/>
      <c r="AU643" s="17"/>
    </row>
    <row r="644" spans="1:47" ht="12" customHeight="1" x14ac:dyDescent="0.25">
      <c r="A644" s="3"/>
      <c r="B644" s="14"/>
      <c r="C644" s="14"/>
      <c r="D644" s="14"/>
      <c r="E644" s="14"/>
      <c r="K644" s="14"/>
      <c r="M644" s="14"/>
      <c r="N644" s="14"/>
      <c r="Z644" s="11"/>
      <c r="AA644" s="15"/>
      <c r="AB644" s="15"/>
      <c r="AC644" s="15"/>
      <c r="AU644" s="17"/>
    </row>
    <row r="645" spans="1:47" ht="12" customHeight="1" x14ac:dyDescent="0.25">
      <c r="A645" s="3"/>
      <c r="B645" s="14"/>
      <c r="C645" s="14"/>
      <c r="D645" s="14"/>
      <c r="E645" s="14"/>
      <c r="K645" s="14"/>
      <c r="M645" s="14"/>
      <c r="N645" s="14"/>
      <c r="Z645" s="11"/>
      <c r="AA645" s="15"/>
      <c r="AB645" s="15"/>
      <c r="AC645" s="15"/>
      <c r="AU645" s="17"/>
    </row>
    <row r="646" spans="1:47" ht="12" customHeight="1" x14ac:dyDescent="0.25">
      <c r="A646" s="3"/>
      <c r="B646" s="14"/>
      <c r="C646" s="14"/>
      <c r="D646" s="14"/>
      <c r="E646" s="14"/>
      <c r="K646" s="14"/>
      <c r="M646" s="14"/>
      <c r="N646" s="14"/>
      <c r="Z646" s="11"/>
      <c r="AA646" s="15"/>
      <c r="AB646" s="15"/>
      <c r="AC646" s="15"/>
      <c r="AU646" s="17"/>
    </row>
    <row r="647" spans="1:47" ht="12" customHeight="1" x14ac:dyDescent="0.25">
      <c r="A647" s="3"/>
      <c r="B647" s="14"/>
      <c r="C647" s="14"/>
      <c r="D647" s="14"/>
      <c r="E647" s="14"/>
      <c r="K647" s="14"/>
      <c r="M647" s="14"/>
      <c r="N647" s="14"/>
      <c r="Z647" s="11"/>
      <c r="AA647" s="15"/>
      <c r="AB647" s="15"/>
      <c r="AC647" s="15"/>
      <c r="AU647" s="17"/>
    </row>
    <row r="648" spans="1:47" ht="12" customHeight="1" x14ac:dyDescent="0.25">
      <c r="A648" s="3"/>
      <c r="B648" s="14"/>
      <c r="C648" s="14"/>
      <c r="D648" s="14"/>
      <c r="E648" s="14"/>
      <c r="K648" s="14"/>
      <c r="M648" s="14"/>
      <c r="N648" s="14"/>
      <c r="Z648" s="11"/>
      <c r="AA648" s="15"/>
      <c r="AB648" s="15"/>
      <c r="AC648" s="15"/>
      <c r="AU648" s="17"/>
    </row>
    <row r="649" spans="1:47" ht="12" customHeight="1" x14ac:dyDescent="0.25">
      <c r="A649" s="3"/>
      <c r="B649" s="14"/>
      <c r="C649" s="14"/>
      <c r="D649" s="14"/>
      <c r="E649" s="14"/>
      <c r="K649" s="14"/>
      <c r="M649" s="14"/>
      <c r="N649" s="14"/>
      <c r="Z649" s="11"/>
      <c r="AA649" s="15"/>
      <c r="AB649" s="15"/>
      <c r="AC649" s="15"/>
      <c r="AU649" s="17"/>
    </row>
    <row r="650" spans="1:47" ht="12" customHeight="1" x14ac:dyDescent="0.25">
      <c r="A650" s="3"/>
      <c r="B650" s="14"/>
      <c r="C650" s="14"/>
      <c r="D650" s="14"/>
      <c r="E650" s="14"/>
      <c r="K650" s="14"/>
      <c r="M650" s="14"/>
      <c r="N650" s="14"/>
      <c r="Z650" s="11"/>
      <c r="AA650" s="15"/>
      <c r="AB650" s="15"/>
      <c r="AC650" s="15"/>
      <c r="AU650" s="17"/>
    </row>
    <row r="651" spans="1:47" ht="12" customHeight="1" x14ac:dyDescent="0.25">
      <c r="A651" s="3"/>
      <c r="B651" s="14"/>
      <c r="C651" s="14"/>
      <c r="D651" s="14"/>
      <c r="E651" s="14"/>
      <c r="K651" s="14"/>
      <c r="M651" s="14"/>
      <c r="N651" s="14"/>
      <c r="Z651" s="11"/>
      <c r="AA651" s="15"/>
      <c r="AB651" s="15"/>
      <c r="AC651" s="15"/>
      <c r="AU651" s="17"/>
    </row>
    <row r="652" spans="1:47" ht="12" customHeight="1" x14ac:dyDescent="0.25">
      <c r="A652" s="3"/>
      <c r="B652" s="14"/>
      <c r="C652" s="14"/>
      <c r="D652" s="14"/>
      <c r="E652" s="14"/>
      <c r="K652" s="14"/>
      <c r="M652" s="14"/>
      <c r="N652" s="14"/>
      <c r="Z652" s="11"/>
      <c r="AA652" s="15"/>
      <c r="AB652" s="15"/>
      <c r="AC652" s="15"/>
      <c r="AU652" s="17"/>
    </row>
    <row r="653" spans="1:47" ht="12" customHeight="1" x14ac:dyDescent="0.25">
      <c r="A653" s="3"/>
      <c r="B653" s="14"/>
      <c r="C653" s="14"/>
      <c r="D653" s="14"/>
      <c r="E653" s="14"/>
      <c r="K653" s="14"/>
      <c r="M653" s="14"/>
      <c r="N653" s="14"/>
      <c r="Z653" s="11"/>
      <c r="AA653" s="15"/>
      <c r="AB653" s="15"/>
      <c r="AC653" s="15"/>
      <c r="AU653" s="17"/>
    </row>
    <row r="654" spans="1:47" ht="12" customHeight="1" x14ac:dyDescent="0.25">
      <c r="A654" s="3"/>
      <c r="B654" s="14"/>
      <c r="C654" s="14"/>
      <c r="D654" s="14"/>
      <c r="E654" s="14"/>
      <c r="K654" s="14"/>
      <c r="M654" s="14"/>
      <c r="N654" s="14"/>
      <c r="Z654" s="11"/>
      <c r="AA654" s="15"/>
      <c r="AB654" s="15"/>
      <c r="AC654" s="15"/>
      <c r="AU654" s="17"/>
    </row>
    <row r="655" spans="1:47" ht="12" customHeight="1" x14ac:dyDescent="0.25">
      <c r="A655" s="3"/>
      <c r="B655" s="14"/>
      <c r="C655" s="14"/>
      <c r="D655" s="14"/>
      <c r="E655" s="14"/>
      <c r="K655" s="14"/>
      <c r="M655" s="14"/>
      <c r="N655" s="14"/>
      <c r="Z655" s="11"/>
      <c r="AA655" s="15"/>
      <c r="AB655" s="15"/>
      <c r="AC655" s="15"/>
      <c r="AU655" s="17"/>
    </row>
    <row r="656" spans="1:47" ht="12" customHeight="1" x14ac:dyDescent="0.25">
      <c r="A656" s="3"/>
      <c r="B656" s="14"/>
      <c r="C656" s="14"/>
      <c r="D656" s="14"/>
      <c r="E656" s="14"/>
      <c r="K656" s="14"/>
      <c r="M656" s="14"/>
      <c r="N656" s="14"/>
      <c r="Z656" s="11"/>
      <c r="AA656" s="15"/>
      <c r="AB656" s="15"/>
      <c r="AC656" s="15"/>
      <c r="AU656" s="17"/>
    </row>
    <row r="657" spans="1:47" ht="12" customHeight="1" x14ac:dyDescent="0.25">
      <c r="A657" s="3"/>
      <c r="B657" s="14"/>
      <c r="C657" s="14"/>
      <c r="D657" s="14"/>
      <c r="E657" s="14"/>
      <c r="K657" s="14"/>
      <c r="M657" s="14"/>
      <c r="N657" s="14"/>
      <c r="Z657" s="11"/>
      <c r="AA657" s="15"/>
      <c r="AB657" s="15"/>
      <c r="AC657" s="15"/>
      <c r="AU657" s="17"/>
    </row>
    <row r="658" spans="1:47" ht="12" customHeight="1" x14ac:dyDescent="0.25">
      <c r="A658" s="3"/>
      <c r="B658" s="14"/>
      <c r="C658" s="14"/>
      <c r="D658" s="14"/>
      <c r="E658" s="14"/>
      <c r="K658" s="14"/>
      <c r="M658" s="14"/>
      <c r="N658" s="14"/>
      <c r="Z658" s="11"/>
      <c r="AA658" s="15"/>
      <c r="AB658" s="15"/>
      <c r="AC658" s="15"/>
      <c r="AU658" s="17"/>
    </row>
    <row r="659" spans="1:47" ht="12" customHeight="1" x14ac:dyDescent="0.25">
      <c r="A659" s="3"/>
      <c r="B659" s="14"/>
      <c r="C659" s="14"/>
      <c r="D659" s="14"/>
      <c r="E659" s="14"/>
      <c r="K659" s="14"/>
      <c r="M659" s="14"/>
      <c r="N659" s="14"/>
      <c r="Z659" s="11"/>
      <c r="AA659" s="15"/>
      <c r="AB659" s="15"/>
      <c r="AC659" s="15"/>
      <c r="AU659" s="17"/>
    </row>
    <row r="660" spans="1:47" ht="12" customHeight="1" x14ac:dyDescent="0.25">
      <c r="A660" s="3"/>
      <c r="B660" s="14"/>
      <c r="C660" s="14"/>
      <c r="D660" s="14"/>
      <c r="E660" s="14"/>
      <c r="K660" s="14"/>
      <c r="M660" s="14"/>
      <c r="N660" s="14"/>
      <c r="Z660" s="11"/>
      <c r="AA660" s="15"/>
      <c r="AB660" s="15"/>
      <c r="AC660" s="15"/>
      <c r="AU660" s="17"/>
    </row>
    <row r="661" spans="1:47" ht="12" customHeight="1" x14ac:dyDescent="0.25">
      <c r="A661" s="3"/>
      <c r="B661" s="14"/>
      <c r="C661" s="14"/>
      <c r="D661" s="14"/>
      <c r="E661" s="14"/>
      <c r="K661" s="14"/>
      <c r="M661" s="14"/>
      <c r="N661" s="14"/>
      <c r="Z661" s="11"/>
      <c r="AA661" s="15"/>
      <c r="AB661" s="15"/>
      <c r="AC661" s="15"/>
      <c r="AU661" s="17"/>
    </row>
    <row r="662" spans="1:47" ht="12" customHeight="1" x14ac:dyDescent="0.25">
      <c r="A662" s="3"/>
      <c r="B662" s="14"/>
      <c r="C662" s="14"/>
      <c r="D662" s="14"/>
      <c r="E662" s="14"/>
      <c r="K662" s="14"/>
      <c r="M662" s="14"/>
      <c r="N662" s="14"/>
      <c r="Z662" s="11"/>
      <c r="AA662" s="15"/>
      <c r="AB662" s="15"/>
      <c r="AC662" s="15"/>
      <c r="AU662" s="17"/>
    </row>
    <row r="663" spans="1:47" ht="12" customHeight="1" x14ac:dyDescent="0.25">
      <c r="A663" s="3"/>
      <c r="B663" s="14"/>
      <c r="C663" s="14"/>
      <c r="D663" s="14"/>
      <c r="E663" s="14"/>
      <c r="K663" s="14"/>
      <c r="M663" s="14"/>
      <c r="N663" s="14"/>
      <c r="Z663" s="11"/>
      <c r="AA663" s="15"/>
      <c r="AB663" s="15"/>
      <c r="AC663" s="15"/>
      <c r="AU663" s="17"/>
    </row>
    <row r="664" spans="1:47" ht="12" customHeight="1" x14ac:dyDescent="0.25">
      <c r="A664" s="3"/>
      <c r="B664" s="14"/>
      <c r="C664" s="14"/>
      <c r="D664" s="14"/>
      <c r="E664" s="14"/>
      <c r="K664" s="14"/>
      <c r="M664" s="14"/>
      <c r="N664" s="14"/>
      <c r="Z664" s="11"/>
      <c r="AA664" s="15"/>
      <c r="AB664" s="15"/>
      <c r="AC664" s="15"/>
      <c r="AU664" s="17"/>
    </row>
    <row r="665" spans="1:47" ht="12" customHeight="1" x14ac:dyDescent="0.25">
      <c r="A665" s="3"/>
      <c r="B665" s="14"/>
      <c r="C665" s="14"/>
      <c r="D665" s="14"/>
      <c r="E665" s="14"/>
      <c r="K665" s="14"/>
      <c r="M665" s="14"/>
      <c r="N665" s="14"/>
      <c r="Z665" s="11"/>
      <c r="AA665" s="15"/>
      <c r="AB665" s="15"/>
      <c r="AC665" s="15"/>
      <c r="AU665" s="17"/>
    </row>
    <row r="666" spans="1:47" ht="12" customHeight="1" x14ac:dyDescent="0.25">
      <c r="A666" s="3"/>
      <c r="B666" s="14"/>
      <c r="C666" s="14"/>
      <c r="D666" s="14"/>
      <c r="E666" s="14"/>
      <c r="K666" s="14"/>
      <c r="M666" s="14"/>
      <c r="N666" s="14"/>
      <c r="Z666" s="11"/>
      <c r="AA666" s="15"/>
      <c r="AB666" s="15"/>
      <c r="AC666" s="15"/>
      <c r="AU666" s="17"/>
    </row>
    <row r="667" spans="1:47" ht="12" customHeight="1" x14ac:dyDescent="0.25">
      <c r="A667" s="3"/>
      <c r="B667" s="14"/>
      <c r="C667" s="14"/>
      <c r="D667" s="14"/>
      <c r="E667" s="14"/>
      <c r="K667" s="14"/>
      <c r="M667" s="14"/>
      <c r="N667" s="14"/>
      <c r="Z667" s="11"/>
      <c r="AA667" s="15"/>
      <c r="AB667" s="15"/>
      <c r="AC667" s="15"/>
      <c r="AU667" s="17"/>
    </row>
    <row r="668" spans="1:47" ht="12" customHeight="1" x14ac:dyDescent="0.25">
      <c r="A668" s="3"/>
      <c r="B668" s="14"/>
      <c r="C668" s="14"/>
      <c r="D668" s="14"/>
      <c r="E668" s="14"/>
      <c r="K668" s="14"/>
      <c r="M668" s="14"/>
      <c r="N668" s="14"/>
      <c r="Z668" s="11"/>
      <c r="AA668" s="15"/>
      <c r="AB668" s="15"/>
      <c r="AC668" s="15"/>
      <c r="AU668" s="17"/>
    </row>
    <row r="669" spans="1:47" ht="12" customHeight="1" x14ac:dyDescent="0.25">
      <c r="A669" s="3"/>
      <c r="B669" s="14"/>
      <c r="C669" s="14"/>
      <c r="D669" s="14"/>
      <c r="E669" s="14"/>
      <c r="K669" s="14"/>
      <c r="M669" s="14"/>
      <c r="N669" s="14"/>
      <c r="Z669" s="11"/>
      <c r="AA669" s="15"/>
      <c r="AB669" s="15"/>
      <c r="AC669" s="15"/>
      <c r="AU669" s="17"/>
    </row>
    <row r="670" spans="1:47" ht="12" customHeight="1" x14ac:dyDescent="0.25">
      <c r="A670" s="3"/>
      <c r="B670" s="14"/>
      <c r="C670" s="14"/>
      <c r="D670" s="14"/>
      <c r="E670" s="14"/>
      <c r="K670" s="14"/>
      <c r="M670" s="14"/>
      <c r="N670" s="14"/>
      <c r="Z670" s="11"/>
      <c r="AA670" s="15"/>
      <c r="AB670" s="15"/>
      <c r="AC670" s="15"/>
      <c r="AU670" s="17"/>
    </row>
    <row r="671" spans="1:47" ht="12" customHeight="1" x14ac:dyDescent="0.25">
      <c r="A671" s="3"/>
      <c r="B671" s="14"/>
      <c r="C671" s="14"/>
      <c r="D671" s="14"/>
      <c r="E671" s="14"/>
      <c r="K671" s="14"/>
      <c r="M671" s="14"/>
      <c r="N671" s="14"/>
      <c r="Z671" s="11"/>
      <c r="AA671" s="15"/>
      <c r="AB671" s="15"/>
      <c r="AC671" s="15"/>
      <c r="AU671" s="17"/>
    </row>
    <row r="672" spans="1:47" ht="12" customHeight="1" x14ac:dyDescent="0.25">
      <c r="A672" s="3"/>
      <c r="B672" s="14"/>
      <c r="C672" s="14"/>
      <c r="D672" s="14"/>
      <c r="E672" s="14"/>
      <c r="K672" s="14"/>
      <c r="M672" s="14"/>
      <c r="N672" s="14"/>
      <c r="Z672" s="11"/>
      <c r="AA672" s="15"/>
      <c r="AB672" s="15"/>
      <c r="AC672" s="15"/>
      <c r="AU672" s="17"/>
    </row>
    <row r="673" spans="1:47" ht="12" customHeight="1" x14ac:dyDescent="0.25">
      <c r="A673" s="3"/>
      <c r="B673" s="14"/>
      <c r="C673" s="14"/>
      <c r="D673" s="14"/>
      <c r="E673" s="14"/>
      <c r="K673" s="14"/>
      <c r="M673" s="14"/>
      <c r="N673" s="14"/>
      <c r="Z673" s="11"/>
      <c r="AA673" s="15"/>
      <c r="AB673" s="15"/>
      <c r="AC673" s="15"/>
      <c r="AU673" s="17"/>
    </row>
    <row r="674" spans="1:47" ht="12" customHeight="1" x14ac:dyDescent="0.25">
      <c r="A674" s="3"/>
      <c r="B674" s="14"/>
      <c r="C674" s="14"/>
      <c r="D674" s="14"/>
      <c r="E674" s="14"/>
      <c r="K674" s="14"/>
      <c r="M674" s="14"/>
      <c r="N674" s="14"/>
      <c r="Z674" s="11"/>
      <c r="AA674" s="15"/>
      <c r="AB674" s="15"/>
      <c r="AC674" s="15"/>
      <c r="AU674" s="17"/>
    </row>
    <row r="675" spans="1:47" ht="12" customHeight="1" x14ac:dyDescent="0.25">
      <c r="A675" s="3"/>
      <c r="B675" s="14"/>
      <c r="C675" s="14"/>
      <c r="D675" s="14"/>
      <c r="E675" s="14"/>
      <c r="K675" s="14"/>
      <c r="M675" s="14"/>
      <c r="N675" s="14"/>
      <c r="Z675" s="11"/>
      <c r="AA675" s="15"/>
      <c r="AB675" s="15"/>
      <c r="AC675" s="15"/>
      <c r="AU675" s="17"/>
    </row>
    <row r="676" spans="1:47" ht="12" customHeight="1" x14ac:dyDescent="0.25">
      <c r="A676" s="3"/>
      <c r="B676" s="14"/>
      <c r="C676" s="14"/>
      <c r="D676" s="14"/>
      <c r="E676" s="14"/>
      <c r="K676" s="14"/>
      <c r="M676" s="14"/>
      <c r="N676" s="14"/>
      <c r="Z676" s="11"/>
      <c r="AA676" s="15"/>
      <c r="AB676" s="15"/>
      <c r="AC676" s="15"/>
      <c r="AU676" s="17"/>
    </row>
    <row r="677" spans="1:47" ht="12" customHeight="1" x14ac:dyDescent="0.25">
      <c r="A677" s="3"/>
      <c r="B677" s="14"/>
      <c r="C677" s="14"/>
      <c r="D677" s="14"/>
      <c r="E677" s="14"/>
      <c r="K677" s="14"/>
      <c r="M677" s="14"/>
      <c r="N677" s="14"/>
      <c r="Z677" s="11"/>
      <c r="AA677" s="15"/>
      <c r="AB677" s="15"/>
      <c r="AC677" s="15"/>
      <c r="AU677" s="17"/>
    </row>
    <row r="678" spans="1:47" ht="12" customHeight="1" x14ac:dyDescent="0.25">
      <c r="A678" s="3"/>
      <c r="B678" s="14"/>
      <c r="C678" s="14"/>
      <c r="D678" s="14"/>
      <c r="E678" s="14"/>
      <c r="K678" s="14"/>
      <c r="M678" s="14"/>
      <c r="N678" s="14"/>
      <c r="Z678" s="11"/>
      <c r="AA678" s="15"/>
      <c r="AB678" s="15"/>
      <c r="AC678" s="15"/>
      <c r="AU678" s="17"/>
    </row>
    <row r="679" spans="1:47" ht="12" customHeight="1" x14ac:dyDescent="0.25">
      <c r="A679" s="3"/>
      <c r="B679" s="14"/>
      <c r="C679" s="14"/>
      <c r="D679" s="14"/>
      <c r="E679" s="14"/>
      <c r="K679" s="14"/>
      <c r="M679" s="14"/>
      <c r="N679" s="14"/>
      <c r="Z679" s="11"/>
      <c r="AA679" s="15"/>
      <c r="AB679" s="15"/>
      <c r="AC679" s="15"/>
      <c r="AU679" s="17"/>
    </row>
    <row r="680" spans="1:47" ht="12" customHeight="1" x14ac:dyDescent="0.25">
      <c r="A680" s="3"/>
      <c r="B680" s="14"/>
      <c r="C680" s="14"/>
      <c r="D680" s="14"/>
      <c r="E680" s="14"/>
      <c r="K680" s="14"/>
      <c r="M680" s="14"/>
      <c r="N680" s="14"/>
      <c r="Z680" s="11"/>
      <c r="AA680" s="15"/>
      <c r="AB680" s="15"/>
      <c r="AC680" s="15"/>
      <c r="AU680" s="17"/>
    </row>
    <row r="681" spans="1:47" ht="12" customHeight="1" x14ac:dyDescent="0.25">
      <c r="A681" s="3"/>
      <c r="B681" s="14"/>
      <c r="C681" s="14"/>
      <c r="D681" s="14"/>
      <c r="E681" s="14"/>
      <c r="K681" s="14"/>
      <c r="M681" s="14"/>
      <c r="N681" s="14"/>
      <c r="Z681" s="11"/>
      <c r="AA681" s="15"/>
      <c r="AB681" s="15"/>
      <c r="AC681" s="15"/>
      <c r="AU681" s="17"/>
    </row>
    <row r="682" spans="1:47" ht="12" customHeight="1" x14ac:dyDescent="0.25">
      <c r="A682" s="3"/>
      <c r="B682" s="14"/>
      <c r="C682" s="14"/>
      <c r="D682" s="14"/>
      <c r="E682" s="14"/>
      <c r="K682" s="14"/>
      <c r="M682" s="14"/>
      <c r="N682" s="14"/>
      <c r="Z682" s="11"/>
      <c r="AA682" s="15"/>
      <c r="AB682" s="15"/>
      <c r="AC682" s="15"/>
      <c r="AU682" s="17"/>
    </row>
    <row r="683" spans="1:47" ht="12" customHeight="1" x14ac:dyDescent="0.25">
      <c r="A683" s="3"/>
      <c r="B683" s="14"/>
      <c r="C683" s="14"/>
      <c r="D683" s="14"/>
      <c r="E683" s="14"/>
      <c r="K683" s="14"/>
      <c r="M683" s="14"/>
      <c r="N683" s="14"/>
      <c r="Z683" s="11"/>
      <c r="AA683" s="15"/>
      <c r="AB683" s="15"/>
      <c r="AC683" s="15"/>
      <c r="AU683" s="17"/>
    </row>
    <row r="684" spans="1:47" ht="12" customHeight="1" x14ac:dyDescent="0.25">
      <c r="A684" s="3"/>
      <c r="B684" s="14"/>
      <c r="C684" s="14"/>
      <c r="D684" s="14"/>
      <c r="E684" s="14"/>
      <c r="K684" s="14"/>
      <c r="M684" s="14"/>
      <c r="N684" s="14"/>
      <c r="Z684" s="11"/>
      <c r="AA684" s="15"/>
      <c r="AB684" s="15"/>
      <c r="AC684" s="15"/>
      <c r="AU684" s="17"/>
    </row>
    <row r="685" spans="1:47" ht="12" customHeight="1" x14ac:dyDescent="0.25">
      <c r="A685" s="3"/>
      <c r="B685" s="14"/>
      <c r="C685" s="14"/>
      <c r="D685" s="14"/>
      <c r="E685" s="14"/>
      <c r="K685" s="14"/>
      <c r="M685" s="14"/>
      <c r="N685" s="14"/>
      <c r="Z685" s="11"/>
      <c r="AA685" s="15"/>
      <c r="AB685" s="15"/>
      <c r="AC685" s="15"/>
      <c r="AU685" s="17"/>
    </row>
    <row r="686" spans="1:47" ht="12" customHeight="1" x14ac:dyDescent="0.25">
      <c r="A686" s="3"/>
      <c r="B686" s="14"/>
      <c r="C686" s="14"/>
      <c r="D686" s="14"/>
      <c r="E686" s="14"/>
      <c r="K686" s="14"/>
      <c r="M686" s="14"/>
      <c r="N686" s="14"/>
      <c r="Z686" s="11"/>
      <c r="AA686" s="15"/>
      <c r="AB686" s="15"/>
      <c r="AC686" s="15"/>
      <c r="AU686" s="17"/>
    </row>
    <row r="687" spans="1:47" ht="12" customHeight="1" x14ac:dyDescent="0.25">
      <c r="A687" s="3"/>
      <c r="B687" s="14"/>
      <c r="C687" s="14"/>
      <c r="D687" s="14"/>
      <c r="E687" s="14"/>
      <c r="K687" s="14"/>
      <c r="M687" s="14"/>
      <c r="N687" s="14"/>
      <c r="Z687" s="11"/>
      <c r="AA687" s="15"/>
      <c r="AB687" s="15"/>
      <c r="AC687" s="15"/>
      <c r="AU687" s="17"/>
    </row>
    <row r="688" spans="1:47" ht="12" customHeight="1" x14ac:dyDescent="0.25">
      <c r="A688" s="3"/>
      <c r="B688" s="14"/>
      <c r="C688" s="14"/>
      <c r="D688" s="14"/>
      <c r="E688" s="14"/>
      <c r="K688" s="14"/>
      <c r="M688" s="14"/>
      <c r="N688" s="14"/>
      <c r="Z688" s="11"/>
      <c r="AA688" s="15"/>
      <c r="AB688" s="15"/>
      <c r="AC688" s="15"/>
      <c r="AU688" s="17"/>
    </row>
    <row r="689" spans="1:47" ht="12" customHeight="1" x14ac:dyDescent="0.25">
      <c r="A689" s="3"/>
      <c r="B689" s="14"/>
      <c r="C689" s="14"/>
      <c r="D689" s="14"/>
      <c r="E689" s="14"/>
      <c r="K689" s="14"/>
      <c r="M689" s="14"/>
      <c r="N689" s="14"/>
      <c r="Z689" s="11"/>
      <c r="AA689" s="15"/>
      <c r="AB689" s="15"/>
      <c r="AC689" s="15"/>
      <c r="AU689" s="17"/>
    </row>
    <row r="690" spans="1:47" ht="12" customHeight="1" x14ac:dyDescent="0.25">
      <c r="A690" s="3"/>
      <c r="B690" s="14"/>
      <c r="C690" s="14"/>
      <c r="D690" s="14"/>
      <c r="E690" s="14"/>
      <c r="K690" s="14"/>
      <c r="M690" s="14"/>
      <c r="N690" s="14"/>
      <c r="Z690" s="11"/>
      <c r="AA690" s="15"/>
      <c r="AB690" s="15"/>
      <c r="AC690" s="15"/>
      <c r="AU690" s="17"/>
    </row>
    <row r="691" spans="1:47" ht="12" customHeight="1" x14ac:dyDescent="0.25">
      <c r="A691" s="3"/>
      <c r="B691" s="14"/>
      <c r="C691" s="14"/>
      <c r="D691" s="14"/>
      <c r="E691" s="14"/>
      <c r="K691" s="14"/>
      <c r="M691" s="14"/>
      <c r="N691" s="14"/>
      <c r="Z691" s="11"/>
      <c r="AA691" s="15"/>
      <c r="AB691" s="15"/>
      <c r="AC691" s="15"/>
      <c r="AU691" s="17"/>
    </row>
    <row r="692" spans="1:47" ht="12" customHeight="1" x14ac:dyDescent="0.25">
      <c r="A692" s="3"/>
      <c r="B692" s="14"/>
      <c r="C692" s="14"/>
      <c r="D692" s="14"/>
      <c r="E692" s="14"/>
      <c r="K692" s="14"/>
      <c r="M692" s="14"/>
      <c r="N692" s="14"/>
      <c r="Z692" s="11"/>
      <c r="AA692" s="15"/>
      <c r="AB692" s="15"/>
      <c r="AC692" s="15"/>
      <c r="AU692" s="17"/>
    </row>
    <row r="693" spans="1:47" ht="12" customHeight="1" x14ac:dyDescent="0.25">
      <c r="A693" s="3"/>
      <c r="B693" s="14"/>
      <c r="C693" s="14"/>
      <c r="D693" s="14"/>
      <c r="E693" s="14"/>
      <c r="K693" s="14"/>
      <c r="M693" s="14"/>
      <c r="N693" s="14"/>
      <c r="Z693" s="11"/>
      <c r="AA693" s="15"/>
      <c r="AB693" s="15"/>
      <c r="AC693" s="15"/>
      <c r="AU693" s="17"/>
    </row>
    <row r="694" spans="1:47" ht="12" customHeight="1" x14ac:dyDescent="0.25">
      <c r="A694" s="3"/>
      <c r="B694" s="14"/>
      <c r="C694" s="14"/>
      <c r="D694" s="14"/>
      <c r="E694" s="14"/>
      <c r="K694" s="14"/>
      <c r="M694" s="14"/>
      <c r="N694" s="14"/>
      <c r="Z694" s="11"/>
      <c r="AA694" s="15"/>
      <c r="AB694" s="15"/>
      <c r="AC694" s="15"/>
      <c r="AU694" s="17"/>
    </row>
    <row r="695" spans="1:47" ht="12" customHeight="1" x14ac:dyDescent="0.25">
      <c r="A695" s="3"/>
      <c r="B695" s="14"/>
      <c r="C695" s="14"/>
      <c r="D695" s="14"/>
      <c r="E695" s="14"/>
      <c r="K695" s="14"/>
      <c r="M695" s="14"/>
      <c r="N695" s="14"/>
      <c r="Z695" s="11"/>
      <c r="AA695" s="15"/>
      <c r="AB695" s="15"/>
      <c r="AC695" s="15"/>
      <c r="AU695" s="17"/>
    </row>
    <row r="696" spans="1:47" ht="12" customHeight="1" x14ac:dyDescent="0.25">
      <c r="A696" s="3"/>
      <c r="B696" s="14"/>
      <c r="C696" s="14"/>
      <c r="D696" s="14"/>
      <c r="E696" s="14"/>
      <c r="K696" s="14"/>
      <c r="M696" s="14"/>
      <c r="N696" s="14"/>
      <c r="Z696" s="11"/>
      <c r="AA696" s="15"/>
      <c r="AB696" s="15"/>
      <c r="AC696" s="15"/>
      <c r="AU696" s="17"/>
    </row>
    <row r="697" spans="1:47" ht="12" customHeight="1" x14ac:dyDescent="0.25">
      <c r="A697" s="3"/>
      <c r="B697" s="14"/>
      <c r="C697" s="14"/>
      <c r="D697" s="14"/>
      <c r="E697" s="14"/>
      <c r="K697" s="14"/>
      <c r="M697" s="14"/>
      <c r="N697" s="14"/>
      <c r="Z697" s="11"/>
      <c r="AA697" s="15"/>
      <c r="AB697" s="15"/>
      <c r="AC697" s="15"/>
      <c r="AU697" s="17"/>
    </row>
    <row r="698" spans="1:47" ht="12" customHeight="1" x14ac:dyDescent="0.25">
      <c r="A698" s="3"/>
      <c r="B698" s="14"/>
      <c r="C698" s="14"/>
      <c r="D698" s="14"/>
      <c r="E698" s="14"/>
      <c r="K698" s="14"/>
      <c r="M698" s="14"/>
      <c r="N698" s="14"/>
      <c r="Z698" s="11"/>
      <c r="AA698" s="15"/>
      <c r="AB698" s="15"/>
      <c r="AC698" s="15"/>
      <c r="AU698" s="17"/>
    </row>
    <row r="699" spans="1:47" ht="12" customHeight="1" x14ac:dyDescent="0.25">
      <c r="A699" s="3"/>
      <c r="B699" s="14"/>
      <c r="C699" s="14"/>
      <c r="D699" s="14"/>
      <c r="E699" s="14"/>
      <c r="K699" s="14"/>
      <c r="M699" s="14"/>
      <c r="N699" s="14"/>
      <c r="Z699" s="11"/>
      <c r="AA699" s="15"/>
      <c r="AB699" s="15"/>
      <c r="AC699" s="15"/>
      <c r="AU699" s="17"/>
    </row>
    <row r="700" spans="1:47" ht="12" customHeight="1" x14ac:dyDescent="0.25">
      <c r="A700" s="3"/>
      <c r="B700" s="14"/>
      <c r="C700" s="14"/>
      <c r="D700" s="14"/>
      <c r="E700" s="14"/>
      <c r="K700" s="14"/>
      <c r="M700" s="14"/>
      <c r="N700" s="14"/>
      <c r="Z700" s="11"/>
      <c r="AA700" s="15"/>
      <c r="AB700" s="15"/>
      <c r="AC700" s="15"/>
      <c r="AU700" s="17"/>
    </row>
    <row r="701" spans="1:47" ht="12" customHeight="1" x14ac:dyDescent="0.25">
      <c r="A701" s="3"/>
      <c r="B701" s="14"/>
      <c r="C701" s="14"/>
      <c r="D701" s="14"/>
      <c r="E701" s="14"/>
      <c r="K701" s="14"/>
      <c r="M701" s="14"/>
      <c r="N701" s="14"/>
      <c r="Z701" s="11"/>
      <c r="AA701" s="15"/>
      <c r="AB701" s="15"/>
      <c r="AC701" s="15"/>
      <c r="AU701" s="17"/>
    </row>
    <row r="702" spans="1:47" ht="12" customHeight="1" x14ac:dyDescent="0.25">
      <c r="A702" s="3"/>
      <c r="B702" s="14"/>
      <c r="C702" s="14"/>
      <c r="D702" s="14"/>
      <c r="E702" s="14"/>
      <c r="K702" s="14"/>
      <c r="M702" s="14"/>
      <c r="N702" s="14"/>
      <c r="Z702" s="11"/>
      <c r="AA702" s="15"/>
      <c r="AB702" s="15"/>
      <c r="AC702" s="15"/>
      <c r="AU702" s="17"/>
    </row>
    <row r="703" spans="1:47" ht="12" customHeight="1" x14ac:dyDescent="0.25">
      <c r="A703" s="3"/>
      <c r="B703" s="14"/>
      <c r="C703" s="14"/>
      <c r="D703" s="14"/>
      <c r="E703" s="14"/>
      <c r="K703" s="14"/>
      <c r="M703" s="14"/>
      <c r="N703" s="14"/>
      <c r="Z703" s="11"/>
      <c r="AA703" s="15"/>
      <c r="AB703" s="15"/>
      <c r="AC703" s="15"/>
      <c r="AU703" s="17"/>
    </row>
    <row r="704" spans="1:47" ht="12" customHeight="1" x14ac:dyDescent="0.25">
      <c r="A704" s="3"/>
      <c r="B704" s="14"/>
      <c r="C704" s="14"/>
      <c r="D704" s="14"/>
      <c r="E704" s="14"/>
      <c r="K704" s="14"/>
      <c r="M704" s="14"/>
      <c r="N704" s="14"/>
      <c r="Z704" s="11"/>
      <c r="AA704" s="15"/>
      <c r="AB704" s="15"/>
      <c r="AC704" s="15"/>
      <c r="AU704" s="17"/>
    </row>
    <row r="705" spans="1:47" ht="12" customHeight="1" x14ac:dyDescent="0.25">
      <c r="A705" s="3"/>
      <c r="B705" s="14"/>
      <c r="C705" s="14"/>
      <c r="D705" s="14"/>
      <c r="E705" s="14"/>
      <c r="K705" s="14"/>
      <c r="M705" s="14"/>
      <c r="N705" s="14"/>
      <c r="Z705" s="11"/>
      <c r="AA705" s="15"/>
      <c r="AB705" s="15"/>
      <c r="AC705" s="15"/>
      <c r="AU705" s="17"/>
    </row>
    <row r="706" spans="1:47" ht="12" customHeight="1" x14ac:dyDescent="0.25">
      <c r="A706" s="3"/>
      <c r="B706" s="14"/>
      <c r="C706" s="14"/>
      <c r="D706" s="14"/>
      <c r="E706" s="14"/>
      <c r="K706" s="14"/>
      <c r="M706" s="14"/>
      <c r="N706" s="14"/>
      <c r="Z706" s="11"/>
      <c r="AA706" s="15"/>
      <c r="AB706" s="15"/>
      <c r="AC706" s="15"/>
      <c r="AU706" s="17"/>
    </row>
    <row r="707" spans="1:47" ht="12" customHeight="1" x14ac:dyDescent="0.25">
      <c r="A707" s="3"/>
      <c r="B707" s="14"/>
      <c r="C707" s="14"/>
      <c r="D707" s="14"/>
      <c r="E707" s="14"/>
      <c r="K707" s="14"/>
      <c r="M707" s="14"/>
      <c r="N707" s="14"/>
      <c r="Z707" s="11"/>
      <c r="AA707" s="15"/>
      <c r="AB707" s="15"/>
      <c r="AC707" s="15"/>
      <c r="AU707" s="17"/>
    </row>
    <row r="708" spans="1:47" ht="12" customHeight="1" x14ac:dyDescent="0.25">
      <c r="A708" s="3"/>
      <c r="B708" s="14"/>
      <c r="C708" s="14"/>
      <c r="D708" s="14"/>
      <c r="E708" s="14"/>
      <c r="K708" s="14"/>
      <c r="M708" s="14"/>
      <c r="N708" s="14"/>
      <c r="Z708" s="11"/>
      <c r="AA708" s="15"/>
      <c r="AB708" s="15"/>
      <c r="AC708" s="15"/>
      <c r="AU708" s="17"/>
    </row>
    <row r="709" spans="1:47" ht="12" customHeight="1" x14ac:dyDescent="0.25">
      <c r="A709" s="3"/>
      <c r="B709" s="14"/>
      <c r="C709" s="14"/>
      <c r="D709" s="14"/>
      <c r="E709" s="14"/>
      <c r="K709" s="14"/>
      <c r="M709" s="14"/>
      <c r="N709" s="14"/>
      <c r="Z709" s="11"/>
      <c r="AA709" s="15"/>
      <c r="AB709" s="15"/>
      <c r="AC709" s="15"/>
      <c r="AU709" s="17"/>
    </row>
    <row r="710" spans="1:47" ht="12" customHeight="1" x14ac:dyDescent="0.25">
      <c r="A710" s="3"/>
      <c r="B710" s="14"/>
      <c r="C710" s="14"/>
      <c r="D710" s="14"/>
      <c r="E710" s="14"/>
      <c r="K710" s="14"/>
      <c r="M710" s="14"/>
      <c r="N710" s="14"/>
      <c r="Z710" s="11"/>
      <c r="AA710" s="15"/>
      <c r="AB710" s="15"/>
      <c r="AC710" s="15"/>
      <c r="AU710" s="17"/>
    </row>
    <row r="711" spans="1:47" ht="12" customHeight="1" x14ac:dyDescent="0.25">
      <c r="A711" s="3"/>
      <c r="B711" s="14"/>
      <c r="C711" s="14"/>
      <c r="D711" s="14"/>
      <c r="E711" s="14"/>
      <c r="K711" s="14"/>
      <c r="M711" s="14"/>
      <c r="N711" s="14"/>
      <c r="Z711" s="11"/>
      <c r="AA711" s="15"/>
      <c r="AB711" s="15"/>
      <c r="AC711" s="15"/>
      <c r="AU711" s="17"/>
    </row>
    <row r="712" spans="1:47" ht="12" customHeight="1" x14ac:dyDescent="0.25">
      <c r="A712" s="3"/>
      <c r="B712" s="14"/>
      <c r="C712" s="14"/>
      <c r="D712" s="14"/>
      <c r="E712" s="14"/>
      <c r="K712" s="14"/>
      <c r="M712" s="14"/>
      <c r="N712" s="14"/>
      <c r="Z712" s="11"/>
      <c r="AA712" s="15"/>
      <c r="AB712" s="15"/>
      <c r="AC712" s="15"/>
      <c r="AU712" s="17"/>
    </row>
    <row r="713" spans="1:47" ht="12" customHeight="1" x14ac:dyDescent="0.25">
      <c r="A713" s="3"/>
      <c r="B713" s="14"/>
      <c r="C713" s="14"/>
      <c r="D713" s="14"/>
      <c r="E713" s="14"/>
      <c r="K713" s="14"/>
      <c r="M713" s="14"/>
      <c r="N713" s="14"/>
      <c r="Z713" s="11"/>
      <c r="AA713" s="15"/>
      <c r="AB713" s="15"/>
      <c r="AC713" s="15"/>
      <c r="AU713" s="17"/>
    </row>
    <row r="714" spans="1:47" ht="12" customHeight="1" x14ac:dyDescent="0.25">
      <c r="A714" s="3"/>
      <c r="B714" s="14"/>
      <c r="C714" s="14"/>
      <c r="D714" s="14"/>
      <c r="E714" s="14"/>
      <c r="K714" s="14"/>
      <c r="M714" s="14"/>
      <c r="N714" s="14"/>
      <c r="Z714" s="11"/>
      <c r="AA714" s="15"/>
      <c r="AB714" s="15"/>
      <c r="AC714" s="15"/>
      <c r="AU714" s="17"/>
    </row>
    <row r="715" spans="1:47" ht="12" customHeight="1" x14ac:dyDescent="0.25">
      <c r="A715" s="3"/>
      <c r="B715" s="14"/>
      <c r="C715" s="14"/>
      <c r="D715" s="14"/>
      <c r="E715" s="14"/>
      <c r="K715" s="14"/>
      <c r="M715" s="14"/>
      <c r="N715" s="14"/>
      <c r="Z715" s="11"/>
      <c r="AA715" s="15"/>
      <c r="AB715" s="15"/>
      <c r="AC715" s="15"/>
      <c r="AU715" s="17"/>
    </row>
    <row r="716" spans="1:47" ht="12" customHeight="1" x14ac:dyDescent="0.25">
      <c r="A716" s="3"/>
      <c r="B716" s="14"/>
      <c r="C716" s="14"/>
      <c r="D716" s="14"/>
      <c r="E716" s="14"/>
      <c r="K716" s="14"/>
      <c r="M716" s="14"/>
      <c r="N716" s="14"/>
      <c r="Z716" s="11"/>
      <c r="AA716" s="15"/>
      <c r="AB716" s="15"/>
      <c r="AC716" s="15"/>
      <c r="AU716" s="17"/>
    </row>
    <row r="717" spans="1:47" ht="12" customHeight="1" x14ac:dyDescent="0.25">
      <c r="A717" s="3"/>
      <c r="B717" s="14"/>
      <c r="C717" s="14"/>
      <c r="D717" s="14"/>
      <c r="E717" s="14"/>
      <c r="K717" s="14"/>
      <c r="M717" s="14"/>
      <c r="N717" s="14"/>
      <c r="Z717" s="11"/>
      <c r="AA717" s="15"/>
      <c r="AB717" s="15"/>
      <c r="AC717" s="15"/>
      <c r="AU717" s="17"/>
    </row>
    <row r="718" spans="1:47" ht="12" customHeight="1" x14ac:dyDescent="0.25">
      <c r="A718" s="3"/>
      <c r="B718" s="14"/>
      <c r="C718" s="14"/>
      <c r="D718" s="14"/>
      <c r="E718" s="14"/>
      <c r="K718" s="14"/>
      <c r="M718" s="14"/>
      <c r="N718" s="14"/>
      <c r="Z718" s="11"/>
      <c r="AA718" s="15"/>
      <c r="AB718" s="15"/>
      <c r="AC718" s="15"/>
      <c r="AU718" s="17"/>
    </row>
    <row r="719" spans="1:47" ht="12" customHeight="1" x14ac:dyDescent="0.25">
      <c r="A719" s="3"/>
      <c r="B719" s="14"/>
      <c r="C719" s="14"/>
      <c r="D719" s="14"/>
      <c r="E719" s="14"/>
      <c r="K719" s="14"/>
      <c r="M719" s="14"/>
      <c r="N719" s="14"/>
      <c r="Z719" s="11"/>
      <c r="AA719" s="15"/>
      <c r="AB719" s="15"/>
      <c r="AC719" s="15"/>
      <c r="AU719" s="17"/>
    </row>
    <row r="720" spans="1:47" ht="12" customHeight="1" x14ac:dyDescent="0.25">
      <c r="A720" s="3"/>
      <c r="B720" s="14"/>
      <c r="C720" s="14"/>
      <c r="D720" s="14"/>
      <c r="E720" s="14"/>
      <c r="K720" s="14"/>
      <c r="M720" s="14"/>
      <c r="N720" s="14"/>
      <c r="Z720" s="11"/>
      <c r="AA720" s="15"/>
      <c r="AB720" s="15"/>
      <c r="AC720" s="15"/>
      <c r="AU720" s="17"/>
    </row>
    <row r="721" spans="1:47" ht="12" customHeight="1" x14ac:dyDescent="0.25">
      <c r="A721" s="3"/>
      <c r="B721" s="14"/>
      <c r="C721" s="14"/>
      <c r="D721" s="14"/>
      <c r="E721" s="14"/>
      <c r="K721" s="14"/>
      <c r="M721" s="14"/>
      <c r="N721" s="14"/>
      <c r="Z721" s="11"/>
      <c r="AA721" s="15"/>
      <c r="AB721" s="15"/>
      <c r="AC721" s="15"/>
      <c r="AU721" s="17"/>
    </row>
    <row r="722" spans="1:47" ht="12" customHeight="1" x14ac:dyDescent="0.25">
      <c r="A722" s="3"/>
      <c r="B722" s="14"/>
      <c r="C722" s="14"/>
      <c r="D722" s="14"/>
      <c r="E722" s="14"/>
      <c r="K722" s="14"/>
      <c r="M722" s="14"/>
      <c r="N722" s="14"/>
      <c r="Z722" s="11"/>
      <c r="AA722" s="15"/>
      <c r="AB722" s="15"/>
      <c r="AC722" s="15"/>
      <c r="AU722" s="17"/>
    </row>
    <row r="723" spans="1:47" ht="12" customHeight="1" x14ac:dyDescent="0.25">
      <c r="A723" s="3"/>
      <c r="B723" s="14"/>
      <c r="C723" s="14"/>
      <c r="D723" s="14"/>
      <c r="E723" s="14"/>
      <c r="K723" s="14"/>
      <c r="M723" s="14"/>
      <c r="N723" s="14"/>
      <c r="Z723" s="11"/>
      <c r="AA723" s="15"/>
      <c r="AB723" s="15"/>
      <c r="AC723" s="15"/>
      <c r="AU723" s="17"/>
    </row>
    <row r="724" spans="1:47" ht="12" customHeight="1" x14ac:dyDescent="0.25">
      <c r="A724" s="3"/>
      <c r="B724" s="14"/>
      <c r="C724" s="14"/>
      <c r="D724" s="14"/>
      <c r="E724" s="14"/>
      <c r="K724" s="14"/>
      <c r="M724" s="14"/>
      <c r="N724" s="14"/>
      <c r="Z724" s="11"/>
      <c r="AA724" s="15"/>
      <c r="AB724" s="15"/>
      <c r="AC724" s="15"/>
      <c r="AU724" s="17"/>
    </row>
    <row r="725" spans="1:47" ht="12" customHeight="1" x14ac:dyDescent="0.25">
      <c r="A725" s="3"/>
      <c r="B725" s="14"/>
      <c r="C725" s="14"/>
      <c r="D725" s="14"/>
      <c r="E725" s="14"/>
      <c r="K725" s="14"/>
      <c r="M725" s="14"/>
      <c r="N725" s="14"/>
      <c r="Z725" s="11"/>
      <c r="AA725" s="15"/>
      <c r="AB725" s="15"/>
      <c r="AC725" s="15"/>
      <c r="AU725" s="17"/>
    </row>
    <row r="726" spans="1:47" ht="12" customHeight="1" x14ac:dyDescent="0.25">
      <c r="A726" s="3"/>
      <c r="B726" s="14"/>
      <c r="C726" s="14"/>
      <c r="D726" s="14"/>
      <c r="E726" s="14"/>
      <c r="K726" s="14"/>
      <c r="M726" s="14"/>
      <c r="N726" s="14"/>
      <c r="Z726" s="11"/>
      <c r="AA726" s="15"/>
      <c r="AB726" s="15"/>
      <c r="AC726" s="15"/>
      <c r="AU726" s="17"/>
    </row>
    <row r="727" spans="1:47" ht="12" customHeight="1" x14ac:dyDescent="0.25">
      <c r="A727" s="3"/>
      <c r="B727" s="14"/>
      <c r="C727" s="14"/>
      <c r="D727" s="14"/>
      <c r="E727" s="14"/>
      <c r="K727" s="14"/>
      <c r="M727" s="14"/>
      <c r="N727" s="14"/>
      <c r="Z727" s="11"/>
      <c r="AA727" s="15"/>
      <c r="AB727" s="15"/>
      <c r="AC727" s="15"/>
      <c r="AU727" s="17"/>
    </row>
    <row r="728" spans="1:47" ht="12" customHeight="1" x14ac:dyDescent="0.25">
      <c r="A728" s="3"/>
      <c r="B728" s="14"/>
      <c r="C728" s="14"/>
      <c r="D728" s="14"/>
      <c r="E728" s="14"/>
      <c r="K728" s="14"/>
      <c r="M728" s="14"/>
      <c r="N728" s="14"/>
      <c r="Z728" s="11"/>
      <c r="AA728" s="15"/>
      <c r="AB728" s="15"/>
      <c r="AC728" s="15"/>
      <c r="AU728" s="17"/>
    </row>
    <row r="729" spans="1:47" ht="12" customHeight="1" x14ac:dyDescent="0.25">
      <c r="A729" s="3"/>
      <c r="B729" s="14"/>
      <c r="C729" s="14"/>
      <c r="D729" s="14"/>
      <c r="E729" s="14"/>
      <c r="K729" s="14"/>
      <c r="M729" s="14"/>
      <c r="N729" s="14"/>
      <c r="Z729" s="11"/>
      <c r="AA729" s="15"/>
      <c r="AB729" s="15"/>
      <c r="AC729" s="15"/>
      <c r="AU729" s="17"/>
    </row>
    <row r="730" spans="1:47" ht="12" customHeight="1" x14ac:dyDescent="0.25">
      <c r="A730" s="3"/>
      <c r="B730" s="14"/>
      <c r="C730" s="14"/>
      <c r="D730" s="14"/>
      <c r="E730" s="14"/>
      <c r="K730" s="14"/>
      <c r="M730" s="14"/>
      <c r="N730" s="14"/>
      <c r="Z730" s="11"/>
      <c r="AA730" s="15"/>
      <c r="AB730" s="15"/>
      <c r="AC730" s="15"/>
      <c r="AU730" s="17"/>
    </row>
    <row r="731" spans="1:47" ht="12" customHeight="1" x14ac:dyDescent="0.25">
      <c r="A731" s="3"/>
      <c r="B731" s="14"/>
      <c r="C731" s="14"/>
      <c r="D731" s="14"/>
      <c r="E731" s="14"/>
      <c r="K731" s="14"/>
      <c r="M731" s="14"/>
      <c r="N731" s="14"/>
      <c r="Z731" s="11"/>
      <c r="AA731" s="15"/>
      <c r="AB731" s="15"/>
      <c r="AC731" s="15"/>
      <c r="AU731" s="17"/>
    </row>
    <row r="732" spans="1:47" ht="12" customHeight="1" x14ac:dyDescent="0.25">
      <c r="A732" s="3"/>
      <c r="B732" s="14"/>
      <c r="C732" s="14"/>
      <c r="D732" s="14"/>
      <c r="E732" s="14"/>
      <c r="K732" s="14"/>
      <c r="M732" s="14"/>
      <c r="N732" s="14"/>
      <c r="Z732" s="11"/>
      <c r="AA732" s="15"/>
      <c r="AB732" s="15"/>
      <c r="AC732" s="15"/>
      <c r="AU732" s="17"/>
    </row>
    <row r="733" spans="1:47" ht="12" customHeight="1" x14ac:dyDescent="0.25">
      <c r="A733" s="3"/>
      <c r="B733" s="14"/>
      <c r="C733" s="14"/>
      <c r="D733" s="14"/>
      <c r="E733" s="14"/>
      <c r="K733" s="14"/>
      <c r="M733" s="14"/>
      <c r="N733" s="14"/>
      <c r="Z733" s="11"/>
      <c r="AA733" s="15"/>
      <c r="AB733" s="15"/>
      <c r="AC733" s="15"/>
      <c r="AU733" s="17"/>
    </row>
    <row r="734" spans="1:47" ht="12" customHeight="1" x14ac:dyDescent="0.25">
      <c r="A734" s="3"/>
      <c r="B734" s="14"/>
      <c r="C734" s="14"/>
      <c r="D734" s="14"/>
      <c r="E734" s="14"/>
      <c r="K734" s="14"/>
      <c r="M734" s="14"/>
      <c r="N734" s="14"/>
      <c r="Z734" s="11"/>
      <c r="AA734" s="15"/>
      <c r="AB734" s="15"/>
      <c r="AC734" s="15"/>
      <c r="AU734" s="17"/>
    </row>
    <row r="735" spans="1:47" ht="12" customHeight="1" x14ac:dyDescent="0.25">
      <c r="A735" s="3"/>
      <c r="B735" s="14"/>
      <c r="C735" s="14"/>
      <c r="D735" s="14"/>
      <c r="E735" s="14"/>
      <c r="K735" s="14"/>
      <c r="M735" s="14"/>
      <c r="N735" s="14"/>
      <c r="Z735" s="11"/>
      <c r="AA735" s="15"/>
      <c r="AB735" s="15"/>
      <c r="AC735" s="15"/>
      <c r="AU735" s="17"/>
    </row>
    <row r="736" spans="1:47" ht="12" customHeight="1" x14ac:dyDescent="0.25">
      <c r="A736" s="3"/>
      <c r="B736" s="14"/>
      <c r="C736" s="14"/>
      <c r="D736" s="14"/>
      <c r="E736" s="14"/>
      <c r="K736" s="14"/>
      <c r="M736" s="14"/>
      <c r="N736" s="14"/>
      <c r="Z736" s="11"/>
      <c r="AA736" s="15"/>
      <c r="AB736" s="15"/>
      <c r="AC736" s="15"/>
      <c r="AU736" s="17"/>
    </row>
    <row r="737" spans="1:47" ht="12" customHeight="1" x14ac:dyDescent="0.25">
      <c r="A737" s="3"/>
      <c r="B737" s="14"/>
      <c r="C737" s="14"/>
      <c r="D737" s="14"/>
      <c r="E737" s="14"/>
      <c r="K737" s="14"/>
      <c r="M737" s="14"/>
      <c r="N737" s="14"/>
      <c r="Z737" s="11"/>
      <c r="AA737" s="15"/>
      <c r="AB737" s="15"/>
      <c r="AC737" s="15"/>
      <c r="AU737" s="17"/>
    </row>
    <row r="738" spans="1:47" ht="12" customHeight="1" x14ac:dyDescent="0.25">
      <c r="A738" s="3"/>
      <c r="B738" s="14"/>
      <c r="C738" s="14"/>
      <c r="D738" s="14"/>
      <c r="E738" s="14"/>
      <c r="K738" s="14"/>
      <c r="M738" s="14"/>
      <c r="N738" s="14"/>
      <c r="Z738" s="11"/>
      <c r="AA738" s="15"/>
      <c r="AB738" s="15"/>
      <c r="AC738" s="15"/>
      <c r="AU738" s="17"/>
    </row>
    <row r="739" spans="1:47" ht="12" customHeight="1" x14ac:dyDescent="0.25">
      <c r="A739" s="3"/>
      <c r="B739" s="14"/>
      <c r="C739" s="14"/>
      <c r="D739" s="14"/>
      <c r="E739" s="14"/>
      <c r="K739" s="14"/>
      <c r="M739" s="14"/>
      <c r="N739" s="14"/>
      <c r="Z739" s="11"/>
      <c r="AA739" s="15"/>
      <c r="AB739" s="15"/>
      <c r="AC739" s="15"/>
      <c r="AU739" s="17"/>
    </row>
    <row r="740" spans="1:47" ht="12" customHeight="1" x14ac:dyDescent="0.25">
      <c r="A740" s="3"/>
      <c r="B740" s="14"/>
      <c r="C740" s="14"/>
      <c r="D740" s="14"/>
      <c r="E740" s="14"/>
      <c r="K740" s="14"/>
      <c r="M740" s="14"/>
      <c r="N740" s="14"/>
      <c r="Z740" s="11"/>
      <c r="AA740" s="15"/>
      <c r="AB740" s="15"/>
      <c r="AC740" s="15"/>
      <c r="AU740" s="17"/>
    </row>
    <row r="741" spans="1:47" ht="12" customHeight="1" x14ac:dyDescent="0.25">
      <c r="A741" s="3"/>
      <c r="B741" s="14"/>
      <c r="C741" s="14"/>
      <c r="D741" s="14"/>
      <c r="E741" s="14"/>
      <c r="K741" s="14"/>
      <c r="M741" s="14"/>
      <c r="N741" s="14"/>
      <c r="Z741" s="11"/>
      <c r="AA741" s="15"/>
      <c r="AB741" s="15"/>
      <c r="AC741" s="15"/>
      <c r="AU741" s="17"/>
    </row>
    <row r="742" spans="1:47" ht="12" customHeight="1" x14ac:dyDescent="0.25">
      <c r="A742" s="3"/>
      <c r="B742" s="14"/>
      <c r="C742" s="14"/>
      <c r="D742" s="14"/>
      <c r="E742" s="14"/>
      <c r="K742" s="14"/>
      <c r="M742" s="14"/>
      <c r="N742" s="14"/>
      <c r="Z742" s="11"/>
      <c r="AA742" s="15"/>
      <c r="AB742" s="15"/>
      <c r="AC742" s="15"/>
      <c r="AU742" s="17"/>
    </row>
    <row r="743" spans="1:47" ht="12" customHeight="1" x14ac:dyDescent="0.25">
      <c r="A743" s="3"/>
      <c r="B743" s="14"/>
      <c r="C743" s="14"/>
      <c r="D743" s="14"/>
      <c r="E743" s="14"/>
      <c r="K743" s="14"/>
      <c r="M743" s="14"/>
      <c r="N743" s="14"/>
      <c r="Z743" s="11"/>
      <c r="AA743" s="15"/>
      <c r="AB743" s="15"/>
      <c r="AC743" s="15"/>
      <c r="AU743" s="17"/>
    </row>
    <row r="744" spans="1:47" ht="12" customHeight="1" x14ac:dyDescent="0.25">
      <c r="A744" s="3"/>
      <c r="B744" s="14"/>
      <c r="C744" s="14"/>
      <c r="D744" s="14"/>
      <c r="E744" s="14"/>
      <c r="K744" s="14"/>
      <c r="M744" s="14"/>
      <c r="N744" s="14"/>
      <c r="Z744" s="11"/>
      <c r="AA744" s="15"/>
      <c r="AB744" s="15"/>
      <c r="AC744" s="15"/>
      <c r="AU744" s="17"/>
    </row>
    <row r="745" spans="1:47" ht="12" customHeight="1" x14ac:dyDescent="0.25">
      <c r="A745" s="3"/>
      <c r="B745" s="14"/>
      <c r="C745" s="14"/>
      <c r="D745" s="14"/>
      <c r="E745" s="14"/>
      <c r="K745" s="14"/>
      <c r="M745" s="14"/>
      <c r="N745" s="14"/>
      <c r="Z745" s="11"/>
      <c r="AA745" s="15"/>
      <c r="AB745" s="15"/>
      <c r="AC745" s="15"/>
      <c r="AU745" s="17"/>
    </row>
    <row r="746" spans="1:47" ht="12" customHeight="1" x14ac:dyDescent="0.25">
      <c r="A746" s="3"/>
      <c r="B746" s="14"/>
      <c r="C746" s="14"/>
      <c r="D746" s="14"/>
      <c r="E746" s="14"/>
      <c r="K746" s="14"/>
      <c r="M746" s="14"/>
      <c r="N746" s="14"/>
      <c r="Z746" s="11"/>
      <c r="AA746" s="15"/>
      <c r="AB746" s="15"/>
      <c r="AC746" s="15"/>
      <c r="AU746" s="17"/>
    </row>
    <row r="747" spans="1:47" ht="12" customHeight="1" x14ac:dyDescent="0.25">
      <c r="A747" s="3"/>
      <c r="B747" s="14"/>
      <c r="C747" s="14"/>
      <c r="D747" s="14"/>
      <c r="E747" s="14"/>
      <c r="K747" s="14"/>
      <c r="M747" s="14"/>
      <c r="N747" s="14"/>
      <c r="Z747" s="11"/>
      <c r="AA747" s="15"/>
      <c r="AB747" s="15"/>
      <c r="AC747" s="15"/>
      <c r="AU747" s="17"/>
    </row>
    <row r="748" spans="1:47" ht="12" customHeight="1" x14ac:dyDescent="0.25">
      <c r="A748" s="3"/>
      <c r="B748" s="14"/>
      <c r="C748" s="14"/>
      <c r="D748" s="14"/>
      <c r="E748" s="14"/>
      <c r="K748" s="14"/>
      <c r="M748" s="14"/>
      <c r="N748" s="14"/>
      <c r="Z748" s="11"/>
      <c r="AA748" s="15"/>
      <c r="AB748" s="15"/>
      <c r="AC748" s="15"/>
      <c r="AU748" s="17"/>
    </row>
    <row r="749" spans="1:47" ht="12" customHeight="1" x14ac:dyDescent="0.25">
      <c r="A749" s="3"/>
      <c r="B749" s="14"/>
      <c r="C749" s="14"/>
      <c r="D749" s="14"/>
      <c r="E749" s="14"/>
      <c r="K749" s="14"/>
      <c r="M749" s="14"/>
      <c r="N749" s="14"/>
      <c r="Z749" s="11"/>
      <c r="AA749" s="15"/>
      <c r="AB749" s="15"/>
      <c r="AC749" s="15"/>
      <c r="AU749" s="17"/>
    </row>
    <row r="750" spans="1:47" ht="12" customHeight="1" x14ac:dyDescent="0.25">
      <c r="A750" s="3"/>
      <c r="B750" s="14"/>
      <c r="C750" s="14"/>
      <c r="D750" s="14"/>
      <c r="E750" s="14"/>
      <c r="K750" s="14"/>
      <c r="M750" s="14"/>
      <c r="N750" s="14"/>
      <c r="Z750" s="11"/>
      <c r="AA750" s="15"/>
      <c r="AB750" s="15"/>
      <c r="AC750" s="15"/>
      <c r="AU750" s="17"/>
    </row>
    <row r="751" spans="1:47" ht="12" customHeight="1" x14ac:dyDescent="0.25">
      <c r="A751" s="3"/>
      <c r="B751" s="14"/>
      <c r="C751" s="14"/>
      <c r="D751" s="14"/>
      <c r="E751" s="14"/>
      <c r="K751" s="14"/>
      <c r="M751" s="14"/>
      <c r="N751" s="14"/>
      <c r="Z751" s="11"/>
      <c r="AA751" s="15"/>
      <c r="AB751" s="15"/>
      <c r="AC751" s="15"/>
      <c r="AU751" s="17"/>
    </row>
    <row r="752" spans="1:47" ht="12" customHeight="1" x14ac:dyDescent="0.25">
      <c r="A752" s="3"/>
      <c r="B752" s="14"/>
      <c r="C752" s="14"/>
      <c r="D752" s="14"/>
      <c r="E752" s="14"/>
      <c r="K752" s="14"/>
      <c r="M752" s="14"/>
      <c r="N752" s="14"/>
      <c r="Z752" s="11"/>
      <c r="AA752" s="15"/>
      <c r="AB752" s="15"/>
      <c r="AC752" s="15"/>
      <c r="AU752" s="17"/>
    </row>
    <row r="753" spans="1:47" ht="12" customHeight="1" x14ac:dyDescent="0.25">
      <c r="A753" s="3"/>
      <c r="B753" s="14"/>
      <c r="C753" s="14"/>
      <c r="D753" s="14"/>
      <c r="E753" s="14"/>
      <c r="K753" s="14"/>
      <c r="M753" s="14"/>
      <c r="N753" s="14"/>
      <c r="Z753" s="11"/>
      <c r="AA753" s="15"/>
      <c r="AB753" s="15"/>
      <c r="AC753" s="15"/>
      <c r="AU753" s="17"/>
    </row>
    <row r="754" spans="1:47" ht="12" customHeight="1" x14ac:dyDescent="0.25">
      <c r="A754" s="3"/>
      <c r="B754" s="14"/>
      <c r="C754" s="14"/>
      <c r="D754" s="14"/>
      <c r="E754" s="14"/>
      <c r="K754" s="14"/>
      <c r="M754" s="14"/>
      <c r="N754" s="14"/>
      <c r="Z754" s="11"/>
      <c r="AA754" s="15"/>
      <c r="AB754" s="15"/>
      <c r="AC754" s="15"/>
      <c r="AU754" s="17"/>
    </row>
    <row r="755" spans="1:47" ht="12" customHeight="1" x14ac:dyDescent="0.25">
      <c r="A755" s="3"/>
      <c r="B755" s="14"/>
      <c r="C755" s="14"/>
      <c r="D755" s="14"/>
      <c r="E755" s="14"/>
      <c r="K755" s="14"/>
      <c r="M755" s="14"/>
      <c r="N755" s="14"/>
      <c r="Z755" s="11"/>
      <c r="AA755" s="15"/>
      <c r="AB755" s="15"/>
      <c r="AC755" s="15"/>
      <c r="AU755" s="17"/>
    </row>
    <row r="756" spans="1:47" ht="12" customHeight="1" x14ac:dyDescent="0.25">
      <c r="A756" s="3"/>
      <c r="B756" s="14"/>
      <c r="C756" s="14"/>
      <c r="D756" s="14"/>
      <c r="E756" s="14"/>
      <c r="K756" s="14"/>
      <c r="M756" s="14"/>
      <c r="N756" s="14"/>
      <c r="Z756" s="11"/>
      <c r="AA756" s="15"/>
      <c r="AB756" s="15"/>
      <c r="AC756" s="15"/>
      <c r="AU756" s="17"/>
    </row>
    <row r="757" spans="1:47" ht="12" customHeight="1" x14ac:dyDescent="0.25">
      <c r="A757" s="3"/>
      <c r="B757" s="14"/>
      <c r="C757" s="14"/>
      <c r="D757" s="14"/>
      <c r="E757" s="14"/>
      <c r="K757" s="14"/>
      <c r="M757" s="14"/>
      <c r="N757" s="14"/>
      <c r="Z757" s="11"/>
      <c r="AA757" s="15"/>
      <c r="AB757" s="15"/>
      <c r="AC757" s="15"/>
      <c r="AU757" s="17"/>
    </row>
    <row r="758" spans="1:47" ht="12" customHeight="1" x14ac:dyDescent="0.25">
      <c r="A758" s="3"/>
      <c r="B758" s="14"/>
      <c r="C758" s="14"/>
      <c r="D758" s="14"/>
      <c r="E758" s="14"/>
      <c r="K758" s="14"/>
      <c r="M758" s="14"/>
      <c r="N758" s="14"/>
      <c r="Z758" s="11"/>
      <c r="AA758" s="15"/>
      <c r="AB758" s="15"/>
      <c r="AC758" s="15"/>
      <c r="AU758" s="17"/>
    </row>
    <row r="759" spans="1:47" ht="12" customHeight="1" x14ac:dyDescent="0.25">
      <c r="A759" s="3"/>
      <c r="B759" s="14"/>
      <c r="C759" s="14"/>
      <c r="D759" s="14"/>
      <c r="E759" s="14"/>
      <c r="K759" s="14"/>
      <c r="M759" s="14"/>
      <c r="N759" s="14"/>
      <c r="Z759" s="11"/>
      <c r="AA759" s="15"/>
      <c r="AB759" s="15"/>
      <c r="AC759" s="15"/>
      <c r="AU759" s="17"/>
    </row>
    <row r="760" spans="1:47" ht="12" customHeight="1" x14ac:dyDescent="0.25">
      <c r="A760" s="3"/>
      <c r="B760" s="14"/>
      <c r="C760" s="14"/>
      <c r="D760" s="14"/>
      <c r="E760" s="14"/>
      <c r="K760" s="14"/>
      <c r="M760" s="14"/>
      <c r="N760" s="14"/>
      <c r="Z760" s="11"/>
      <c r="AA760" s="15"/>
      <c r="AB760" s="15"/>
      <c r="AC760" s="15"/>
      <c r="AU760" s="17"/>
    </row>
    <row r="761" spans="1:47" ht="12" customHeight="1" x14ac:dyDescent="0.25">
      <c r="A761" s="3"/>
      <c r="B761" s="14"/>
      <c r="C761" s="14"/>
      <c r="D761" s="14"/>
      <c r="E761" s="14"/>
      <c r="K761" s="14"/>
      <c r="M761" s="14"/>
      <c r="N761" s="14"/>
      <c r="Z761" s="11"/>
      <c r="AA761" s="15"/>
      <c r="AB761" s="15"/>
      <c r="AC761" s="15"/>
      <c r="AU761" s="17"/>
    </row>
    <row r="762" spans="1:47" ht="12" customHeight="1" x14ac:dyDescent="0.25">
      <c r="A762" s="3"/>
      <c r="B762" s="14"/>
      <c r="C762" s="14"/>
      <c r="D762" s="14"/>
      <c r="E762" s="14"/>
      <c r="K762" s="14"/>
      <c r="M762" s="14"/>
      <c r="N762" s="14"/>
      <c r="Z762" s="11"/>
      <c r="AA762" s="15"/>
      <c r="AB762" s="15"/>
      <c r="AC762" s="15"/>
      <c r="AU762" s="17"/>
    </row>
    <row r="763" spans="1:47" ht="12" customHeight="1" x14ac:dyDescent="0.25">
      <c r="A763" s="3"/>
      <c r="B763" s="14"/>
      <c r="C763" s="14"/>
      <c r="D763" s="14"/>
      <c r="E763" s="14"/>
      <c r="K763" s="14"/>
      <c r="M763" s="14"/>
      <c r="N763" s="14"/>
      <c r="Z763" s="11"/>
      <c r="AA763" s="15"/>
      <c r="AB763" s="15"/>
      <c r="AC763" s="15"/>
      <c r="AU763" s="17"/>
    </row>
    <row r="764" spans="1:47" ht="12" customHeight="1" x14ac:dyDescent="0.25">
      <c r="A764" s="3"/>
      <c r="B764" s="14"/>
      <c r="C764" s="14"/>
      <c r="D764" s="14"/>
      <c r="E764" s="14"/>
      <c r="K764" s="14"/>
      <c r="M764" s="14"/>
      <c r="N764" s="14"/>
      <c r="Z764" s="11"/>
      <c r="AA764" s="15"/>
      <c r="AB764" s="15"/>
      <c r="AC764" s="15"/>
      <c r="AU764" s="17"/>
    </row>
    <row r="765" spans="1:47" ht="12" customHeight="1" x14ac:dyDescent="0.25">
      <c r="A765" s="3"/>
      <c r="B765" s="14"/>
      <c r="C765" s="14"/>
      <c r="D765" s="14"/>
      <c r="E765" s="14"/>
      <c r="K765" s="14"/>
      <c r="M765" s="14"/>
      <c r="N765" s="14"/>
      <c r="Z765" s="11"/>
      <c r="AA765" s="15"/>
      <c r="AB765" s="15"/>
      <c r="AC765" s="15"/>
      <c r="AU765" s="17"/>
    </row>
    <row r="766" spans="1:47" ht="12" customHeight="1" x14ac:dyDescent="0.25">
      <c r="A766" s="3"/>
      <c r="B766" s="14"/>
      <c r="C766" s="14"/>
      <c r="D766" s="14"/>
      <c r="E766" s="14"/>
      <c r="K766" s="14"/>
      <c r="M766" s="14"/>
      <c r="N766" s="14"/>
      <c r="Z766" s="11"/>
      <c r="AA766" s="15"/>
      <c r="AB766" s="15"/>
      <c r="AC766" s="15"/>
      <c r="AU766" s="17"/>
    </row>
    <row r="767" spans="1:47" ht="12" customHeight="1" x14ac:dyDescent="0.25">
      <c r="A767" s="3"/>
      <c r="B767" s="14"/>
      <c r="C767" s="14"/>
      <c r="D767" s="14"/>
      <c r="E767" s="14"/>
      <c r="K767" s="14"/>
      <c r="M767" s="14"/>
      <c r="N767" s="14"/>
      <c r="Z767" s="11"/>
      <c r="AA767" s="15"/>
      <c r="AB767" s="15"/>
      <c r="AC767" s="15"/>
      <c r="AU767" s="17"/>
    </row>
    <row r="768" spans="1:47" ht="12" customHeight="1" x14ac:dyDescent="0.25">
      <c r="A768" s="3"/>
      <c r="B768" s="14"/>
      <c r="C768" s="14"/>
      <c r="D768" s="14"/>
      <c r="E768" s="14"/>
      <c r="K768" s="14"/>
      <c r="M768" s="14"/>
      <c r="N768" s="14"/>
      <c r="Z768" s="11"/>
      <c r="AA768" s="15"/>
      <c r="AB768" s="15"/>
      <c r="AC768" s="15"/>
      <c r="AU768" s="17"/>
    </row>
    <row r="769" spans="1:47" ht="12" customHeight="1" x14ac:dyDescent="0.25">
      <c r="A769" s="3"/>
      <c r="B769" s="14"/>
      <c r="C769" s="14"/>
      <c r="D769" s="14"/>
      <c r="E769" s="14"/>
      <c r="K769" s="14"/>
      <c r="M769" s="14"/>
      <c r="N769" s="14"/>
      <c r="Z769" s="11"/>
      <c r="AA769" s="15"/>
      <c r="AB769" s="15"/>
      <c r="AC769" s="15"/>
      <c r="AU769" s="17"/>
    </row>
    <row r="770" spans="1:47" ht="12" customHeight="1" x14ac:dyDescent="0.25">
      <c r="A770" s="3"/>
      <c r="B770" s="14"/>
      <c r="C770" s="14"/>
      <c r="D770" s="14"/>
      <c r="E770" s="14"/>
      <c r="K770" s="14"/>
      <c r="M770" s="14"/>
      <c r="N770" s="14"/>
      <c r="Z770" s="11"/>
      <c r="AA770" s="15"/>
      <c r="AB770" s="15"/>
      <c r="AC770" s="15"/>
      <c r="AU770" s="17"/>
    </row>
    <row r="771" spans="1:47" ht="12" customHeight="1" x14ac:dyDescent="0.25">
      <c r="A771" s="3"/>
      <c r="B771" s="14"/>
      <c r="C771" s="14"/>
      <c r="D771" s="14"/>
      <c r="E771" s="14"/>
      <c r="K771" s="14"/>
      <c r="M771" s="14"/>
      <c r="N771" s="14"/>
      <c r="Z771" s="11"/>
      <c r="AA771" s="15"/>
      <c r="AB771" s="15"/>
      <c r="AC771" s="15"/>
      <c r="AU771" s="17"/>
    </row>
    <row r="772" spans="1:47" ht="12" customHeight="1" x14ac:dyDescent="0.25">
      <c r="A772" s="3"/>
      <c r="B772" s="14"/>
      <c r="C772" s="14"/>
      <c r="D772" s="14"/>
      <c r="E772" s="14"/>
      <c r="K772" s="14"/>
      <c r="M772" s="14"/>
      <c r="N772" s="14"/>
      <c r="Z772" s="11"/>
      <c r="AA772" s="15"/>
      <c r="AB772" s="15"/>
      <c r="AC772" s="15"/>
      <c r="AU772" s="17"/>
    </row>
    <row r="773" spans="1:47" ht="12" customHeight="1" x14ac:dyDescent="0.25">
      <c r="A773" s="3"/>
      <c r="B773" s="14"/>
      <c r="C773" s="14"/>
      <c r="D773" s="14"/>
      <c r="E773" s="14"/>
      <c r="K773" s="14"/>
      <c r="M773" s="14"/>
      <c r="N773" s="14"/>
      <c r="Z773" s="11"/>
      <c r="AA773" s="15"/>
      <c r="AB773" s="15"/>
      <c r="AC773" s="15"/>
      <c r="AU773" s="17"/>
    </row>
    <row r="774" spans="1:47" ht="12" customHeight="1" x14ac:dyDescent="0.25">
      <c r="A774" s="3"/>
      <c r="B774" s="14"/>
      <c r="C774" s="14"/>
      <c r="D774" s="14"/>
      <c r="E774" s="14"/>
      <c r="K774" s="14"/>
      <c r="M774" s="14"/>
      <c r="N774" s="14"/>
      <c r="Z774" s="11"/>
      <c r="AA774" s="15"/>
      <c r="AB774" s="15"/>
      <c r="AC774" s="15"/>
      <c r="AU774" s="17"/>
    </row>
    <row r="775" spans="1:47" ht="12" customHeight="1" x14ac:dyDescent="0.25">
      <c r="A775" s="3"/>
      <c r="B775" s="14"/>
      <c r="C775" s="14"/>
      <c r="D775" s="14"/>
      <c r="E775" s="14"/>
      <c r="K775" s="14"/>
      <c r="M775" s="14"/>
      <c r="N775" s="14"/>
      <c r="Z775" s="11"/>
      <c r="AA775" s="15"/>
      <c r="AB775" s="15"/>
      <c r="AC775" s="15"/>
      <c r="AU775" s="17"/>
    </row>
    <row r="776" spans="1:47" ht="12" customHeight="1" x14ac:dyDescent="0.25">
      <c r="A776" s="3"/>
      <c r="B776" s="14"/>
      <c r="C776" s="14"/>
      <c r="D776" s="14"/>
      <c r="E776" s="14"/>
      <c r="K776" s="14"/>
      <c r="M776" s="14"/>
      <c r="N776" s="14"/>
      <c r="Z776" s="11"/>
      <c r="AA776" s="15"/>
      <c r="AB776" s="15"/>
      <c r="AC776" s="15"/>
      <c r="AU776" s="17"/>
    </row>
    <row r="777" spans="1:47" ht="12" customHeight="1" x14ac:dyDescent="0.25">
      <c r="A777" s="3"/>
      <c r="B777" s="14"/>
      <c r="C777" s="14"/>
      <c r="D777" s="14"/>
      <c r="E777" s="14"/>
      <c r="K777" s="14"/>
      <c r="M777" s="14"/>
      <c r="N777" s="14"/>
      <c r="Z777" s="11"/>
      <c r="AA777" s="15"/>
      <c r="AB777" s="15"/>
      <c r="AC777" s="15"/>
      <c r="AU777" s="17"/>
    </row>
    <row r="778" spans="1:47" ht="12" customHeight="1" x14ac:dyDescent="0.25">
      <c r="A778" s="3"/>
      <c r="B778" s="14"/>
      <c r="C778" s="14"/>
      <c r="D778" s="14"/>
      <c r="E778" s="14"/>
      <c r="K778" s="14"/>
      <c r="M778" s="14"/>
      <c r="N778" s="14"/>
      <c r="Z778" s="11"/>
      <c r="AA778" s="15"/>
      <c r="AB778" s="15"/>
      <c r="AC778" s="15"/>
      <c r="AU778" s="17"/>
    </row>
    <row r="779" spans="1:47" ht="12" customHeight="1" x14ac:dyDescent="0.25">
      <c r="A779" s="3"/>
      <c r="B779" s="14"/>
      <c r="C779" s="14"/>
      <c r="D779" s="14"/>
      <c r="E779" s="14"/>
      <c r="K779" s="14"/>
      <c r="M779" s="14"/>
      <c r="N779" s="14"/>
      <c r="Z779" s="11"/>
      <c r="AA779" s="15"/>
      <c r="AB779" s="15"/>
      <c r="AC779" s="15"/>
      <c r="AU779" s="17"/>
    </row>
    <row r="780" spans="1:47" ht="12" customHeight="1" x14ac:dyDescent="0.25">
      <c r="A780" s="3"/>
      <c r="B780" s="14"/>
      <c r="C780" s="14"/>
      <c r="D780" s="14"/>
      <c r="E780" s="14"/>
      <c r="K780" s="14"/>
      <c r="M780" s="14"/>
      <c r="N780" s="14"/>
      <c r="Z780" s="11"/>
      <c r="AA780" s="15"/>
      <c r="AB780" s="15"/>
      <c r="AC780" s="15"/>
      <c r="AU780" s="17"/>
    </row>
    <row r="781" spans="1:47" ht="12" customHeight="1" x14ac:dyDescent="0.25">
      <c r="A781" s="3"/>
      <c r="B781" s="14"/>
      <c r="C781" s="14"/>
      <c r="D781" s="14"/>
      <c r="E781" s="14"/>
      <c r="K781" s="14"/>
      <c r="M781" s="14"/>
      <c r="N781" s="14"/>
      <c r="Z781" s="11"/>
      <c r="AA781" s="15"/>
      <c r="AB781" s="15"/>
      <c r="AC781" s="15"/>
      <c r="AU781" s="17"/>
    </row>
    <row r="782" spans="1:47" ht="12" customHeight="1" x14ac:dyDescent="0.25">
      <c r="A782" s="3"/>
      <c r="B782" s="14"/>
      <c r="C782" s="14"/>
      <c r="D782" s="14"/>
      <c r="E782" s="14"/>
      <c r="K782" s="14"/>
      <c r="M782" s="14"/>
      <c r="N782" s="14"/>
      <c r="Z782" s="11"/>
      <c r="AA782" s="15"/>
      <c r="AB782" s="15"/>
      <c r="AC782" s="15"/>
      <c r="AU782" s="17"/>
    </row>
    <row r="783" spans="1:47" ht="12" customHeight="1" x14ac:dyDescent="0.25">
      <c r="A783" s="3"/>
      <c r="B783" s="14"/>
      <c r="C783" s="14"/>
      <c r="D783" s="14"/>
      <c r="E783" s="14"/>
      <c r="K783" s="14"/>
      <c r="M783" s="14"/>
      <c r="N783" s="14"/>
      <c r="Z783" s="11"/>
      <c r="AA783" s="15"/>
      <c r="AB783" s="15"/>
      <c r="AC783" s="15"/>
      <c r="AU783" s="17"/>
    </row>
    <row r="784" spans="1:47" ht="12" customHeight="1" x14ac:dyDescent="0.25">
      <c r="A784" s="3"/>
      <c r="B784" s="14"/>
      <c r="C784" s="14"/>
      <c r="D784" s="14"/>
      <c r="E784" s="14"/>
      <c r="K784" s="14"/>
      <c r="M784" s="14"/>
      <c r="N784" s="14"/>
      <c r="Z784" s="11"/>
      <c r="AA784" s="15"/>
      <c r="AB784" s="15"/>
      <c r="AC784" s="15"/>
      <c r="AU784" s="17"/>
    </row>
    <row r="785" spans="1:47" ht="12" customHeight="1" x14ac:dyDescent="0.25">
      <c r="A785" s="3"/>
      <c r="B785" s="14"/>
      <c r="C785" s="14"/>
      <c r="D785" s="14"/>
      <c r="E785" s="14"/>
      <c r="K785" s="14"/>
      <c r="M785" s="14"/>
      <c r="N785" s="14"/>
      <c r="Z785" s="11"/>
      <c r="AA785" s="15"/>
      <c r="AB785" s="15"/>
      <c r="AC785" s="15"/>
      <c r="AU785" s="17"/>
    </row>
    <row r="786" spans="1:47" ht="12" customHeight="1" x14ac:dyDescent="0.25">
      <c r="A786" s="3"/>
      <c r="B786" s="14"/>
      <c r="C786" s="14"/>
      <c r="D786" s="14"/>
      <c r="E786" s="14"/>
      <c r="K786" s="14"/>
      <c r="M786" s="14"/>
      <c r="N786" s="14"/>
      <c r="Z786" s="11"/>
      <c r="AA786" s="15"/>
      <c r="AB786" s="15"/>
      <c r="AC786" s="15"/>
      <c r="AU786" s="17"/>
    </row>
    <row r="787" spans="1:47" ht="12" customHeight="1" x14ac:dyDescent="0.25">
      <c r="A787" s="3"/>
      <c r="B787" s="14"/>
      <c r="C787" s="14"/>
      <c r="D787" s="14"/>
      <c r="E787" s="14"/>
      <c r="K787" s="14"/>
      <c r="M787" s="14"/>
      <c r="N787" s="14"/>
      <c r="Z787" s="11"/>
      <c r="AA787" s="15"/>
      <c r="AB787" s="15"/>
      <c r="AC787" s="15"/>
      <c r="AU787" s="17"/>
    </row>
    <row r="788" spans="1:47" ht="12" customHeight="1" x14ac:dyDescent="0.25">
      <c r="A788" s="3"/>
      <c r="B788" s="14"/>
      <c r="C788" s="14"/>
      <c r="D788" s="14"/>
      <c r="E788" s="14"/>
      <c r="K788" s="14"/>
      <c r="M788" s="14"/>
      <c r="N788" s="14"/>
      <c r="Z788" s="11"/>
      <c r="AA788" s="15"/>
      <c r="AB788" s="15"/>
      <c r="AC788" s="15"/>
      <c r="AU788" s="17"/>
    </row>
    <row r="789" spans="1:47" ht="12" customHeight="1" x14ac:dyDescent="0.25">
      <c r="A789" s="3"/>
      <c r="B789" s="14"/>
      <c r="C789" s="14"/>
      <c r="D789" s="14"/>
      <c r="E789" s="14"/>
      <c r="K789" s="14"/>
      <c r="M789" s="14"/>
      <c r="N789" s="14"/>
      <c r="Z789" s="11"/>
      <c r="AA789" s="15"/>
      <c r="AB789" s="15"/>
      <c r="AC789" s="15"/>
      <c r="AU789" s="17"/>
    </row>
    <row r="790" spans="1:47" ht="12" customHeight="1" x14ac:dyDescent="0.25">
      <c r="A790" s="3"/>
      <c r="B790" s="14"/>
      <c r="C790" s="14"/>
      <c r="D790" s="14"/>
      <c r="E790" s="14"/>
      <c r="K790" s="14"/>
      <c r="M790" s="14"/>
      <c r="N790" s="14"/>
      <c r="Z790" s="11"/>
      <c r="AA790" s="15"/>
      <c r="AB790" s="15"/>
      <c r="AC790" s="15"/>
      <c r="AU790" s="17"/>
    </row>
    <row r="791" spans="1:47" ht="12" customHeight="1" x14ac:dyDescent="0.25">
      <c r="A791" s="3"/>
      <c r="B791" s="14"/>
      <c r="C791" s="14"/>
      <c r="D791" s="14"/>
      <c r="E791" s="14"/>
      <c r="K791" s="14"/>
      <c r="M791" s="14"/>
      <c r="N791" s="14"/>
      <c r="Z791" s="11"/>
      <c r="AA791" s="15"/>
      <c r="AB791" s="15"/>
      <c r="AC791" s="15"/>
      <c r="AU791" s="17"/>
    </row>
    <row r="792" spans="1:47" ht="12" customHeight="1" x14ac:dyDescent="0.25">
      <c r="A792" s="3"/>
      <c r="B792" s="14"/>
      <c r="C792" s="14"/>
      <c r="D792" s="14"/>
      <c r="E792" s="14"/>
      <c r="K792" s="14"/>
      <c r="M792" s="14"/>
      <c r="N792" s="14"/>
      <c r="Z792" s="11"/>
      <c r="AA792" s="15"/>
      <c r="AB792" s="15"/>
      <c r="AC792" s="15"/>
      <c r="AU792" s="17"/>
    </row>
    <row r="793" spans="1:47" ht="12" customHeight="1" x14ac:dyDescent="0.25">
      <c r="A793" s="3"/>
      <c r="B793" s="14"/>
      <c r="C793" s="14"/>
      <c r="D793" s="14"/>
      <c r="E793" s="14"/>
      <c r="K793" s="14"/>
      <c r="M793" s="14"/>
      <c r="N793" s="14"/>
      <c r="Z793" s="11"/>
      <c r="AA793" s="15"/>
      <c r="AB793" s="15"/>
      <c r="AC793" s="15"/>
      <c r="AU793" s="17"/>
    </row>
    <row r="794" spans="1:47" ht="12" customHeight="1" x14ac:dyDescent="0.25">
      <c r="A794" s="3"/>
      <c r="B794" s="14"/>
      <c r="C794" s="14"/>
      <c r="D794" s="14"/>
      <c r="E794" s="14"/>
      <c r="K794" s="14"/>
      <c r="M794" s="14"/>
      <c r="N794" s="14"/>
      <c r="Z794" s="11"/>
      <c r="AA794" s="15"/>
      <c r="AB794" s="15"/>
      <c r="AC794" s="15"/>
      <c r="AU794" s="17"/>
    </row>
    <row r="795" spans="1:47" ht="12" customHeight="1" x14ac:dyDescent="0.25">
      <c r="A795" s="3"/>
      <c r="B795" s="14"/>
      <c r="C795" s="14"/>
      <c r="D795" s="14"/>
      <c r="E795" s="14"/>
      <c r="K795" s="14"/>
      <c r="M795" s="14"/>
      <c r="N795" s="14"/>
      <c r="Z795" s="11"/>
      <c r="AA795" s="15"/>
      <c r="AB795" s="15"/>
      <c r="AC795" s="15"/>
      <c r="AU795" s="17"/>
    </row>
    <row r="796" spans="1:47" ht="12" customHeight="1" x14ac:dyDescent="0.25">
      <c r="A796" s="3"/>
      <c r="B796" s="14"/>
      <c r="C796" s="14"/>
      <c r="D796" s="14"/>
      <c r="E796" s="14"/>
      <c r="K796" s="14"/>
      <c r="M796" s="14"/>
      <c r="N796" s="14"/>
      <c r="Z796" s="11"/>
      <c r="AA796" s="15"/>
      <c r="AB796" s="15"/>
      <c r="AC796" s="15"/>
      <c r="AU796" s="17"/>
    </row>
    <row r="797" spans="1:47" ht="12" customHeight="1" x14ac:dyDescent="0.25">
      <c r="A797" s="3"/>
      <c r="B797" s="14"/>
      <c r="C797" s="14"/>
      <c r="D797" s="14"/>
      <c r="E797" s="14"/>
      <c r="K797" s="14"/>
      <c r="M797" s="14"/>
      <c r="N797" s="14"/>
      <c r="Z797" s="11"/>
      <c r="AA797" s="15"/>
      <c r="AB797" s="15"/>
      <c r="AC797" s="15"/>
      <c r="AU797" s="17"/>
    </row>
    <row r="798" spans="1:47" ht="12" customHeight="1" x14ac:dyDescent="0.25">
      <c r="A798" s="3"/>
      <c r="B798" s="14"/>
      <c r="C798" s="14"/>
      <c r="D798" s="14"/>
      <c r="E798" s="14"/>
      <c r="K798" s="14"/>
      <c r="M798" s="14"/>
      <c r="N798" s="14"/>
      <c r="Z798" s="11"/>
      <c r="AA798" s="15"/>
      <c r="AB798" s="15"/>
      <c r="AC798" s="15"/>
      <c r="AU798" s="17"/>
    </row>
    <row r="799" spans="1:47" ht="12" customHeight="1" x14ac:dyDescent="0.25">
      <c r="A799" s="3"/>
      <c r="B799" s="14"/>
      <c r="C799" s="14"/>
      <c r="D799" s="14"/>
      <c r="E799" s="14"/>
      <c r="K799" s="14"/>
      <c r="M799" s="14"/>
      <c r="N799" s="14"/>
      <c r="Z799" s="11"/>
      <c r="AA799" s="15"/>
      <c r="AB799" s="15"/>
      <c r="AC799" s="15"/>
      <c r="AU799" s="17"/>
    </row>
    <row r="800" spans="1:47" ht="12" customHeight="1" x14ac:dyDescent="0.25">
      <c r="A800" s="3"/>
      <c r="B800" s="14"/>
      <c r="C800" s="14"/>
      <c r="D800" s="14"/>
      <c r="E800" s="14"/>
      <c r="K800" s="14"/>
      <c r="M800" s="14"/>
      <c r="N800" s="14"/>
      <c r="Z800" s="11"/>
      <c r="AA800" s="15"/>
      <c r="AB800" s="15"/>
      <c r="AC800" s="15"/>
      <c r="AU800" s="17"/>
    </row>
    <row r="801" spans="1:47" ht="12" customHeight="1" x14ac:dyDescent="0.25">
      <c r="A801" s="3"/>
      <c r="B801" s="14"/>
      <c r="C801" s="14"/>
      <c r="D801" s="14"/>
      <c r="E801" s="14"/>
      <c r="K801" s="14"/>
      <c r="M801" s="14"/>
      <c r="N801" s="14"/>
      <c r="Z801" s="11"/>
      <c r="AA801" s="15"/>
      <c r="AB801" s="15"/>
      <c r="AC801" s="15"/>
      <c r="AU801" s="17"/>
    </row>
    <row r="802" spans="1:47" ht="12" customHeight="1" x14ac:dyDescent="0.25">
      <c r="A802" s="3"/>
      <c r="B802" s="14"/>
      <c r="C802" s="14"/>
      <c r="D802" s="14"/>
      <c r="E802" s="14"/>
      <c r="K802" s="14"/>
      <c r="M802" s="14"/>
      <c r="N802" s="14"/>
      <c r="Z802" s="11"/>
      <c r="AA802" s="15"/>
      <c r="AB802" s="15"/>
      <c r="AC802" s="15"/>
      <c r="AU802" s="17"/>
    </row>
    <row r="803" spans="1:47" ht="12" customHeight="1" x14ac:dyDescent="0.25">
      <c r="A803" s="3"/>
      <c r="B803" s="14"/>
      <c r="C803" s="14"/>
      <c r="D803" s="14"/>
      <c r="E803" s="14"/>
      <c r="K803" s="14"/>
      <c r="M803" s="14"/>
      <c r="N803" s="14"/>
      <c r="Z803" s="11"/>
      <c r="AA803" s="15"/>
      <c r="AB803" s="15"/>
      <c r="AC803" s="15"/>
      <c r="AU803" s="17"/>
    </row>
    <row r="804" spans="1:47" ht="12" customHeight="1" x14ac:dyDescent="0.25">
      <c r="A804" s="3"/>
      <c r="B804" s="14"/>
      <c r="C804" s="14"/>
      <c r="D804" s="14"/>
      <c r="E804" s="14"/>
      <c r="K804" s="14"/>
      <c r="M804" s="14"/>
      <c r="N804" s="14"/>
      <c r="Z804" s="11"/>
      <c r="AA804" s="15"/>
      <c r="AB804" s="15"/>
      <c r="AC804" s="15"/>
      <c r="AU804" s="17"/>
    </row>
    <row r="805" spans="1:47" ht="12" customHeight="1" x14ac:dyDescent="0.25">
      <c r="A805" s="3"/>
      <c r="B805" s="14"/>
      <c r="C805" s="14"/>
      <c r="D805" s="14"/>
      <c r="E805" s="14"/>
      <c r="K805" s="14"/>
      <c r="M805" s="14"/>
      <c r="N805" s="14"/>
      <c r="Z805" s="11"/>
      <c r="AA805" s="15"/>
      <c r="AB805" s="15"/>
      <c r="AC805" s="15"/>
      <c r="AU805" s="17"/>
    </row>
    <row r="806" spans="1:47" ht="12" customHeight="1" x14ac:dyDescent="0.25">
      <c r="A806" s="3"/>
      <c r="B806" s="14"/>
      <c r="C806" s="14"/>
      <c r="D806" s="14"/>
      <c r="E806" s="14"/>
      <c r="K806" s="14"/>
      <c r="M806" s="14"/>
      <c r="N806" s="14"/>
      <c r="Z806" s="11"/>
      <c r="AA806" s="15"/>
      <c r="AB806" s="15"/>
      <c r="AC806" s="15"/>
      <c r="AU806" s="17"/>
    </row>
    <row r="807" spans="1:47" ht="12" customHeight="1" x14ac:dyDescent="0.25">
      <c r="A807" s="3"/>
      <c r="B807" s="14"/>
      <c r="C807" s="14"/>
      <c r="D807" s="14"/>
      <c r="E807" s="14"/>
      <c r="K807" s="14"/>
      <c r="M807" s="14"/>
      <c r="N807" s="14"/>
      <c r="Z807" s="11"/>
      <c r="AA807" s="15"/>
      <c r="AB807" s="15"/>
      <c r="AC807" s="15"/>
      <c r="AU807" s="17"/>
    </row>
    <row r="808" spans="1:47" ht="12" customHeight="1" x14ac:dyDescent="0.25">
      <c r="A808" s="3"/>
      <c r="B808" s="14"/>
      <c r="C808" s="14"/>
      <c r="D808" s="14"/>
      <c r="E808" s="14"/>
      <c r="K808" s="14"/>
      <c r="M808" s="14"/>
      <c r="N808" s="14"/>
      <c r="Z808" s="11"/>
      <c r="AA808" s="15"/>
      <c r="AB808" s="15"/>
      <c r="AC808" s="15"/>
      <c r="AU808" s="17"/>
    </row>
    <row r="809" spans="1:47" ht="12" customHeight="1" x14ac:dyDescent="0.25">
      <c r="A809" s="3"/>
      <c r="B809" s="14"/>
      <c r="C809" s="14"/>
      <c r="D809" s="14"/>
      <c r="E809" s="14"/>
      <c r="K809" s="14"/>
      <c r="M809" s="14"/>
      <c r="N809" s="14"/>
      <c r="Z809" s="11"/>
      <c r="AA809" s="15"/>
      <c r="AB809" s="15"/>
      <c r="AC809" s="15"/>
      <c r="AU809" s="17"/>
    </row>
    <row r="810" spans="1:47" ht="12" customHeight="1" x14ac:dyDescent="0.25">
      <c r="A810" s="3"/>
      <c r="B810" s="14"/>
      <c r="C810" s="14"/>
      <c r="D810" s="14"/>
      <c r="E810" s="14"/>
      <c r="K810" s="14"/>
      <c r="M810" s="14"/>
      <c r="N810" s="14"/>
      <c r="Z810" s="11"/>
      <c r="AA810" s="15"/>
      <c r="AB810" s="15"/>
      <c r="AC810" s="15"/>
      <c r="AU810" s="17"/>
    </row>
    <row r="811" spans="1:47" ht="12" customHeight="1" x14ac:dyDescent="0.25">
      <c r="A811" s="3"/>
      <c r="B811" s="14"/>
      <c r="C811" s="14"/>
      <c r="D811" s="14"/>
      <c r="E811" s="14"/>
      <c r="K811" s="14"/>
      <c r="M811" s="14"/>
      <c r="N811" s="14"/>
      <c r="Z811" s="11"/>
      <c r="AA811" s="15"/>
      <c r="AB811" s="15"/>
      <c r="AC811" s="15"/>
      <c r="AU811" s="17"/>
    </row>
    <row r="812" spans="1:47" ht="12" customHeight="1" x14ac:dyDescent="0.25">
      <c r="A812" s="3"/>
      <c r="B812" s="14"/>
      <c r="C812" s="14"/>
      <c r="D812" s="14"/>
      <c r="E812" s="14"/>
      <c r="K812" s="14"/>
      <c r="M812" s="14"/>
      <c r="N812" s="14"/>
      <c r="Z812" s="11"/>
      <c r="AA812" s="15"/>
      <c r="AB812" s="15"/>
      <c r="AC812" s="15"/>
      <c r="AU812" s="17"/>
    </row>
    <row r="813" spans="1:47" ht="12" customHeight="1" x14ac:dyDescent="0.25">
      <c r="A813" s="3"/>
      <c r="B813" s="14"/>
      <c r="C813" s="14"/>
      <c r="D813" s="14"/>
      <c r="E813" s="14"/>
      <c r="K813" s="14"/>
      <c r="M813" s="14"/>
      <c r="N813" s="14"/>
      <c r="Z813" s="11"/>
      <c r="AA813" s="15"/>
      <c r="AB813" s="15"/>
      <c r="AC813" s="15"/>
      <c r="AU813" s="17"/>
    </row>
    <row r="814" spans="1:47" ht="12" customHeight="1" x14ac:dyDescent="0.25">
      <c r="A814" s="3"/>
      <c r="B814" s="14"/>
      <c r="C814" s="14"/>
      <c r="D814" s="14"/>
      <c r="E814" s="14"/>
      <c r="K814" s="14"/>
      <c r="M814" s="14"/>
      <c r="N814" s="14"/>
      <c r="Z814" s="11"/>
      <c r="AA814" s="15"/>
      <c r="AB814" s="15"/>
      <c r="AC814" s="15"/>
      <c r="AU814" s="17"/>
    </row>
    <row r="815" spans="1:47" ht="12" customHeight="1" x14ac:dyDescent="0.25">
      <c r="A815" s="3"/>
      <c r="B815" s="14"/>
      <c r="C815" s="14"/>
      <c r="D815" s="14"/>
      <c r="E815" s="14"/>
      <c r="K815" s="14"/>
      <c r="M815" s="14"/>
      <c r="N815" s="14"/>
      <c r="Z815" s="11"/>
      <c r="AA815" s="15"/>
      <c r="AB815" s="15"/>
      <c r="AC815" s="15"/>
      <c r="AU815" s="17"/>
    </row>
    <row r="816" spans="1:47" ht="12" customHeight="1" x14ac:dyDescent="0.25">
      <c r="A816" s="3"/>
      <c r="B816" s="14"/>
      <c r="C816" s="14"/>
      <c r="D816" s="14"/>
      <c r="E816" s="14"/>
      <c r="K816" s="14"/>
      <c r="M816" s="14"/>
      <c r="N816" s="14"/>
      <c r="Z816" s="11"/>
      <c r="AA816" s="15"/>
      <c r="AB816" s="15"/>
      <c r="AC816" s="15"/>
      <c r="AU816" s="17"/>
    </row>
    <row r="817" spans="1:47" ht="12" customHeight="1" x14ac:dyDescent="0.25">
      <c r="A817" s="3"/>
      <c r="B817" s="14"/>
      <c r="C817" s="14"/>
      <c r="D817" s="14"/>
      <c r="E817" s="14"/>
      <c r="K817" s="14"/>
      <c r="M817" s="14"/>
      <c r="N817" s="14"/>
      <c r="Z817" s="11"/>
      <c r="AA817" s="15"/>
      <c r="AB817" s="15"/>
      <c r="AC817" s="15"/>
      <c r="AU817" s="17"/>
    </row>
    <row r="818" spans="1:47" ht="12" customHeight="1" x14ac:dyDescent="0.25">
      <c r="A818" s="3"/>
      <c r="B818" s="14"/>
      <c r="C818" s="14"/>
      <c r="D818" s="14"/>
      <c r="E818" s="14"/>
      <c r="K818" s="14"/>
      <c r="M818" s="14"/>
      <c r="N818" s="14"/>
      <c r="Z818" s="11"/>
      <c r="AA818" s="15"/>
      <c r="AB818" s="15"/>
      <c r="AC818" s="15"/>
      <c r="AU818" s="17"/>
    </row>
    <row r="819" spans="1:47" ht="12" customHeight="1" x14ac:dyDescent="0.25">
      <c r="A819" s="3"/>
      <c r="B819" s="14"/>
      <c r="C819" s="14"/>
      <c r="D819" s="14"/>
      <c r="E819" s="14"/>
      <c r="K819" s="14"/>
      <c r="M819" s="14"/>
      <c r="N819" s="14"/>
      <c r="Z819" s="11"/>
      <c r="AA819" s="15"/>
      <c r="AB819" s="15"/>
      <c r="AC819" s="15"/>
      <c r="AU819" s="17"/>
    </row>
    <row r="820" spans="1:47" ht="12" customHeight="1" x14ac:dyDescent="0.25">
      <c r="A820" s="3"/>
      <c r="B820" s="14"/>
      <c r="C820" s="14"/>
      <c r="D820" s="14"/>
      <c r="E820" s="14"/>
      <c r="K820" s="14"/>
      <c r="M820" s="14"/>
      <c r="N820" s="14"/>
      <c r="Z820" s="11"/>
      <c r="AA820" s="15"/>
      <c r="AB820" s="15"/>
      <c r="AC820" s="15"/>
      <c r="AU820" s="17"/>
    </row>
    <row r="821" spans="1:47" ht="12" customHeight="1" x14ac:dyDescent="0.25">
      <c r="A821" s="3"/>
      <c r="B821" s="14"/>
      <c r="C821" s="14"/>
      <c r="D821" s="14"/>
      <c r="E821" s="14"/>
      <c r="K821" s="14"/>
      <c r="M821" s="14"/>
      <c r="N821" s="14"/>
      <c r="Z821" s="11"/>
      <c r="AA821" s="15"/>
      <c r="AB821" s="15"/>
      <c r="AC821" s="15"/>
      <c r="AU821" s="17"/>
    </row>
    <row r="822" spans="1:47" ht="12" customHeight="1" x14ac:dyDescent="0.25">
      <c r="A822" s="3"/>
      <c r="B822" s="14"/>
      <c r="C822" s="14"/>
      <c r="D822" s="14"/>
      <c r="E822" s="14"/>
      <c r="K822" s="14"/>
      <c r="M822" s="14"/>
      <c r="N822" s="14"/>
      <c r="Z822" s="11"/>
      <c r="AA822" s="15"/>
      <c r="AB822" s="15"/>
      <c r="AC822" s="15"/>
      <c r="AU822" s="17"/>
    </row>
    <row r="823" spans="1:47" ht="12" customHeight="1" x14ac:dyDescent="0.25">
      <c r="A823" s="3"/>
      <c r="B823" s="14"/>
      <c r="C823" s="14"/>
      <c r="D823" s="14"/>
      <c r="E823" s="14"/>
      <c r="K823" s="14"/>
      <c r="M823" s="14"/>
      <c r="N823" s="14"/>
      <c r="Z823" s="11"/>
      <c r="AA823" s="15"/>
      <c r="AB823" s="15"/>
      <c r="AC823" s="15"/>
      <c r="AU823" s="17"/>
    </row>
    <row r="824" spans="1:47" ht="12" customHeight="1" x14ac:dyDescent="0.25">
      <c r="A824" s="3"/>
      <c r="B824" s="14"/>
      <c r="C824" s="14"/>
      <c r="D824" s="14"/>
      <c r="E824" s="14"/>
      <c r="K824" s="14"/>
      <c r="M824" s="14"/>
      <c r="N824" s="14"/>
      <c r="Z824" s="11"/>
      <c r="AA824" s="15"/>
      <c r="AB824" s="15"/>
      <c r="AC824" s="15"/>
      <c r="AU824" s="17"/>
    </row>
    <row r="825" spans="1:47" ht="12" customHeight="1" x14ac:dyDescent="0.25">
      <c r="A825" s="3"/>
      <c r="B825" s="14"/>
      <c r="C825" s="14"/>
      <c r="D825" s="14"/>
      <c r="E825" s="14"/>
      <c r="K825" s="14"/>
      <c r="M825" s="14"/>
      <c r="N825" s="14"/>
      <c r="Z825" s="11"/>
      <c r="AA825" s="15"/>
      <c r="AB825" s="15"/>
      <c r="AC825" s="15"/>
      <c r="AU825" s="17"/>
    </row>
    <row r="826" spans="1:47" ht="12" customHeight="1" x14ac:dyDescent="0.25">
      <c r="A826" s="3"/>
      <c r="B826" s="14"/>
      <c r="C826" s="14"/>
      <c r="D826" s="14"/>
      <c r="E826" s="14"/>
      <c r="K826" s="14"/>
      <c r="M826" s="14"/>
      <c r="N826" s="14"/>
      <c r="Z826" s="11"/>
      <c r="AA826" s="15"/>
      <c r="AB826" s="15"/>
      <c r="AC826" s="15"/>
      <c r="AU826" s="17"/>
    </row>
    <row r="827" spans="1:47" ht="12" customHeight="1" x14ac:dyDescent="0.25">
      <c r="A827" s="3"/>
      <c r="B827" s="14"/>
      <c r="C827" s="14"/>
      <c r="D827" s="14"/>
      <c r="E827" s="14"/>
      <c r="K827" s="14"/>
      <c r="M827" s="14"/>
      <c r="N827" s="14"/>
      <c r="Z827" s="11"/>
      <c r="AA827" s="15"/>
      <c r="AB827" s="15"/>
      <c r="AC827" s="15"/>
      <c r="AU827" s="17"/>
    </row>
    <row r="828" spans="1:47" ht="12" customHeight="1" x14ac:dyDescent="0.25">
      <c r="A828" s="3"/>
      <c r="B828" s="14"/>
      <c r="C828" s="14"/>
      <c r="D828" s="14"/>
      <c r="E828" s="14"/>
      <c r="K828" s="14"/>
      <c r="M828" s="14"/>
      <c r="N828" s="14"/>
      <c r="Z828" s="11"/>
      <c r="AA828" s="15"/>
      <c r="AB828" s="15"/>
      <c r="AC828" s="15"/>
      <c r="AU828" s="17"/>
    </row>
    <row r="829" spans="1:47" ht="12" customHeight="1" x14ac:dyDescent="0.25">
      <c r="A829" s="3"/>
      <c r="B829" s="14"/>
      <c r="C829" s="14"/>
      <c r="D829" s="14"/>
      <c r="E829" s="14"/>
      <c r="K829" s="14"/>
      <c r="M829" s="14"/>
      <c r="N829" s="14"/>
      <c r="Z829" s="11"/>
      <c r="AA829" s="15"/>
      <c r="AB829" s="15"/>
      <c r="AC829" s="15"/>
      <c r="AU829" s="17"/>
    </row>
    <row r="830" spans="1:47" ht="12" customHeight="1" x14ac:dyDescent="0.25">
      <c r="A830" s="3"/>
      <c r="B830" s="14"/>
      <c r="C830" s="14"/>
      <c r="D830" s="14"/>
      <c r="E830" s="14"/>
      <c r="K830" s="14"/>
      <c r="M830" s="14"/>
      <c r="N830" s="14"/>
      <c r="Z830" s="11"/>
      <c r="AA830" s="15"/>
      <c r="AB830" s="15"/>
      <c r="AC830" s="15"/>
      <c r="AU830" s="17"/>
    </row>
    <row r="831" spans="1:47" ht="12" customHeight="1" x14ac:dyDescent="0.25">
      <c r="A831" s="3"/>
      <c r="B831" s="14"/>
      <c r="C831" s="14"/>
      <c r="D831" s="14"/>
      <c r="E831" s="14"/>
      <c r="K831" s="14"/>
      <c r="M831" s="14"/>
      <c r="N831" s="14"/>
      <c r="Z831" s="11"/>
      <c r="AA831" s="15"/>
      <c r="AB831" s="15"/>
      <c r="AC831" s="15"/>
      <c r="AU831" s="17"/>
    </row>
    <row r="832" spans="1:47" ht="12" customHeight="1" x14ac:dyDescent="0.25">
      <c r="A832" s="3"/>
      <c r="B832" s="14"/>
      <c r="C832" s="14"/>
      <c r="D832" s="14"/>
      <c r="E832" s="14"/>
      <c r="K832" s="14"/>
      <c r="M832" s="14"/>
      <c r="N832" s="14"/>
      <c r="Z832" s="11"/>
      <c r="AA832" s="15"/>
      <c r="AB832" s="15"/>
      <c r="AC832" s="15"/>
      <c r="AU832" s="17"/>
    </row>
    <row r="833" spans="1:47" ht="12" customHeight="1" x14ac:dyDescent="0.25">
      <c r="A833" s="3"/>
      <c r="B833" s="14"/>
      <c r="C833" s="14"/>
      <c r="D833" s="14"/>
      <c r="E833" s="14"/>
      <c r="K833" s="14"/>
      <c r="M833" s="14"/>
      <c r="N833" s="14"/>
      <c r="Z833" s="11"/>
      <c r="AA833" s="15"/>
      <c r="AB833" s="15"/>
      <c r="AC833" s="15"/>
      <c r="AU833" s="17"/>
    </row>
    <row r="834" spans="1:47" ht="12" customHeight="1" x14ac:dyDescent="0.25">
      <c r="A834" s="3"/>
      <c r="B834" s="14"/>
      <c r="C834" s="14"/>
      <c r="D834" s="14"/>
      <c r="E834" s="14"/>
      <c r="K834" s="14"/>
      <c r="M834" s="14"/>
      <c r="N834" s="14"/>
      <c r="Z834" s="11"/>
      <c r="AA834" s="15"/>
      <c r="AB834" s="15"/>
      <c r="AC834" s="15"/>
      <c r="AU834" s="17"/>
    </row>
    <row r="835" spans="1:47" ht="12" customHeight="1" x14ac:dyDescent="0.25">
      <c r="A835" s="3"/>
      <c r="B835" s="14"/>
      <c r="C835" s="14"/>
      <c r="D835" s="14"/>
      <c r="E835" s="14"/>
      <c r="K835" s="14"/>
      <c r="M835" s="14"/>
      <c r="N835" s="14"/>
      <c r="Z835" s="11"/>
      <c r="AA835" s="15"/>
      <c r="AB835" s="15"/>
      <c r="AC835" s="15"/>
      <c r="AU835" s="17"/>
    </row>
    <row r="836" spans="1:47" ht="12" customHeight="1" x14ac:dyDescent="0.25">
      <c r="A836" s="3"/>
      <c r="B836" s="14"/>
      <c r="C836" s="14"/>
      <c r="D836" s="14"/>
      <c r="E836" s="14"/>
      <c r="K836" s="14"/>
      <c r="M836" s="14"/>
      <c r="N836" s="14"/>
      <c r="Z836" s="11"/>
      <c r="AA836" s="15"/>
      <c r="AB836" s="15"/>
      <c r="AC836" s="15"/>
      <c r="AU836" s="17"/>
    </row>
    <row r="837" spans="1:47" ht="12" customHeight="1" x14ac:dyDescent="0.25">
      <c r="A837" s="3"/>
      <c r="B837" s="14"/>
      <c r="C837" s="14"/>
      <c r="D837" s="14"/>
      <c r="E837" s="14"/>
      <c r="K837" s="14"/>
      <c r="M837" s="14"/>
      <c r="N837" s="14"/>
      <c r="Z837" s="11"/>
      <c r="AA837" s="15"/>
      <c r="AB837" s="15"/>
      <c r="AC837" s="15"/>
      <c r="AU837" s="17"/>
    </row>
    <row r="838" spans="1:47" ht="12" customHeight="1" x14ac:dyDescent="0.25">
      <c r="A838" s="3"/>
      <c r="B838" s="14"/>
      <c r="C838" s="14"/>
      <c r="D838" s="14"/>
      <c r="E838" s="14"/>
      <c r="K838" s="14"/>
      <c r="M838" s="14"/>
      <c r="N838" s="14"/>
      <c r="Z838" s="11"/>
      <c r="AA838" s="15"/>
      <c r="AB838" s="15"/>
      <c r="AC838" s="15"/>
      <c r="AU838" s="17"/>
    </row>
    <row r="839" spans="1:47" ht="12" customHeight="1" x14ac:dyDescent="0.25">
      <c r="A839" s="3"/>
      <c r="B839" s="14"/>
      <c r="C839" s="14"/>
      <c r="D839" s="14"/>
      <c r="E839" s="14"/>
      <c r="K839" s="14"/>
      <c r="M839" s="14"/>
      <c r="N839" s="14"/>
      <c r="Z839" s="11"/>
      <c r="AA839" s="15"/>
      <c r="AB839" s="15"/>
      <c r="AC839" s="15"/>
      <c r="AU839" s="17"/>
    </row>
    <row r="840" spans="1:47" ht="12" customHeight="1" x14ac:dyDescent="0.25">
      <c r="A840" s="3"/>
      <c r="B840" s="14"/>
      <c r="C840" s="14"/>
      <c r="D840" s="14"/>
      <c r="E840" s="14"/>
      <c r="K840" s="14"/>
      <c r="M840" s="14"/>
      <c r="N840" s="14"/>
      <c r="Z840" s="11"/>
      <c r="AA840" s="15"/>
      <c r="AB840" s="15"/>
      <c r="AC840" s="15"/>
      <c r="AU840" s="17"/>
    </row>
    <row r="841" spans="1:47" ht="12" customHeight="1" x14ac:dyDescent="0.25">
      <c r="A841" s="3"/>
      <c r="B841" s="14"/>
      <c r="C841" s="14"/>
      <c r="D841" s="14"/>
      <c r="E841" s="14"/>
      <c r="K841" s="14"/>
      <c r="M841" s="14"/>
      <c r="N841" s="14"/>
      <c r="Z841" s="11"/>
      <c r="AA841" s="15"/>
      <c r="AB841" s="15"/>
      <c r="AC841" s="15"/>
      <c r="AU841" s="17"/>
    </row>
    <row r="842" spans="1:47" ht="12" customHeight="1" x14ac:dyDescent="0.25">
      <c r="A842" s="3"/>
      <c r="B842" s="14"/>
      <c r="C842" s="14"/>
      <c r="D842" s="14"/>
      <c r="E842" s="14"/>
      <c r="K842" s="14"/>
      <c r="M842" s="14"/>
      <c r="N842" s="14"/>
      <c r="Z842" s="11"/>
      <c r="AA842" s="15"/>
      <c r="AB842" s="15"/>
      <c r="AC842" s="15"/>
      <c r="AU842" s="17"/>
    </row>
    <row r="843" spans="1:47" ht="12" customHeight="1" x14ac:dyDescent="0.25">
      <c r="A843" s="3"/>
      <c r="B843" s="14"/>
      <c r="C843" s="14"/>
      <c r="D843" s="14"/>
      <c r="E843" s="14"/>
      <c r="K843" s="14"/>
      <c r="M843" s="14"/>
      <c r="N843" s="14"/>
      <c r="Z843" s="11"/>
      <c r="AA843" s="15"/>
      <c r="AB843" s="15"/>
      <c r="AC843" s="15"/>
      <c r="AU843" s="17"/>
    </row>
    <row r="844" spans="1:47" ht="12" customHeight="1" x14ac:dyDescent="0.25">
      <c r="A844" s="3"/>
      <c r="B844" s="14"/>
      <c r="C844" s="14"/>
      <c r="D844" s="14"/>
      <c r="E844" s="14"/>
      <c r="K844" s="14"/>
      <c r="M844" s="14"/>
      <c r="N844" s="14"/>
      <c r="Z844" s="11"/>
      <c r="AA844" s="15"/>
      <c r="AB844" s="15"/>
      <c r="AC844" s="15"/>
      <c r="AU844" s="17"/>
    </row>
    <row r="845" spans="1:47" ht="12" customHeight="1" x14ac:dyDescent="0.25">
      <c r="A845" s="3"/>
      <c r="B845" s="14"/>
      <c r="C845" s="14"/>
      <c r="D845" s="14"/>
      <c r="E845" s="14"/>
      <c r="K845" s="14"/>
      <c r="M845" s="14"/>
      <c r="N845" s="14"/>
      <c r="Z845" s="11"/>
      <c r="AA845" s="15"/>
      <c r="AB845" s="15"/>
      <c r="AC845" s="15"/>
      <c r="AU845" s="17"/>
    </row>
    <row r="846" spans="1:47" ht="12" customHeight="1" x14ac:dyDescent="0.25">
      <c r="A846" s="3"/>
      <c r="B846" s="14"/>
      <c r="C846" s="14"/>
      <c r="D846" s="14"/>
      <c r="E846" s="14"/>
      <c r="K846" s="14"/>
      <c r="M846" s="14"/>
      <c r="N846" s="14"/>
      <c r="Z846" s="11"/>
      <c r="AA846" s="15"/>
      <c r="AB846" s="15"/>
      <c r="AC846" s="15"/>
      <c r="AU846" s="17"/>
    </row>
    <row r="847" spans="1:47" ht="12" customHeight="1" x14ac:dyDescent="0.25">
      <c r="A847" s="3"/>
      <c r="B847" s="14"/>
      <c r="C847" s="14"/>
      <c r="D847" s="14"/>
      <c r="E847" s="14"/>
      <c r="K847" s="14"/>
      <c r="M847" s="14"/>
      <c r="N847" s="14"/>
      <c r="Z847" s="11"/>
      <c r="AA847" s="15"/>
      <c r="AB847" s="15"/>
      <c r="AC847" s="15"/>
      <c r="AU847" s="17"/>
    </row>
    <row r="848" spans="1:47" ht="12" customHeight="1" x14ac:dyDescent="0.25">
      <c r="A848" s="3"/>
      <c r="B848" s="14"/>
      <c r="C848" s="14"/>
      <c r="D848" s="14"/>
      <c r="E848" s="14"/>
      <c r="K848" s="14"/>
      <c r="M848" s="14"/>
      <c r="N848" s="14"/>
      <c r="Z848" s="11"/>
      <c r="AA848" s="15"/>
      <c r="AB848" s="15"/>
      <c r="AC848" s="15"/>
      <c r="AU848" s="17"/>
    </row>
    <row r="849" spans="1:47" ht="12" customHeight="1" x14ac:dyDescent="0.25">
      <c r="A849" s="3"/>
      <c r="B849" s="14"/>
      <c r="C849" s="14"/>
      <c r="D849" s="14"/>
      <c r="E849" s="14"/>
      <c r="K849" s="14"/>
      <c r="M849" s="14"/>
      <c r="N849" s="14"/>
      <c r="Z849" s="11"/>
      <c r="AA849" s="15"/>
      <c r="AB849" s="15"/>
      <c r="AC849" s="15"/>
      <c r="AU849" s="17"/>
    </row>
    <row r="850" spans="1:47" ht="12" customHeight="1" x14ac:dyDescent="0.25">
      <c r="A850" s="3"/>
      <c r="B850" s="14"/>
      <c r="C850" s="14"/>
      <c r="D850" s="14"/>
      <c r="E850" s="14"/>
      <c r="K850" s="14"/>
      <c r="M850" s="14"/>
      <c r="N850" s="14"/>
      <c r="Z850" s="11"/>
      <c r="AA850" s="15"/>
      <c r="AB850" s="15"/>
      <c r="AC850" s="15"/>
      <c r="AU850" s="17"/>
    </row>
    <row r="851" spans="1:47" ht="12" customHeight="1" x14ac:dyDescent="0.25">
      <c r="A851" s="3"/>
      <c r="B851" s="14"/>
      <c r="C851" s="14"/>
      <c r="D851" s="14"/>
      <c r="E851" s="14"/>
      <c r="K851" s="14"/>
      <c r="M851" s="14"/>
      <c r="N851" s="14"/>
      <c r="Z851" s="11"/>
      <c r="AA851" s="15"/>
      <c r="AB851" s="15"/>
      <c r="AC851" s="15"/>
      <c r="AU851" s="17"/>
    </row>
    <row r="852" spans="1:47" ht="12" customHeight="1" x14ac:dyDescent="0.25">
      <c r="A852" s="3"/>
      <c r="B852" s="14"/>
      <c r="C852" s="14"/>
      <c r="D852" s="14"/>
      <c r="E852" s="14"/>
      <c r="K852" s="14"/>
      <c r="M852" s="14"/>
      <c r="N852" s="14"/>
      <c r="Z852" s="11"/>
      <c r="AA852" s="15"/>
      <c r="AB852" s="15"/>
      <c r="AC852" s="15"/>
      <c r="AU852" s="17"/>
    </row>
    <row r="853" spans="1:47" ht="12" customHeight="1" x14ac:dyDescent="0.25">
      <c r="A853" s="3"/>
      <c r="B853" s="14"/>
      <c r="C853" s="14"/>
      <c r="D853" s="14"/>
      <c r="E853" s="14"/>
      <c r="K853" s="14"/>
      <c r="M853" s="14"/>
      <c r="N853" s="14"/>
      <c r="Z853" s="11"/>
      <c r="AA853" s="15"/>
      <c r="AB853" s="15"/>
      <c r="AC853" s="15"/>
      <c r="AU853" s="17"/>
    </row>
    <row r="854" spans="1:47" ht="12" customHeight="1" x14ac:dyDescent="0.25">
      <c r="A854" s="3"/>
      <c r="B854" s="14"/>
      <c r="C854" s="14"/>
      <c r="D854" s="14"/>
      <c r="E854" s="14"/>
      <c r="K854" s="14"/>
      <c r="M854" s="14"/>
      <c r="N854" s="14"/>
      <c r="Z854" s="11"/>
      <c r="AA854" s="15"/>
      <c r="AB854" s="15"/>
      <c r="AC854" s="15"/>
      <c r="AU854" s="17"/>
    </row>
    <row r="855" spans="1:47" ht="12" customHeight="1" x14ac:dyDescent="0.25">
      <c r="A855" s="3"/>
      <c r="B855" s="14"/>
      <c r="C855" s="14"/>
      <c r="D855" s="14"/>
      <c r="E855" s="14"/>
      <c r="K855" s="14"/>
      <c r="M855" s="14"/>
      <c r="N855" s="14"/>
      <c r="Z855" s="11"/>
      <c r="AA855" s="15"/>
      <c r="AB855" s="15"/>
      <c r="AC855" s="15"/>
      <c r="AU855" s="17"/>
    </row>
    <row r="856" spans="1:47" ht="12" customHeight="1" x14ac:dyDescent="0.25">
      <c r="A856" s="3"/>
      <c r="B856" s="14"/>
      <c r="C856" s="14"/>
      <c r="D856" s="14"/>
      <c r="E856" s="14"/>
      <c r="K856" s="14"/>
      <c r="M856" s="14"/>
      <c r="N856" s="14"/>
      <c r="Z856" s="11"/>
      <c r="AA856" s="15"/>
      <c r="AB856" s="15"/>
      <c r="AC856" s="15"/>
      <c r="AU856" s="17"/>
    </row>
    <row r="857" spans="1:47" ht="12" customHeight="1" x14ac:dyDescent="0.25">
      <c r="A857" s="3"/>
      <c r="B857" s="14"/>
      <c r="C857" s="14"/>
      <c r="D857" s="14"/>
      <c r="E857" s="14"/>
      <c r="K857" s="14"/>
      <c r="M857" s="14"/>
      <c r="N857" s="14"/>
      <c r="Z857" s="11"/>
      <c r="AA857" s="15"/>
      <c r="AB857" s="15"/>
      <c r="AC857" s="15"/>
      <c r="AU857" s="17"/>
    </row>
    <row r="858" spans="1:47" ht="12" customHeight="1" x14ac:dyDescent="0.25">
      <c r="A858" s="3"/>
      <c r="B858" s="14"/>
      <c r="C858" s="14"/>
      <c r="D858" s="14"/>
      <c r="E858" s="14"/>
      <c r="K858" s="14"/>
      <c r="M858" s="14"/>
      <c r="N858" s="14"/>
      <c r="Z858" s="11"/>
      <c r="AA858" s="15"/>
      <c r="AB858" s="15"/>
      <c r="AC858" s="15"/>
      <c r="AU858" s="17"/>
    </row>
    <row r="859" spans="1:47" ht="12" customHeight="1" x14ac:dyDescent="0.25">
      <c r="A859" s="3"/>
      <c r="B859" s="14"/>
      <c r="C859" s="14"/>
      <c r="D859" s="14"/>
      <c r="E859" s="14"/>
      <c r="K859" s="14"/>
      <c r="M859" s="14"/>
      <c r="N859" s="14"/>
      <c r="Z859" s="11"/>
      <c r="AA859" s="15"/>
      <c r="AB859" s="15"/>
      <c r="AC859" s="15"/>
      <c r="AU859" s="17"/>
    </row>
    <row r="860" spans="1:47" ht="12" customHeight="1" x14ac:dyDescent="0.25">
      <c r="A860" s="3"/>
      <c r="B860" s="14"/>
      <c r="C860" s="14"/>
      <c r="D860" s="14"/>
      <c r="E860" s="14"/>
      <c r="K860" s="14"/>
      <c r="M860" s="14"/>
      <c r="N860" s="14"/>
      <c r="Z860" s="11"/>
      <c r="AA860" s="15"/>
      <c r="AB860" s="15"/>
      <c r="AC860" s="15"/>
      <c r="AU860" s="17"/>
    </row>
    <row r="861" spans="1:47" ht="12" customHeight="1" x14ac:dyDescent="0.25">
      <c r="A861" s="3"/>
      <c r="B861" s="14"/>
      <c r="C861" s="14"/>
      <c r="D861" s="14"/>
      <c r="E861" s="14"/>
      <c r="K861" s="14"/>
      <c r="M861" s="14"/>
      <c r="N861" s="14"/>
      <c r="Z861" s="11"/>
      <c r="AA861" s="15"/>
      <c r="AB861" s="15"/>
      <c r="AC861" s="15"/>
      <c r="AU861" s="17"/>
    </row>
    <row r="862" spans="1:47" ht="12" customHeight="1" x14ac:dyDescent="0.25">
      <c r="A862" s="3"/>
      <c r="B862" s="14"/>
      <c r="C862" s="14"/>
      <c r="D862" s="14"/>
      <c r="E862" s="14"/>
      <c r="K862" s="14"/>
      <c r="M862" s="14"/>
      <c r="N862" s="14"/>
      <c r="Z862" s="11"/>
      <c r="AA862" s="15"/>
      <c r="AB862" s="15"/>
      <c r="AC862" s="15"/>
      <c r="AU862" s="17"/>
    </row>
    <row r="863" spans="1:47" ht="12" customHeight="1" x14ac:dyDescent="0.25">
      <c r="A863" s="3"/>
      <c r="B863" s="14"/>
      <c r="C863" s="14"/>
      <c r="D863" s="14"/>
      <c r="E863" s="14"/>
      <c r="K863" s="14"/>
      <c r="M863" s="14"/>
      <c r="N863" s="14"/>
      <c r="Z863" s="11"/>
      <c r="AA863" s="15"/>
      <c r="AB863" s="15"/>
      <c r="AC863" s="15"/>
      <c r="AU863" s="17"/>
    </row>
    <row r="864" spans="1:47" ht="12" customHeight="1" x14ac:dyDescent="0.25">
      <c r="A864" s="3"/>
      <c r="B864" s="14"/>
      <c r="C864" s="14"/>
      <c r="D864" s="14"/>
      <c r="E864" s="14"/>
      <c r="K864" s="14"/>
      <c r="M864" s="14"/>
      <c r="N864" s="14"/>
      <c r="Z864" s="11"/>
      <c r="AA864" s="15"/>
      <c r="AB864" s="15"/>
      <c r="AC864" s="15"/>
      <c r="AU864" s="17"/>
    </row>
    <row r="865" spans="1:47" ht="12" customHeight="1" x14ac:dyDescent="0.25">
      <c r="A865" s="3"/>
      <c r="B865" s="14"/>
      <c r="C865" s="14"/>
      <c r="D865" s="14"/>
      <c r="E865" s="14"/>
      <c r="K865" s="14"/>
      <c r="M865" s="14"/>
      <c r="N865" s="14"/>
      <c r="Z865" s="11"/>
      <c r="AA865" s="15"/>
      <c r="AB865" s="15"/>
      <c r="AC865" s="15"/>
      <c r="AU865" s="17"/>
    </row>
    <row r="866" spans="1:47" ht="12" customHeight="1" x14ac:dyDescent="0.25">
      <c r="A866" s="3"/>
      <c r="B866" s="14"/>
      <c r="C866" s="14"/>
      <c r="D866" s="14"/>
      <c r="E866" s="14"/>
      <c r="K866" s="14"/>
      <c r="M866" s="14"/>
      <c r="N866" s="14"/>
      <c r="Z866" s="11"/>
      <c r="AA866" s="15"/>
      <c r="AB866" s="15"/>
      <c r="AC866" s="15"/>
      <c r="AU866" s="17"/>
    </row>
    <row r="867" spans="1:47" ht="12" customHeight="1" x14ac:dyDescent="0.25">
      <c r="A867" s="3"/>
      <c r="B867" s="14"/>
      <c r="C867" s="14"/>
      <c r="D867" s="14"/>
      <c r="E867" s="14"/>
      <c r="K867" s="14"/>
      <c r="M867" s="14"/>
      <c r="N867" s="14"/>
      <c r="Z867" s="11"/>
      <c r="AA867" s="15"/>
      <c r="AB867" s="15"/>
      <c r="AC867" s="15"/>
      <c r="AU867" s="17"/>
    </row>
    <row r="868" spans="1:47" ht="12" customHeight="1" x14ac:dyDescent="0.25">
      <c r="A868" s="3"/>
      <c r="B868" s="14"/>
      <c r="C868" s="14"/>
      <c r="D868" s="14"/>
      <c r="E868" s="14"/>
      <c r="K868" s="14"/>
      <c r="M868" s="14"/>
      <c r="N868" s="14"/>
      <c r="Z868" s="11"/>
      <c r="AA868" s="15"/>
      <c r="AB868" s="15"/>
      <c r="AC868" s="15"/>
      <c r="AU868" s="17"/>
    </row>
    <row r="869" spans="1:47" ht="12" customHeight="1" x14ac:dyDescent="0.25">
      <c r="A869" s="3"/>
      <c r="B869" s="14"/>
      <c r="C869" s="14"/>
      <c r="D869" s="14"/>
      <c r="E869" s="14"/>
      <c r="K869" s="14"/>
      <c r="M869" s="14"/>
      <c r="N869" s="14"/>
      <c r="Z869" s="11"/>
      <c r="AA869" s="15"/>
      <c r="AB869" s="15"/>
      <c r="AC869" s="15"/>
      <c r="AU869" s="17"/>
    </row>
    <row r="870" spans="1:47" ht="12" customHeight="1" x14ac:dyDescent="0.25">
      <c r="A870" s="3"/>
      <c r="B870" s="14"/>
      <c r="C870" s="14"/>
      <c r="D870" s="14"/>
      <c r="E870" s="14"/>
      <c r="K870" s="14"/>
      <c r="M870" s="14"/>
      <c r="N870" s="14"/>
      <c r="Z870" s="11"/>
      <c r="AA870" s="15"/>
      <c r="AB870" s="15"/>
      <c r="AC870" s="15"/>
      <c r="AU870" s="17"/>
    </row>
    <row r="871" spans="1:47" ht="12" customHeight="1" x14ac:dyDescent="0.25">
      <c r="A871" s="3"/>
      <c r="B871" s="14"/>
      <c r="C871" s="14"/>
      <c r="D871" s="14"/>
      <c r="E871" s="14"/>
      <c r="K871" s="14"/>
      <c r="M871" s="14"/>
      <c r="N871" s="14"/>
      <c r="Z871" s="11"/>
      <c r="AA871" s="15"/>
      <c r="AB871" s="15"/>
      <c r="AC871" s="15"/>
      <c r="AU871" s="17"/>
    </row>
    <row r="872" spans="1:47" ht="12" customHeight="1" x14ac:dyDescent="0.25">
      <c r="A872" s="3"/>
      <c r="B872" s="14"/>
      <c r="C872" s="14"/>
      <c r="D872" s="14"/>
      <c r="E872" s="14"/>
      <c r="K872" s="14"/>
      <c r="M872" s="14"/>
      <c r="N872" s="14"/>
      <c r="Z872" s="11"/>
      <c r="AA872" s="15"/>
      <c r="AB872" s="15"/>
      <c r="AC872" s="15"/>
      <c r="AU872" s="17"/>
    </row>
    <row r="873" spans="1:47" ht="12" customHeight="1" x14ac:dyDescent="0.25">
      <c r="A873" s="3"/>
      <c r="B873" s="14"/>
      <c r="C873" s="14"/>
      <c r="D873" s="14"/>
      <c r="E873" s="14"/>
      <c r="K873" s="14"/>
      <c r="M873" s="14"/>
      <c r="N873" s="14"/>
      <c r="Z873" s="11"/>
      <c r="AA873" s="15"/>
      <c r="AB873" s="15"/>
      <c r="AC873" s="15"/>
      <c r="AU873" s="17"/>
    </row>
    <row r="874" spans="1:47" ht="12" customHeight="1" x14ac:dyDescent="0.25">
      <c r="A874" s="3"/>
      <c r="B874" s="14"/>
      <c r="C874" s="14"/>
      <c r="D874" s="14"/>
      <c r="E874" s="14"/>
      <c r="K874" s="14"/>
      <c r="M874" s="14"/>
      <c r="N874" s="14"/>
      <c r="Z874" s="11"/>
      <c r="AA874" s="15"/>
      <c r="AB874" s="15"/>
      <c r="AC874" s="15"/>
      <c r="AU874" s="17"/>
    </row>
    <row r="875" spans="1:47" ht="12" customHeight="1" x14ac:dyDescent="0.25">
      <c r="A875" s="3"/>
      <c r="B875" s="14"/>
      <c r="C875" s="14"/>
      <c r="D875" s="14"/>
      <c r="E875" s="14"/>
      <c r="K875" s="14"/>
      <c r="M875" s="14"/>
      <c r="N875" s="14"/>
      <c r="Z875" s="11"/>
      <c r="AA875" s="15"/>
      <c r="AB875" s="15"/>
      <c r="AC875" s="15"/>
      <c r="AU875" s="17"/>
    </row>
    <row r="876" spans="1:47" ht="12" customHeight="1" x14ac:dyDescent="0.25">
      <c r="A876" s="3"/>
      <c r="B876" s="14"/>
      <c r="C876" s="14"/>
      <c r="D876" s="14"/>
      <c r="E876" s="14"/>
      <c r="K876" s="14"/>
      <c r="M876" s="14"/>
      <c r="N876" s="14"/>
      <c r="Z876" s="11"/>
      <c r="AA876" s="15"/>
      <c r="AB876" s="15"/>
      <c r="AC876" s="15"/>
      <c r="AU876" s="17"/>
    </row>
    <row r="877" spans="1:47" ht="12" customHeight="1" x14ac:dyDescent="0.25">
      <c r="A877" s="3"/>
      <c r="B877" s="14"/>
      <c r="C877" s="14"/>
      <c r="D877" s="14"/>
      <c r="E877" s="14"/>
      <c r="K877" s="14"/>
      <c r="M877" s="14"/>
      <c r="N877" s="14"/>
      <c r="Z877" s="11"/>
      <c r="AA877" s="15"/>
      <c r="AB877" s="15"/>
      <c r="AC877" s="15"/>
      <c r="AU877" s="17"/>
    </row>
    <row r="878" spans="1:47" ht="12" customHeight="1" x14ac:dyDescent="0.25">
      <c r="A878" s="3"/>
      <c r="B878" s="14"/>
      <c r="C878" s="14"/>
      <c r="D878" s="14"/>
      <c r="E878" s="14"/>
      <c r="K878" s="14"/>
      <c r="M878" s="14"/>
      <c r="N878" s="14"/>
      <c r="Z878" s="11"/>
      <c r="AA878" s="15"/>
      <c r="AB878" s="15"/>
      <c r="AC878" s="15"/>
      <c r="AU878" s="17"/>
    </row>
    <row r="879" spans="1:47" ht="12" customHeight="1" x14ac:dyDescent="0.25">
      <c r="A879" s="3"/>
      <c r="B879" s="14"/>
      <c r="C879" s="14"/>
      <c r="D879" s="14"/>
      <c r="E879" s="14"/>
      <c r="K879" s="14"/>
      <c r="M879" s="14"/>
      <c r="N879" s="14"/>
      <c r="Z879" s="11"/>
      <c r="AA879" s="15"/>
      <c r="AB879" s="15"/>
      <c r="AC879" s="15"/>
      <c r="AU879" s="17"/>
    </row>
    <row r="880" spans="1:47" ht="12" customHeight="1" x14ac:dyDescent="0.25">
      <c r="A880" s="3"/>
      <c r="B880" s="14"/>
      <c r="C880" s="14"/>
      <c r="D880" s="14"/>
      <c r="E880" s="14"/>
      <c r="K880" s="14"/>
      <c r="M880" s="14"/>
      <c r="N880" s="14"/>
      <c r="Z880" s="11"/>
      <c r="AA880" s="15"/>
      <c r="AB880" s="15"/>
      <c r="AC880" s="15"/>
      <c r="AU880" s="17"/>
    </row>
    <row r="881" spans="1:47" ht="12" customHeight="1" x14ac:dyDescent="0.25">
      <c r="A881" s="3"/>
      <c r="B881" s="14"/>
      <c r="C881" s="14"/>
      <c r="D881" s="14"/>
      <c r="E881" s="14"/>
      <c r="K881" s="14"/>
      <c r="M881" s="14"/>
      <c r="N881" s="14"/>
      <c r="Z881" s="11"/>
      <c r="AA881" s="15"/>
      <c r="AB881" s="15"/>
      <c r="AC881" s="15"/>
      <c r="AU881" s="17"/>
    </row>
    <row r="882" spans="1:47" ht="12" customHeight="1" x14ac:dyDescent="0.25">
      <c r="A882" s="3"/>
      <c r="B882" s="14"/>
      <c r="C882" s="14"/>
      <c r="D882" s="14"/>
      <c r="E882" s="14"/>
      <c r="K882" s="14"/>
      <c r="M882" s="14"/>
      <c r="N882" s="14"/>
      <c r="Z882" s="11"/>
      <c r="AA882" s="15"/>
      <c r="AB882" s="15"/>
      <c r="AC882" s="15"/>
      <c r="AU882" s="17"/>
    </row>
    <row r="883" spans="1:47" ht="12" customHeight="1" x14ac:dyDescent="0.25">
      <c r="A883" s="3"/>
      <c r="B883" s="14"/>
      <c r="C883" s="14"/>
      <c r="D883" s="14"/>
      <c r="E883" s="14"/>
      <c r="K883" s="14"/>
      <c r="M883" s="14"/>
      <c r="N883" s="14"/>
      <c r="Z883" s="11"/>
      <c r="AA883" s="15"/>
      <c r="AB883" s="15"/>
      <c r="AC883" s="15"/>
      <c r="AU883" s="17"/>
    </row>
    <row r="884" spans="1:47" ht="12" customHeight="1" x14ac:dyDescent="0.25">
      <c r="A884" s="3"/>
      <c r="B884" s="14"/>
      <c r="C884" s="14"/>
      <c r="D884" s="14"/>
      <c r="E884" s="14"/>
      <c r="K884" s="14"/>
      <c r="M884" s="14"/>
      <c r="N884" s="14"/>
      <c r="Z884" s="11"/>
      <c r="AA884" s="15"/>
      <c r="AB884" s="15"/>
      <c r="AC884" s="15"/>
      <c r="AU884" s="17"/>
    </row>
    <row r="885" spans="1:47" ht="12" customHeight="1" x14ac:dyDescent="0.25">
      <c r="A885" s="3"/>
      <c r="B885" s="14"/>
      <c r="C885" s="14"/>
      <c r="D885" s="14"/>
      <c r="E885" s="14"/>
      <c r="K885" s="14"/>
      <c r="M885" s="14"/>
      <c r="N885" s="14"/>
      <c r="Z885" s="11"/>
      <c r="AA885" s="15"/>
      <c r="AB885" s="15"/>
      <c r="AC885" s="15"/>
      <c r="AU885" s="17"/>
    </row>
    <row r="886" spans="1:47" ht="12" customHeight="1" x14ac:dyDescent="0.25">
      <c r="A886" s="3"/>
      <c r="B886" s="14"/>
      <c r="C886" s="14"/>
      <c r="D886" s="14"/>
      <c r="E886" s="14"/>
      <c r="K886" s="14"/>
      <c r="M886" s="14"/>
      <c r="N886" s="14"/>
      <c r="Z886" s="11"/>
      <c r="AA886" s="15"/>
      <c r="AB886" s="15"/>
      <c r="AC886" s="15"/>
      <c r="AU886" s="17"/>
    </row>
    <row r="887" spans="1:47" ht="12" customHeight="1" x14ac:dyDescent="0.25">
      <c r="A887" s="3"/>
      <c r="B887" s="14"/>
      <c r="C887" s="14"/>
      <c r="D887" s="14"/>
      <c r="E887" s="14"/>
      <c r="K887" s="14"/>
      <c r="M887" s="14"/>
      <c r="N887" s="14"/>
      <c r="Z887" s="11"/>
      <c r="AA887" s="15"/>
      <c r="AB887" s="15"/>
      <c r="AC887" s="15"/>
      <c r="AU887" s="17"/>
    </row>
    <row r="888" spans="1:47" ht="12" customHeight="1" x14ac:dyDescent="0.25">
      <c r="A888" s="3"/>
      <c r="B888" s="14"/>
      <c r="C888" s="14"/>
      <c r="D888" s="14"/>
      <c r="E888" s="14"/>
      <c r="K888" s="14"/>
      <c r="M888" s="14"/>
      <c r="N888" s="14"/>
      <c r="Z888" s="11"/>
      <c r="AA888" s="15"/>
      <c r="AB888" s="15"/>
      <c r="AC888" s="15"/>
      <c r="AU888" s="17"/>
    </row>
    <row r="889" spans="1:47" ht="12" customHeight="1" x14ac:dyDescent="0.25">
      <c r="A889" s="3"/>
      <c r="B889" s="14"/>
      <c r="C889" s="14"/>
      <c r="D889" s="14"/>
      <c r="E889" s="14"/>
      <c r="K889" s="14"/>
      <c r="M889" s="14"/>
      <c r="N889" s="14"/>
      <c r="Z889" s="11"/>
      <c r="AA889" s="15"/>
      <c r="AB889" s="15"/>
      <c r="AC889" s="15"/>
      <c r="AU889" s="17"/>
    </row>
    <row r="890" spans="1:47" ht="12" customHeight="1" x14ac:dyDescent="0.25">
      <c r="A890" s="3"/>
      <c r="B890" s="14"/>
      <c r="C890" s="14"/>
      <c r="D890" s="14"/>
      <c r="E890" s="14"/>
      <c r="K890" s="14"/>
      <c r="M890" s="14"/>
      <c r="N890" s="14"/>
      <c r="Z890" s="11"/>
      <c r="AA890" s="15"/>
      <c r="AB890" s="15"/>
      <c r="AC890" s="15"/>
      <c r="AU890" s="17"/>
    </row>
    <row r="891" spans="1:47" ht="12" customHeight="1" x14ac:dyDescent="0.25">
      <c r="A891" s="3"/>
      <c r="B891" s="14"/>
      <c r="C891" s="14"/>
      <c r="D891" s="14"/>
      <c r="E891" s="14"/>
      <c r="K891" s="14"/>
      <c r="M891" s="14"/>
      <c r="N891" s="14"/>
      <c r="Z891" s="11"/>
      <c r="AA891" s="15"/>
      <c r="AB891" s="15"/>
      <c r="AC891" s="15"/>
      <c r="AU891" s="17"/>
    </row>
    <row r="892" spans="1:47" ht="12" customHeight="1" x14ac:dyDescent="0.25">
      <c r="A892" s="3"/>
      <c r="B892" s="14"/>
      <c r="C892" s="14"/>
      <c r="D892" s="14"/>
      <c r="E892" s="14"/>
      <c r="K892" s="14"/>
      <c r="M892" s="14"/>
      <c r="N892" s="14"/>
      <c r="Z892" s="11"/>
      <c r="AA892" s="15"/>
      <c r="AB892" s="15"/>
      <c r="AC892" s="15"/>
      <c r="AU892" s="17"/>
    </row>
    <row r="893" spans="1:47" ht="12" customHeight="1" x14ac:dyDescent="0.25">
      <c r="A893" s="3"/>
      <c r="B893" s="14"/>
      <c r="C893" s="14"/>
      <c r="D893" s="14"/>
      <c r="E893" s="14"/>
      <c r="K893" s="14"/>
      <c r="M893" s="14"/>
      <c r="N893" s="14"/>
      <c r="Z893" s="11"/>
      <c r="AA893" s="15"/>
      <c r="AB893" s="15"/>
      <c r="AC893" s="15"/>
      <c r="AU893" s="17"/>
    </row>
    <row r="894" spans="1:47" ht="12" customHeight="1" x14ac:dyDescent="0.25">
      <c r="A894" s="3"/>
      <c r="B894" s="14"/>
      <c r="C894" s="14"/>
      <c r="D894" s="14"/>
      <c r="E894" s="14"/>
      <c r="K894" s="14"/>
      <c r="M894" s="14"/>
      <c r="N894" s="14"/>
      <c r="Z894" s="11"/>
      <c r="AA894" s="15"/>
      <c r="AB894" s="15"/>
      <c r="AC894" s="15"/>
      <c r="AU894" s="17"/>
    </row>
    <row r="895" spans="1:47" ht="12" customHeight="1" x14ac:dyDescent="0.25">
      <c r="A895" s="3"/>
      <c r="B895" s="14"/>
      <c r="C895" s="14"/>
      <c r="D895" s="14"/>
      <c r="E895" s="14"/>
      <c r="K895" s="14"/>
      <c r="M895" s="14"/>
      <c r="N895" s="14"/>
      <c r="Z895" s="11"/>
      <c r="AA895" s="15"/>
      <c r="AB895" s="15"/>
      <c r="AC895" s="15"/>
      <c r="AU895" s="17"/>
    </row>
    <row r="896" spans="1:47" ht="12" customHeight="1" x14ac:dyDescent="0.25">
      <c r="A896" s="3"/>
      <c r="B896" s="14"/>
      <c r="C896" s="14"/>
      <c r="D896" s="14"/>
      <c r="E896" s="14"/>
      <c r="K896" s="14"/>
      <c r="M896" s="14"/>
      <c r="N896" s="14"/>
      <c r="Z896" s="11"/>
      <c r="AA896" s="15"/>
      <c r="AB896" s="15"/>
      <c r="AC896" s="15"/>
      <c r="AU896" s="17"/>
    </row>
    <row r="897" spans="1:47" ht="12" customHeight="1" x14ac:dyDescent="0.25">
      <c r="A897" s="3"/>
      <c r="B897" s="14"/>
      <c r="C897" s="14"/>
      <c r="D897" s="14"/>
      <c r="E897" s="14"/>
      <c r="K897" s="14"/>
      <c r="M897" s="14"/>
      <c r="N897" s="14"/>
      <c r="Z897" s="11"/>
      <c r="AA897" s="15"/>
      <c r="AB897" s="15"/>
      <c r="AC897" s="15"/>
      <c r="AU897" s="17"/>
    </row>
    <row r="898" spans="1:47" ht="12" customHeight="1" x14ac:dyDescent="0.25">
      <c r="A898" s="3"/>
      <c r="B898" s="14"/>
      <c r="C898" s="14"/>
      <c r="D898" s="14"/>
      <c r="E898" s="14"/>
      <c r="K898" s="14"/>
      <c r="M898" s="14"/>
      <c r="N898" s="14"/>
      <c r="Z898" s="11"/>
      <c r="AA898" s="15"/>
      <c r="AB898" s="15"/>
      <c r="AC898" s="15"/>
      <c r="AU898" s="17"/>
    </row>
    <row r="899" spans="1:47" ht="12" customHeight="1" x14ac:dyDescent="0.25">
      <c r="A899" s="3"/>
      <c r="B899" s="14"/>
      <c r="C899" s="14"/>
      <c r="D899" s="14"/>
      <c r="E899" s="14"/>
      <c r="K899" s="14"/>
      <c r="M899" s="14"/>
      <c r="N899" s="14"/>
      <c r="Z899" s="11"/>
      <c r="AA899" s="15"/>
      <c r="AB899" s="15"/>
      <c r="AC899" s="15"/>
      <c r="AU899" s="17"/>
    </row>
    <row r="900" spans="1:47" ht="12" customHeight="1" x14ac:dyDescent="0.25">
      <c r="A900" s="3"/>
      <c r="B900" s="14"/>
      <c r="C900" s="14"/>
      <c r="D900" s="14"/>
      <c r="E900" s="14"/>
      <c r="K900" s="14"/>
      <c r="M900" s="14"/>
      <c r="N900" s="14"/>
      <c r="Z900" s="11"/>
      <c r="AA900" s="15"/>
      <c r="AB900" s="15"/>
      <c r="AC900" s="15"/>
      <c r="AU900" s="17"/>
    </row>
    <row r="901" spans="1:47" ht="12" customHeight="1" x14ac:dyDescent="0.25">
      <c r="A901" s="3"/>
      <c r="B901" s="14"/>
      <c r="C901" s="14"/>
      <c r="D901" s="14"/>
      <c r="E901" s="14"/>
      <c r="K901" s="14"/>
      <c r="M901" s="14"/>
      <c r="N901" s="14"/>
      <c r="Z901" s="11"/>
      <c r="AA901" s="15"/>
      <c r="AB901" s="15"/>
      <c r="AC901" s="15"/>
      <c r="AU901" s="17"/>
    </row>
    <row r="902" spans="1:47" ht="12" customHeight="1" x14ac:dyDescent="0.25">
      <c r="A902" s="3"/>
      <c r="B902" s="14"/>
      <c r="C902" s="14"/>
      <c r="D902" s="14"/>
      <c r="E902" s="14"/>
      <c r="K902" s="14"/>
      <c r="M902" s="14"/>
      <c r="N902" s="14"/>
      <c r="Z902" s="11"/>
      <c r="AA902" s="15"/>
      <c r="AB902" s="15"/>
      <c r="AC902" s="15"/>
      <c r="AU902" s="17"/>
    </row>
    <row r="903" spans="1:47" ht="12" customHeight="1" x14ac:dyDescent="0.25">
      <c r="A903" s="3"/>
      <c r="B903" s="14"/>
      <c r="C903" s="14"/>
      <c r="D903" s="14"/>
      <c r="E903" s="14"/>
      <c r="K903" s="14"/>
      <c r="M903" s="14"/>
      <c r="N903" s="14"/>
      <c r="Z903" s="11"/>
      <c r="AA903" s="15"/>
      <c r="AB903" s="15"/>
      <c r="AC903" s="15"/>
      <c r="AU903" s="17"/>
    </row>
    <row r="904" spans="1:47" ht="12" customHeight="1" x14ac:dyDescent="0.25">
      <c r="A904" s="3"/>
      <c r="B904" s="14"/>
      <c r="C904" s="14"/>
      <c r="D904" s="14"/>
      <c r="E904" s="14"/>
      <c r="K904" s="14"/>
      <c r="M904" s="14"/>
      <c r="N904" s="14"/>
      <c r="Z904" s="11"/>
      <c r="AA904" s="15"/>
      <c r="AB904" s="15"/>
      <c r="AC904" s="15"/>
      <c r="AU904" s="17"/>
    </row>
    <row r="905" spans="1:47" ht="12" customHeight="1" x14ac:dyDescent="0.25">
      <c r="A905" s="3"/>
      <c r="B905" s="14"/>
      <c r="C905" s="14"/>
      <c r="D905" s="14"/>
      <c r="E905" s="14"/>
      <c r="K905" s="14"/>
      <c r="M905" s="14"/>
      <c r="N905" s="14"/>
      <c r="Z905" s="11"/>
      <c r="AA905" s="15"/>
      <c r="AB905" s="15"/>
      <c r="AC905" s="15"/>
      <c r="AU905" s="17"/>
    </row>
    <row r="906" spans="1:47" ht="12" customHeight="1" x14ac:dyDescent="0.25">
      <c r="A906" s="3"/>
      <c r="B906" s="14"/>
      <c r="C906" s="14"/>
      <c r="D906" s="14"/>
      <c r="E906" s="14"/>
      <c r="K906" s="14"/>
      <c r="M906" s="14"/>
      <c r="N906" s="14"/>
      <c r="Z906" s="11"/>
      <c r="AA906" s="15"/>
      <c r="AB906" s="15"/>
      <c r="AC906" s="15"/>
      <c r="AU906" s="17"/>
    </row>
    <row r="907" spans="1:47" ht="12" customHeight="1" x14ac:dyDescent="0.25">
      <c r="A907" s="3"/>
      <c r="B907" s="14"/>
      <c r="C907" s="14"/>
      <c r="D907" s="14"/>
      <c r="E907" s="14"/>
      <c r="K907" s="14"/>
      <c r="M907" s="14"/>
      <c r="N907" s="14"/>
      <c r="Z907" s="11"/>
      <c r="AA907" s="15"/>
      <c r="AB907" s="15"/>
      <c r="AC907" s="15"/>
      <c r="AU907" s="17"/>
    </row>
    <row r="908" spans="1:47" ht="12" customHeight="1" x14ac:dyDescent="0.25">
      <c r="A908" s="3"/>
      <c r="B908" s="14"/>
      <c r="C908" s="14"/>
      <c r="D908" s="14"/>
      <c r="E908" s="14"/>
      <c r="K908" s="14"/>
      <c r="M908" s="14"/>
      <c r="N908" s="14"/>
      <c r="Z908" s="11"/>
      <c r="AA908" s="15"/>
      <c r="AB908" s="15"/>
      <c r="AC908" s="15"/>
      <c r="AU908" s="17"/>
    </row>
    <row r="909" spans="1:47" ht="12" customHeight="1" x14ac:dyDescent="0.25">
      <c r="A909" s="3"/>
      <c r="B909" s="14"/>
      <c r="C909" s="14"/>
      <c r="D909" s="14"/>
      <c r="E909" s="14"/>
      <c r="K909" s="14"/>
      <c r="M909" s="14"/>
      <c r="N909" s="14"/>
      <c r="Z909" s="11"/>
      <c r="AA909" s="15"/>
      <c r="AB909" s="15"/>
      <c r="AC909" s="15"/>
      <c r="AU909" s="17"/>
    </row>
    <row r="910" spans="1:47" ht="12" customHeight="1" x14ac:dyDescent="0.25">
      <c r="A910" s="3"/>
      <c r="B910" s="14"/>
      <c r="C910" s="14"/>
      <c r="D910" s="14"/>
      <c r="E910" s="14"/>
      <c r="K910" s="14"/>
      <c r="M910" s="14"/>
      <c r="N910" s="14"/>
      <c r="Z910" s="11"/>
      <c r="AA910" s="15"/>
      <c r="AB910" s="15"/>
      <c r="AC910" s="15"/>
      <c r="AU910" s="17"/>
    </row>
    <row r="911" spans="1:47" ht="12" customHeight="1" x14ac:dyDescent="0.25">
      <c r="A911" s="3"/>
      <c r="B911" s="14"/>
      <c r="C911" s="14"/>
      <c r="D911" s="14"/>
      <c r="E911" s="14"/>
      <c r="K911" s="14"/>
      <c r="M911" s="14"/>
      <c r="N911" s="14"/>
      <c r="Z911" s="11"/>
      <c r="AA911" s="15"/>
      <c r="AB911" s="15"/>
      <c r="AC911" s="15"/>
      <c r="AU911" s="17"/>
    </row>
    <row r="912" spans="1:47" ht="12" customHeight="1" x14ac:dyDescent="0.25">
      <c r="A912" s="3"/>
      <c r="B912" s="14"/>
      <c r="C912" s="14"/>
      <c r="D912" s="14"/>
      <c r="E912" s="14"/>
      <c r="K912" s="14"/>
      <c r="M912" s="14"/>
      <c r="N912" s="14"/>
      <c r="Z912" s="11"/>
      <c r="AA912" s="15"/>
      <c r="AB912" s="15"/>
      <c r="AC912" s="15"/>
      <c r="AU912" s="17"/>
    </row>
    <row r="913" spans="1:47" ht="12" customHeight="1" x14ac:dyDescent="0.25">
      <c r="A913" s="3"/>
      <c r="B913" s="14"/>
      <c r="C913" s="14"/>
      <c r="D913" s="14"/>
      <c r="E913" s="14"/>
      <c r="K913" s="14"/>
      <c r="M913" s="14"/>
      <c r="N913" s="14"/>
      <c r="Z913" s="11"/>
      <c r="AA913" s="15"/>
      <c r="AB913" s="15"/>
      <c r="AC913" s="15"/>
      <c r="AU913" s="17"/>
    </row>
    <row r="914" spans="1:47" ht="12" customHeight="1" x14ac:dyDescent="0.25">
      <c r="A914" s="3"/>
      <c r="B914" s="14"/>
      <c r="C914" s="14"/>
      <c r="D914" s="14"/>
      <c r="E914" s="14"/>
      <c r="K914" s="14"/>
      <c r="M914" s="14"/>
      <c r="N914" s="14"/>
      <c r="Z914" s="11"/>
      <c r="AA914" s="15"/>
      <c r="AB914" s="15"/>
      <c r="AC914" s="15"/>
      <c r="AU914" s="17"/>
    </row>
    <row r="915" spans="1:47" ht="12" customHeight="1" x14ac:dyDescent="0.25">
      <c r="A915" s="3"/>
      <c r="B915" s="14"/>
      <c r="C915" s="14"/>
      <c r="D915" s="14"/>
      <c r="E915" s="14"/>
      <c r="K915" s="14"/>
      <c r="M915" s="14"/>
      <c r="N915" s="14"/>
      <c r="Z915" s="11"/>
      <c r="AA915" s="15"/>
      <c r="AB915" s="15"/>
      <c r="AC915" s="15"/>
      <c r="AU915" s="17"/>
    </row>
    <row r="916" spans="1:47" ht="12" customHeight="1" x14ac:dyDescent="0.25">
      <c r="A916" s="3"/>
      <c r="B916" s="14"/>
      <c r="C916" s="14"/>
      <c r="D916" s="14"/>
      <c r="E916" s="14"/>
      <c r="K916" s="14"/>
      <c r="M916" s="14"/>
      <c r="N916" s="14"/>
      <c r="Z916" s="11"/>
      <c r="AA916" s="15"/>
      <c r="AB916" s="15"/>
      <c r="AC916" s="15"/>
      <c r="AU916" s="17"/>
    </row>
    <row r="917" spans="1:47" ht="12" customHeight="1" x14ac:dyDescent="0.25">
      <c r="A917" s="3"/>
      <c r="B917" s="14"/>
      <c r="C917" s="14"/>
      <c r="D917" s="14"/>
      <c r="E917" s="14"/>
      <c r="K917" s="14"/>
      <c r="M917" s="14"/>
      <c r="N917" s="14"/>
      <c r="Z917" s="11"/>
      <c r="AA917" s="15"/>
      <c r="AB917" s="15"/>
      <c r="AC917" s="15"/>
      <c r="AU917" s="17"/>
    </row>
    <row r="918" spans="1:47" ht="12" customHeight="1" x14ac:dyDescent="0.25">
      <c r="A918" s="3"/>
      <c r="B918" s="14"/>
      <c r="C918" s="14"/>
      <c r="D918" s="14"/>
      <c r="E918" s="14"/>
      <c r="K918" s="14"/>
      <c r="M918" s="14"/>
      <c r="N918" s="14"/>
      <c r="Z918" s="11"/>
      <c r="AA918" s="15"/>
      <c r="AB918" s="15"/>
      <c r="AC918" s="15"/>
      <c r="AU918" s="17"/>
    </row>
    <row r="919" spans="1:47" ht="12" customHeight="1" x14ac:dyDescent="0.25">
      <c r="A919" s="3"/>
      <c r="B919" s="14"/>
      <c r="C919" s="14"/>
      <c r="D919" s="14"/>
      <c r="E919" s="14"/>
      <c r="K919" s="14"/>
      <c r="M919" s="14"/>
      <c r="N919" s="14"/>
      <c r="Z919" s="11"/>
      <c r="AA919" s="15"/>
      <c r="AB919" s="15"/>
      <c r="AC919" s="15"/>
      <c r="AU919" s="17"/>
    </row>
    <row r="920" spans="1:47" ht="12" customHeight="1" x14ac:dyDescent="0.25">
      <c r="A920" s="3"/>
      <c r="B920" s="14"/>
      <c r="C920" s="14"/>
      <c r="D920" s="14"/>
      <c r="E920" s="14"/>
      <c r="K920" s="14"/>
      <c r="M920" s="14"/>
      <c r="N920" s="14"/>
      <c r="Z920" s="11"/>
      <c r="AA920" s="15"/>
      <c r="AB920" s="15"/>
      <c r="AC920" s="15"/>
      <c r="AU920" s="17"/>
    </row>
    <row r="921" spans="1:47" ht="12" customHeight="1" x14ac:dyDescent="0.25">
      <c r="A921" s="3"/>
      <c r="B921" s="14"/>
      <c r="C921" s="14"/>
      <c r="D921" s="14"/>
      <c r="E921" s="14"/>
      <c r="K921" s="14"/>
      <c r="M921" s="14"/>
      <c r="N921" s="14"/>
      <c r="Z921" s="11"/>
      <c r="AA921" s="15"/>
      <c r="AB921" s="15"/>
      <c r="AC921" s="15"/>
      <c r="AU921" s="17"/>
    </row>
    <row r="922" spans="1:47" ht="12" customHeight="1" x14ac:dyDescent="0.25">
      <c r="A922" s="3"/>
      <c r="B922" s="14"/>
      <c r="C922" s="14"/>
      <c r="D922" s="14"/>
      <c r="E922" s="14"/>
      <c r="K922" s="14"/>
      <c r="M922" s="14"/>
      <c r="N922" s="14"/>
      <c r="Z922" s="11"/>
      <c r="AA922" s="15"/>
      <c r="AB922" s="15"/>
      <c r="AC922" s="15"/>
      <c r="AU922" s="17"/>
    </row>
    <row r="923" spans="1:47" ht="12" customHeight="1" x14ac:dyDescent="0.25">
      <c r="A923" s="3"/>
      <c r="B923" s="14"/>
      <c r="C923" s="14"/>
      <c r="D923" s="14"/>
      <c r="E923" s="14"/>
      <c r="K923" s="14"/>
      <c r="M923" s="14"/>
      <c r="N923" s="14"/>
      <c r="Z923" s="11"/>
      <c r="AA923" s="15"/>
      <c r="AB923" s="15"/>
      <c r="AC923" s="15"/>
      <c r="AU923" s="17"/>
    </row>
    <row r="924" spans="1:47" ht="12" customHeight="1" x14ac:dyDescent="0.25">
      <c r="A924" s="3"/>
      <c r="B924" s="14"/>
      <c r="C924" s="14"/>
      <c r="D924" s="14"/>
      <c r="E924" s="14"/>
      <c r="K924" s="14"/>
      <c r="M924" s="14"/>
      <c r="N924" s="14"/>
      <c r="Z924" s="11"/>
      <c r="AA924" s="15"/>
      <c r="AB924" s="15"/>
      <c r="AC924" s="15"/>
      <c r="AU924" s="17"/>
    </row>
    <row r="925" spans="1:47" ht="12" customHeight="1" x14ac:dyDescent="0.25">
      <c r="A925" s="3"/>
      <c r="B925" s="14"/>
      <c r="C925" s="14"/>
      <c r="D925" s="14"/>
      <c r="E925" s="14"/>
      <c r="K925" s="14"/>
      <c r="M925" s="14"/>
      <c r="N925" s="14"/>
      <c r="Z925" s="11"/>
      <c r="AA925" s="15"/>
      <c r="AB925" s="15"/>
      <c r="AC925" s="15"/>
      <c r="AU925" s="17"/>
    </row>
    <row r="926" spans="1:47" ht="12" customHeight="1" x14ac:dyDescent="0.25">
      <c r="A926" s="3"/>
      <c r="B926" s="14"/>
      <c r="C926" s="14"/>
      <c r="D926" s="14"/>
      <c r="E926" s="14"/>
      <c r="K926" s="14"/>
      <c r="M926" s="14"/>
      <c r="N926" s="14"/>
      <c r="Z926" s="11"/>
      <c r="AA926" s="15"/>
      <c r="AB926" s="15"/>
      <c r="AC926" s="15"/>
      <c r="AU926" s="17"/>
    </row>
    <row r="927" spans="1:47" ht="12" customHeight="1" x14ac:dyDescent="0.25">
      <c r="A927" s="3"/>
      <c r="B927" s="14"/>
      <c r="C927" s="14"/>
      <c r="D927" s="14"/>
      <c r="E927" s="14"/>
      <c r="K927" s="14"/>
      <c r="M927" s="14"/>
      <c r="N927" s="14"/>
      <c r="Z927" s="11"/>
      <c r="AA927" s="15"/>
      <c r="AB927" s="15"/>
      <c r="AC927" s="15"/>
      <c r="AU927" s="17"/>
    </row>
    <row r="928" spans="1:47" ht="12" customHeight="1" x14ac:dyDescent="0.25">
      <c r="A928" s="3"/>
      <c r="B928" s="14"/>
      <c r="C928" s="14"/>
      <c r="D928" s="14"/>
      <c r="E928" s="14"/>
      <c r="K928" s="14"/>
      <c r="M928" s="14"/>
      <c r="N928" s="14"/>
      <c r="Z928" s="11"/>
      <c r="AA928" s="15"/>
      <c r="AB928" s="15"/>
      <c r="AC928" s="15"/>
      <c r="AU928" s="17"/>
    </row>
    <row r="929" spans="1:47" ht="12" customHeight="1" x14ac:dyDescent="0.25">
      <c r="A929" s="3"/>
      <c r="B929" s="14"/>
      <c r="C929" s="14"/>
      <c r="D929" s="14"/>
      <c r="E929" s="14"/>
      <c r="K929" s="14"/>
      <c r="M929" s="14"/>
      <c r="N929" s="14"/>
      <c r="Z929" s="11"/>
      <c r="AA929" s="15"/>
      <c r="AB929" s="15"/>
      <c r="AC929" s="15"/>
      <c r="AU929" s="17"/>
    </row>
    <row r="930" spans="1:47" ht="12" customHeight="1" x14ac:dyDescent="0.25">
      <c r="A930" s="3"/>
      <c r="B930" s="14"/>
      <c r="C930" s="14"/>
      <c r="D930" s="14"/>
      <c r="E930" s="14"/>
      <c r="K930" s="14"/>
      <c r="M930" s="14"/>
      <c r="N930" s="14"/>
      <c r="Z930" s="11"/>
      <c r="AA930" s="15"/>
      <c r="AB930" s="15"/>
      <c r="AC930" s="15"/>
      <c r="AU930" s="17"/>
    </row>
    <row r="931" spans="1:47" ht="12" customHeight="1" x14ac:dyDescent="0.25">
      <c r="A931" s="3"/>
      <c r="B931" s="14"/>
      <c r="C931" s="14"/>
      <c r="D931" s="14"/>
      <c r="E931" s="14"/>
      <c r="K931" s="14"/>
      <c r="M931" s="14"/>
      <c r="N931" s="14"/>
      <c r="Z931" s="11"/>
      <c r="AA931" s="15"/>
      <c r="AB931" s="15"/>
      <c r="AC931" s="15"/>
      <c r="AU931" s="17"/>
    </row>
    <row r="932" spans="1:47" ht="12" customHeight="1" x14ac:dyDescent="0.25">
      <c r="A932" s="3"/>
      <c r="B932" s="14"/>
      <c r="C932" s="14"/>
      <c r="D932" s="14"/>
      <c r="E932" s="14"/>
      <c r="K932" s="14"/>
      <c r="M932" s="14"/>
      <c r="N932" s="14"/>
      <c r="Z932" s="11"/>
      <c r="AA932" s="15"/>
      <c r="AB932" s="15"/>
      <c r="AC932" s="15"/>
      <c r="AU932" s="17"/>
    </row>
    <row r="933" spans="1:47" ht="12" customHeight="1" x14ac:dyDescent="0.25">
      <c r="A933" s="3"/>
      <c r="B933" s="14"/>
      <c r="C933" s="14"/>
      <c r="D933" s="14"/>
      <c r="E933" s="14"/>
      <c r="K933" s="14"/>
      <c r="M933" s="14"/>
      <c r="N933" s="14"/>
      <c r="Z933" s="11"/>
      <c r="AA933" s="15"/>
      <c r="AB933" s="15"/>
      <c r="AC933" s="15"/>
      <c r="AU933" s="17"/>
    </row>
    <row r="934" spans="1:47" ht="12" customHeight="1" x14ac:dyDescent="0.25">
      <c r="A934" s="3"/>
      <c r="B934" s="14"/>
      <c r="C934" s="14"/>
      <c r="D934" s="14"/>
      <c r="E934" s="14"/>
      <c r="K934" s="14"/>
      <c r="M934" s="14"/>
      <c r="N934" s="14"/>
      <c r="Z934" s="11"/>
      <c r="AA934" s="15"/>
      <c r="AB934" s="15"/>
      <c r="AC934" s="15"/>
      <c r="AU934" s="17"/>
    </row>
    <row r="935" spans="1:47" ht="12" customHeight="1" x14ac:dyDescent="0.25">
      <c r="A935" s="3"/>
      <c r="B935" s="14"/>
      <c r="C935" s="14"/>
      <c r="D935" s="14"/>
      <c r="E935" s="14"/>
      <c r="K935" s="14"/>
      <c r="M935" s="14"/>
      <c r="N935" s="14"/>
      <c r="Z935" s="11"/>
      <c r="AA935" s="15"/>
      <c r="AB935" s="15"/>
      <c r="AC935" s="15"/>
      <c r="AU935" s="17"/>
    </row>
    <row r="936" spans="1:47" ht="12" customHeight="1" x14ac:dyDescent="0.25">
      <c r="A936" s="3"/>
      <c r="B936" s="14"/>
      <c r="C936" s="14"/>
      <c r="D936" s="14"/>
      <c r="E936" s="14"/>
      <c r="K936" s="14"/>
      <c r="M936" s="14"/>
      <c r="N936" s="14"/>
      <c r="Z936" s="11"/>
      <c r="AA936" s="15"/>
      <c r="AB936" s="15"/>
      <c r="AC936" s="15"/>
      <c r="AU936" s="17"/>
    </row>
    <row r="937" spans="1:47" ht="12" customHeight="1" x14ac:dyDescent="0.25">
      <c r="A937" s="3"/>
      <c r="B937" s="14"/>
      <c r="C937" s="14"/>
      <c r="D937" s="14"/>
      <c r="E937" s="14"/>
      <c r="K937" s="14"/>
      <c r="M937" s="14"/>
      <c r="N937" s="14"/>
      <c r="Z937" s="11"/>
      <c r="AA937" s="15"/>
      <c r="AB937" s="15"/>
      <c r="AC937" s="15"/>
      <c r="AU937" s="17"/>
    </row>
    <row r="938" spans="1:47" ht="12" customHeight="1" x14ac:dyDescent="0.25">
      <c r="A938" s="3"/>
      <c r="B938" s="14"/>
      <c r="C938" s="14"/>
      <c r="D938" s="14"/>
      <c r="E938" s="14"/>
      <c r="K938" s="14"/>
      <c r="M938" s="14"/>
      <c r="N938" s="14"/>
      <c r="Z938" s="11"/>
      <c r="AA938" s="15"/>
      <c r="AB938" s="15"/>
      <c r="AC938" s="15"/>
      <c r="AU938" s="17"/>
    </row>
    <row r="939" spans="1:47" ht="12" customHeight="1" x14ac:dyDescent="0.25">
      <c r="A939" s="3"/>
      <c r="B939" s="14"/>
      <c r="C939" s="14"/>
      <c r="D939" s="14"/>
      <c r="E939" s="14"/>
      <c r="K939" s="14"/>
      <c r="M939" s="14"/>
      <c r="N939" s="14"/>
      <c r="Z939" s="11"/>
      <c r="AA939" s="15"/>
      <c r="AB939" s="15"/>
      <c r="AC939" s="15"/>
      <c r="AU939" s="17"/>
    </row>
    <row r="940" spans="1:47" ht="12" customHeight="1" x14ac:dyDescent="0.25">
      <c r="A940" s="3"/>
      <c r="B940" s="14"/>
      <c r="C940" s="14"/>
      <c r="D940" s="14"/>
      <c r="E940" s="14"/>
      <c r="K940" s="14"/>
      <c r="M940" s="14"/>
      <c r="N940" s="14"/>
      <c r="Z940" s="11"/>
      <c r="AA940" s="15"/>
      <c r="AB940" s="15"/>
      <c r="AC940" s="15"/>
      <c r="AU940" s="17"/>
    </row>
    <row r="941" spans="1:47" ht="12" customHeight="1" x14ac:dyDescent="0.25">
      <c r="A941" s="3"/>
      <c r="B941" s="14"/>
      <c r="C941" s="14"/>
      <c r="D941" s="14"/>
      <c r="E941" s="14"/>
      <c r="K941" s="14"/>
      <c r="M941" s="14"/>
      <c r="N941" s="14"/>
      <c r="Z941" s="11"/>
      <c r="AA941" s="15"/>
      <c r="AB941" s="15"/>
      <c r="AC941" s="15"/>
      <c r="AU941" s="17"/>
    </row>
    <row r="942" spans="1:47" ht="12" customHeight="1" x14ac:dyDescent="0.25">
      <c r="A942" s="3"/>
      <c r="B942" s="14"/>
      <c r="C942" s="14"/>
      <c r="D942" s="14"/>
      <c r="E942" s="14"/>
      <c r="K942" s="14"/>
      <c r="M942" s="14"/>
      <c r="N942" s="14"/>
      <c r="Z942" s="11"/>
      <c r="AA942" s="15"/>
      <c r="AB942" s="15"/>
      <c r="AC942" s="15"/>
      <c r="AU942" s="17"/>
    </row>
    <row r="943" spans="1:47" ht="12" customHeight="1" x14ac:dyDescent="0.25">
      <c r="A943" s="3"/>
      <c r="B943" s="14"/>
      <c r="C943" s="14"/>
      <c r="D943" s="14"/>
      <c r="E943" s="14"/>
      <c r="K943" s="14"/>
      <c r="M943" s="14"/>
      <c r="N943" s="14"/>
      <c r="Z943" s="11"/>
      <c r="AA943" s="15"/>
      <c r="AB943" s="15"/>
      <c r="AC943" s="15"/>
      <c r="AU943" s="17"/>
    </row>
    <row r="944" spans="1:47" ht="12" customHeight="1" x14ac:dyDescent="0.25">
      <c r="A944" s="3"/>
      <c r="B944" s="14"/>
      <c r="C944" s="14"/>
      <c r="D944" s="14"/>
      <c r="E944" s="14"/>
      <c r="K944" s="14"/>
      <c r="M944" s="14"/>
      <c r="N944" s="14"/>
      <c r="Z944" s="11"/>
      <c r="AA944" s="15"/>
      <c r="AB944" s="15"/>
      <c r="AC944" s="15"/>
      <c r="AU944" s="17"/>
    </row>
    <row r="945" spans="1:47" ht="12" customHeight="1" x14ac:dyDescent="0.25">
      <c r="A945" s="3"/>
      <c r="B945" s="14"/>
      <c r="C945" s="14"/>
      <c r="D945" s="14"/>
      <c r="E945" s="14"/>
      <c r="K945" s="14"/>
      <c r="M945" s="14"/>
      <c r="N945" s="14"/>
      <c r="Z945" s="11"/>
      <c r="AA945" s="15"/>
      <c r="AB945" s="15"/>
      <c r="AC945" s="15"/>
      <c r="AU945" s="17"/>
    </row>
    <row r="946" spans="1:47" ht="12" customHeight="1" x14ac:dyDescent="0.25">
      <c r="A946" s="3"/>
      <c r="B946" s="14"/>
      <c r="C946" s="14"/>
      <c r="D946" s="14"/>
      <c r="E946" s="14"/>
      <c r="K946" s="14"/>
      <c r="M946" s="14"/>
      <c r="N946" s="14"/>
      <c r="Z946" s="11"/>
      <c r="AA946" s="15"/>
      <c r="AB946" s="15"/>
      <c r="AC946" s="15"/>
      <c r="AU946" s="17"/>
    </row>
    <row r="947" spans="1:47" ht="12" customHeight="1" x14ac:dyDescent="0.25">
      <c r="A947" s="3"/>
      <c r="B947" s="14"/>
      <c r="C947" s="14"/>
      <c r="D947" s="14"/>
      <c r="E947" s="14"/>
      <c r="K947" s="14"/>
      <c r="M947" s="14"/>
      <c r="N947" s="14"/>
      <c r="Z947" s="11"/>
      <c r="AA947" s="15"/>
      <c r="AB947" s="15"/>
      <c r="AC947" s="15"/>
      <c r="AU947" s="17"/>
    </row>
    <row r="948" spans="1:47" ht="12" customHeight="1" x14ac:dyDescent="0.25">
      <c r="A948" s="3"/>
      <c r="B948" s="14"/>
      <c r="C948" s="14"/>
      <c r="D948" s="14"/>
      <c r="E948" s="14"/>
      <c r="K948" s="14"/>
      <c r="M948" s="14"/>
      <c r="N948" s="14"/>
      <c r="Z948" s="11"/>
      <c r="AA948" s="15"/>
      <c r="AB948" s="15"/>
      <c r="AC948" s="15"/>
      <c r="AU948" s="17"/>
    </row>
    <row r="949" spans="1:47" ht="12" customHeight="1" x14ac:dyDescent="0.25">
      <c r="A949" s="3"/>
      <c r="B949" s="14"/>
      <c r="C949" s="14"/>
      <c r="D949" s="14"/>
      <c r="E949" s="14"/>
      <c r="K949" s="14"/>
      <c r="M949" s="14"/>
      <c r="N949" s="14"/>
      <c r="Z949" s="11"/>
      <c r="AA949" s="15"/>
      <c r="AB949" s="15"/>
      <c r="AC949" s="15"/>
      <c r="AU949" s="17"/>
    </row>
    <row r="950" spans="1:47" ht="12" customHeight="1" x14ac:dyDescent="0.25">
      <c r="A950" s="3"/>
      <c r="B950" s="14"/>
      <c r="C950" s="14"/>
      <c r="D950" s="14"/>
      <c r="E950" s="14"/>
      <c r="K950" s="14"/>
      <c r="M950" s="14"/>
      <c r="N950" s="14"/>
      <c r="Z950" s="11"/>
      <c r="AA950" s="15"/>
      <c r="AB950" s="15"/>
      <c r="AC950" s="15"/>
      <c r="AU950" s="17"/>
    </row>
    <row r="951" spans="1:47" ht="12" customHeight="1" x14ac:dyDescent="0.25">
      <c r="A951" s="3"/>
      <c r="B951" s="14"/>
      <c r="C951" s="14"/>
      <c r="D951" s="14"/>
      <c r="E951" s="14"/>
      <c r="K951" s="14"/>
      <c r="M951" s="14"/>
      <c r="N951" s="14"/>
      <c r="Z951" s="11"/>
      <c r="AA951" s="15"/>
      <c r="AB951" s="15"/>
      <c r="AC951" s="15"/>
      <c r="AU951" s="17"/>
    </row>
    <row r="952" spans="1:47" ht="12" customHeight="1" x14ac:dyDescent="0.25">
      <c r="A952" s="3"/>
      <c r="B952" s="14"/>
      <c r="C952" s="14"/>
      <c r="D952" s="14"/>
      <c r="E952" s="14"/>
      <c r="K952" s="14"/>
      <c r="M952" s="14"/>
      <c r="N952" s="14"/>
      <c r="Z952" s="11"/>
      <c r="AA952" s="15"/>
      <c r="AB952" s="15"/>
      <c r="AC952" s="15"/>
      <c r="AU952" s="17"/>
    </row>
    <row r="953" spans="1:47" ht="12" customHeight="1" x14ac:dyDescent="0.25">
      <c r="A953" s="3"/>
      <c r="B953" s="14"/>
      <c r="C953" s="14"/>
      <c r="D953" s="14"/>
      <c r="E953" s="14"/>
      <c r="K953" s="14"/>
      <c r="M953" s="14"/>
      <c r="N953" s="14"/>
      <c r="Z953" s="11"/>
      <c r="AA953" s="15"/>
      <c r="AB953" s="15"/>
      <c r="AC953" s="15"/>
      <c r="AU953" s="17"/>
    </row>
    <row r="954" spans="1:47" ht="12" customHeight="1" x14ac:dyDescent="0.25">
      <c r="A954" s="3"/>
      <c r="B954" s="14"/>
      <c r="C954" s="14"/>
      <c r="D954" s="14"/>
      <c r="E954" s="14"/>
      <c r="K954" s="14"/>
      <c r="M954" s="14"/>
      <c r="N954" s="14"/>
      <c r="Z954" s="11"/>
      <c r="AA954" s="15"/>
      <c r="AB954" s="15"/>
      <c r="AC954" s="15"/>
      <c r="AU954" s="17"/>
    </row>
    <row r="955" spans="1:47" ht="12" customHeight="1" x14ac:dyDescent="0.25">
      <c r="A955" s="3"/>
      <c r="B955" s="14"/>
      <c r="C955" s="14"/>
      <c r="D955" s="14"/>
      <c r="E955" s="14"/>
      <c r="K955" s="14"/>
      <c r="M955" s="14"/>
      <c r="N955" s="14"/>
      <c r="Z955" s="11"/>
      <c r="AA955" s="15"/>
      <c r="AB955" s="15"/>
      <c r="AC955" s="15"/>
      <c r="AU955" s="17"/>
    </row>
    <row r="956" spans="1:47" ht="12" customHeight="1" x14ac:dyDescent="0.25">
      <c r="A956" s="3"/>
      <c r="B956" s="14"/>
      <c r="C956" s="14"/>
      <c r="D956" s="14"/>
      <c r="E956" s="14"/>
      <c r="K956" s="14"/>
      <c r="M956" s="14"/>
      <c r="N956" s="14"/>
      <c r="Z956" s="11"/>
      <c r="AA956" s="15"/>
      <c r="AB956" s="15"/>
      <c r="AC956" s="15"/>
      <c r="AU956" s="17"/>
    </row>
    <row r="957" spans="1:47" ht="12" customHeight="1" x14ac:dyDescent="0.25">
      <c r="A957" s="3"/>
      <c r="B957" s="14"/>
      <c r="C957" s="14"/>
      <c r="D957" s="14"/>
      <c r="E957" s="14"/>
      <c r="K957" s="14"/>
      <c r="M957" s="14"/>
      <c r="N957" s="14"/>
      <c r="Z957" s="11"/>
      <c r="AA957" s="15"/>
      <c r="AB957" s="15"/>
      <c r="AC957" s="15"/>
      <c r="AU957" s="17"/>
    </row>
    <row r="958" spans="1:47" ht="12" customHeight="1" x14ac:dyDescent="0.25">
      <c r="A958" s="3"/>
      <c r="B958" s="14"/>
      <c r="C958" s="14"/>
      <c r="D958" s="14"/>
      <c r="E958" s="14"/>
      <c r="K958" s="14"/>
      <c r="M958" s="14"/>
      <c r="N958" s="14"/>
      <c r="Z958" s="11"/>
      <c r="AA958" s="15"/>
      <c r="AB958" s="15"/>
      <c r="AC958" s="15"/>
      <c r="AU958" s="17"/>
    </row>
    <row r="959" spans="1:47" ht="12" customHeight="1" x14ac:dyDescent="0.25">
      <c r="A959" s="3"/>
      <c r="B959" s="14"/>
      <c r="C959" s="14"/>
      <c r="D959" s="14"/>
      <c r="E959" s="14"/>
      <c r="K959" s="14"/>
      <c r="M959" s="14"/>
      <c r="N959" s="14"/>
      <c r="Z959" s="11"/>
      <c r="AA959" s="15"/>
      <c r="AB959" s="15"/>
      <c r="AC959" s="15"/>
      <c r="AU959" s="17"/>
    </row>
    <row r="960" spans="1:47" ht="12" customHeight="1" x14ac:dyDescent="0.25">
      <c r="A960" s="3"/>
      <c r="B960" s="14"/>
      <c r="C960" s="14"/>
      <c r="D960" s="14"/>
      <c r="E960" s="14"/>
      <c r="K960" s="14"/>
      <c r="M960" s="14"/>
      <c r="N960" s="14"/>
      <c r="Z960" s="11"/>
      <c r="AA960" s="15"/>
      <c r="AB960" s="15"/>
      <c r="AC960" s="15"/>
      <c r="AU960" s="17"/>
    </row>
    <row r="961" spans="1:47" ht="12" customHeight="1" x14ac:dyDescent="0.25">
      <c r="A961" s="3"/>
      <c r="B961" s="14"/>
      <c r="C961" s="14"/>
      <c r="D961" s="14"/>
      <c r="E961" s="14"/>
      <c r="K961" s="14"/>
      <c r="M961" s="14"/>
      <c r="N961" s="14"/>
      <c r="Z961" s="11"/>
      <c r="AA961" s="15"/>
      <c r="AB961" s="15"/>
      <c r="AC961" s="15"/>
      <c r="AU961" s="17"/>
    </row>
    <row r="962" spans="1:47" ht="12" customHeight="1" x14ac:dyDescent="0.25">
      <c r="A962" s="3"/>
      <c r="B962" s="14"/>
      <c r="C962" s="14"/>
      <c r="D962" s="14"/>
      <c r="E962" s="14"/>
      <c r="K962" s="14"/>
      <c r="M962" s="14"/>
      <c r="N962" s="14"/>
      <c r="Z962" s="11"/>
      <c r="AA962" s="15"/>
      <c r="AB962" s="15"/>
      <c r="AC962" s="15"/>
      <c r="AU962" s="17"/>
    </row>
    <row r="963" spans="1:47" ht="12" customHeight="1" x14ac:dyDescent="0.25">
      <c r="A963" s="3"/>
      <c r="B963" s="14"/>
      <c r="C963" s="14"/>
      <c r="D963" s="14"/>
      <c r="E963" s="14"/>
      <c r="K963" s="14"/>
      <c r="M963" s="14"/>
      <c r="N963" s="14"/>
      <c r="Z963" s="11"/>
      <c r="AA963" s="15"/>
      <c r="AB963" s="15"/>
      <c r="AC963" s="15"/>
      <c r="AU963" s="17"/>
    </row>
    <row r="964" spans="1:47" ht="12" customHeight="1" x14ac:dyDescent="0.25">
      <c r="A964" s="3"/>
      <c r="B964" s="14"/>
      <c r="C964" s="14"/>
      <c r="D964" s="14"/>
      <c r="E964" s="14"/>
      <c r="K964" s="14"/>
      <c r="M964" s="14"/>
      <c r="N964" s="14"/>
      <c r="Z964" s="11"/>
      <c r="AA964" s="15"/>
      <c r="AB964" s="15"/>
      <c r="AC964" s="15"/>
      <c r="AU964" s="17"/>
    </row>
    <row r="965" spans="1:47" ht="12" customHeight="1" x14ac:dyDescent="0.25">
      <c r="A965" s="3"/>
      <c r="B965" s="14"/>
      <c r="C965" s="14"/>
      <c r="D965" s="14"/>
      <c r="E965" s="14"/>
      <c r="K965" s="14"/>
      <c r="M965" s="14"/>
      <c r="N965" s="14"/>
      <c r="Z965" s="11"/>
      <c r="AA965" s="15"/>
      <c r="AB965" s="15"/>
      <c r="AC965" s="15"/>
      <c r="AU965" s="17"/>
    </row>
    <row r="966" spans="1:47" ht="12" customHeight="1" x14ac:dyDescent="0.25">
      <c r="A966" s="3"/>
      <c r="B966" s="14"/>
      <c r="C966" s="14"/>
      <c r="D966" s="14"/>
      <c r="E966" s="14"/>
      <c r="K966" s="14"/>
      <c r="M966" s="14"/>
      <c r="N966" s="14"/>
      <c r="Z966" s="11"/>
      <c r="AA966" s="15"/>
      <c r="AB966" s="15"/>
      <c r="AC966" s="15"/>
      <c r="AU966" s="17"/>
    </row>
    <row r="967" spans="1:47" ht="12" customHeight="1" x14ac:dyDescent="0.25">
      <c r="A967" s="3"/>
      <c r="B967" s="14"/>
      <c r="C967" s="14"/>
      <c r="D967" s="14"/>
      <c r="E967" s="14"/>
      <c r="K967" s="14"/>
      <c r="M967" s="14"/>
      <c r="N967" s="14"/>
      <c r="Z967" s="11"/>
      <c r="AA967" s="15"/>
      <c r="AB967" s="15"/>
      <c r="AC967" s="15"/>
      <c r="AU967" s="17"/>
    </row>
    <row r="968" spans="1:47" ht="12" customHeight="1" x14ac:dyDescent="0.25">
      <c r="A968" s="3"/>
      <c r="B968" s="14"/>
      <c r="C968" s="14"/>
      <c r="D968" s="14"/>
      <c r="E968" s="14"/>
      <c r="K968" s="14"/>
      <c r="M968" s="14"/>
      <c r="N968" s="14"/>
      <c r="Z968" s="11"/>
      <c r="AA968" s="15"/>
      <c r="AB968" s="15"/>
      <c r="AC968" s="15"/>
      <c r="AU968" s="17"/>
    </row>
    <row r="969" spans="1:47" ht="12" customHeight="1" x14ac:dyDescent="0.25">
      <c r="A969" s="3"/>
      <c r="B969" s="14"/>
      <c r="C969" s="14"/>
      <c r="D969" s="14"/>
      <c r="E969" s="14"/>
      <c r="K969" s="14"/>
      <c r="M969" s="14"/>
      <c r="N969" s="14"/>
      <c r="Z969" s="11"/>
      <c r="AA969" s="15"/>
      <c r="AB969" s="15"/>
      <c r="AC969" s="15"/>
      <c r="AU969" s="17"/>
    </row>
    <row r="970" spans="1:47" ht="12" customHeight="1" x14ac:dyDescent="0.25">
      <c r="A970" s="3"/>
      <c r="B970" s="14"/>
      <c r="C970" s="14"/>
      <c r="D970" s="14"/>
      <c r="E970" s="14"/>
      <c r="K970" s="14"/>
      <c r="M970" s="14"/>
      <c r="N970" s="14"/>
      <c r="Z970" s="11"/>
      <c r="AA970" s="15"/>
      <c r="AB970" s="15"/>
      <c r="AC970" s="15"/>
      <c r="AU970" s="17"/>
    </row>
    <row r="971" spans="1:47" ht="12" customHeight="1" x14ac:dyDescent="0.25">
      <c r="A971" s="3"/>
      <c r="B971" s="14"/>
      <c r="C971" s="14"/>
      <c r="D971" s="14"/>
      <c r="E971" s="14"/>
      <c r="K971" s="14"/>
      <c r="M971" s="14"/>
      <c r="N971" s="14"/>
      <c r="Z971" s="11"/>
      <c r="AA971" s="15"/>
      <c r="AB971" s="15"/>
      <c r="AC971" s="15"/>
      <c r="AU971" s="17"/>
    </row>
    <row r="972" spans="1:47" ht="12" customHeight="1" x14ac:dyDescent="0.25">
      <c r="A972" s="3"/>
      <c r="B972" s="14"/>
      <c r="C972" s="14"/>
      <c r="D972" s="14"/>
      <c r="E972" s="14"/>
      <c r="K972" s="14"/>
      <c r="M972" s="14"/>
      <c r="N972" s="14"/>
      <c r="Z972" s="11"/>
      <c r="AA972" s="15"/>
      <c r="AB972" s="15"/>
      <c r="AC972" s="15"/>
      <c r="AU972" s="17"/>
    </row>
    <row r="973" spans="1:47" ht="12" customHeight="1" x14ac:dyDescent="0.25">
      <c r="A973" s="3"/>
      <c r="B973" s="14"/>
      <c r="C973" s="14"/>
      <c r="D973" s="14"/>
      <c r="E973" s="14"/>
      <c r="K973" s="14"/>
      <c r="M973" s="14"/>
      <c r="N973" s="14"/>
      <c r="Z973" s="11"/>
      <c r="AA973" s="15"/>
      <c r="AB973" s="15"/>
      <c r="AC973" s="15"/>
      <c r="AU973" s="17"/>
    </row>
    <row r="974" spans="1:47" ht="12" customHeight="1" x14ac:dyDescent="0.25">
      <c r="A974" s="3"/>
      <c r="B974" s="14"/>
      <c r="C974" s="14"/>
      <c r="D974" s="14"/>
      <c r="E974" s="14"/>
      <c r="K974" s="14"/>
      <c r="M974" s="14"/>
      <c r="N974" s="14"/>
      <c r="Z974" s="11"/>
      <c r="AA974" s="15"/>
      <c r="AB974" s="15"/>
      <c r="AC974" s="15"/>
      <c r="AU974" s="17"/>
    </row>
    <row r="975" spans="1:47" ht="12" customHeight="1" x14ac:dyDescent="0.25">
      <c r="A975" s="3"/>
      <c r="B975" s="14"/>
      <c r="C975" s="14"/>
      <c r="D975" s="14"/>
      <c r="E975" s="14"/>
      <c r="K975" s="14"/>
      <c r="M975" s="14"/>
      <c r="N975" s="14"/>
      <c r="Z975" s="11"/>
      <c r="AA975" s="15"/>
      <c r="AB975" s="15"/>
      <c r="AC975" s="15"/>
      <c r="AU975" s="17"/>
    </row>
    <row r="976" spans="1:47" ht="12" customHeight="1" x14ac:dyDescent="0.25">
      <c r="A976" s="3"/>
      <c r="B976" s="14"/>
      <c r="C976" s="14"/>
      <c r="D976" s="14"/>
      <c r="E976" s="14"/>
      <c r="K976" s="14"/>
      <c r="M976" s="14"/>
      <c r="N976" s="14"/>
      <c r="Z976" s="11"/>
      <c r="AA976" s="15"/>
      <c r="AB976" s="15"/>
      <c r="AC976" s="15"/>
      <c r="AU976" s="17"/>
    </row>
    <row r="977" spans="1:47" ht="12" customHeight="1" x14ac:dyDescent="0.25">
      <c r="A977" s="3"/>
      <c r="B977" s="14"/>
      <c r="C977" s="14"/>
      <c r="D977" s="14"/>
      <c r="E977" s="14"/>
      <c r="K977" s="14"/>
      <c r="M977" s="14"/>
      <c r="N977" s="14"/>
      <c r="Z977" s="11"/>
      <c r="AA977" s="15"/>
      <c r="AB977" s="15"/>
      <c r="AC977" s="15"/>
      <c r="AU977" s="17"/>
    </row>
    <row r="978" spans="1:47" ht="12" customHeight="1" x14ac:dyDescent="0.25">
      <c r="A978" s="3"/>
      <c r="B978" s="14"/>
      <c r="C978" s="14"/>
      <c r="D978" s="14"/>
      <c r="E978" s="14"/>
      <c r="K978" s="14"/>
      <c r="M978" s="14"/>
      <c r="N978" s="14"/>
      <c r="Z978" s="11"/>
      <c r="AA978" s="15"/>
      <c r="AB978" s="15"/>
      <c r="AC978" s="15"/>
      <c r="AU978" s="17"/>
    </row>
    <row r="979" spans="1:47" ht="12" customHeight="1" x14ac:dyDescent="0.25">
      <c r="A979" s="3"/>
      <c r="B979" s="14"/>
      <c r="C979" s="14"/>
      <c r="D979" s="14"/>
      <c r="E979" s="14"/>
      <c r="K979" s="14"/>
      <c r="M979" s="14"/>
      <c r="N979" s="14"/>
      <c r="Z979" s="11"/>
      <c r="AA979" s="15"/>
      <c r="AB979" s="15"/>
      <c r="AC979" s="15"/>
      <c r="AU979" s="17"/>
    </row>
    <row r="980" spans="1:47" ht="12" customHeight="1" x14ac:dyDescent="0.25">
      <c r="A980" s="3"/>
      <c r="B980" s="14"/>
      <c r="C980" s="14"/>
      <c r="D980" s="14"/>
      <c r="E980" s="14"/>
      <c r="K980" s="14"/>
      <c r="M980" s="14"/>
      <c r="N980" s="14"/>
      <c r="Z980" s="11"/>
      <c r="AA980" s="15"/>
      <c r="AB980" s="15"/>
      <c r="AC980" s="15"/>
      <c r="AU980" s="17"/>
    </row>
    <row r="981" spans="1:47" ht="12" customHeight="1" x14ac:dyDescent="0.25">
      <c r="A981" s="3"/>
      <c r="B981" s="14"/>
      <c r="C981" s="14"/>
      <c r="D981" s="14"/>
      <c r="E981" s="14"/>
      <c r="K981" s="14"/>
      <c r="M981" s="14"/>
      <c r="N981" s="14"/>
      <c r="Z981" s="11"/>
      <c r="AA981" s="15"/>
      <c r="AB981" s="15"/>
      <c r="AC981" s="15"/>
      <c r="AU981" s="17"/>
    </row>
    <row r="982" spans="1:47" ht="12" customHeight="1" x14ac:dyDescent="0.25">
      <c r="A982" s="3"/>
      <c r="B982" s="14"/>
      <c r="C982" s="14"/>
      <c r="D982" s="14"/>
      <c r="E982" s="14"/>
      <c r="K982" s="14"/>
      <c r="M982" s="14"/>
      <c r="N982" s="14"/>
      <c r="Z982" s="11"/>
      <c r="AA982" s="15"/>
      <c r="AB982" s="15"/>
      <c r="AC982" s="15"/>
      <c r="AU982" s="17"/>
    </row>
    <row r="983" spans="1:47" ht="12" customHeight="1" x14ac:dyDescent="0.25">
      <c r="A983" s="3"/>
      <c r="B983" s="14"/>
      <c r="C983" s="14"/>
      <c r="D983" s="14"/>
      <c r="E983" s="14"/>
      <c r="K983" s="14"/>
      <c r="M983" s="14"/>
      <c r="N983" s="14"/>
      <c r="Z983" s="11"/>
      <c r="AA983" s="15"/>
      <c r="AB983" s="15"/>
      <c r="AC983" s="15"/>
      <c r="AU983" s="17"/>
    </row>
    <row r="984" spans="1:47" ht="12" customHeight="1" x14ac:dyDescent="0.25">
      <c r="A984" s="3"/>
      <c r="B984" s="14"/>
      <c r="C984" s="14"/>
      <c r="D984" s="14"/>
      <c r="E984" s="14"/>
      <c r="K984" s="14"/>
      <c r="M984" s="14"/>
      <c r="N984" s="14"/>
      <c r="Z984" s="11"/>
      <c r="AA984" s="15"/>
      <c r="AB984" s="15"/>
      <c r="AC984" s="15"/>
      <c r="AU984" s="17"/>
    </row>
    <row r="985" spans="1:47" ht="12" customHeight="1" x14ac:dyDescent="0.25">
      <c r="A985" s="3"/>
      <c r="B985" s="14"/>
      <c r="C985" s="14"/>
      <c r="D985" s="14"/>
      <c r="E985" s="14"/>
      <c r="K985" s="14"/>
      <c r="M985" s="14"/>
      <c r="N985" s="14"/>
      <c r="Z985" s="11"/>
      <c r="AA985" s="15"/>
      <c r="AB985" s="15"/>
      <c r="AC985" s="15"/>
      <c r="AU985" s="17"/>
    </row>
    <row r="986" spans="1:47" ht="12" customHeight="1" x14ac:dyDescent="0.25">
      <c r="A986" s="3"/>
      <c r="B986" s="14"/>
      <c r="C986" s="14"/>
      <c r="D986" s="14"/>
      <c r="E986" s="14"/>
      <c r="K986" s="14"/>
      <c r="M986" s="14"/>
      <c r="N986" s="14"/>
      <c r="Z986" s="11"/>
      <c r="AA986" s="15"/>
      <c r="AB986" s="15"/>
      <c r="AC986" s="15"/>
      <c r="AU986" s="17"/>
    </row>
    <row r="987" spans="1:47" ht="12" customHeight="1" x14ac:dyDescent="0.25">
      <c r="A987" s="3"/>
      <c r="B987" s="14"/>
      <c r="C987" s="14"/>
      <c r="D987" s="14"/>
      <c r="E987" s="14"/>
      <c r="K987" s="14"/>
      <c r="M987" s="14"/>
      <c r="N987" s="14"/>
      <c r="Z987" s="11"/>
      <c r="AA987" s="15"/>
      <c r="AB987" s="15"/>
      <c r="AC987" s="15"/>
      <c r="AU987" s="17"/>
    </row>
    <row r="988" spans="1:47" ht="12" customHeight="1" x14ac:dyDescent="0.25">
      <c r="A988" s="3"/>
      <c r="B988" s="14"/>
      <c r="C988" s="14"/>
      <c r="D988" s="14"/>
      <c r="E988" s="14"/>
      <c r="K988" s="14"/>
      <c r="M988" s="14"/>
      <c r="N988" s="14"/>
      <c r="Z988" s="11"/>
      <c r="AA988" s="15"/>
      <c r="AB988" s="15"/>
      <c r="AC988" s="15"/>
      <c r="AU988" s="17"/>
    </row>
    <row r="989" spans="1:47" ht="12" customHeight="1" x14ac:dyDescent="0.25">
      <c r="A989" s="3"/>
      <c r="B989" s="14"/>
      <c r="C989" s="14"/>
      <c r="D989" s="14"/>
      <c r="E989" s="14"/>
      <c r="K989" s="14"/>
      <c r="M989" s="14"/>
      <c r="N989" s="14"/>
      <c r="Z989" s="11"/>
      <c r="AA989" s="15"/>
      <c r="AB989" s="15"/>
      <c r="AC989" s="15"/>
      <c r="AU989" s="17"/>
    </row>
    <row r="990" spans="1:47" ht="12" customHeight="1" x14ac:dyDescent="0.25">
      <c r="A990" s="3"/>
      <c r="B990" s="14"/>
      <c r="C990" s="14"/>
      <c r="D990" s="14"/>
      <c r="E990" s="14"/>
      <c r="K990" s="14"/>
      <c r="M990" s="14"/>
      <c r="N990" s="14"/>
      <c r="Z990" s="11"/>
      <c r="AA990" s="15"/>
      <c r="AB990" s="15"/>
      <c r="AC990" s="15"/>
      <c r="AU990" s="17"/>
    </row>
    <row r="991" spans="1:47" ht="12" customHeight="1" x14ac:dyDescent="0.25">
      <c r="A991" s="3"/>
      <c r="B991" s="14"/>
      <c r="C991" s="14"/>
      <c r="D991" s="14"/>
      <c r="E991" s="14"/>
      <c r="K991" s="14"/>
      <c r="M991" s="14"/>
      <c r="N991" s="14"/>
      <c r="Z991" s="11"/>
      <c r="AA991" s="15"/>
      <c r="AB991" s="15"/>
      <c r="AC991" s="15"/>
      <c r="AU991" s="17"/>
    </row>
    <row r="992" spans="1:47" ht="12" customHeight="1" x14ac:dyDescent="0.25">
      <c r="A992" s="3"/>
      <c r="B992" s="14"/>
      <c r="C992" s="14"/>
      <c r="D992" s="14"/>
      <c r="E992" s="14"/>
      <c r="K992" s="14"/>
      <c r="M992" s="14"/>
      <c r="N992" s="14"/>
      <c r="Z992" s="11"/>
      <c r="AA992" s="15"/>
      <c r="AB992" s="15"/>
      <c r="AC992" s="15"/>
      <c r="AU992" s="17"/>
    </row>
    <row r="993" spans="1:47" ht="12" customHeight="1" x14ac:dyDescent="0.25">
      <c r="A993" s="3"/>
      <c r="B993" s="14"/>
      <c r="C993" s="14"/>
      <c r="D993" s="14"/>
      <c r="E993" s="14"/>
      <c r="K993" s="14"/>
      <c r="M993" s="14"/>
      <c r="N993" s="14"/>
      <c r="Z993" s="11"/>
      <c r="AA993" s="15"/>
      <c r="AB993" s="15"/>
      <c r="AC993" s="15"/>
      <c r="AU993" s="17"/>
    </row>
    <row r="994" spans="1:47" ht="12" customHeight="1" x14ac:dyDescent="0.25">
      <c r="A994" s="3"/>
      <c r="B994" s="14"/>
      <c r="C994" s="14"/>
      <c r="D994" s="14"/>
      <c r="E994" s="14"/>
      <c r="K994" s="14"/>
      <c r="M994" s="14"/>
      <c r="N994" s="14"/>
      <c r="Z994" s="11"/>
      <c r="AA994" s="15"/>
      <c r="AB994" s="15"/>
      <c r="AC994" s="15"/>
      <c r="AU994" s="17"/>
    </row>
    <row r="995" spans="1:47" ht="12" customHeight="1" x14ac:dyDescent="0.25">
      <c r="A995" s="3"/>
      <c r="B995" s="14"/>
      <c r="C995" s="14"/>
      <c r="D995" s="14"/>
      <c r="E995" s="14"/>
      <c r="K995" s="14"/>
      <c r="M995" s="14"/>
      <c r="N995" s="14"/>
      <c r="Z995" s="11"/>
      <c r="AA995" s="15"/>
      <c r="AB995" s="15"/>
      <c r="AC995" s="15"/>
      <c r="AU995" s="17"/>
    </row>
    <row r="996" spans="1:47" ht="12" customHeight="1" x14ac:dyDescent="0.25">
      <c r="A996" s="3"/>
      <c r="B996" s="14"/>
      <c r="C996" s="14"/>
      <c r="D996" s="14"/>
      <c r="E996" s="14"/>
      <c r="K996" s="14"/>
      <c r="M996" s="14"/>
      <c r="N996" s="14"/>
      <c r="Z996" s="11"/>
      <c r="AA996" s="15"/>
      <c r="AB996" s="15"/>
      <c r="AC996" s="15"/>
      <c r="AU996" s="17"/>
    </row>
    <row r="997" spans="1:47" ht="12" customHeight="1" x14ac:dyDescent="0.25">
      <c r="A997" s="3"/>
      <c r="B997" s="14"/>
      <c r="C997" s="14"/>
      <c r="D997" s="14"/>
      <c r="E997" s="14"/>
      <c r="K997" s="14"/>
      <c r="M997" s="14"/>
      <c r="N997" s="14"/>
      <c r="Z997" s="11"/>
      <c r="AA997" s="15"/>
      <c r="AB997" s="15"/>
      <c r="AC997" s="15"/>
      <c r="AU997" s="17"/>
    </row>
    <row r="998" spans="1:47" ht="12" customHeight="1" x14ac:dyDescent="0.25">
      <c r="A998" s="3"/>
      <c r="B998" s="14"/>
      <c r="C998" s="14"/>
      <c r="D998" s="14"/>
      <c r="E998" s="14"/>
      <c r="K998" s="14"/>
      <c r="M998" s="14"/>
      <c r="N998" s="14"/>
      <c r="Z998" s="11"/>
      <c r="AA998" s="15"/>
      <c r="AB998" s="15"/>
      <c r="AC998" s="15"/>
      <c r="AU998" s="17"/>
    </row>
    <row r="999" spans="1:47" ht="12" customHeight="1" x14ac:dyDescent="0.25">
      <c r="A999" s="3"/>
      <c r="B999" s="14"/>
      <c r="C999" s="14"/>
      <c r="D999" s="14"/>
      <c r="E999" s="14"/>
      <c r="K999" s="14"/>
      <c r="M999" s="14"/>
      <c r="N999" s="14"/>
      <c r="Z999" s="11"/>
      <c r="AA999" s="15"/>
      <c r="AB999" s="15"/>
      <c r="AC999" s="15"/>
      <c r="AU999" s="17"/>
    </row>
    <row r="1000" spans="1:47" ht="12" customHeight="1" x14ac:dyDescent="0.25">
      <c r="A1000" s="3"/>
      <c r="B1000" s="14"/>
      <c r="C1000" s="14"/>
      <c r="D1000" s="14"/>
      <c r="E1000" s="14"/>
      <c r="K1000" s="14"/>
      <c r="M1000" s="14"/>
      <c r="N1000" s="14"/>
      <c r="Z1000" s="11"/>
      <c r="AA1000" s="15"/>
      <c r="AB1000" s="15"/>
      <c r="AC1000" s="15"/>
      <c r="AU1000" s="17"/>
    </row>
    <row r="1001" spans="1:47" ht="12" customHeight="1" x14ac:dyDescent="0.25">
      <c r="A1001" s="3"/>
      <c r="B1001" s="14"/>
      <c r="C1001" s="14"/>
      <c r="D1001" s="14"/>
      <c r="E1001" s="14"/>
      <c r="K1001" s="14"/>
      <c r="M1001" s="14"/>
      <c r="N1001" s="14"/>
      <c r="Z1001" s="11"/>
      <c r="AA1001" s="15"/>
      <c r="AB1001" s="15"/>
      <c r="AC1001" s="15"/>
      <c r="AU1001" s="17"/>
    </row>
    <row r="1002" spans="1:47" ht="12" customHeight="1" x14ac:dyDescent="0.25">
      <c r="A1002" s="3"/>
      <c r="B1002" s="14"/>
      <c r="C1002" s="14"/>
      <c r="D1002" s="14"/>
      <c r="E1002" s="14"/>
      <c r="K1002" s="14"/>
      <c r="M1002" s="14"/>
      <c r="N1002" s="14"/>
      <c r="Z1002" s="11"/>
      <c r="AA1002" s="15"/>
      <c r="AB1002" s="15"/>
      <c r="AC1002" s="15"/>
      <c r="AU1002" s="17"/>
    </row>
    <row r="1003" spans="1:47" ht="12" customHeight="1" x14ac:dyDescent="0.25">
      <c r="A1003" s="3"/>
      <c r="B1003" s="14"/>
      <c r="C1003" s="14"/>
      <c r="D1003" s="14"/>
      <c r="E1003" s="14"/>
      <c r="K1003" s="14"/>
      <c r="M1003" s="14"/>
      <c r="N1003" s="14"/>
      <c r="Z1003" s="11"/>
      <c r="AA1003" s="15"/>
      <c r="AB1003" s="15"/>
      <c r="AC1003" s="15"/>
      <c r="AU1003" s="17"/>
    </row>
    <row r="1004" spans="1:47" ht="12" customHeight="1" x14ac:dyDescent="0.25">
      <c r="A1004" s="3"/>
      <c r="B1004" s="14"/>
      <c r="C1004" s="14"/>
      <c r="D1004" s="14"/>
      <c r="E1004" s="14"/>
      <c r="K1004" s="14"/>
      <c r="M1004" s="14"/>
      <c r="N1004" s="14"/>
      <c r="Z1004" s="11"/>
      <c r="AA1004" s="15"/>
      <c r="AB1004" s="15"/>
      <c r="AC1004" s="15"/>
      <c r="AU1004" s="17"/>
    </row>
    <row r="1005" spans="1:47" ht="12" customHeight="1" x14ac:dyDescent="0.25">
      <c r="A1005" s="3"/>
      <c r="B1005" s="14"/>
      <c r="C1005" s="14"/>
      <c r="D1005" s="14"/>
      <c r="E1005" s="14"/>
      <c r="K1005" s="14"/>
      <c r="M1005" s="14"/>
      <c r="N1005" s="14"/>
      <c r="Z1005" s="11"/>
      <c r="AA1005" s="15"/>
      <c r="AB1005" s="15"/>
      <c r="AC1005" s="15"/>
      <c r="AU1005" s="17"/>
    </row>
    <row r="1006" spans="1:47" ht="12" customHeight="1" x14ac:dyDescent="0.25">
      <c r="A1006" s="3"/>
      <c r="B1006" s="14"/>
      <c r="C1006" s="14"/>
      <c r="D1006" s="14"/>
      <c r="E1006" s="14"/>
      <c r="K1006" s="14"/>
      <c r="M1006" s="14"/>
      <c r="N1006" s="14"/>
      <c r="Z1006" s="11"/>
      <c r="AA1006" s="15"/>
      <c r="AB1006" s="15"/>
      <c r="AC1006" s="15"/>
      <c r="AU1006" s="17"/>
    </row>
    <row r="1007" spans="1:47" ht="12" customHeight="1" x14ac:dyDescent="0.25">
      <c r="A1007" s="3"/>
      <c r="B1007" s="14"/>
      <c r="C1007" s="14"/>
      <c r="D1007" s="14"/>
      <c r="E1007" s="14"/>
      <c r="K1007" s="14"/>
      <c r="M1007" s="14"/>
      <c r="N1007" s="14"/>
      <c r="Z1007" s="11"/>
      <c r="AA1007" s="15"/>
      <c r="AB1007" s="15"/>
      <c r="AC1007" s="15"/>
      <c r="AU1007" s="17"/>
    </row>
    <row r="1008" spans="1:47" ht="12" customHeight="1" x14ac:dyDescent="0.25">
      <c r="A1008" s="3"/>
      <c r="B1008" s="14"/>
      <c r="C1008" s="14"/>
      <c r="D1008" s="14"/>
      <c r="E1008" s="14"/>
      <c r="K1008" s="14"/>
      <c r="M1008" s="14"/>
      <c r="N1008" s="14"/>
      <c r="Z1008" s="11"/>
      <c r="AA1008" s="15"/>
      <c r="AB1008" s="15"/>
      <c r="AC1008" s="15"/>
      <c r="AU1008" s="17"/>
    </row>
    <row r="1009" spans="1:47" ht="12" customHeight="1" x14ac:dyDescent="0.25">
      <c r="A1009" s="3"/>
      <c r="B1009" s="14"/>
      <c r="C1009" s="14"/>
      <c r="D1009" s="14"/>
      <c r="E1009" s="14"/>
      <c r="K1009" s="14"/>
      <c r="M1009" s="14"/>
      <c r="N1009" s="14"/>
      <c r="Z1009" s="11"/>
      <c r="AA1009" s="15"/>
      <c r="AB1009" s="15"/>
      <c r="AC1009" s="15"/>
      <c r="AU1009" s="17"/>
    </row>
    <row r="1010" spans="1:47" ht="12" customHeight="1" x14ac:dyDescent="0.25">
      <c r="A1010" s="3"/>
      <c r="B1010" s="14"/>
      <c r="C1010" s="14"/>
      <c r="D1010" s="14"/>
      <c r="E1010" s="14"/>
      <c r="K1010" s="14"/>
      <c r="M1010" s="14"/>
      <c r="N1010" s="14"/>
      <c r="Z1010" s="11"/>
      <c r="AA1010" s="15"/>
      <c r="AB1010" s="15"/>
      <c r="AC1010" s="15"/>
      <c r="AU1010" s="17"/>
    </row>
    <row r="1011" spans="1:47" ht="12" customHeight="1" x14ac:dyDescent="0.25">
      <c r="A1011" s="3"/>
      <c r="B1011" s="14"/>
      <c r="C1011" s="14"/>
      <c r="D1011" s="14"/>
      <c r="E1011" s="14"/>
      <c r="K1011" s="14"/>
      <c r="M1011" s="14"/>
      <c r="N1011" s="14"/>
      <c r="Z1011" s="11"/>
      <c r="AA1011" s="15"/>
      <c r="AB1011" s="15"/>
      <c r="AC1011" s="15"/>
      <c r="AU1011" s="17"/>
    </row>
    <row r="1012" spans="1:47" ht="12" customHeight="1" x14ac:dyDescent="0.25">
      <c r="A1012" s="3"/>
      <c r="B1012" s="14"/>
      <c r="C1012" s="14"/>
      <c r="D1012" s="14"/>
      <c r="E1012" s="14"/>
      <c r="K1012" s="14"/>
      <c r="M1012" s="14"/>
      <c r="N1012" s="14"/>
      <c r="Z1012" s="11"/>
      <c r="AA1012" s="15"/>
      <c r="AB1012" s="15"/>
      <c r="AC1012" s="15"/>
      <c r="AU1012" s="17"/>
    </row>
    <row r="1013" spans="1:47" ht="12" customHeight="1" x14ac:dyDescent="0.25">
      <c r="A1013" s="3"/>
      <c r="B1013" s="14"/>
      <c r="C1013" s="14"/>
      <c r="D1013" s="14"/>
      <c r="E1013" s="14"/>
      <c r="K1013" s="14"/>
      <c r="M1013" s="14"/>
      <c r="N1013" s="14"/>
      <c r="Z1013" s="11"/>
      <c r="AA1013" s="15"/>
      <c r="AB1013" s="15"/>
      <c r="AC1013" s="15"/>
      <c r="AU1013" s="17"/>
    </row>
    <row r="1014" spans="1:47" ht="12" customHeight="1" x14ac:dyDescent="0.25">
      <c r="A1014" s="3"/>
      <c r="B1014" s="14"/>
      <c r="C1014" s="14"/>
      <c r="D1014" s="14"/>
      <c r="E1014" s="14"/>
      <c r="K1014" s="14"/>
      <c r="M1014" s="14"/>
      <c r="N1014" s="14"/>
      <c r="Z1014" s="11"/>
      <c r="AA1014" s="15"/>
      <c r="AB1014" s="15"/>
      <c r="AC1014" s="15"/>
      <c r="AU1014" s="17"/>
    </row>
    <row r="1015" spans="1:47" ht="12" customHeight="1" x14ac:dyDescent="0.25">
      <c r="A1015" s="3"/>
      <c r="B1015" s="14"/>
      <c r="C1015" s="14"/>
      <c r="D1015" s="14"/>
      <c r="E1015" s="14"/>
      <c r="K1015" s="14"/>
      <c r="M1015" s="14"/>
      <c r="N1015" s="14"/>
      <c r="Z1015" s="11"/>
      <c r="AA1015" s="15"/>
      <c r="AB1015" s="15"/>
      <c r="AC1015" s="15"/>
      <c r="AU1015" s="17"/>
    </row>
    <row r="1016" spans="1:47" ht="12" customHeight="1" x14ac:dyDescent="0.25">
      <c r="A1016" s="3"/>
      <c r="B1016" s="14"/>
      <c r="C1016" s="14"/>
      <c r="D1016" s="14"/>
      <c r="E1016" s="14"/>
      <c r="K1016" s="14"/>
      <c r="M1016" s="14"/>
      <c r="N1016" s="14"/>
      <c r="Z1016" s="11"/>
      <c r="AA1016" s="15"/>
      <c r="AB1016" s="15"/>
      <c r="AC1016" s="15"/>
      <c r="AU1016" s="17"/>
    </row>
    <row r="1017" spans="1:47" ht="12" customHeight="1" x14ac:dyDescent="0.25">
      <c r="A1017" s="3"/>
      <c r="B1017" s="14"/>
      <c r="C1017" s="14"/>
      <c r="D1017" s="14"/>
      <c r="E1017" s="14"/>
      <c r="K1017" s="14"/>
      <c r="M1017" s="14"/>
      <c r="N1017" s="14"/>
      <c r="Z1017" s="11"/>
      <c r="AA1017" s="15"/>
      <c r="AB1017" s="15"/>
      <c r="AC1017" s="15"/>
      <c r="AU1017" s="17"/>
    </row>
    <row r="1018" spans="1:47" ht="12" customHeight="1" x14ac:dyDescent="0.25">
      <c r="A1018" s="3"/>
      <c r="B1018" s="14"/>
      <c r="C1018" s="14"/>
      <c r="D1018" s="14"/>
      <c r="E1018" s="14"/>
      <c r="K1018" s="14"/>
      <c r="M1018" s="14"/>
      <c r="N1018" s="14"/>
      <c r="Z1018" s="11"/>
      <c r="AA1018" s="15"/>
      <c r="AB1018" s="15"/>
      <c r="AC1018" s="15"/>
      <c r="AU1018" s="17"/>
    </row>
    <row r="1019" spans="1:47" ht="12" customHeight="1" x14ac:dyDescent="0.25">
      <c r="A1019" s="3"/>
      <c r="B1019" s="14"/>
      <c r="C1019" s="14"/>
      <c r="D1019" s="14"/>
      <c r="E1019" s="14"/>
      <c r="K1019" s="14"/>
      <c r="M1019" s="14"/>
      <c r="N1019" s="14"/>
      <c r="Z1019" s="11"/>
      <c r="AA1019" s="15"/>
      <c r="AB1019" s="15"/>
      <c r="AC1019" s="15"/>
      <c r="AU1019" s="17"/>
    </row>
    <row r="1020" spans="1:47" ht="12" customHeight="1" x14ac:dyDescent="0.25">
      <c r="A1020" s="3"/>
      <c r="B1020" s="14"/>
      <c r="C1020" s="14"/>
      <c r="D1020" s="14"/>
      <c r="E1020" s="14"/>
      <c r="K1020" s="14"/>
      <c r="M1020" s="14"/>
      <c r="N1020" s="14"/>
      <c r="Z1020" s="11"/>
      <c r="AA1020" s="15"/>
      <c r="AB1020" s="15"/>
      <c r="AC1020" s="15"/>
      <c r="AU1020" s="17"/>
    </row>
    <row r="1021" spans="1:47" ht="12" customHeight="1" x14ac:dyDescent="0.25">
      <c r="A1021" s="3"/>
      <c r="B1021" s="14"/>
      <c r="C1021" s="14"/>
      <c r="D1021" s="14"/>
      <c r="E1021" s="14"/>
      <c r="K1021" s="14"/>
      <c r="M1021" s="14"/>
      <c r="N1021" s="14"/>
      <c r="Z1021" s="11"/>
      <c r="AA1021" s="15"/>
      <c r="AB1021" s="15"/>
      <c r="AC1021" s="15"/>
      <c r="AU1021" s="17"/>
    </row>
    <row r="1022" spans="1:47" ht="12" customHeight="1" x14ac:dyDescent="0.25">
      <c r="A1022" s="3"/>
      <c r="B1022" s="14"/>
      <c r="C1022" s="14"/>
      <c r="D1022" s="14"/>
      <c r="E1022" s="14"/>
      <c r="K1022" s="14"/>
      <c r="M1022" s="14"/>
      <c r="N1022" s="14"/>
      <c r="Z1022" s="11"/>
      <c r="AA1022" s="15"/>
      <c r="AB1022" s="15"/>
      <c r="AC1022" s="15"/>
      <c r="AU1022" s="17"/>
    </row>
    <row r="1023" spans="1:47" ht="12" customHeight="1" x14ac:dyDescent="0.25">
      <c r="A1023" s="3"/>
      <c r="B1023" s="14"/>
      <c r="C1023" s="14"/>
      <c r="D1023" s="14"/>
      <c r="E1023" s="14"/>
      <c r="K1023" s="14"/>
      <c r="M1023" s="14"/>
      <c r="N1023" s="14"/>
      <c r="Z1023" s="11"/>
      <c r="AA1023" s="15"/>
      <c r="AB1023" s="15"/>
      <c r="AC1023" s="15"/>
      <c r="AU1023" s="17"/>
    </row>
    <row r="1024" spans="1:47" ht="12" customHeight="1" x14ac:dyDescent="0.25">
      <c r="A1024" s="3"/>
      <c r="B1024" s="14"/>
      <c r="C1024" s="14"/>
      <c r="D1024" s="14"/>
      <c r="E1024" s="14"/>
      <c r="K1024" s="14"/>
      <c r="M1024" s="14"/>
      <c r="N1024" s="14"/>
      <c r="Z1024" s="11"/>
      <c r="AA1024" s="15"/>
      <c r="AB1024" s="15"/>
      <c r="AC1024" s="15"/>
      <c r="AU1024" s="17"/>
    </row>
    <row r="1025" spans="1:47" ht="12" customHeight="1" x14ac:dyDescent="0.25">
      <c r="A1025" s="3"/>
      <c r="B1025" s="14"/>
      <c r="C1025" s="14"/>
      <c r="D1025" s="14"/>
      <c r="E1025" s="14"/>
      <c r="K1025" s="14"/>
      <c r="M1025" s="14"/>
      <c r="N1025" s="14"/>
      <c r="Z1025" s="11"/>
      <c r="AA1025" s="15"/>
      <c r="AB1025" s="15"/>
      <c r="AC1025" s="15"/>
      <c r="AU1025" s="17"/>
    </row>
    <row r="1026" spans="1:47" ht="12" customHeight="1" x14ac:dyDescent="0.25">
      <c r="A1026" s="3"/>
      <c r="B1026" s="14"/>
      <c r="C1026" s="14"/>
      <c r="D1026" s="14"/>
      <c r="E1026" s="14"/>
      <c r="K1026" s="14"/>
      <c r="M1026" s="14"/>
      <c r="N1026" s="14"/>
      <c r="Z1026" s="11"/>
      <c r="AA1026" s="15"/>
      <c r="AB1026" s="15"/>
      <c r="AC1026" s="15"/>
      <c r="AU1026" s="17"/>
    </row>
    <row r="1027" spans="1:47" ht="12" customHeight="1" x14ac:dyDescent="0.25">
      <c r="A1027" s="3"/>
      <c r="B1027" s="14"/>
      <c r="C1027" s="14"/>
      <c r="D1027" s="14"/>
      <c r="E1027" s="14"/>
      <c r="K1027" s="14"/>
      <c r="M1027" s="14"/>
      <c r="N1027" s="14"/>
      <c r="Z1027" s="11"/>
      <c r="AA1027" s="15"/>
      <c r="AB1027" s="15"/>
      <c r="AC1027" s="15"/>
      <c r="AU1027" s="17"/>
    </row>
    <row r="1028" spans="1:47" ht="12" customHeight="1" x14ac:dyDescent="0.25">
      <c r="A1028" s="3"/>
      <c r="B1028" s="14"/>
      <c r="C1028" s="14"/>
      <c r="D1028" s="14"/>
      <c r="E1028" s="14"/>
      <c r="K1028" s="14"/>
      <c r="M1028" s="14"/>
      <c r="N1028" s="14"/>
      <c r="Z1028" s="11"/>
      <c r="AA1028" s="15"/>
      <c r="AB1028" s="15"/>
      <c r="AC1028" s="15"/>
      <c r="AU1028" s="17"/>
    </row>
    <row r="1029" spans="1:47" ht="12" customHeight="1" x14ac:dyDescent="0.25">
      <c r="A1029" s="3"/>
      <c r="B1029" s="14"/>
      <c r="C1029" s="14"/>
      <c r="D1029" s="14"/>
      <c r="E1029" s="14"/>
      <c r="K1029" s="14"/>
      <c r="M1029" s="14"/>
      <c r="N1029" s="14"/>
      <c r="Z1029" s="11"/>
      <c r="AA1029" s="15"/>
      <c r="AB1029" s="15"/>
      <c r="AC1029" s="15"/>
      <c r="AU1029" s="17"/>
    </row>
    <row r="1030" spans="1:47" ht="12" customHeight="1" x14ac:dyDescent="0.25">
      <c r="A1030" s="3"/>
      <c r="B1030" s="14"/>
      <c r="C1030" s="14"/>
      <c r="D1030" s="14"/>
      <c r="E1030" s="14"/>
      <c r="K1030" s="14"/>
      <c r="M1030" s="14"/>
      <c r="N1030" s="14"/>
      <c r="Z1030" s="11"/>
      <c r="AA1030" s="15"/>
      <c r="AB1030" s="15"/>
      <c r="AC1030" s="15"/>
      <c r="AU1030" s="17"/>
    </row>
    <row r="1031" spans="1:47" ht="12" customHeight="1" x14ac:dyDescent="0.25">
      <c r="A1031" s="3"/>
      <c r="B1031" s="14"/>
      <c r="C1031" s="14"/>
      <c r="D1031" s="14"/>
      <c r="E1031" s="14"/>
      <c r="K1031" s="14"/>
      <c r="M1031" s="14"/>
      <c r="N1031" s="14"/>
      <c r="Z1031" s="11"/>
      <c r="AA1031" s="15"/>
      <c r="AB1031" s="15"/>
      <c r="AC1031" s="15"/>
      <c r="AU1031" s="17"/>
    </row>
    <row r="1032" spans="1:47" ht="12" customHeight="1" x14ac:dyDescent="0.25">
      <c r="A1032" s="3"/>
      <c r="B1032" s="14"/>
      <c r="C1032" s="14"/>
      <c r="D1032" s="14"/>
      <c r="E1032" s="14"/>
      <c r="K1032" s="14"/>
      <c r="M1032" s="14"/>
      <c r="N1032" s="14"/>
      <c r="Z1032" s="11"/>
      <c r="AA1032" s="15"/>
      <c r="AB1032" s="15"/>
      <c r="AC1032" s="15"/>
      <c r="AU1032" s="17"/>
    </row>
    <row r="1033" spans="1:47" ht="12" customHeight="1" x14ac:dyDescent="0.25">
      <c r="A1033" s="3"/>
      <c r="B1033" s="14"/>
      <c r="C1033" s="14"/>
      <c r="D1033" s="14"/>
      <c r="E1033" s="14"/>
      <c r="K1033" s="14"/>
      <c r="M1033" s="14"/>
      <c r="N1033" s="14"/>
      <c r="Z1033" s="11"/>
      <c r="AA1033" s="15"/>
      <c r="AB1033" s="15"/>
      <c r="AC1033" s="15"/>
      <c r="AU1033" s="17"/>
    </row>
    <row r="1034" spans="1:47" ht="12" customHeight="1" x14ac:dyDescent="0.25">
      <c r="A1034" s="3"/>
      <c r="B1034" s="14"/>
      <c r="C1034" s="14"/>
      <c r="D1034" s="14"/>
      <c r="E1034" s="14"/>
      <c r="K1034" s="14"/>
      <c r="M1034" s="14"/>
      <c r="N1034" s="14"/>
      <c r="Z1034" s="11"/>
      <c r="AA1034" s="15"/>
      <c r="AB1034" s="15"/>
      <c r="AC1034" s="15"/>
      <c r="AU1034" s="17"/>
    </row>
    <row r="1035" spans="1:47" ht="12" customHeight="1" x14ac:dyDescent="0.25">
      <c r="A1035" s="3"/>
      <c r="B1035" s="14"/>
      <c r="C1035" s="14"/>
      <c r="D1035" s="14"/>
      <c r="E1035" s="14"/>
      <c r="K1035" s="14"/>
      <c r="M1035" s="14"/>
      <c r="N1035" s="14"/>
      <c r="Z1035" s="11"/>
      <c r="AA1035" s="15"/>
      <c r="AB1035" s="15"/>
      <c r="AC1035" s="15"/>
      <c r="AU1035" s="17"/>
    </row>
    <row r="1036" spans="1:47" ht="12" customHeight="1" x14ac:dyDescent="0.25">
      <c r="A1036" s="3"/>
      <c r="B1036" s="14"/>
      <c r="C1036" s="14"/>
      <c r="D1036" s="14"/>
      <c r="E1036" s="14"/>
      <c r="K1036" s="14"/>
      <c r="M1036" s="14"/>
      <c r="N1036" s="14"/>
      <c r="Z1036" s="11"/>
      <c r="AA1036" s="15"/>
      <c r="AB1036" s="15"/>
      <c r="AC1036" s="15"/>
      <c r="AU1036" s="17"/>
    </row>
    <row r="1037" spans="1:47" ht="12" customHeight="1" x14ac:dyDescent="0.25">
      <c r="A1037" s="3"/>
      <c r="B1037" s="14"/>
      <c r="C1037" s="14"/>
      <c r="D1037" s="14"/>
      <c r="E1037" s="14"/>
      <c r="K1037" s="14"/>
      <c r="M1037" s="14"/>
      <c r="N1037" s="14"/>
      <c r="Z1037" s="11"/>
      <c r="AA1037" s="15"/>
      <c r="AB1037" s="15"/>
      <c r="AC1037" s="15"/>
      <c r="AU1037" s="17"/>
    </row>
    <row r="1038" spans="1:47" ht="12" customHeight="1" x14ac:dyDescent="0.25">
      <c r="A1038" s="3"/>
      <c r="B1038" s="14"/>
      <c r="C1038" s="14"/>
      <c r="D1038" s="14"/>
      <c r="E1038" s="14"/>
      <c r="K1038" s="14"/>
      <c r="M1038" s="14"/>
      <c r="N1038" s="14"/>
      <c r="Z1038" s="11"/>
      <c r="AA1038" s="15"/>
      <c r="AB1038" s="15"/>
      <c r="AC1038" s="15"/>
      <c r="AU1038" s="17"/>
    </row>
    <row r="1039" spans="1:47" ht="12" customHeight="1" x14ac:dyDescent="0.25">
      <c r="A1039" s="3"/>
      <c r="B1039" s="14"/>
      <c r="C1039" s="14"/>
      <c r="D1039" s="14"/>
      <c r="E1039" s="14"/>
      <c r="K1039" s="14"/>
      <c r="M1039" s="14"/>
      <c r="N1039" s="14"/>
      <c r="Z1039" s="11"/>
      <c r="AA1039" s="15"/>
      <c r="AB1039" s="15"/>
      <c r="AC1039" s="15"/>
      <c r="AU1039" s="17"/>
    </row>
    <row r="1040" spans="1:47" ht="12" customHeight="1" x14ac:dyDescent="0.25">
      <c r="A1040" s="3"/>
      <c r="B1040" s="14"/>
      <c r="C1040" s="14"/>
      <c r="D1040" s="14"/>
      <c r="E1040" s="14"/>
      <c r="K1040" s="14"/>
      <c r="M1040" s="14"/>
      <c r="N1040" s="14"/>
      <c r="Z1040" s="11"/>
      <c r="AA1040" s="15"/>
      <c r="AB1040" s="15"/>
      <c r="AC1040" s="15"/>
      <c r="AU1040" s="17"/>
    </row>
    <row r="1041" spans="1:47" ht="12" customHeight="1" x14ac:dyDescent="0.25">
      <c r="A1041" s="3"/>
      <c r="B1041" s="14"/>
      <c r="C1041" s="14"/>
      <c r="D1041" s="14"/>
      <c r="E1041" s="14"/>
      <c r="K1041" s="14"/>
      <c r="M1041" s="14"/>
      <c r="N1041" s="14"/>
      <c r="Z1041" s="11"/>
      <c r="AA1041" s="15"/>
      <c r="AB1041" s="15"/>
      <c r="AC1041" s="15"/>
      <c r="AU1041" s="17"/>
    </row>
    <row r="1042" spans="1:47" ht="12" customHeight="1" x14ac:dyDescent="0.25">
      <c r="A1042" s="3"/>
      <c r="B1042" s="14"/>
      <c r="C1042" s="14"/>
      <c r="D1042" s="14"/>
      <c r="E1042" s="14"/>
      <c r="K1042" s="14"/>
      <c r="M1042" s="14"/>
      <c r="N1042" s="14"/>
      <c r="Z1042" s="11"/>
      <c r="AA1042" s="15"/>
      <c r="AB1042" s="15"/>
      <c r="AC1042" s="15"/>
      <c r="AU1042" s="17"/>
    </row>
    <row r="1043" spans="1:47" ht="12" customHeight="1" x14ac:dyDescent="0.25">
      <c r="A1043" s="3"/>
      <c r="B1043" s="14"/>
      <c r="C1043" s="14"/>
      <c r="D1043" s="14"/>
      <c r="E1043" s="14"/>
      <c r="K1043" s="14"/>
      <c r="M1043" s="14"/>
      <c r="N1043" s="14"/>
      <c r="Z1043" s="11"/>
      <c r="AA1043" s="15"/>
      <c r="AB1043" s="15"/>
      <c r="AC1043" s="15"/>
      <c r="AU1043" s="17"/>
    </row>
    <row r="1044" spans="1:47" ht="12" customHeight="1" x14ac:dyDescent="0.25">
      <c r="A1044" s="3"/>
      <c r="B1044" s="14"/>
      <c r="C1044" s="14"/>
      <c r="D1044" s="14"/>
      <c r="E1044" s="14"/>
      <c r="K1044" s="14"/>
      <c r="M1044" s="14"/>
      <c r="N1044" s="14"/>
      <c r="Z1044" s="11"/>
      <c r="AA1044" s="15"/>
      <c r="AB1044" s="15"/>
      <c r="AC1044" s="15"/>
      <c r="AU1044" s="17"/>
    </row>
    <row r="1045" spans="1:47" ht="12" customHeight="1" x14ac:dyDescent="0.25">
      <c r="A1045" s="3"/>
      <c r="B1045" s="14"/>
      <c r="C1045" s="14"/>
      <c r="D1045" s="14"/>
      <c r="E1045" s="14"/>
      <c r="K1045" s="14"/>
      <c r="M1045" s="14"/>
      <c r="N1045" s="14"/>
      <c r="Z1045" s="11"/>
      <c r="AA1045" s="15"/>
      <c r="AB1045" s="15"/>
      <c r="AC1045" s="15"/>
      <c r="AU1045" s="17"/>
    </row>
    <row r="1046" spans="1:47" ht="12" customHeight="1" x14ac:dyDescent="0.25">
      <c r="A1046" s="3"/>
      <c r="B1046" s="14"/>
      <c r="C1046" s="14"/>
      <c r="D1046" s="14"/>
      <c r="E1046" s="14"/>
      <c r="K1046" s="14"/>
      <c r="M1046" s="14"/>
      <c r="N1046" s="14"/>
      <c r="Z1046" s="11"/>
      <c r="AA1046" s="15"/>
      <c r="AB1046" s="15"/>
      <c r="AC1046" s="15"/>
      <c r="AU1046" s="17"/>
    </row>
    <row r="1047" spans="1:47" ht="12" customHeight="1" x14ac:dyDescent="0.25">
      <c r="A1047" s="3"/>
      <c r="B1047" s="14"/>
      <c r="C1047" s="14"/>
      <c r="D1047" s="14"/>
      <c r="E1047" s="14"/>
      <c r="K1047" s="14"/>
      <c r="M1047" s="14"/>
      <c r="N1047" s="14"/>
      <c r="Z1047" s="11"/>
      <c r="AA1047" s="15"/>
      <c r="AB1047" s="15"/>
      <c r="AC1047" s="15"/>
      <c r="AU1047" s="17"/>
    </row>
    <row r="1048" spans="1:47" ht="12" customHeight="1" x14ac:dyDescent="0.25">
      <c r="A1048" s="3"/>
      <c r="B1048" s="14"/>
      <c r="C1048" s="14"/>
      <c r="D1048" s="14"/>
      <c r="E1048" s="14"/>
      <c r="K1048" s="14"/>
      <c r="M1048" s="14"/>
      <c r="N1048" s="14"/>
      <c r="Z1048" s="11"/>
      <c r="AA1048" s="15"/>
      <c r="AB1048" s="15"/>
      <c r="AC1048" s="15"/>
      <c r="AU1048" s="17"/>
    </row>
    <row r="1049" spans="1:47" ht="12" customHeight="1" x14ac:dyDescent="0.25">
      <c r="A1049" s="3"/>
      <c r="B1049" s="14"/>
      <c r="C1049" s="14"/>
      <c r="D1049" s="14"/>
      <c r="E1049" s="14"/>
      <c r="K1049" s="14"/>
      <c r="M1049" s="14"/>
      <c r="N1049" s="14"/>
      <c r="Z1049" s="11"/>
      <c r="AA1049" s="15"/>
      <c r="AB1049" s="15"/>
      <c r="AC1049" s="15"/>
      <c r="AU1049" s="17"/>
    </row>
    <row r="1050" spans="1:47" ht="12" customHeight="1" x14ac:dyDescent="0.25">
      <c r="A1050" s="3"/>
      <c r="B1050" s="14"/>
      <c r="C1050" s="14"/>
      <c r="D1050" s="14"/>
      <c r="E1050" s="14"/>
      <c r="K1050" s="14"/>
      <c r="M1050" s="14"/>
      <c r="N1050" s="14"/>
      <c r="Z1050" s="11"/>
      <c r="AA1050" s="15"/>
      <c r="AB1050" s="15"/>
      <c r="AC1050" s="15"/>
      <c r="AU1050" s="17"/>
    </row>
    <row r="1051" spans="1:47" ht="12" customHeight="1" x14ac:dyDescent="0.25">
      <c r="A1051" s="3"/>
      <c r="B1051" s="14"/>
      <c r="C1051" s="14"/>
      <c r="D1051" s="14"/>
      <c r="E1051" s="14"/>
      <c r="K1051" s="14"/>
      <c r="M1051" s="14"/>
      <c r="N1051" s="14"/>
      <c r="Z1051" s="11"/>
      <c r="AA1051" s="15"/>
      <c r="AB1051" s="15"/>
      <c r="AC1051" s="15"/>
      <c r="AU1051" s="17"/>
    </row>
    <row r="1052" spans="1:47" ht="12" customHeight="1" x14ac:dyDescent="0.25">
      <c r="A1052" s="3"/>
      <c r="B1052" s="14"/>
      <c r="C1052" s="14"/>
      <c r="D1052" s="14"/>
      <c r="E1052" s="14"/>
      <c r="K1052" s="14"/>
      <c r="M1052" s="14"/>
      <c r="N1052" s="14"/>
      <c r="Z1052" s="11"/>
      <c r="AA1052" s="15"/>
      <c r="AB1052" s="15"/>
      <c r="AC1052" s="15"/>
      <c r="AU1052" s="17"/>
    </row>
    <row r="1053" spans="1:47" ht="12" customHeight="1" x14ac:dyDescent="0.25">
      <c r="A1053" s="3"/>
      <c r="B1053" s="14"/>
      <c r="C1053" s="14"/>
      <c r="D1053" s="14"/>
      <c r="E1053" s="14"/>
      <c r="K1053" s="14"/>
      <c r="M1053" s="14"/>
      <c r="N1053" s="14"/>
      <c r="Z1053" s="11"/>
      <c r="AA1053" s="15"/>
      <c r="AB1053" s="15"/>
      <c r="AC1053" s="15"/>
      <c r="AU1053" s="17"/>
    </row>
    <row r="1054" spans="1:47" ht="12" customHeight="1" x14ac:dyDescent="0.25">
      <c r="A1054" s="3"/>
      <c r="B1054" s="14"/>
      <c r="C1054" s="14"/>
      <c r="D1054" s="14"/>
      <c r="E1054" s="14"/>
      <c r="K1054" s="14"/>
      <c r="M1054" s="14"/>
      <c r="N1054" s="14"/>
      <c r="Z1054" s="11"/>
      <c r="AA1054" s="15"/>
      <c r="AB1054" s="15"/>
      <c r="AC1054" s="15"/>
      <c r="AU1054" s="17"/>
    </row>
    <row r="1055" spans="1:47" ht="12" customHeight="1" x14ac:dyDescent="0.25">
      <c r="A1055" s="3"/>
      <c r="B1055" s="14"/>
      <c r="C1055" s="14"/>
      <c r="D1055" s="14"/>
      <c r="E1055" s="14"/>
      <c r="K1055" s="14"/>
      <c r="M1055" s="14"/>
      <c r="N1055" s="14"/>
      <c r="Z1055" s="11"/>
      <c r="AA1055" s="15"/>
      <c r="AB1055" s="15"/>
      <c r="AC1055" s="15"/>
      <c r="AU1055" s="17"/>
    </row>
    <row r="1056" spans="1:47" ht="12" customHeight="1" x14ac:dyDescent="0.25">
      <c r="A1056" s="3"/>
      <c r="B1056" s="14"/>
      <c r="C1056" s="14"/>
      <c r="D1056" s="14"/>
      <c r="E1056" s="14"/>
      <c r="K1056" s="14"/>
      <c r="M1056" s="14"/>
      <c r="N1056" s="14"/>
      <c r="Z1056" s="11"/>
      <c r="AA1056" s="15"/>
      <c r="AB1056" s="15"/>
      <c r="AC1056" s="15"/>
      <c r="AU1056" s="17"/>
    </row>
    <row r="1057" spans="1:47" ht="12" customHeight="1" x14ac:dyDescent="0.25">
      <c r="A1057" s="3"/>
      <c r="B1057" s="14"/>
      <c r="C1057" s="14"/>
      <c r="D1057" s="14"/>
      <c r="E1057" s="14"/>
      <c r="K1057" s="14"/>
      <c r="M1057" s="14"/>
      <c r="N1057" s="14"/>
      <c r="Z1057" s="11"/>
      <c r="AA1057" s="15"/>
      <c r="AB1057" s="15"/>
      <c r="AC1057" s="15"/>
      <c r="AU1057" s="17"/>
    </row>
    <row r="1058" spans="1:47" ht="12" customHeight="1" x14ac:dyDescent="0.25">
      <c r="A1058" s="3"/>
      <c r="B1058" s="14"/>
      <c r="C1058" s="14"/>
      <c r="D1058" s="14"/>
      <c r="E1058" s="14"/>
      <c r="K1058" s="14"/>
      <c r="M1058" s="14"/>
      <c r="N1058" s="14"/>
      <c r="Z1058" s="11"/>
      <c r="AA1058" s="15"/>
      <c r="AB1058" s="15"/>
      <c r="AC1058" s="15"/>
      <c r="AU1058" s="17"/>
    </row>
    <row r="1059" spans="1:47" ht="12" customHeight="1" x14ac:dyDescent="0.25">
      <c r="A1059" s="3"/>
      <c r="B1059" s="14"/>
      <c r="C1059" s="14"/>
      <c r="D1059" s="14"/>
      <c r="E1059" s="14"/>
      <c r="K1059" s="14"/>
      <c r="M1059" s="14"/>
      <c r="N1059" s="14"/>
      <c r="Z1059" s="11"/>
      <c r="AA1059" s="15"/>
      <c r="AB1059" s="15"/>
      <c r="AC1059" s="15"/>
      <c r="AU1059" s="17"/>
    </row>
    <row r="1060" spans="1:47" ht="12" customHeight="1" x14ac:dyDescent="0.25">
      <c r="A1060" s="3"/>
      <c r="B1060" s="14"/>
      <c r="C1060" s="14"/>
      <c r="D1060" s="14"/>
      <c r="E1060" s="14"/>
      <c r="K1060" s="14"/>
      <c r="M1060" s="14"/>
      <c r="N1060" s="14"/>
      <c r="Z1060" s="11"/>
      <c r="AA1060" s="15"/>
      <c r="AB1060" s="15"/>
      <c r="AC1060" s="15"/>
      <c r="AU1060" s="17"/>
    </row>
    <row r="1061" spans="1:47" ht="12" customHeight="1" x14ac:dyDescent="0.25">
      <c r="A1061" s="3"/>
      <c r="B1061" s="14"/>
      <c r="C1061" s="14"/>
      <c r="D1061" s="14"/>
      <c r="E1061" s="14"/>
      <c r="K1061" s="14"/>
      <c r="M1061" s="14"/>
      <c r="N1061" s="14"/>
      <c r="Z1061" s="11"/>
      <c r="AA1061" s="15"/>
      <c r="AB1061" s="15"/>
      <c r="AC1061" s="15"/>
      <c r="AU1061" s="17"/>
    </row>
    <row r="1062" spans="1:47" ht="12" customHeight="1" x14ac:dyDescent="0.25">
      <c r="A1062" s="3"/>
      <c r="B1062" s="14"/>
      <c r="C1062" s="14"/>
      <c r="D1062" s="14"/>
      <c r="E1062" s="14"/>
      <c r="K1062" s="14"/>
      <c r="M1062" s="14"/>
      <c r="N1062" s="14"/>
      <c r="Z1062" s="11"/>
      <c r="AA1062" s="15"/>
      <c r="AB1062" s="15"/>
      <c r="AC1062" s="15"/>
      <c r="AU1062" s="17"/>
    </row>
    <row r="1063" spans="1:47" ht="12" customHeight="1" x14ac:dyDescent="0.25">
      <c r="A1063" s="3"/>
      <c r="B1063" s="14"/>
      <c r="C1063" s="14"/>
      <c r="D1063" s="14"/>
      <c r="E1063" s="14"/>
      <c r="K1063" s="14"/>
      <c r="M1063" s="14"/>
      <c r="N1063" s="14"/>
      <c r="Z1063" s="11"/>
      <c r="AA1063" s="15"/>
      <c r="AB1063" s="15"/>
      <c r="AC1063" s="15"/>
      <c r="AU1063" s="17"/>
    </row>
    <row r="1064" spans="1:47" ht="12" customHeight="1" x14ac:dyDescent="0.25">
      <c r="A1064" s="3"/>
      <c r="B1064" s="14"/>
      <c r="C1064" s="14"/>
      <c r="D1064" s="14"/>
      <c r="E1064" s="14"/>
      <c r="K1064" s="14"/>
      <c r="M1064" s="14"/>
      <c r="N1064" s="14"/>
      <c r="Z1064" s="11"/>
      <c r="AA1064" s="15"/>
      <c r="AB1064" s="15"/>
      <c r="AC1064" s="15"/>
      <c r="AU1064" s="17"/>
    </row>
    <row r="1065" spans="1:47" ht="12" customHeight="1" x14ac:dyDescent="0.25">
      <c r="A1065" s="3"/>
      <c r="B1065" s="14"/>
      <c r="C1065" s="14"/>
      <c r="D1065" s="14"/>
      <c r="E1065" s="14"/>
      <c r="K1065" s="14"/>
      <c r="M1065" s="14"/>
      <c r="N1065" s="14"/>
      <c r="Z1065" s="11"/>
      <c r="AA1065" s="15"/>
      <c r="AB1065" s="15"/>
      <c r="AC1065" s="15"/>
      <c r="AU1065" s="17"/>
    </row>
    <row r="1066" spans="1:47" ht="12" customHeight="1" x14ac:dyDescent="0.25">
      <c r="A1066" s="3"/>
      <c r="B1066" s="14"/>
      <c r="C1066" s="14"/>
      <c r="D1066" s="14"/>
      <c r="E1066" s="14"/>
      <c r="K1066" s="14"/>
      <c r="M1066" s="14"/>
      <c r="N1066" s="14"/>
      <c r="Z1066" s="11"/>
      <c r="AA1066" s="15"/>
      <c r="AB1066" s="15"/>
      <c r="AC1066" s="15"/>
      <c r="AU1066" s="17"/>
    </row>
    <row r="1067" spans="1:47" ht="12" customHeight="1" x14ac:dyDescent="0.25">
      <c r="A1067" s="3"/>
      <c r="B1067" s="14"/>
      <c r="C1067" s="14"/>
      <c r="D1067" s="14"/>
      <c r="E1067" s="14"/>
      <c r="K1067" s="14"/>
      <c r="M1067" s="14"/>
      <c r="N1067" s="14"/>
      <c r="Z1067" s="11"/>
      <c r="AA1067" s="15"/>
      <c r="AB1067" s="15"/>
      <c r="AC1067" s="15"/>
      <c r="AU1067" s="17"/>
    </row>
    <row r="1068" spans="1:47" ht="12" customHeight="1" x14ac:dyDescent="0.25">
      <c r="A1068" s="3"/>
      <c r="B1068" s="14"/>
      <c r="C1068" s="14"/>
      <c r="D1068" s="14"/>
      <c r="E1068" s="14"/>
      <c r="K1068" s="14"/>
      <c r="M1068" s="14"/>
      <c r="N1068" s="14"/>
      <c r="Z1068" s="11"/>
      <c r="AA1068" s="15"/>
      <c r="AB1068" s="15"/>
      <c r="AC1068" s="15"/>
      <c r="AU1068" s="17"/>
    </row>
    <row r="1069" spans="1:47" ht="12" customHeight="1" x14ac:dyDescent="0.25">
      <c r="A1069" s="3"/>
      <c r="B1069" s="14"/>
      <c r="C1069" s="14"/>
      <c r="D1069" s="14"/>
      <c r="E1069" s="14"/>
      <c r="K1069" s="14"/>
      <c r="M1069" s="14"/>
      <c r="N1069" s="14"/>
      <c r="Z1069" s="11"/>
      <c r="AA1069" s="15"/>
      <c r="AB1069" s="15"/>
      <c r="AC1069" s="15"/>
      <c r="AU1069" s="17"/>
    </row>
    <row r="1070" spans="1:47" ht="12" customHeight="1" x14ac:dyDescent="0.25">
      <c r="A1070" s="3"/>
      <c r="B1070" s="14"/>
      <c r="C1070" s="14"/>
      <c r="D1070" s="14"/>
      <c r="E1070" s="14"/>
      <c r="K1070" s="14"/>
      <c r="M1070" s="14"/>
      <c r="N1070" s="14"/>
      <c r="Z1070" s="11"/>
      <c r="AA1070" s="15"/>
      <c r="AB1070" s="15"/>
      <c r="AC1070" s="15"/>
      <c r="AU1070" s="17"/>
    </row>
    <row r="1071" spans="1:47" ht="12" customHeight="1" x14ac:dyDescent="0.25">
      <c r="A1071" s="3"/>
      <c r="B1071" s="14"/>
      <c r="C1071" s="14"/>
      <c r="D1071" s="14"/>
      <c r="E1071" s="14"/>
      <c r="K1071" s="14"/>
      <c r="M1071" s="14"/>
      <c r="N1071" s="14"/>
      <c r="Z1071" s="11"/>
      <c r="AA1071" s="15"/>
      <c r="AB1071" s="15"/>
      <c r="AC1071" s="15"/>
      <c r="AU1071" s="17"/>
    </row>
    <row r="1072" spans="1:47" ht="12" customHeight="1" x14ac:dyDescent="0.25">
      <c r="A1072" s="3"/>
      <c r="B1072" s="14"/>
      <c r="C1072" s="14"/>
      <c r="D1072" s="14"/>
      <c r="E1072" s="14"/>
      <c r="K1072" s="14"/>
      <c r="M1072" s="14"/>
      <c r="N1072" s="14"/>
      <c r="Z1072" s="11"/>
      <c r="AA1072" s="15"/>
      <c r="AB1072" s="15"/>
      <c r="AC1072" s="15"/>
      <c r="AU1072" s="17"/>
    </row>
    <row r="1073" spans="1:47" ht="12" customHeight="1" x14ac:dyDescent="0.25">
      <c r="A1073" s="3"/>
      <c r="B1073" s="14"/>
      <c r="C1073" s="14"/>
      <c r="D1073" s="14"/>
      <c r="E1073" s="14"/>
      <c r="K1073" s="14"/>
      <c r="M1073" s="14"/>
      <c r="N1073" s="14"/>
      <c r="Z1073" s="11"/>
      <c r="AA1073" s="15"/>
      <c r="AB1073" s="15"/>
      <c r="AC1073" s="15"/>
      <c r="AU1073" s="17"/>
    </row>
    <row r="1074" spans="1:47" ht="12" customHeight="1" x14ac:dyDescent="0.25">
      <c r="A1074" s="3"/>
      <c r="B1074" s="14"/>
      <c r="C1074" s="14"/>
      <c r="D1074" s="14"/>
      <c r="E1074" s="14"/>
      <c r="K1074" s="14"/>
      <c r="M1074" s="14"/>
      <c r="N1074" s="14"/>
      <c r="Z1074" s="11"/>
      <c r="AA1074" s="15"/>
      <c r="AB1074" s="15"/>
      <c r="AC1074" s="15"/>
      <c r="AU1074" s="17"/>
    </row>
    <row r="1075" spans="1:47" ht="12" customHeight="1" x14ac:dyDescent="0.25">
      <c r="A1075" s="3"/>
      <c r="B1075" s="14"/>
      <c r="C1075" s="14"/>
      <c r="D1075" s="14"/>
      <c r="E1075" s="14"/>
      <c r="K1075" s="14"/>
      <c r="M1075" s="14"/>
      <c r="N1075" s="14"/>
      <c r="Z1075" s="11"/>
      <c r="AA1075" s="15"/>
      <c r="AB1075" s="15"/>
      <c r="AC1075" s="15"/>
      <c r="AU1075" s="17"/>
    </row>
    <row r="1076" spans="1:47" ht="12" customHeight="1" x14ac:dyDescent="0.25">
      <c r="A1076" s="3"/>
      <c r="B1076" s="14"/>
      <c r="C1076" s="14"/>
      <c r="D1076" s="14"/>
      <c r="E1076" s="14"/>
      <c r="K1076" s="14"/>
      <c r="M1076" s="14"/>
      <c r="N1076" s="14"/>
      <c r="Z1076" s="11"/>
      <c r="AA1076" s="15"/>
      <c r="AB1076" s="15"/>
      <c r="AC1076" s="15"/>
      <c r="AU1076" s="17"/>
    </row>
    <row r="1077" spans="1:47" ht="12" customHeight="1" x14ac:dyDescent="0.25">
      <c r="A1077" s="3"/>
      <c r="B1077" s="14"/>
      <c r="C1077" s="14"/>
      <c r="D1077" s="14"/>
      <c r="E1077" s="14"/>
      <c r="K1077" s="14"/>
      <c r="M1077" s="14"/>
      <c r="N1077" s="14"/>
      <c r="Z1077" s="11"/>
      <c r="AA1077" s="15"/>
      <c r="AB1077" s="15"/>
      <c r="AC1077" s="15"/>
      <c r="AU1077" s="17"/>
    </row>
    <row r="1078" spans="1:47" ht="12" customHeight="1" x14ac:dyDescent="0.25">
      <c r="A1078" s="3"/>
      <c r="B1078" s="14"/>
      <c r="C1078" s="14"/>
      <c r="D1078" s="14"/>
      <c r="E1078" s="14"/>
      <c r="K1078" s="14"/>
      <c r="M1078" s="14"/>
      <c r="N1078" s="14"/>
      <c r="Z1078" s="11"/>
      <c r="AA1078" s="15"/>
      <c r="AB1078" s="15"/>
      <c r="AC1078" s="15"/>
      <c r="AU1078" s="17"/>
    </row>
    <row r="1079" spans="1:47" ht="12" customHeight="1" x14ac:dyDescent="0.25">
      <c r="A1079" s="3"/>
      <c r="B1079" s="14"/>
      <c r="C1079" s="14"/>
      <c r="D1079" s="14"/>
      <c r="E1079" s="14"/>
      <c r="K1079" s="14"/>
      <c r="M1079" s="14"/>
      <c r="N1079" s="14"/>
      <c r="Z1079" s="11"/>
      <c r="AA1079" s="15"/>
      <c r="AB1079" s="15"/>
      <c r="AC1079" s="15"/>
      <c r="AU1079" s="17"/>
    </row>
    <row r="1080" spans="1:47" ht="12" customHeight="1" x14ac:dyDescent="0.25">
      <c r="A1080" s="3"/>
      <c r="B1080" s="14"/>
      <c r="C1080" s="14"/>
      <c r="D1080" s="14"/>
      <c r="E1080" s="14"/>
      <c r="K1080" s="14"/>
      <c r="M1080" s="14"/>
      <c r="N1080" s="14"/>
      <c r="Z1080" s="11"/>
      <c r="AA1080" s="15"/>
      <c r="AB1080" s="15"/>
      <c r="AC1080" s="15"/>
      <c r="AU1080" s="17"/>
    </row>
    <row r="1081" spans="1:47" ht="12" customHeight="1" x14ac:dyDescent="0.25">
      <c r="A1081" s="3"/>
      <c r="B1081" s="14"/>
      <c r="C1081" s="14"/>
      <c r="D1081" s="14"/>
      <c r="E1081" s="14"/>
      <c r="K1081" s="14"/>
      <c r="M1081" s="14"/>
      <c r="N1081" s="14"/>
      <c r="Z1081" s="11"/>
      <c r="AA1081" s="15"/>
      <c r="AB1081" s="15"/>
      <c r="AC1081" s="15"/>
      <c r="AU1081" s="17"/>
    </row>
    <row r="1082" spans="1:47" ht="12" customHeight="1" x14ac:dyDescent="0.25">
      <c r="A1082" s="3"/>
      <c r="B1082" s="14"/>
      <c r="C1082" s="14"/>
      <c r="D1082" s="14"/>
      <c r="E1082" s="14"/>
      <c r="K1082" s="14"/>
      <c r="M1082" s="14"/>
      <c r="N1082" s="14"/>
      <c r="Z1082" s="11"/>
      <c r="AA1082" s="15"/>
      <c r="AB1082" s="15"/>
      <c r="AC1082" s="15"/>
      <c r="AU1082" s="17"/>
    </row>
    <row r="1083" spans="1:47" ht="12" customHeight="1" x14ac:dyDescent="0.25">
      <c r="A1083" s="3"/>
      <c r="B1083" s="14"/>
      <c r="C1083" s="14"/>
      <c r="D1083" s="14"/>
      <c r="E1083" s="14"/>
      <c r="K1083" s="14"/>
      <c r="M1083" s="14"/>
      <c r="N1083" s="14"/>
      <c r="Z1083" s="11"/>
      <c r="AA1083" s="15"/>
      <c r="AB1083" s="15"/>
      <c r="AC1083" s="15"/>
      <c r="AU1083" s="17"/>
    </row>
    <row r="1084" spans="1:47" ht="12" customHeight="1" x14ac:dyDescent="0.25">
      <c r="A1084" s="3"/>
      <c r="B1084" s="14"/>
      <c r="C1084" s="14"/>
      <c r="D1084" s="14"/>
      <c r="E1084" s="14"/>
      <c r="K1084" s="14"/>
      <c r="M1084" s="14"/>
      <c r="N1084" s="14"/>
      <c r="Z1084" s="11"/>
      <c r="AA1084" s="15"/>
      <c r="AB1084" s="15"/>
      <c r="AC1084" s="15"/>
      <c r="AU1084" s="17"/>
    </row>
    <row r="1085" spans="1:47" ht="12" customHeight="1" x14ac:dyDescent="0.25">
      <c r="A1085" s="3"/>
      <c r="B1085" s="14"/>
      <c r="C1085" s="14"/>
      <c r="D1085" s="14"/>
      <c r="E1085" s="14"/>
      <c r="K1085" s="14"/>
      <c r="M1085" s="14"/>
      <c r="N1085" s="14"/>
      <c r="Z1085" s="11"/>
      <c r="AA1085" s="15"/>
      <c r="AB1085" s="15"/>
      <c r="AC1085" s="15"/>
      <c r="AU1085" s="17"/>
    </row>
    <row r="1086" spans="1:47" ht="12" customHeight="1" x14ac:dyDescent="0.25">
      <c r="A1086" s="3"/>
      <c r="B1086" s="14"/>
      <c r="C1086" s="14"/>
      <c r="D1086" s="14"/>
      <c r="E1086" s="14"/>
      <c r="K1086" s="14"/>
      <c r="M1086" s="14"/>
      <c r="N1086" s="14"/>
      <c r="Z1086" s="11"/>
      <c r="AA1086" s="15"/>
      <c r="AB1086" s="15"/>
      <c r="AC1086" s="15"/>
      <c r="AU1086" s="17"/>
    </row>
    <row r="1087" spans="1:47" ht="12" customHeight="1" x14ac:dyDescent="0.25">
      <c r="A1087" s="3"/>
      <c r="B1087" s="14"/>
      <c r="C1087" s="14"/>
      <c r="D1087" s="14"/>
      <c r="E1087" s="14"/>
      <c r="K1087" s="14"/>
      <c r="M1087" s="14"/>
      <c r="N1087" s="14"/>
      <c r="Z1087" s="11"/>
      <c r="AA1087" s="15"/>
      <c r="AB1087" s="15"/>
      <c r="AC1087" s="15"/>
      <c r="AU1087" s="17"/>
    </row>
    <row r="1088" spans="1:47" ht="12" customHeight="1" x14ac:dyDescent="0.25">
      <c r="A1088" s="3"/>
      <c r="B1088" s="14"/>
      <c r="C1088" s="14"/>
      <c r="D1088" s="14"/>
      <c r="E1088" s="14"/>
      <c r="K1088" s="14"/>
      <c r="M1088" s="14"/>
      <c r="N1088" s="14"/>
      <c r="Z1088" s="11"/>
      <c r="AA1088" s="15"/>
      <c r="AB1088" s="15"/>
      <c r="AC1088" s="15"/>
      <c r="AU1088" s="17"/>
    </row>
    <row r="1089" spans="1:47" ht="12" customHeight="1" x14ac:dyDescent="0.25">
      <c r="A1089" s="3"/>
      <c r="B1089" s="14"/>
      <c r="C1089" s="14"/>
      <c r="D1089" s="14"/>
      <c r="E1089" s="14"/>
      <c r="K1089" s="14"/>
      <c r="M1089" s="14"/>
      <c r="N1089" s="14"/>
      <c r="Z1089" s="11"/>
      <c r="AA1089" s="15"/>
      <c r="AB1089" s="15"/>
      <c r="AC1089" s="15"/>
      <c r="AU1089" s="17"/>
    </row>
    <row r="1090" spans="1:47" ht="12" customHeight="1" x14ac:dyDescent="0.25">
      <c r="A1090" s="3"/>
      <c r="B1090" s="14"/>
      <c r="C1090" s="14"/>
      <c r="D1090" s="14"/>
      <c r="E1090" s="14"/>
      <c r="K1090" s="14"/>
      <c r="M1090" s="14"/>
      <c r="N1090" s="14"/>
      <c r="Z1090" s="11"/>
      <c r="AA1090" s="15"/>
      <c r="AB1090" s="15"/>
      <c r="AC1090" s="15"/>
      <c r="AU1090" s="17"/>
    </row>
    <row r="1091" spans="1:47" ht="12" customHeight="1" x14ac:dyDescent="0.25">
      <c r="A1091" s="3"/>
      <c r="B1091" s="14"/>
      <c r="C1091" s="14"/>
      <c r="D1091" s="14"/>
      <c r="E1091" s="14"/>
      <c r="K1091" s="14"/>
      <c r="M1091" s="14"/>
      <c r="N1091" s="14"/>
      <c r="Z1091" s="11"/>
      <c r="AA1091" s="15"/>
      <c r="AB1091" s="15"/>
      <c r="AC1091" s="15"/>
      <c r="AU1091" s="17"/>
    </row>
    <row r="1092" spans="1:47" ht="12" customHeight="1" x14ac:dyDescent="0.25">
      <c r="A1092" s="3"/>
      <c r="B1092" s="14"/>
      <c r="C1092" s="14"/>
      <c r="D1092" s="14"/>
      <c r="E1092" s="14"/>
      <c r="K1092" s="14"/>
      <c r="M1092" s="14"/>
      <c r="N1092" s="14"/>
      <c r="Z1092" s="11"/>
      <c r="AA1092" s="15"/>
      <c r="AB1092" s="15"/>
      <c r="AC1092" s="15"/>
      <c r="AU1092" s="17"/>
    </row>
    <row r="1093" spans="1:47" ht="12" customHeight="1" x14ac:dyDescent="0.25">
      <c r="A1093" s="3"/>
      <c r="B1093" s="14"/>
      <c r="C1093" s="14"/>
      <c r="D1093" s="14"/>
      <c r="E1093" s="14"/>
      <c r="K1093" s="14"/>
      <c r="M1093" s="14"/>
      <c r="N1093" s="14"/>
      <c r="Z1093" s="11"/>
      <c r="AA1093" s="15"/>
      <c r="AB1093" s="15"/>
      <c r="AC1093" s="15"/>
      <c r="AU1093" s="17"/>
    </row>
    <row r="1094" spans="1:47" ht="12" customHeight="1" x14ac:dyDescent="0.25">
      <c r="A1094" s="3"/>
      <c r="B1094" s="14"/>
      <c r="C1094" s="14"/>
      <c r="D1094" s="14"/>
      <c r="E1094" s="14"/>
      <c r="K1094" s="14"/>
      <c r="M1094" s="14"/>
      <c r="N1094" s="14"/>
      <c r="Z1094" s="11"/>
      <c r="AA1094" s="15"/>
      <c r="AB1094" s="15"/>
      <c r="AC1094" s="15"/>
      <c r="AU1094" s="17"/>
    </row>
    <row r="1095" spans="1:47" ht="12" customHeight="1" x14ac:dyDescent="0.25">
      <c r="A1095" s="3"/>
      <c r="B1095" s="14"/>
      <c r="C1095" s="14"/>
      <c r="D1095" s="14"/>
      <c r="E1095" s="14"/>
      <c r="K1095" s="14"/>
      <c r="M1095" s="14"/>
      <c r="N1095" s="14"/>
      <c r="Z1095" s="11"/>
      <c r="AA1095" s="15"/>
      <c r="AB1095" s="15"/>
      <c r="AC1095" s="15"/>
      <c r="AU1095" s="17"/>
    </row>
    <row r="1096" spans="1:47" ht="12" customHeight="1" x14ac:dyDescent="0.25">
      <c r="A1096" s="3"/>
      <c r="B1096" s="14"/>
      <c r="C1096" s="14"/>
      <c r="D1096" s="14"/>
      <c r="E1096" s="14"/>
      <c r="K1096" s="14"/>
      <c r="M1096" s="14"/>
      <c r="N1096" s="14"/>
      <c r="Z1096" s="11"/>
      <c r="AA1096" s="15"/>
      <c r="AB1096" s="15"/>
      <c r="AC1096" s="15"/>
      <c r="AU1096" s="17"/>
    </row>
    <row r="1097" spans="1:47" ht="12" customHeight="1" x14ac:dyDescent="0.25">
      <c r="A1097" s="3"/>
      <c r="B1097" s="14"/>
      <c r="C1097" s="14"/>
      <c r="D1097" s="14"/>
      <c r="E1097" s="14"/>
      <c r="K1097" s="14"/>
      <c r="M1097" s="14"/>
      <c r="N1097" s="14"/>
      <c r="Z1097" s="11"/>
      <c r="AA1097" s="15"/>
      <c r="AB1097" s="15"/>
      <c r="AC1097" s="15"/>
      <c r="AU1097" s="17"/>
    </row>
    <row r="1098" spans="1:47" ht="12" customHeight="1" x14ac:dyDescent="0.25">
      <c r="A1098" s="3"/>
      <c r="B1098" s="14"/>
      <c r="C1098" s="14"/>
      <c r="D1098" s="14"/>
      <c r="E1098" s="14"/>
      <c r="K1098" s="14"/>
      <c r="M1098" s="14"/>
      <c r="N1098" s="14"/>
      <c r="Z1098" s="11"/>
      <c r="AA1098" s="15"/>
      <c r="AB1098" s="15"/>
      <c r="AC1098" s="15"/>
      <c r="AU1098" s="17"/>
    </row>
    <row r="1099" spans="1:47" ht="12" customHeight="1" x14ac:dyDescent="0.25">
      <c r="A1099" s="3"/>
      <c r="B1099" s="14"/>
      <c r="C1099" s="14"/>
      <c r="D1099" s="14"/>
      <c r="E1099" s="14"/>
      <c r="K1099" s="14"/>
      <c r="M1099" s="14"/>
      <c r="N1099" s="14"/>
      <c r="Z1099" s="11"/>
      <c r="AA1099" s="15"/>
      <c r="AB1099" s="15"/>
      <c r="AC1099" s="15"/>
      <c r="AU1099" s="17"/>
    </row>
    <row r="1100" spans="1:47" ht="12" customHeight="1" x14ac:dyDescent="0.25">
      <c r="A1100" s="3"/>
      <c r="B1100" s="14"/>
      <c r="C1100" s="14"/>
      <c r="D1100" s="14"/>
      <c r="E1100" s="14"/>
      <c r="K1100" s="14"/>
      <c r="M1100" s="14"/>
      <c r="N1100" s="14"/>
      <c r="Z1100" s="11"/>
      <c r="AA1100" s="15"/>
      <c r="AB1100" s="15"/>
      <c r="AC1100" s="15"/>
      <c r="AU1100" s="17"/>
    </row>
    <row r="1101" spans="1:47" ht="12" customHeight="1" x14ac:dyDescent="0.25">
      <c r="A1101" s="3"/>
      <c r="B1101" s="14"/>
      <c r="C1101" s="14"/>
      <c r="D1101" s="14"/>
      <c r="E1101" s="14"/>
      <c r="K1101" s="14"/>
      <c r="M1101" s="14"/>
      <c r="N1101" s="14"/>
      <c r="Z1101" s="11"/>
      <c r="AA1101" s="15"/>
      <c r="AB1101" s="15"/>
      <c r="AC1101" s="15"/>
      <c r="AU1101" s="17"/>
    </row>
    <row r="1102" spans="1:47" ht="12" customHeight="1" x14ac:dyDescent="0.25">
      <c r="A1102" s="3"/>
      <c r="B1102" s="14"/>
      <c r="C1102" s="14"/>
      <c r="D1102" s="14"/>
      <c r="E1102" s="14"/>
      <c r="K1102" s="14"/>
      <c r="M1102" s="14"/>
      <c r="N1102" s="14"/>
      <c r="Z1102" s="11"/>
      <c r="AA1102" s="15"/>
      <c r="AB1102" s="15"/>
      <c r="AC1102" s="15"/>
      <c r="AU1102" s="17"/>
    </row>
    <row r="1103" spans="1:47" ht="12" customHeight="1" x14ac:dyDescent="0.25">
      <c r="A1103" s="3"/>
      <c r="B1103" s="14"/>
      <c r="C1103" s="14"/>
      <c r="D1103" s="14"/>
      <c r="E1103" s="14"/>
      <c r="K1103" s="14"/>
      <c r="M1103" s="14"/>
      <c r="N1103" s="14"/>
      <c r="Z1103" s="11"/>
      <c r="AA1103" s="15"/>
      <c r="AB1103" s="15"/>
      <c r="AC1103" s="15"/>
      <c r="AU1103" s="17"/>
    </row>
    <row r="1104" spans="1:47" ht="12" customHeight="1" x14ac:dyDescent="0.25">
      <c r="A1104" s="3"/>
      <c r="B1104" s="14"/>
      <c r="C1104" s="14"/>
      <c r="D1104" s="14"/>
      <c r="E1104" s="14"/>
      <c r="K1104" s="14"/>
      <c r="M1104" s="14"/>
      <c r="N1104" s="14"/>
      <c r="Z1104" s="11"/>
      <c r="AA1104" s="15"/>
      <c r="AB1104" s="15"/>
      <c r="AC1104" s="15"/>
      <c r="AU1104" s="17"/>
    </row>
    <row r="1105" spans="1:47" ht="12" customHeight="1" x14ac:dyDescent="0.25">
      <c r="A1105" s="3"/>
      <c r="B1105" s="14"/>
      <c r="C1105" s="14"/>
      <c r="D1105" s="14"/>
      <c r="E1105" s="14"/>
      <c r="K1105" s="14"/>
      <c r="M1105" s="14"/>
      <c r="N1105" s="14"/>
      <c r="Z1105" s="11"/>
      <c r="AA1105" s="15"/>
      <c r="AB1105" s="15"/>
      <c r="AC1105" s="15"/>
      <c r="AU1105" s="17"/>
    </row>
    <row r="1106" spans="1:47" ht="12" customHeight="1" x14ac:dyDescent="0.25">
      <c r="A1106" s="3"/>
      <c r="B1106" s="14"/>
      <c r="C1106" s="14"/>
      <c r="D1106" s="14"/>
      <c r="E1106" s="14"/>
      <c r="K1106" s="14"/>
      <c r="M1106" s="14"/>
      <c r="N1106" s="14"/>
      <c r="Z1106" s="11"/>
      <c r="AA1106" s="15"/>
      <c r="AB1106" s="15"/>
      <c r="AC1106" s="15"/>
      <c r="AU1106" s="17"/>
    </row>
    <row r="1107" spans="1:47" ht="12" customHeight="1" x14ac:dyDescent="0.25">
      <c r="A1107" s="3"/>
      <c r="B1107" s="14"/>
      <c r="C1107" s="14"/>
      <c r="D1107" s="14"/>
      <c r="E1107" s="14"/>
      <c r="K1107" s="14"/>
      <c r="M1107" s="14"/>
      <c r="N1107" s="14"/>
      <c r="Z1107" s="11"/>
      <c r="AA1107" s="15"/>
      <c r="AB1107" s="15"/>
      <c r="AC1107" s="15"/>
      <c r="AU1107" s="17"/>
    </row>
    <row r="1108" spans="1:47" ht="12" customHeight="1" x14ac:dyDescent="0.25">
      <c r="A1108" s="3"/>
      <c r="B1108" s="14"/>
      <c r="C1108" s="14"/>
      <c r="D1108" s="14"/>
      <c r="E1108" s="14"/>
      <c r="K1108" s="14"/>
      <c r="M1108" s="14"/>
      <c r="N1108" s="14"/>
      <c r="Z1108" s="11"/>
      <c r="AA1108" s="15"/>
      <c r="AB1108" s="15"/>
      <c r="AC1108" s="15"/>
      <c r="AU1108" s="17"/>
    </row>
    <row r="1109" spans="1:47" ht="12" customHeight="1" x14ac:dyDescent="0.25">
      <c r="A1109" s="3"/>
      <c r="B1109" s="14"/>
      <c r="C1109" s="14"/>
      <c r="D1109" s="14"/>
      <c r="E1109" s="14"/>
      <c r="K1109" s="14"/>
      <c r="M1109" s="14"/>
      <c r="N1109" s="14"/>
      <c r="Z1109" s="11"/>
      <c r="AA1109" s="15"/>
      <c r="AB1109" s="15"/>
      <c r="AC1109" s="15"/>
      <c r="AU1109" s="17"/>
    </row>
    <row r="1110" spans="1:47" ht="12" customHeight="1" x14ac:dyDescent="0.25">
      <c r="A1110" s="3"/>
      <c r="B1110" s="14"/>
      <c r="C1110" s="14"/>
      <c r="D1110" s="14"/>
      <c r="E1110" s="14"/>
      <c r="K1110" s="14"/>
      <c r="M1110" s="14"/>
      <c r="N1110" s="14"/>
      <c r="Z1110" s="11"/>
      <c r="AA1110" s="15"/>
      <c r="AB1110" s="15"/>
      <c r="AC1110" s="15"/>
      <c r="AU1110" s="17"/>
    </row>
    <row r="1111" spans="1:47" ht="12" customHeight="1" x14ac:dyDescent="0.25">
      <c r="A1111" s="3"/>
      <c r="B1111" s="14"/>
      <c r="C1111" s="14"/>
      <c r="D1111" s="14"/>
      <c r="E1111" s="14"/>
      <c r="K1111" s="14"/>
      <c r="M1111" s="14"/>
      <c r="N1111" s="14"/>
      <c r="Z1111" s="11"/>
      <c r="AA1111" s="15"/>
      <c r="AB1111" s="15"/>
      <c r="AC1111" s="15"/>
      <c r="AU1111" s="17"/>
    </row>
    <row r="1112" spans="1:47" ht="12" customHeight="1" x14ac:dyDescent="0.25">
      <c r="A1112" s="3"/>
      <c r="B1112" s="14"/>
      <c r="C1112" s="14"/>
      <c r="D1112" s="14"/>
      <c r="E1112" s="14"/>
      <c r="K1112" s="14"/>
      <c r="M1112" s="14"/>
      <c r="N1112" s="14"/>
      <c r="Z1112" s="11"/>
      <c r="AA1112" s="15"/>
      <c r="AB1112" s="15"/>
      <c r="AC1112" s="15"/>
      <c r="AU1112" s="17"/>
    </row>
    <row r="1113" spans="1:47" ht="12" customHeight="1" x14ac:dyDescent="0.25">
      <c r="A1113" s="3"/>
      <c r="B1113" s="14"/>
      <c r="C1113" s="14"/>
      <c r="D1113" s="14"/>
      <c r="E1113" s="14"/>
      <c r="K1113" s="14"/>
      <c r="M1113" s="14"/>
      <c r="N1113" s="14"/>
      <c r="Z1113" s="11"/>
      <c r="AA1113" s="15"/>
      <c r="AB1113" s="15"/>
      <c r="AC1113" s="15"/>
      <c r="AU1113" s="17"/>
    </row>
    <row r="1114" spans="1:47" ht="12" customHeight="1" x14ac:dyDescent="0.25">
      <c r="A1114" s="3"/>
      <c r="B1114" s="14"/>
      <c r="C1114" s="14"/>
      <c r="D1114" s="14"/>
      <c r="E1114" s="14"/>
      <c r="K1114" s="14"/>
      <c r="M1114" s="14"/>
      <c r="N1114" s="14"/>
      <c r="Z1114" s="11"/>
      <c r="AA1114" s="15"/>
      <c r="AB1114" s="15"/>
      <c r="AC1114" s="15"/>
      <c r="AU1114" s="17"/>
    </row>
    <row r="1115" spans="1:47" ht="12" customHeight="1" x14ac:dyDescent="0.25">
      <c r="A1115" s="3"/>
      <c r="B1115" s="14"/>
      <c r="C1115" s="14"/>
      <c r="D1115" s="14"/>
      <c r="E1115" s="14"/>
      <c r="K1115" s="14"/>
      <c r="M1115" s="14"/>
      <c r="N1115" s="14"/>
      <c r="Z1115" s="11"/>
      <c r="AA1115" s="15"/>
      <c r="AB1115" s="15"/>
      <c r="AC1115" s="15"/>
      <c r="AU1115" s="17"/>
    </row>
    <row r="1116" spans="1:47" ht="12" customHeight="1" x14ac:dyDescent="0.25">
      <c r="A1116" s="3"/>
      <c r="B1116" s="14"/>
      <c r="C1116" s="14"/>
      <c r="D1116" s="14"/>
      <c r="E1116" s="14"/>
      <c r="K1116" s="14"/>
      <c r="M1116" s="14"/>
      <c r="N1116" s="14"/>
      <c r="Z1116" s="11"/>
      <c r="AA1116" s="15"/>
      <c r="AB1116" s="15"/>
      <c r="AC1116" s="15"/>
      <c r="AU1116" s="17"/>
    </row>
    <row r="1117" spans="1:47" ht="12" customHeight="1" x14ac:dyDescent="0.25">
      <c r="A1117" s="3"/>
      <c r="B1117" s="14"/>
      <c r="C1117" s="14"/>
      <c r="D1117" s="14"/>
      <c r="E1117" s="14"/>
      <c r="K1117" s="14"/>
      <c r="M1117" s="14"/>
      <c r="N1117" s="14"/>
      <c r="Z1117" s="11"/>
      <c r="AA1117" s="15"/>
      <c r="AB1117" s="15"/>
      <c r="AC1117" s="15"/>
      <c r="AU1117" s="17"/>
    </row>
    <row r="1118" spans="1:47" ht="12" customHeight="1" x14ac:dyDescent="0.25">
      <c r="A1118" s="3"/>
      <c r="B1118" s="14"/>
      <c r="C1118" s="14"/>
      <c r="D1118" s="14"/>
      <c r="E1118" s="14"/>
      <c r="K1118" s="14"/>
      <c r="M1118" s="14"/>
      <c r="N1118" s="14"/>
      <c r="Z1118" s="11"/>
      <c r="AA1118" s="15"/>
      <c r="AB1118" s="15"/>
      <c r="AC1118" s="15"/>
      <c r="AU1118" s="17"/>
    </row>
    <row r="1119" spans="1:47" ht="12" customHeight="1" x14ac:dyDescent="0.25">
      <c r="A1119" s="3"/>
      <c r="B1119" s="14"/>
      <c r="C1119" s="14"/>
      <c r="D1119" s="14"/>
      <c r="E1119" s="14"/>
      <c r="K1119" s="14"/>
      <c r="M1119" s="14"/>
      <c r="N1119" s="14"/>
      <c r="Z1119" s="11"/>
      <c r="AA1119" s="15"/>
      <c r="AB1119" s="15"/>
      <c r="AC1119" s="15"/>
      <c r="AU1119" s="17"/>
    </row>
    <row r="1120" spans="1:47" ht="12" customHeight="1" x14ac:dyDescent="0.25">
      <c r="A1120" s="3"/>
      <c r="B1120" s="14"/>
      <c r="C1120" s="14"/>
      <c r="D1120" s="14"/>
      <c r="E1120" s="14"/>
      <c r="K1120" s="14"/>
      <c r="M1120" s="14"/>
      <c r="N1120" s="14"/>
      <c r="Z1120" s="11"/>
      <c r="AA1120" s="15"/>
      <c r="AB1120" s="15"/>
      <c r="AC1120" s="15"/>
      <c r="AU1120" s="17"/>
    </row>
    <row r="1121" spans="1:47" ht="12" customHeight="1" x14ac:dyDescent="0.25">
      <c r="A1121" s="3"/>
      <c r="B1121" s="14"/>
      <c r="C1121" s="14"/>
      <c r="D1121" s="14"/>
      <c r="E1121" s="14"/>
      <c r="K1121" s="14"/>
      <c r="M1121" s="14"/>
      <c r="N1121" s="14"/>
      <c r="Z1121" s="11"/>
      <c r="AA1121" s="15"/>
      <c r="AB1121" s="15"/>
      <c r="AC1121" s="15"/>
      <c r="AU1121" s="17"/>
    </row>
    <row r="1122" spans="1:47" ht="12" customHeight="1" x14ac:dyDescent="0.25">
      <c r="A1122" s="3"/>
      <c r="B1122" s="14"/>
      <c r="C1122" s="14"/>
      <c r="D1122" s="14"/>
      <c r="E1122" s="14"/>
      <c r="K1122" s="14"/>
      <c r="M1122" s="14"/>
      <c r="N1122" s="14"/>
      <c r="Z1122" s="11"/>
      <c r="AA1122" s="15"/>
      <c r="AB1122" s="15"/>
      <c r="AC1122" s="15"/>
      <c r="AU1122" s="17"/>
    </row>
    <row r="1123" spans="1:47" ht="12" customHeight="1" x14ac:dyDescent="0.25">
      <c r="A1123" s="3"/>
      <c r="B1123" s="14"/>
      <c r="C1123" s="14"/>
      <c r="D1123" s="14"/>
      <c r="E1123" s="14"/>
      <c r="K1123" s="14"/>
      <c r="M1123" s="14"/>
      <c r="N1123" s="14"/>
      <c r="Z1123" s="11"/>
      <c r="AA1123" s="15"/>
      <c r="AB1123" s="15"/>
      <c r="AC1123" s="15"/>
      <c r="AU1123" s="17"/>
    </row>
    <row r="1124" spans="1:47" ht="12" customHeight="1" x14ac:dyDescent="0.25">
      <c r="A1124" s="3"/>
      <c r="B1124" s="14"/>
      <c r="C1124" s="14"/>
      <c r="D1124" s="14"/>
      <c r="E1124" s="14"/>
      <c r="K1124" s="14"/>
      <c r="M1124" s="14"/>
      <c r="N1124" s="14"/>
      <c r="Z1124" s="11"/>
      <c r="AA1124" s="15"/>
      <c r="AB1124" s="15"/>
      <c r="AC1124" s="15"/>
      <c r="AU1124" s="17"/>
    </row>
    <row r="1125" spans="1:47" ht="12" customHeight="1" x14ac:dyDescent="0.25">
      <c r="A1125" s="3"/>
      <c r="B1125" s="14"/>
      <c r="C1125" s="14"/>
      <c r="D1125" s="14"/>
      <c r="E1125" s="14"/>
      <c r="K1125" s="14"/>
      <c r="M1125" s="14"/>
      <c r="N1125" s="14"/>
      <c r="Z1125" s="11"/>
      <c r="AA1125" s="15"/>
      <c r="AB1125" s="15"/>
      <c r="AC1125" s="15"/>
      <c r="AU1125" s="17"/>
    </row>
    <row r="1126" spans="1:47" ht="12" customHeight="1" x14ac:dyDescent="0.25">
      <c r="A1126" s="3"/>
      <c r="B1126" s="14"/>
      <c r="C1126" s="14"/>
      <c r="D1126" s="14"/>
      <c r="E1126" s="14"/>
      <c r="K1126" s="14"/>
      <c r="M1126" s="14"/>
      <c r="N1126" s="14"/>
      <c r="Z1126" s="11"/>
      <c r="AA1126" s="15"/>
      <c r="AB1126" s="15"/>
      <c r="AC1126" s="15"/>
      <c r="AU1126" s="17"/>
    </row>
    <row r="1127" spans="1:47" ht="12" customHeight="1" x14ac:dyDescent="0.25">
      <c r="A1127" s="3"/>
      <c r="B1127" s="14"/>
      <c r="C1127" s="14"/>
      <c r="D1127" s="14"/>
      <c r="E1127" s="14"/>
      <c r="K1127" s="14"/>
      <c r="M1127" s="14"/>
      <c r="N1127" s="14"/>
      <c r="Z1127" s="11"/>
      <c r="AA1127" s="15"/>
      <c r="AB1127" s="15"/>
      <c r="AC1127" s="15"/>
      <c r="AU1127" s="17"/>
    </row>
    <row r="1128" spans="1:47" ht="12" customHeight="1" x14ac:dyDescent="0.25">
      <c r="A1128" s="3"/>
      <c r="B1128" s="14"/>
      <c r="C1128" s="14"/>
      <c r="D1128" s="14"/>
      <c r="E1128" s="14"/>
      <c r="K1128" s="14"/>
      <c r="M1128" s="14"/>
      <c r="N1128" s="14"/>
      <c r="Z1128" s="11"/>
      <c r="AA1128" s="15"/>
      <c r="AB1128" s="15"/>
      <c r="AC1128" s="15"/>
      <c r="AU1128" s="17"/>
    </row>
    <row r="1129" spans="1:47" ht="12" customHeight="1" x14ac:dyDescent="0.25">
      <c r="A1129" s="3"/>
      <c r="B1129" s="14"/>
      <c r="C1129" s="14"/>
      <c r="D1129" s="14"/>
      <c r="E1129" s="14"/>
      <c r="K1129" s="14"/>
      <c r="M1129" s="14"/>
      <c r="N1129" s="14"/>
      <c r="Z1129" s="11"/>
      <c r="AA1129" s="15"/>
      <c r="AB1129" s="15"/>
      <c r="AC1129" s="15"/>
      <c r="AU1129" s="17"/>
    </row>
    <row r="1130" spans="1:47" ht="12" customHeight="1" x14ac:dyDescent="0.25">
      <c r="A1130" s="3"/>
      <c r="B1130" s="14"/>
      <c r="C1130" s="14"/>
      <c r="D1130" s="14"/>
      <c r="E1130" s="14"/>
      <c r="K1130" s="14"/>
      <c r="M1130" s="14"/>
      <c r="N1130" s="14"/>
      <c r="Z1130" s="11"/>
      <c r="AA1130" s="15"/>
      <c r="AB1130" s="15"/>
      <c r="AC1130" s="15"/>
      <c r="AU1130" s="17"/>
    </row>
    <row r="1131" spans="1:47" ht="12" customHeight="1" x14ac:dyDescent="0.25">
      <c r="A1131" s="3"/>
      <c r="B1131" s="14"/>
      <c r="C1131" s="14"/>
      <c r="D1131" s="14"/>
      <c r="E1131" s="14"/>
      <c r="K1131" s="14"/>
      <c r="M1131" s="14"/>
      <c r="N1131" s="14"/>
      <c r="Z1131" s="11"/>
      <c r="AA1131" s="15"/>
      <c r="AB1131" s="15"/>
      <c r="AC1131" s="15"/>
      <c r="AU1131" s="17"/>
    </row>
    <row r="1132" spans="1:47" ht="12" customHeight="1" x14ac:dyDescent="0.25">
      <c r="A1132" s="3"/>
      <c r="B1132" s="14"/>
      <c r="C1132" s="14"/>
      <c r="D1132" s="14"/>
      <c r="E1132" s="14"/>
      <c r="K1132" s="14"/>
      <c r="M1132" s="14"/>
      <c r="N1132" s="14"/>
      <c r="Z1132" s="11"/>
      <c r="AA1132" s="15"/>
      <c r="AB1132" s="15"/>
      <c r="AC1132" s="15"/>
      <c r="AU1132" s="17"/>
    </row>
    <row r="1133" spans="1:47" ht="12" customHeight="1" x14ac:dyDescent="0.25">
      <c r="A1133" s="3"/>
      <c r="B1133" s="14"/>
      <c r="C1133" s="14"/>
      <c r="D1133" s="14"/>
      <c r="E1133" s="14"/>
      <c r="K1133" s="14"/>
      <c r="M1133" s="14"/>
      <c r="N1133" s="14"/>
      <c r="Z1133" s="11"/>
      <c r="AA1133" s="15"/>
      <c r="AB1133" s="15"/>
      <c r="AC1133" s="15"/>
      <c r="AU1133" s="17"/>
    </row>
    <row r="1134" spans="1:47" ht="12" customHeight="1" x14ac:dyDescent="0.25">
      <c r="A1134" s="3"/>
      <c r="B1134" s="14"/>
      <c r="C1134" s="14"/>
      <c r="D1134" s="14"/>
      <c r="E1134" s="14"/>
      <c r="K1134" s="14"/>
      <c r="M1134" s="14"/>
      <c r="N1134" s="14"/>
      <c r="Z1134" s="11"/>
      <c r="AA1134" s="15"/>
      <c r="AB1134" s="15"/>
      <c r="AC1134" s="15"/>
      <c r="AU1134" s="17"/>
    </row>
    <row r="1135" spans="1:47" ht="12" customHeight="1" x14ac:dyDescent="0.25">
      <c r="A1135" s="3"/>
      <c r="B1135" s="14"/>
      <c r="C1135" s="14"/>
      <c r="D1135" s="14"/>
      <c r="E1135" s="14"/>
      <c r="K1135" s="14"/>
      <c r="M1135" s="14"/>
      <c r="N1135" s="14"/>
      <c r="Z1135" s="11"/>
      <c r="AA1135" s="15"/>
      <c r="AB1135" s="15"/>
      <c r="AC1135" s="15"/>
      <c r="AU1135" s="17"/>
    </row>
    <row r="1136" spans="1:47" ht="12" customHeight="1" x14ac:dyDescent="0.25">
      <c r="A1136" s="3"/>
      <c r="B1136" s="14"/>
      <c r="C1136" s="14"/>
      <c r="D1136" s="14"/>
      <c r="E1136" s="14"/>
      <c r="K1136" s="14"/>
      <c r="M1136" s="14"/>
      <c r="N1136" s="14"/>
      <c r="Z1136" s="11"/>
      <c r="AA1136" s="15"/>
      <c r="AB1136" s="15"/>
      <c r="AC1136" s="15"/>
      <c r="AU1136" s="17"/>
    </row>
    <row r="1137" spans="1:47" ht="12" customHeight="1" x14ac:dyDescent="0.25">
      <c r="A1137" s="3"/>
      <c r="B1137" s="14"/>
      <c r="C1137" s="14"/>
      <c r="D1137" s="14"/>
      <c r="E1137" s="14"/>
      <c r="K1137" s="14"/>
      <c r="M1137" s="14"/>
      <c r="N1137" s="14"/>
      <c r="Z1137" s="11"/>
      <c r="AA1137" s="15"/>
      <c r="AB1137" s="15"/>
      <c r="AC1137" s="15"/>
      <c r="AU1137" s="17"/>
    </row>
    <row r="1138" spans="1:47" ht="12" customHeight="1" x14ac:dyDescent="0.25">
      <c r="A1138" s="3"/>
      <c r="B1138" s="14"/>
      <c r="C1138" s="14"/>
      <c r="D1138" s="14"/>
      <c r="E1138" s="14"/>
      <c r="K1138" s="14"/>
      <c r="M1138" s="14"/>
      <c r="N1138" s="14"/>
      <c r="Z1138" s="11"/>
      <c r="AA1138" s="15"/>
      <c r="AB1138" s="15"/>
      <c r="AC1138" s="15"/>
      <c r="AU1138" s="17"/>
    </row>
    <row r="1139" spans="1:47" ht="12" customHeight="1" x14ac:dyDescent="0.25">
      <c r="A1139" s="3"/>
      <c r="B1139" s="14"/>
      <c r="C1139" s="14"/>
      <c r="D1139" s="14"/>
      <c r="E1139" s="14"/>
      <c r="K1139" s="14"/>
      <c r="M1139" s="14"/>
      <c r="N1139" s="14"/>
      <c r="Z1139" s="11"/>
      <c r="AA1139" s="15"/>
      <c r="AB1139" s="15"/>
      <c r="AC1139" s="15"/>
      <c r="AU1139" s="17"/>
    </row>
    <row r="1140" spans="1:47" ht="12" customHeight="1" x14ac:dyDescent="0.25">
      <c r="A1140" s="3"/>
      <c r="B1140" s="14"/>
      <c r="C1140" s="14"/>
      <c r="D1140" s="14"/>
      <c r="E1140" s="14"/>
      <c r="K1140" s="14"/>
      <c r="M1140" s="14"/>
      <c r="N1140" s="14"/>
      <c r="Z1140" s="11"/>
      <c r="AA1140" s="15"/>
      <c r="AB1140" s="15"/>
      <c r="AC1140" s="15"/>
      <c r="AU1140" s="17"/>
    </row>
    <row r="1141" spans="1:47" ht="12" customHeight="1" x14ac:dyDescent="0.25">
      <c r="A1141" s="3"/>
      <c r="B1141" s="14"/>
      <c r="C1141" s="14"/>
      <c r="D1141" s="14"/>
      <c r="E1141" s="14"/>
      <c r="K1141" s="14"/>
      <c r="M1141" s="14"/>
      <c r="N1141" s="14"/>
      <c r="Z1141" s="11"/>
      <c r="AA1141" s="15"/>
      <c r="AB1141" s="15"/>
      <c r="AC1141" s="15"/>
      <c r="AU1141" s="17"/>
    </row>
    <row r="1142" spans="1:47" ht="12" customHeight="1" x14ac:dyDescent="0.25">
      <c r="A1142" s="3"/>
      <c r="B1142" s="14"/>
      <c r="C1142" s="14"/>
      <c r="D1142" s="14"/>
      <c r="E1142" s="14"/>
      <c r="K1142" s="14"/>
      <c r="M1142" s="14"/>
      <c r="N1142" s="14"/>
      <c r="Z1142" s="11"/>
      <c r="AA1142" s="15"/>
      <c r="AB1142" s="15"/>
      <c r="AC1142" s="15"/>
      <c r="AU1142" s="17"/>
    </row>
    <row r="1143" spans="1:47" ht="12" customHeight="1" x14ac:dyDescent="0.25">
      <c r="A1143" s="3"/>
      <c r="B1143" s="14"/>
      <c r="C1143" s="14"/>
      <c r="D1143" s="14"/>
      <c r="E1143" s="14"/>
      <c r="K1143" s="14"/>
      <c r="M1143" s="14"/>
      <c r="N1143" s="14"/>
      <c r="Z1143" s="11"/>
      <c r="AA1143" s="15"/>
      <c r="AB1143" s="15"/>
      <c r="AC1143" s="15"/>
      <c r="AU1143" s="17"/>
    </row>
    <row r="1144" spans="1:47" ht="12" customHeight="1" x14ac:dyDescent="0.25">
      <c r="A1144" s="3"/>
      <c r="B1144" s="14"/>
      <c r="C1144" s="14"/>
      <c r="D1144" s="14"/>
      <c r="E1144" s="14"/>
      <c r="K1144" s="14"/>
      <c r="M1144" s="14"/>
      <c r="N1144" s="14"/>
      <c r="Z1144" s="11"/>
      <c r="AA1144" s="15"/>
      <c r="AB1144" s="15"/>
      <c r="AC1144" s="15"/>
      <c r="AU1144" s="17"/>
    </row>
    <row r="1145" spans="1:47" ht="12" customHeight="1" x14ac:dyDescent="0.25">
      <c r="A1145" s="3"/>
      <c r="B1145" s="14"/>
      <c r="C1145" s="14"/>
      <c r="D1145" s="14"/>
      <c r="E1145" s="14"/>
      <c r="K1145" s="14"/>
      <c r="M1145" s="14"/>
      <c r="N1145" s="14"/>
      <c r="Z1145" s="11"/>
      <c r="AA1145" s="15"/>
      <c r="AB1145" s="15"/>
      <c r="AC1145" s="15"/>
      <c r="AU1145" s="17"/>
    </row>
    <row r="1146" spans="1:47" ht="12" customHeight="1" x14ac:dyDescent="0.25">
      <c r="A1146" s="3"/>
      <c r="B1146" s="14"/>
      <c r="C1146" s="14"/>
      <c r="D1146" s="14"/>
      <c r="E1146" s="14"/>
      <c r="K1146" s="14"/>
      <c r="M1146" s="14"/>
      <c r="N1146" s="14"/>
      <c r="Z1146" s="11"/>
      <c r="AA1146" s="15"/>
      <c r="AB1146" s="15"/>
      <c r="AC1146" s="15"/>
      <c r="AU1146" s="17"/>
    </row>
    <row r="1147" spans="1:47" ht="12" customHeight="1" x14ac:dyDescent="0.25">
      <c r="A1147" s="3"/>
      <c r="B1147" s="14"/>
      <c r="C1147" s="14"/>
      <c r="D1147" s="14"/>
      <c r="E1147" s="14"/>
      <c r="K1147" s="14"/>
      <c r="M1147" s="14"/>
      <c r="N1147" s="14"/>
      <c r="Z1147" s="11"/>
      <c r="AA1147" s="15"/>
      <c r="AB1147" s="15"/>
      <c r="AC1147" s="15"/>
      <c r="AU1147" s="17"/>
    </row>
    <row r="1148" spans="1:47" ht="12" customHeight="1" x14ac:dyDescent="0.25">
      <c r="A1148" s="3"/>
      <c r="B1148" s="14"/>
      <c r="C1148" s="14"/>
      <c r="D1148" s="14"/>
      <c r="E1148" s="14"/>
      <c r="K1148" s="14"/>
      <c r="M1148" s="14"/>
      <c r="N1148" s="14"/>
      <c r="Z1148" s="11"/>
      <c r="AA1148" s="15"/>
      <c r="AB1148" s="15"/>
      <c r="AC1148" s="15"/>
      <c r="AU1148" s="17"/>
    </row>
    <row r="1149" spans="1:47" ht="12" customHeight="1" x14ac:dyDescent="0.25">
      <c r="A1149" s="3"/>
      <c r="B1149" s="14"/>
      <c r="C1149" s="14"/>
      <c r="D1149" s="14"/>
      <c r="E1149" s="14"/>
      <c r="K1149" s="14"/>
      <c r="M1149" s="14"/>
      <c r="N1149" s="14"/>
      <c r="Z1149" s="11"/>
      <c r="AA1149" s="15"/>
      <c r="AB1149" s="15"/>
      <c r="AC1149" s="15"/>
      <c r="AU1149" s="17"/>
    </row>
    <row r="1150" spans="1:47" ht="12" customHeight="1" x14ac:dyDescent="0.25">
      <c r="A1150" s="3"/>
      <c r="B1150" s="14"/>
      <c r="C1150" s="14"/>
      <c r="D1150" s="14"/>
      <c r="E1150" s="14"/>
      <c r="K1150" s="14"/>
      <c r="M1150" s="14"/>
      <c r="N1150" s="14"/>
      <c r="Z1150" s="11"/>
      <c r="AA1150" s="15"/>
      <c r="AB1150" s="15"/>
      <c r="AC1150" s="15"/>
      <c r="AU1150" s="17"/>
    </row>
    <row r="1151" spans="1:47" ht="12" customHeight="1" x14ac:dyDescent="0.25">
      <c r="A1151" s="3"/>
      <c r="B1151" s="14"/>
      <c r="C1151" s="14"/>
      <c r="D1151" s="14"/>
      <c r="E1151" s="14"/>
      <c r="K1151" s="14"/>
      <c r="M1151" s="14"/>
      <c r="N1151" s="14"/>
      <c r="Z1151" s="11"/>
      <c r="AA1151" s="15"/>
      <c r="AB1151" s="15"/>
      <c r="AC1151" s="15"/>
      <c r="AU1151" s="17"/>
    </row>
    <row r="1152" spans="1:47" ht="12" customHeight="1" x14ac:dyDescent="0.25">
      <c r="A1152" s="3"/>
      <c r="B1152" s="14"/>
      <c r="C1152" s="14"/>
      <c r="D1152" s="14"/>
      <c r="E1152" s="14"/>
      <c r="K1152" s="14"/>
      <c r="M1152" s="14"/>
      <c r="N1152" s="14"/>
      <c r="Z1152" s="11"/>
      <c r="AA1152" s="15"/>
      <c r="AB1152" s="15"/>
      <c r="AC1152" s="15"/>
      <c r="AU1152" s="17"/>
    </row>
    <row r="1153" spans="1:47" ht="12" customHeight="1" x14ac:dyDescent="0.25">
      <c r="A1153" s="3"/>
      <c r="B1153" s="14"/>
      <c r="C1153" s="14"/>
      <c r="D1153" s="14"/>
      <c r="E1153" s="14"/>
      <c r="K1153" s="14"/>
      <c r="M1153" s="14"/>
      <c r="N1153" s="14"/>
      <c r="Z1153" s="11"/>
      <c r="AA1153" s="15"/>
      <c r="AB1153" s="15"/>
      <c r="AC1153" s="15"/>
      <c r="AU1153" s="17"/>
    </row>
    <row r="1154" spans="1:47" ht="12" customHeight="1" x14ac:dyDescent="0.25">
      <c r="A1154" s="3"/>
      <c r="B1154" s="14"/>
      <c r="C1154" s="14"/>
      <c r="D1154" s="14"/>
      <c r="E1154" s="14"/>
      <c r="K1154" s="14"/>
      <c r="M1154" s="14"/>
      <c r="N1154" s="14"/>
      <c r="Z1154" s="11"/>
      <c r="AA1154" s="15"/>
      <c r="AB1154" s="15"/>
      <c r="AC1154" s="15"/>
      <c r="AU1154" s="17"/>
    </row>
    <row r="1155" spans="1:47" ht="12" customHeight="1" x14ac:dyDescent="0.25">
      <c r="A1155" s="3"/>
      <c r="B1155" s="14"/>
      <c r="C1155" s="14"/>
      <c r="D1155" s="14"/>
      <c r="E1155" s="14"/>
      <c r="K1155" s="14"/>
      <c r="M1155" s="14"/>
      <c r="N1155" s="14"/>
      <c r="Z1155" s="11"/>
      <c r="AA1155" s="15"/>
      <c r="AB1155" s="15"/>
      <c r="AC1155" s="15"/>
      <c r="AU1155" s="17"/>
    </row>
    <row r="1156" spans="1:47" ht="12" customHeight="1" x14ac:dyDescent="0.25">
      <c r="A1156" s="3"/>
      <c r="B1156" s="14"/>
      <c r="C1156" s="14"/>
      <c r="D1156" s="14"/>
      <c r="E1156" s="14"/>
      <c r="K1156" s="14"/>
      <c r="M1156" s="14"/>
      <c r="N1156" s="14"/>
      <c r="Z1156" s="11"/>
      <c r="AA1156" s="15"/>
      <c r="AB1156" s="15"/>
      <c r="AC1156" s="15"/>
      <c r="AU1156" s="17"/>
    </row>
    <row r="1157" spans="1:47" ht="12" customHeight="1" x14ac:dyDescent="0.25">
      <c r="A1157" s="3"/>
      <c r="B1157" s="14"/>
      <c r="C1157" s="14"/>
      <c r="D1157" s="14"/>
      <c r="E1157" s="14"/>
      <c r="K1157" s="14"/>
      <c r="M1157" s="14"/>
      <c r="N1157" s="14"/>
      <c r="Z1157" s="11"/>
      <c r="AA1157" s="15"/>
      <c r="AB1157" s="15"/>
      <c r="AC1157" s="15"/>
      <c r="AU1157" s="17"/>
    </row>
    <row r="1158" spans="1:47" ht="12" customHeight="1" x14ac:dyDescent="0.25">
      <c r="A1158" s="3"/>
      <c r="B1158" s="14"/>
      <c r="C1158" s="14"/>
      <c r="D1158" s="14"/>
      <c r="E1158" s="14"/>
      <c r="K1158" s="14"/>
      <c r="M1158" s="14"/>
      <c r="N1158" s="14"/>
      <c r="Z1158" s="11"/>
      <c r="AA1158" s="15"/>
      <c r="AB1158" s="15"/>
      <c r="AC1158" s="15"/>
      <c r="AU1158" s="17"/>
    </row>
    <row r="1159" spans="1:47" ht="12" customHeight="1" x14ac:dyDescent="0.25">
      <c r="A1159" s="3"/>
      <c r="B1159" s="14"/>
      <c r="C1159" s="14"/>
      <c r="D1159" s="14"/>
      <c r="E1159" s="14"/>
      <c r="K1159" s="14"/>
      <c r="M1159" s="14"/>
      <c r="N1159" s="14"/>
      <c r="Z1159" s="11"/>
      <c r="AA1159" s="15"/>
      <c r="AB1159" s="15"/>
      <c r="AC1159" s="15"/>
      <c r="AU1159" s="17"/>
    </row>
    <row r="1160" spans="1:47" ht="12" customHeight="1" x14ac:dyDescent="0.25">
      <c r="A1160" s="3"/>
      <c r="B1160" s="14"/>
      <c r="C1160" s="14"/>
      <c r="D1160" s="14"/>
      <c r="E1160" s="14"/>
      <c r="K1160" s="14"/>
      <c r="M1160" s="14"/>
      <c r="N1160" s="14"/>
      <c r="Z1160" s="11"/>
      <c r="AA1160" s="15"/>
      <c r="AB1160" s="15"/>
      <c r="AC1160" s="15"/>
      <c r="AU1160" s="17"/>
    </row>
    <row r="1161" spans="1:47" ht="12" customHeight="1" x14ac:dyDescent="0.25">
      <c r="A1161" s="3"/>
      <c r="B1161" s="14"/>
      <c r="C1161" s="14"/>
      <c r="D1161" s="14"/>
      <c r="E1161" s="14"/>
      <c r="K1161" s="14"/>
      <c r="M1161" s="14"/>
      <c r="N1161" s="14"/>
      <c r="Z1161" s="11"/>
      <c r="AA1161" s="15"/>
      <c r="AB1161" s="15"/>
      <c r="AC1161" s="15"/>
      <c r="AU1161" s="17"/>
    </row>
    <row r="1162" spans="1:47" ht="12" customHeight="1" x14ac:dyDescent="0.25">
      <c r="A1162" s="3"/>
      <c r="B1162" s="14"/>
      <c r="C1162" s="14"/>
      <c r="D1162" s="14"/>
      <c r="E1162" s="14"/>
      <c r="K1162" s="14"/>
      <c r="M1162" s="14"/>
      <c r="N1162" s="14"/>
      <c r="Z1162" s="11"/>
      <c r="AA1162" s="15"/>
      <c r="AB1162" s="15"/>
      <c r="AC1162" s="15"/>
      <c r="AU1162" s="17"/>
    </row>
    <row r="1163" spans="1:47" ht="12" customHeight="1" x14ac:dyDescent="0.25">
      <c r="A1163" s="3"/>
      <c r="B1163" s="14"/>
      <c r="C1163" s="14"/>
      <c r="D1163" s="14"/>
      <c r="E1163" s="14"/>
      <c r="K1163" s="14"/>
      <c r="M1163" s="14"/>
      <c r="N1163" s="14"/>
      <c r="Z1163" s="11"/>
      <c r="AA1163" s="15"/>
      <c r="AB1163" s="15"/>
      <c r="AC1163" s="15"/>
      <c r="AU1163" s="17"/>
    </row>
    <row r="1164" spans="1:47" ht="12" customHeight="1" x14ac:dyDescent="0.25">
      <c r="A1164" s="3"/>
      <c r="B1164" s="14"/>
      <c r="C1164" s="14"/>
      <c r="D1164" s="14"/>
      <c r="E1164" s="14"/>
      <c r="K1164" s="14"/>
      <c r="M1164" s="14"/>
      <c r="N1164" s="14"/>
      <c r="Z1164" s="11"/>
      <c r="AA1164" s="15"/>
      <c r="AB1164" s="15"/>
      <c r="AC1164" s="15"/>
      <c r="AU1164" s="17"/>
    </row>
    <row r="1165" spans="1:47" ht="12" customHeight="1" x14ac:dyDescent="0.25">
      <c r="A1165" s="3"/>
      <c r="B1165" s="14"/>
      <c r="C1165" s="14"/>
      <c r="D1165" s="14"/>
      <c r="E1165" s="14"/>
      <c r="K1165" s="14"/>
      <c r="M1165" s="14"/>
      <c r="N1165" s="14"/>
      <c r="Z1165" s="11"/>
      <c r="AA1165" s="15"/>
      <c r="AB1165" s="15"/>
      <c r="AC1165" s="15"/>
      <c r="AU1165" s="17"/>
    </row>
    <row r="1166" spans="1:47" ht="12" customHeight="1" x14ac:dyDescent="0.25">
      <c r="A1166" s="3"/>
      <c r="B1166" s="14"/>
      <c r="C1166" s="14"/>
      <c r="D1166" s="14"/>
      <c r="E1166" s="14"/>
      <c r="K1166" s="14"/>
      <c r="M1166" s="14"/>
      <c r="N1166" s="14"/>
      <c r="Z1166" s="11"/>
      <c r="AA1166" s="15"/>
      <c r="AB1166" s="15"/>
      <c r="AC1166" s="15"/>
      <c r="AU1166" s="17"/>
    </row>
    <row r="1167" spans="1:47" ht="12" customHeight="1" x14ac:dyDescent="0.25">
      <c r="A1167" s="3"/>
      <c r="B1167" s="14"/>
      <c r="C1167" s="14"/>
      <c r="D1167" s="14"/>
      <c r="E1167" s="14"/>
      <c r="K1167" s="14"/>
      <c r="M1167" s="14"/>
      <c r="N1167" s="14"/>
      <c r="Z1167" s="11"/>
      <c r="AA1167" s="15"/>
      <c r="AB1167" s="15"/>
      <c r="AC1167" s="15"/>
      <c r="AU1167" s="17"/>
    </row>
    <row r="1168" spans="1:47" ht="12" customHeight="1" x14ac:dyDescent="0.25">
      <c r="A1168" s="3"/>
      <c r="B1168" s="14"/>
      <c r="C1168" s="14"/>
      <c r="D1168" s="14"/>
      <c r="E1168" s="14"/>
      <c r="K1168" s="14"/>
      <c r="M1168" s="14"/>
      <c r="N1168" s="14"/>
      <c r="Z1168" s="11"/>
      <c r="AA1168" s="15"/>
      <c r="AB1168" s="15"/>
      <c r="AC1168" s="15"/>
      <c r="AU1168" s="17"/>
    </row>
    <row r="1169" spans="1:47" ht="12" customHeight="1" x14ac:dyDescent="0.25">
      <c r="A1169" s="3"/>
      <c r="B1169" s="14"/>
      <c r="C1169" s="14"/>
      <c r="D1169" s="14"/>
      <c r="E1169" s="14"/>
      <c r="K1169" s="14"/>
      <c r="M1169" s="14"/>
      <c r="N1169" s="14"/>
      <c r="Z1169" s="11"/>
      <c r="AA1169" s="15"/>
      <c r="AB1169" s="15"/>
      <c r="AC1169" s="15"/>
      <c r="AU1169" s="17"/>
    </row>
    <row r="1170" spans="1:47" ht="12" customHeight="1" x14ac:dyDescent="0.25">
      <c r="A1170" s="3"/>
      <c r="B1170" s="14"/>
      <c r="C1170" s="14"/>
      <c r="D1170" s="14"/>
      <c r="E1170" s="14"/>
      <c r="K1170" s="14"/>
      <c r="M1170" s="14"/>
      <c r="N1170" s="14"/>
      <c r="Z1170" s="11"/>
      <c r="AA1170" s="15"/>
      <c r="AB1170" s="15"/>
      <c r="AC1170" s="15"/>
      <c r="AU1170" s="17"/>
    </row>
    <row r="1171" spans="1:47" ht="12" customHeight="1" x14ac:dyDescent="0.25">
      <c r="A1171" s="3"/>
      <c r="B1171" s="14"/>
      <c r="C1171" s="14"/>
      <c r="D1171" s="14"/>
      <c r="E1171" s="14"/>
      <c r="K1171" s="14"/>
      <c r="M1171" s="14"/>
      <c r="N1171" s="14"/>
      <c r="Z1171" s="11"/>
      <c r="AA1171" s="15"/>
      <c r="AB1171" s="15"/>
      <c r="AC1171" s="15"/>
      <c r="AU1171" s="17"/>
    </row>
    <row r="1172" spans="1:47" ht="12" customHeight="1" x14ac:dyDescent="0.25">
      <c r="A1172" s="3"/>
      <c r="B1172" s="14"/>
      <c r="C1172" s="14"/>
      <c r="D1172" s="14"/>
      <c r="E1172" s="14"/>
      <c r="K1172" s="14"/>
      <c r="M1172" s="14"/>
      <c r="N1172" s="14"/>
      <c r="Z1172" s="11"/>
      <c r="AA1172" s="15"/>
      <c r="AB1172" s="15"/>
      <c r="AC1172" s="15"/>
      <c r="AU1172" s="17"/>
    </row>
    <row r="1173" spans="1:47" ht="12" customHeight="1" x14ac:dyDescent="0.25">
      <c r="A1173" s="3"/>
      <c r="B1173" s="14"/>
      <c r="C1173" s="14"/>
      <c r="D1173" s="14"/>
      <c r="E1173" s="14"/>
      <c r="K1173" s="14"/>
      <c r="M1173" s="14"/>
      <c r="N1173" s="14"/>
      <c r="Z1173" s="11"/>
      <c r="AA1173" s="15"/>
      <c r="AB1173" s="15"/>
      <c r="AC1173" s="15"/>
      <c r="AU1173" s="17"/>
    </row>
    <row r="1174" spans="1:47" ht="12" customHeight="1" x14ac:dyDescent="0.25">
      <c r="A1174" s="3"/>
      <c r="B1174" s="14"/>
      <c r="C1174" s="14"/>
      <c r="D1174" s="14"/>
      <c r="E1174" s="14"/>
      <c r="K1174" s="14"/>
      <c r="M1174" s="14"/>
      <c r="N1174" s="14"/>
      <c r="Z1174" s="11"/>
      <c r="AA1174" s="15"/>
      <c r="AB1174" s="15"/>
      <c r="AC1174" s="15"/>
      <c r="AU1174" s="17"/>
    </row>
    <row r="1175" spans="1:47" ht="12" customHeight="1" x14ac:dyDescent="0.25">
      <c r="A1175" s="3"/>
      <c r="B1175" s="14"/>
      <c r="C1175" s="14"/>
      <c r="D1175" s="14"/>
      <c r="E1175" s="14"/>
      <c r="K1175" s="14"/>
      <c r="M1175" s="14"/>
      <c r="N1175" s="14"/>
      <c r="Z1175" s="11"/>
      <c r="AA1175" s="15"/>
      <c r="AB1175" s="15"/>
      <c r="AC1175" s="15"/>
      <c r="AU1175" s="17"/>
    </row>
    <row r="1176" spans="1:47" ht="12" customHeight="1" x14ac:dyDescent="0.25">
      <c r="A1176" s="3"/>
      <c r="B1176" s="14"/>
      <c r="C1176" s="14"/>
      <c r="D1176" s="14"/>
      <c r="E1176" s="14"/>
      <c r="K1176" s="14"/>
      <c r="M1176" s="14"/>
      <c r="N1176" s="14"/>
      <c r="Z1176" s="11"/>
      <c r="AA1176" s="15"/>
      <c r="AB1176" s="15"/>
      <c r="AC1176" s="15"/>
      <c r="AU1176" s="17"/>
    </row>
    <row r="1177" spans="1:47" ht="12" customHeight="1" x14ac:dyDescent="0.25">
      <c r="A1177" s="3"/>
      <c r="B1177" s="14"/>
      <c r="C1177" s="14"/>
      <c r="D1177" s="14"/>
      <c r="E1177" s="14"/>
      <c r="K1177" s="14"/>
      <c r="M1177" s="14"/>
      <c r="N1177" s="14"/>
      <c r="Z1177" s="11"/>
      <c r="AA1177" s="15"/>
      <c r="AB1177" s="15"/>
      <c r="AC1177" s="15"/>
      <c r="AU1177" s="17"/>
    </row>
    <row r="1178" spans="1:47" ht="12" customHeight="1" x14ac:dyDescent="0.25">
      <c r="A1178" s="3"/>
      <c r="B1178" s="14"/>
      <c r="C1178" s="14"/>
      <c r="D1178" s="14"/>
      <c r="E1178" s="14"/>
      <c r="K1178" s="14"/>
      <c r="M1178" s="14"/>
      <c r="N1178" s="14"/>
      <c r="Z1178" s="11"/>
      <c r="AA1178" s="15"/>
      <c r="AB1178" s="15"/>
      <c r="AC1178" s="15"/>
      <c r="AU1178" s="17"/>
    </row>
    <row r="1179" spans="1:47" ht="12" customHeight="1" x14ac:dyDescent="0.25">
      <c r="A1179" s="3"/>
      <c r="B1179" s="14"/>
      <c r="C1179" s="14"/>
      <c r="D1179" s="14"/>
      <c r="E1179" s="14"/>
      <c r="K1179" s="14"/>
      <c r="M1179" s="14"/>
      <c r="N1179" s="14"/>
      <c r="Z1179" s="11"/>
      <c r="AA1179" s="15"/>
      <c r="AB1179" s="15"/>
      <c r="AC1179" s="15"/>
      <c r="AU1179" s="17"/>
    </row>
    <row r="1180" spans="1:47" ht="12" customHeight="1" x14ac:dyDescent="0.25">
      <c r="A1180" s="3"/>
      <c r="B1180" s="14"/>
      <c r="C1180" s="14"/>
      <c r="D1180" s="14"/>
      <c r="E1180" s="14"/>
      <c r="K1180" s="14"/>
      <c r="M1180" s="14"/>
      <c r="N1180" s="14"/>
      <c r="Z1180" s="11"/>
      <c r="AA1180" s="15"/>
      <c r="AB1180" s="15"/>
      <c r="AC1180" s="15"/>
      <c r="AU1180" s="17"/>
    </row>
    <row r="1181" spans="1:47" ht="12" customHeight="1" x14ac:dyDescent="0.25">
      <c r="A1181" s="3"/>
      <c r="B1181" s="14"/>
      <c r="C1181" s="14"/>
      <c r="D1181" s="14"/>
      <c r="E1181" s="14"/>
      <c r="K1181" s="14"/>
      <c r="M1181" s="14"/>
      <c r="N1181" s="14"/>
      <c r="Z1181" s="11"/>
      <c r="AA1181" s="15"/>
      <c r="AB1181" s="15"/>
      <c r="AC1181" s="15"/>
      <c r="AU1181" s="17"/>
    </row>
    <row r="1182" spans="1:47" ht="12" customHeight="1" x14ac:dyDescent="0.25">
      <c r="A1182" s="3"/>
      <c r="B1182" s="14"/>
      <c r="C1182" s="14"/>
      <c r="D1182" s="14"/>
      <c r="E1182" s="14"/>
      <c r="K1182" s="14"/>
      <c r="M1182" s="14"/>
      <c r="N1182" s="14"/>
      <c r="Z1182" s="11"/>
      <c r="AA1182" s="15"/>
      <c r="AB1182" s="15"/>
      <c r="AC1182" s="15"/>
      <c r="AU1182" s="17"/>
    </row>
    <row r="1183" spans="1:47" ht="12" customHeight="1" x14ac:dyDescent="0.25">
      <c r="A1183" s="3"/>
      <c r="B1183" s="14"/>
      <c r="C1183" s="14"/>
      <c r="D1183" s="14"/>
      <c r="E1183" s="14"/>
      <c r="K1183" s="14"/>
      <c r="M1183" s="14"/>
      <c r="N1183" s="14"/>
      <c r="Z1183" s="11"/>
      <c r="AA1183" s="15"/>
      <c r="AB1183" s="15"/>
      <c r="AC1183" s="15"/>
      <c r="AU1183" s="17"/>
    </row>
    <row r="1184" spans="1:47" ht="12" customHeight="1" x14ac:dyDescent="0.25">
      <c r="A1184" s="3"/>
      <c r="B1184" s="14"/>
      <c r="C1184" s="14"/>
      <c r="D1184" s="14"/>
      <c r="E1184" s="14"/>
      <c r="K1184" s="14"/>
      <c r="M1184" s="14"/>
      <c r="N1184" s="14"/>
      <c r="Z1184" s="11"/>
      <c r="AA1184" s="15"/>
      <c r="AB1184" s="15"/>
      <c r="AC1184" s="15"/>
      <c r="AU1184" s="17"/>
    </row>
    <row r="1185" spans="1:29" ht="12" customHeight="1" x14ac:dyDescent="0.25">
      <c r="A1185" s="3"/>
      <c r="B1185" s="14"/>
      <c r="C1185" s="14"/>
      <c r="D1185" s="14"/>
      <c r="E1185" s="14"/>
      <c r="K1185" s="14"/>
      <c r="M1185" s="14"/>
      <c r="N1185" s="14"/>
      <c r="Z1185" s="11"/>
      <c r="AA1185" s="15"/>
      <c r="AB1185" s="15"/>
      <c r="AC1185" s="15"/>
    </row>
    <row r="1186" spans="1:29" ht="12" customHeight="1" x14ac:dyDescent="0.25">
      <c r="A1186" s="3"/>
      <c r="B1186" s="14"/>
      <c r="C1186" s="14"/>
      <c r="D1186" s="14"/>
      <c r="E1186" s="14"/>
      <c r="K1186" s="14"/>
      <c r="M1186" s="14"/>
      <c r="N1186" s="14"/>
      <c r="Z1186" s="11"/>
      <c r="AA1186" s="15"/>
      <c r="AB1186" s="15"/>
      <c r="AC1186" s="15"/>
    </row>
    <row r="1187" spans="1:29" ht="12" customHeight="1" x14ac:dyDescent="0.25">
      <c r="A1187" s="3"/>
      <c r="B1187" s="14"/>
      <c r="C1187" s="14"/>
      <c r="D1187" s="14"/>
      <c r="E1187" s="14"/>
      <c r="K1187" s="14"/>
      <c r="M1187" s="14"/>
      <c r="N1187" s="14"/>
      <c r="Z1187" s="11"/>
      <c r="AA1187" s="15"/>
      <c r="AB1187" s="15"/>
      <c r="AC1187" s="15"/>
    </row>
    <row r="1188" spans="1:29" ht="12" customHeight="1" x14ac:dyDescent="0.25">
      <c r="A1188" s="3"/>
      <c r="B1188" s="14"/>
      <c r="C1188" s="14"/>
      <c r="D1188" s="14"/>
      <c r="E1188" s="14"/>
      <c r="K1188" s="14"/>
      <c r="M1188" s="14"/>
      <c r="N1188" s="14"/>
      <c r="Z1188" s="11"/>
      <c r="AA1188" s="15"/>
      <c r="AB1188" s="15"/>
      <c r="AC1188" s="15"/>
    </row>
    <row r="1189" spans="1:29" ht="12" customHeight="1" x14ac:dyDescent="0.25">
      <c r="A1189" s="3"/>
      <c r="B1189" s="14"/>
      <c r="C1189" s="14"/>
      <c r="D1189" s="14"/>
      <c r="E1189" s="14"/>
      <c r="K1189" s="14"/>
      <c r="M1189" s="14"/>
      <c r="N1189" s="14"/>
      <c r="Z1189" s="11"/>
      <c r="AA1189" s="15"/>
      <c r="AB1189" s="15"/>
      <c r="AC1189" s="15"/>
    </row>
    <row r="1190" spans="1:29" ht="12" customHeight="1" x14ac:dyDescent="0.25">
      <c r="A1190" s="3"/>
      <c r="B1190" s="14"/>
      <c r="C1190" s="14"/>
      <c r="D1190" s="14"/>
      <c r="E1190" s="14"/>
      <c r="K1190" s="14"/>
      <c r="M1190" s="14"/>
      <c r="N1190" s="14"/>
      <c r="Z1190" s="11"/>
      <c r="AA1190" s="15"/>
      <c r="AB1190" s="15"/>
      <c r="AC1190" s="15"/>
    </row>
    <row r="1191" spans="1:29" ht="12" customHeight="1" x14ac:dyDescent="0.25">
      <c r="A1191" s="3"/>
      <c r="B1191" s="14"/>
      <c r="C1191" s="14"/>
      <c r="D1191" s="14"/>
      <c r="E1191" s="14"/>
      <c r="K1191" s="14"/>
      <c r="M1191" s="14"/>
      <c r="N1191" s="14"/>
      <c r="Z1191" s="11"/>
      <c r="AA1191" s="15"/>
      <c r="AB1191" s="15"/>
      <c r="AC1191" s="15"/>
    </row>
    <row r="1192" spans="1:29" ht="12" customHeight="1" x14ac:dyDescent="0.25">
      <c r="A1192" s="3"/>
      <c r="B1192" s="14"/>
      <c r="C1192" s="14"/>
      <c r="D1192" s="14"/>
      <c r="E1192" s="14"/>
      <c r="K1192" s="14"/>
      <c r="M1192" s="14"/>
      <c r="N1192" s="14"/>
      <c r="Z1192" s="11"/>
      <c r="AA1192" s="15"/>
      <c r="AB1192" s="15"/>
      <c r="AC1192" s="15"/>
    </row>
    <row r="1193" spans="1:29" ht="12" customHeight="1" x14ac:dyDescent="0.25">
      <c r="A1193" s="3"/>
      <c r="B1193" s="14"/>
      <c r="C1193" s="14"/>
      <c r="D1193" s="14"/>
      <c r="E1193" s="14"/>
      <c r="K1193" s="14"/>
      <c r="M1193" s="14"/>
      <c r="N1193" s="14"/>
      <c r="Z1193" s="11"/>
      <c r="AA1193" s="15"/>
      <c r="AB1193" s="15"/>
      <c r="AC1193" s="15"/>
    </row>
    <row r="1194" spans="1:29" ht="12" customHeight="1" x14ac:dyDescent="0.25">
      <c r="A1194" s="3"/>
      <c r="B1194" s="14"/>
      <c r="C1194" s="14"/>
      <c r="D1194" s="14"/>
      <c r="E1194" s="14"/>
      <c r="K1194" s="14"/>
      <c r="M1194" s="14"/>
      <c r="N1194" s="14"/>
      <c r="Z1194" s="11"/>
      <c r="AA1194" s="15"/>
      <c r="AB1194" s="15"/>
      <c r="AC1194" s="15"/>
    </row>
    <row r="1195" spans="1:29" ht="12" customHeight="1" x14ac:dyDescent="0.25">
      <c r="A1195" s="3"/>
      <c r="B1195" s="14"/>
      <c r="C1195" s="14"/>
      <c r="D1195" s="14"/>
    </row>
    <row r="1196" spans="1:29" ht="12" customHeight="1" x14ac:dyDescent="0.25">
      <c r="A1196" s="3"/>
      <c r="B1196" s="14"/>
      <c r="C1196" s="14"/>
      <c r="D1196" s="14"/>
    </row>
    <row r="1197" spans="1:29" ht="12" customHeight="1" x14ac:dyDescent="0.25">
      <c r="A1197" s="3"/>
    </row>
    <row r="1198" spans="1:29" ht="12" customHeight="1" x14ac:dyDescent="0.25">
      <c r="A1198" s="3"/>
    </row>
    <row r="1199" spans="1:29" ht="12" customHeight="1" x14ac:dyDescent="0.25">
      <c r="A1199" s="3"/>
    </row>
    <row r="1200" spans="1:29" ht="12" customHeight="1" x14ac:dyDescent="0.25">
      <c r="A1200" s="3"/>
    </row>
  </sheetData>
  <conditionalFormatting sqref="B5:C5">
    <cfRule type="dataBar" priority="8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{34B8A4D1-8D1A-4D8E-A9A8-B98635D35669}</x14:id>
        </ext>
      </extLst>
    </cfRule>
  </conditionalFormatting>
  <conditionalFormatting sqref="L7:L42">
    <cfRule type="cellIs" dxfId="9" priority="28" operator="equal">
      <formula>0</formula>
    </cfRule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{AEA0F284-0098-4C78-9161-8838478BCBCA}</x14:id>
        </ext>
      </extLst>
    </cfRule>
  </conditionalFormatting>
  <conditionalFormatting sqref="P7:P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74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42">
    <cfRule type="dataBar" priority="5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{30F05C60-03A7-43FD-BE45-A46C8763FB31}</x14:id>
        </ext>
      </extLst>
    </cfRule>
  </conditionalFormatting>
  <conditionalFormatting sqref="Y8:Y4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{BBC2F240-A77A-478B-9CC9-95D492F11F80}</x14:id>
        </ext>
      </extLst>
    </cfRule>
  </conditionalFormatting>
  <conditionalFormatting sqref="Z8:Z42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{CD38A50F-1BDF-42E1-A20B-881CE735C95E}</x14:id>
        </ext>
      </extLst>
    </cfRule>
  </conditionalFormatting>
  <conditionalFormatting sqref="AA7:AA42">
    <cfRule type="cellIs" dxfId="8" priority="26" operator="equal">
      <formula>0</formula>
    </cfRule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B7:AC42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6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5:AF42">
    <cfRule type="cellIs" dxfId="7" priority="14" operator="equal">
      <formula>0</formula>
    </cfRule>
  </conditionalFormatting>
  <conditionalFormatting sqref="AE7:AF42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7:AH42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7:AH42 AC7:AC42">
    <cfRule type="colorScale" priority="11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AJ7:AS15 AJ19:AS27">
    <cfRule type="notContainsBlanks" dxfId="6" priority="32">
      <formula>LEN(TRIM(AJ7))&gt;0</formula>
    </cfRule>
  </conditionalFormatting>
  <conditionalFormatting sqref="AJ29:AS37">
    <cfRule type="notContainsBlanks" dxfId="5" priority="31">
      <formula>LEN(TRIM(AJ29))&gt;0</formula>
    </cfRule>
  </conditionalFormatting>
  <conditionalFormatting sqref="BF36:BK42"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H7:BH35 BJ7:BK35 BH8:BK3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I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4B8A4D1-8D1A-4D8E-A9A8-B98635D35669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B5:C5</xm:sqref>
        </x14:conditionalFormatting>
        <x14:conditionalFormatting xmlns:xm="http://schemas.microsoft.com/office/excel/2006/main">
          <x14:cfRule type="dataBar" id="{AEA0F284-0098-4C78-9161-8838478BCBCA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30F05C60-03A7-43FD-BE45-A46C8763FB31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Y7:Y42</xm:sqref>
        </x14:conditionalFormatting>
        <x14:conditionalFormatting xmlns:xm="http://schemas.microsoft.com/office/excel/2006/main">
          <x14:cfRule type="dataBar" id="{BBC2F240-A77A-478B-9CC9-95D492F11F8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Y8:Y42</xm:sqref>
        </x14:conditionalFormatting>
        <x14:conditionalFormatting xmlns:xm="http://schemas.microsoft.com/office/excel/2006/main">
          <x14:cfRule type="dataBar" id="{CD38A50F-1BDF-42E1-A20B-881CE735C95E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Z8:Z42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E9794-8474-4C76-BDE9-1AEFE64185F5}">
  <sheetPr>
    <tabColor rgb="FFFFFF00"/>
  </sheetPr>
  <dimension ref="A1:CR1200"/>
  <sheetViews>
    <sheetView tabSelected="1" workbookViewId="0">
      <selection activeCell="V25" sqref="V25"/>
    </sheetView>
  </sheetViews>
  <sheetFormatPr defaultRowHeight="12" customHeight="1" x14ac:dyDescent="0.25"/>
  <cols>
    <col min="1" max="1" width="2.5703125" customWidth="1"/>
    <col min="2" max="2" width="2.42578125" style="37" bestFit="1" customWidth="1"/>
    <col min="3" max="5" width="1.85546875" style="37" customWidth="1"/>
    <col min="6" max="8" width="2" style="33" customWidth="1"/>
    <col min="9" max="9" width="1.7109375" style="34" customWidth="1"/>
    <col min="10" max="10" width="5.5703125" style="34" customWidth="1"/>
    <col min="11" max="11" width="1.85546875" style="37" bestFit="1" customWidth="1"/>
    <col min="12" max="12" width="8.42578125" style="32" customWidth="1"/>
    <col min="13" max="13" width="1.85546875" style="37" bestFit="1" customWidth="1"/>
    <col min="14" max="14" width="3.28515625" style="37" customWidth="1"/>
    <col min="15" max="15" width="3.7109375" style="2" customWidth="1"/>
    <col min="16" max="16" width="3.7109375" customWidth="1"/>
    <col min="17" max="17" width="3.7109375" style="2" customWidth="1"/>
    <col min="18" max="20" width="3.7109375" customWidth="1"/>
    <col min="21" max="24" width="3.7109375" style="2" customWidth="1"/>
    <col min="25" max="25" width="5.7109375" style="2" bestFit="1" customWidth="1"/>
    <col min="26" max="26" width="6.140625" style="32" customWidth="1"/>
    <col min="27" max="27" width="1.85546875" style="35" customWidth="1"/>
    <col min="28" max="37" width="0.140625" customWidth="1"/>
    <col min="38" max="38" width="0.140625" style="35" customWidth="1"/>
    <col min="39" max="44" width="0.140625" style="36" customWidth="1"/>
    <col min="45" max="47" width="1.85546875" style="36" hidden="1" customWidth="1"/>
    <col min="48" max="48" width="2.7109375" style="36" hidden="1" customWidth="1"/>
    <col min="49" max="49" width="0.140625" style="35" customWidth="1"/>
    <col min="50" max="52" width="0.140625" style="1" customWidth="1"/>
    <col min="53" max="53" width="1.85546875" style="35" bestFit="1" customWidth="1"/>
    <col min="54" max="55" width="1.85546875" style="35" customWidth="1"/>
    <col min="56" max="57" width="4.140625" style="35" customWidth="1"/>
    <col min="58" max="58" width="1.85546875" style="35" bestFit="1" customWidth="1"/>
    <col min="59" max="67" width="4.28515625" style="35" customWidth="1"/>
  </cols>
  <sheetData>
    <row r="1" spans="1:96" ht="12" customHeight="1" x14ac:dyDescent="0.25">
      <c r="A1" s="8"/>
      <c r="B1" s="8"/>
      <c r="C1" s="8"/>
      <c r="D1" s="8"/>
      <c r="E1" s="8"/>
      <c r="F1" s="9"/>
      <c r="G1" s="9"/>
      <c r="H1" s="9"/>
      <c r="I1" s="10"/>
      <c r="J1" s="10"/>
      <c r="K1" s="8">
        <f>COLUMN()</f>
        <v>11</v>
      </c>
      <c r="L1" s="11"/>
      <c r="M1" s="8">
        <f>COLUMN()</f>
        <v>13</v>
      </c>
      <c r="N1" s="8"/>
      <c r="O1" s="4"/>
      <c r="P1" s="3"/>
      <c r="Q1" s="4"/>
      <c r="R1" s="3"/>
      <c r="S1" s="3"/>
      <c r="T1" s="3"/>
      <c r="U1" s="4"/>
      <c r="V1" s="4"/>
      <c r="W1" s="4"/>
      <c r="X1" s="4"/>
      <c r="Y1" s="4"/>
      <c r="Z1" s="12"/>
      <c r="AA1" s="8"/>
      <c r="AB1" s="4"/>
      <c r="AC1" s="4"/>
      <c r="AD1" s="4"/>
      <c r="AE1" s="4"/>
      <c r="AF1" s="4"/>
      <c r="AG1" s="4"/>
      <c r="AH1" s="4"/>
      <c r="AI1" s="4"/>
      <c r="AJ1" s="4"/>
      <c r="AK1" s="4"/>
      <c r="AL1" s="8">
        <f>COLUMN()</f>
        <v>38</v>
      </c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8">
        <f>COLUMN()</f>
        <v>49</v>
      </c>
      <c r="AX1" s="4"/>
      <c r="AY1" s="4"/>
      <c r="AZ1" s="4"/>
      <c r="BA1" s="8">
        <f>COLUMN()</f>
        <v>53</v>
      </c>
      <c r="BB1" s="8"/>
      <c r="BC1" s="8"/>
      <c r="BD1" s="8"/>
      <c r="BE1" s="8"/>
      <c r="BF1" s="8">
        <f>COLUMN()</f>
        <v>58</v>
      </c>
      <c r="BG1" s="8"/>
      <c r="BH1" s="8"/>
      <c r="BI1" s="8"/>
      <c r="BJ1" s="8"/>
      <c r="BK1" s="8"/>
      <c r="BL1" s="8"/>
      <c r="BM1" s="8"/>
      <c r="BN1" s="8"/>
      <c r="BO1" s="8"/>
      <c r="BP1" s="3"/>
      <c r="BQ1" s="3"/>
      <c r="BR1" s="3"/>
      <c r="BS1" s="3"/>
      <c r="BT1" s="3"/>
      <c r="BU1" s="3"/>
      <c r="BV1" s="3"/>
      <c r="BW1" s="3"/>
      <c r="BX1" s="3"/>
      <c r="BY1" s="3"/>
      <c r="BZ1" s="3"/>
      <c r="CA1" s="3"/>
      <c r="CB1" s="3"/>
      <c r="CC1" s="3"/>
      <c r="CD1" s="3"/>
      <c r="CE1" s="3"/>
      <c r="CF1" s="3"/>
      <c r="CG1" s="3"/>
      <c r="CH1" s="3"/>
      <c r="CI1" s="3"/>
      <c r="CJ1" s="3"/>
      <c r="CK1" s="3"/>
      <c r="CL1" s="3"/>
      <c r="CM1" s="3"/>
      <c r="CN1" s="3"/>
      <c r="CO1" s="3"/>
      <c r="CP1" s="3"/>
      <c r="CQ1" s="3"/>
      <c r="CR1" s="3"/>
    </row>
    <row r="2" spans="1:96" ht="12" customHeight="1" x14ac:dyDescent="0.25">
      <c r="A2" s="3"/>
      <c r="B2" s="7" t="s">
        <v>35</v>
      </c>
      <c r="C2" s="7"/>
      <c r="D2" s="7"/>
      <c r="E2" s="7"/>
      <c r="F2" s="7"/>
      <c r="G2" s="7"/>
      <c r="H2" s="7"/>
      <c r="I2" s="7"/>
      <c r="J2" s="44" t="s">
        <v>67</v>
      </c>
      <c r="K2" s="14"/>
      <c r="L2" s="11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4"/>
      <c r="Z2" s="11"/>
      <c r="AA2" s="16"/>
      <c r="AB2" s="3"/>
      <c r="AC2" s="3"/>
      <c r="AD2" s="3"/>
      <c r="AE2" s="3"/>
      <c r="AF2" s="3"/>
      <c r="AG2" s="3"/>
      <c r="AH2" s="3"/>
      <c r="AI2" s="3"/>
      <c r="AJ2" s="3"/>
      <c r="AK2" s="3"/>
      <c r="AL2" s="16"/>
      <c r="AM2" s="17"/>
      <c r="AN2" s="17"/>
      <c r="AO2" s="17"/>
      <c r="AP2" s="17"/>
      <c r="AQ2" s="17"/>
      <c r="AR2" s="17"/>
      <c r="AS2" s="17"/>
      <c r="AT2" s="17"/>
      <c r="AU2" s="17"/>
      <c r="AV2" s="17"/>
      <c r="AW2" s="16"/>
      <c r="AX2" s="15"/>
      <c r="AY2" s="15"/>
      <c r="AZ2" s="15"/>
      <c r="BA2" s="16"/>
      <c r="BB2" s="16"/>
      <c r="BC2" s="16"/>
      <c r="BD2" s="15"/>
      <c r="BE2" s="15"/>
      <c r="BF2" s="16"/>
      <c r="BG2" s="16"/>
      <c r="BH2" s="16"/>
      <c r="BI2" s="16"/>
      <c r="BJ2" s="16"/>
      <c r="BK2" s="16"/>
      <c r="BL2" s="16"/>
      <c r="BM2" s="16"/>
      <c r="BN2" s="16"/>
      <c r="BO2" s="16"/>
      <c r="BP2" s="3"/>
      <c r="BQ2" s="3"/>
      <c r="BR2" s="3"/>
      <c r="BS2" s="3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  <c r="CO2" s="3"/>
      <c r="CP2" s="3"/>
      <c r="CQ2" s="3"/>
      <c r="CR2" s="3"/>
    </row>
    <row r="3" spans="1:96" ht="12" customHeight="1" x14ac:dyDescent="0.25">
      <c r="A3" s="3"/>
      <c r="B3" s="14"/>
      <c r="C3" s="14"/>
      <c r="D3" s="14"/>
      <c r="E3" s="10"/>
      <c r="F3" s="10"/>
      <c r="G3" s="10"/>
      <c r="H3" s="10"/>
      <c r="I3" s="10"/>
      <c r="J3" s="10"/>
      <c r="K3" s="14">
        <f>MAX(L3:V3)</f>
        <v>7</v>
      </c>
      <c r="L3" s="11"/>
      <c r="M3" s="14">
        <f>MAX(O3:X3)</f>
        <v>7</v>
      </c>
      <c r="N3" s="14"/>
      <c r="O3" s="45">
        <f t="shared" ref="O3:V3" si="0">IF(ISNUMBER(O5),O4,"")</f>
        <v>1</v>
      </c>
      <c r="P3" s="45">
        <f t="shared" si="0"/>
        <v>2</v>
      </c>
      <c r="Q3" s="45">
        <f t="shared" si="0"/>
        <v>3</v>
      </c>
      <c r="R3" s="45">
        <f t="shared" si="0"/>
        <v>4</v>
      </c>
      <c r="S3" s="45">
        <f t="shared" si="0"/>
        <v>5</v>
      </c>
      <c r="T3" s="45">
        <f t="shared" si="0"/>
        <v>6</v>
      </c>
      <c r="U3" s="45">
        <f t="shared" si="0"/>
        <v>7</v>
      </c>
      <c r="V3" s="45" t="str">
        <f t="shared" si="0"/>
        <v/>
      </c>
      <c r="W3" s="45" t="str">
        <f>IF(ISNUMBER(W5),W4,"")</f>
        <v/>
      </c>
      <c r="X3" s="45" t="str">
        <f>IF(ISNUMBER(X5),X4,"")</f>
        <v/>
      </c>
      <c r="Y3" s="47">
        <v>5</v>
      </c>
      <c r="Z3" s="11"/>
      <c r="AA3" s="8"/>
      <c r="AB3" s="4"/>
      <c r="AC3" s="4"/>
      <c r="AD3" s="4"/>
      <c r="AE3" s="4"/>
      <c r="AF3" s="4"/>
      <c r="AG3" s="4"/>
      <c r="AH3" s="4"/>
      <c r="AI3" s="4"/>
      <c r="AJ3" s="4"/>
      <c r="AK3" s="4"/>
      <c r="AL3" s="8"/>
      <c r="AM3" s="11"/>
      <c r="AN3" s="18"/>
      <c r="AO3" s="18"/>
      <c r="AP3" s="18"/>
      <c r="AQ3" s="18"/>
      <c r="AR3" s="18"/>
      <c r="AS3" s="18"/>
      <c r="AT3" s="18"/>
      <c r="AU3" s="18"/>
      <c r="AV3" s="18"/>
      <c r="AW3" s="16"/>
      <c r="AX3" s="15"/>
      <c r="AY3" s="49" t="str">
        <f>IF(AY4=$CO$2,AY4,"")</f>
        <v/>
      </c>
      <c r="AZ3" s="49" t="str">
        <f>IF(AZ4=$Y3,AZ4,"")</f>
        <v/>
      </c>
      <c r="BA3" s="8"/>
      <c r="BB3" s="8"/>
      <c r="BC3" s="8"/>
      <c r="BD3" s="49"/>
      <c r="BE3" s="49" t="str">
        <f>IF(BE4=$Y3,BE4,"")</f>
        <v/>
      </c>
      <c r="BF3" s="8"/>
      <c r="BG3" s="60" t="str">
        <f>IF(BG4=$Y3,BG4,"")</f>
        <v/>
      </c>
      <c r="BH3" s="61"/>
      <c r="BI3" s="60" t="str">
        <f t="shared" ref="BI3:BK3" si="1">IF(BI4=$Y3,BI4,"")</f>
        <v/>
      </c>
      <c r="BJ3" s="60">
        <f t="shared" si="1"/>
        <v>5</v>
      </c>
      <c r="BK3" s="60" t="str">
        <f t="shared" si="1"/>
        <v/>
      </c>
      <c r="BL3" s="16"/>
      <c r="BM3" s="16"/>
      <c r="BN3" s="16"/>
      <c r="BO3" s="16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</row>
    <row r="4" spans="1:96" ht="12" customHeight="1" x14ac:dyDescent="0.25">
      <c r="A4" s="3"/>
      <c r="B4" s="14"/>
      <c r="C4" s="14"/>
      <c r="D4" s="14"/>
      <c r="E4" s="14"/>
      <c r="F4" s="9"/>
      <c r="G4" s="9"/>
      <c r="H4" s="9"/>
      <c r="I4" s="10"/>
      <c r="J4" s="10"/>
      <c r="K4" s="14"/>
      <c r="L4" s="11"/>
      <c r="M4" s="14"/>
      <c r="N4" s="14"/>
      <c r="O4" s="20">
        <v>1</v>
      </c>
      <c r="P4" s="20">
        <f t="shared" ref="P4:V4" si="2">O4+1</f>
        <v>2</v>
      </c>
      <c r="Q4" s="20">
        <f t="shared" si="2"/>
        <v>3</v>
      </c>
      <c r="R4" s="20">
        <f t="shared" si="2"/>
        <v>4</v>
      </c>
      <c r="S4" s="20">
        <f t="shared" si="2"/>
        <v>5</v>
      </c>
      <c r="T4" s="20">
        <f t="shared" si="2"/>
        <v>6</v>
      </c>
      <c r="U4" s="20">
        <f t="shared" si="2"/>
        <v>7</v>
      </c>
      <c r="V4" s="20">
        <f t="shared" si="2"/>
        <v>8</v>
      </c>
      <c r="W4" s="20">
        <f>V4+1</f>
        <v>9</v>
      </c>
      <c r="X4" s="20">
        <f>W4+1</f>
        <v>10</v>
      </c>
      <c r="Y4" s="4"/>
      <c r="Z4" s="11"/>
      <c r="AA4" s="16"/>
      <c r="AB4" s="19">
        <f t="shared" ref="AB4:AK4" si="3">COUNTIF($AY7:$AY42,"="&amp;AB5)</f>
        <v>5</v>
      </c>
      <c r="AC4" s="19">
        <f t="shared" si="3"/>
        <v>4</v>
      </c>
      <c r="AD4" s="19">
        <f t="shared" si="3"/>
        <v>4</v>
      </c>
      <c r="AE4" s="19">
        <f t="shared" si="3"/>
        <v>6</v>
      </c>
      <c r="AF4" s="19">
        <f t="shared" si="3"/>
        <v>5</v>
      </c>
      <c r="AG4" s="19">
        <f t="shared" si="3"/>
        <v>2</v>
      </c>
      <c r="AH4" s="19">
        <f t="shared" si="3"/>
        <v>0</v>
      </c>
      <c r="AI4" s="19">
        <f t="shared" si="3"/>
        <v>0</v>
      </c>
      <c r="AJ4" s="19">
        <f t="shared" si="3"/>
        <v>0</v>
      </c>
      <c r="AK4" s="19">
        <f t="shared" si="3"/>
        <v>0</v>
      </c>
      <c r="AL4" s="16"/>
      <c r="AM4" s="63">
        <v>1</v>
      </c>
      <c r="AN4" s="63">
        <v>1</v>
      </c>
      <c r="AO4" s="63">
        <v>1</v>
      </c>
      <c r="AP4" s="63">
        <v>1</v>
      </c>
      <c r="AQ4" s="63">
        <v>1</v>
      </c>
      <c r="AR4" s="63">
        <v>1</v>
      </c>
      <c r="AS4" s="63">
        <v>1</v>
      </c>
      <c r="AT4" s="63">
        <v>1</v>
      </c>
      <c r="AU4" s="63">
        <v>1</v>
      </c>
      <c r="AV4" s="63">
        <v>1</v>
      </c>
      <c r="AW4" s="17"/>
      <c r="AX4" s="15"/>
      <c r="AY4" s="50">
        <v>2</v>
      </c>
      <c r="AZ4" s="50">
        <v>2</v>
      </c>
      <c r="BA4" s="16"/>
      <c r="BB4" s="58" t="s">
        <v>0</v>
      </c>
      <c r="BC4" s="58" t="s">
        <v>0</v>
      </c>
      <c r="BD4" s="50">
        <v>3</v>
      </c>
      <c r="BE4" s="50">
        <v>3</v>
      </c>
      <c r="BF4" s="16"/>
      <c r="BG4" s="50">
        <v>1</v>
      </c>
      <c r="BH4" s="19"/>
      <c r="BI4" s="50">
        <v>4</v>
      </c>
      <c r="BJ4" s="50">
        <v>5</v>
      </c>
      <c r="BK4" s="50">
        <v>6</v>
      </c>
      <c r="BL4" s="16"/>
      <c r="BM4" s="16"/>
      <c r="BN4" s="16"/>
      <c r="BO4" s="16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</row>
    <row r="5" spans="1:96" ht="12" customHeight="1" x14ac:dyDescent="0.25">
      <c r="A5" s="10"/>
      <c r="B5" s="43" t="s">
        <v>66</v>
      </c>
      <c r="C5" s="43"/>
      <c r="D5" s="10" t="s">
        <v>68</v>
      </c>
      <c r="E5" s="3"/>
      <c r="F5" s="41" t="s">
        <v>65</v>
      </c>
      <c r="G5" s="3"/>
      <c r="H5" s="3"/>
      <c r="I5" s="3"/>
      <c r="J5" s="3"/>
      <c r="K5" s="3"/>
      <c r="L5" s="6"/>
      <c r="M5" s="3"/>
      <c r="N5" s="3"/>
      <c r="O5" s="46">
        <v>1</v>
      </c>
      <c r="P5" s="46">
        <v>1</v>
      </c>
      <c r="Q5" s="46">
        <v>1</v>
      </c>
      <c r="R5" s="46">
        <v>1</v>
      </c>
      <c r="S5" s="46">
        <v>1</v>
      </c>
      <c r="T5" s="46">
        <v>1</v>
      </c>
      <c r="U5" s="46">
        <v>1</v>
      </c>
      <c r="V5" s="46"/>
      <c r="W5" s="46"/>
      <c r="X5" s="46"/>
      <c r="Y5" s="38"/>
      <c r="Z5" s="38"/>
      <c r="AA5" s="16"/>
      <c r="AB5" s="20">
        <v>1</v>
      </c>
      <c r="AC5" s="20">
        <f t="shared" ref="AC5:AK5" si="4">AB5+1</f>
        <v>2</v>
      </c>
      <c r="AD5" s="20">
        <f t="shared" si="4"/>
        <v>3</v>
      </c>
      <c r="AE5" s="20">
        <f t="shared" si="4"/>
        <v>4</v>
      </c>
      <c r="AF5" s="20">
        <f t="shared" si="4"/>
        <v>5</v>
      </c>
      <c r="AG5" s="20">
        <f t="shared" si="4"/>
        <v>6</v>
      </c>
      <c r="AH5" s="20">
        <f t="shared" si="4"/>
        <v>7</v>
      </c>
      <c r="AI5" s="20">
        <f t="shared" si="4"/>
        <v>8</v>
      </c>
      <c r="AJ5" s="20">
        <f t="shared" si="4"/>
        <v>9</v>
      </c>
      <c r="AK5" s="20">
        <f t="shared" si="4"/>
        <v>10</v>
      </c>
      <c r="AL5" s="16"/>
      <c r="AM5" s="64">
        <f>AL4+1</f>
        <v>1</v>
      </c>
      <c r="AN5" s="64">
        <f t="shared" ref="AN5:AV5" si="5">AM5+1</f>
        <v>2</v>
      </c>
      <c r="AO5" s="64">
        <f t="shared" si="5"/>
        <v>3</v>
      </c>
      <c r="AP5" s="64">
        <f t="shared" si="5"/>
        <v>4</v>
      </c>
      <c r="AQ5" s="64">
        <f t="shared" si="5"/>
        <v>5</v>
      </c>
      <c r="AR5" s="64">
        <f t="shared" si="5"/>
        <v>6</v>
      </c>
      <c r="AS5" s="64">
        <f t="shared" si="5"/>
        <v>7</v>
      </c>
      <c r="AT5" s="64">
        <f t="shared" si="5"/>
        <v>8</v>
      </c>
      <c r="AU5" s="64">
        <f t="shared" si="5"/>
        <v>9</v>
      </c>
      <c r="AV5" s="64">
        <f t="shared" si="5"/>
        <v>10</v>
      </c>
      <c r="AW5" s="17"/>
      <c r="AX5" s="39"/>
      <c r="AY5" s="39">
        <f>MAX(AY7:AY42)</f>
        <v>6</v>
      </c>
      <c r="AZ5" s="39"/>
      <c r="BA5" s="19"/>
      <c r="BB5" s="19">
        <v>0</v>
      </c>
      <c r="BC5" s="19">
        <v>0</v>
      </c>
      <c r="BD5" s="39">
        <f>MAX(BD7:BD42)</f>
        <v>9</v>
      </c>
      <c r="BE5" s="39"/>
      <c r="BF5" s="19"/>
      <c r="BG5" s="51" t="s">
        <v>69</v>
      </c>
      <c r="BH5" s="52"/>
      <c r="BI5" s="52"/>
      <c r="BJ5" s="52"/>
      <c r="BK5" s="52"/>
      <c r="BL5" s="16"/>
      <c r="BM5" s="16"/>
      <c r="BN5" s="16"/>
      <c r="BO5" s="16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</row>
    <row r="6" spans="1:96" ht="12" customHeight="1" x14ac:dyDescent="0.25">
      <c r="A6" s="3"/>
      <c r="B6" s="22"/>
      <c r="C6" s="22"/>
      <c r="D6" s="22"/>
      <c r="E6" s="14"/>
      <c r="F6" s="22" t="s">
        <v>36</v>
      </c>
      <c r="G6" s="22" t="s">
        <v>37</v>
      </c>
      <c r="H6" s="22" t="s">
        <v>2</v>
      </c>
      <c r="I6" s="23" t="s">
        <v>38</v>
      </c>
      <c r="J6" s="42" t="s">
        <v>38</v>
      </c>
      <c r="K6" s="14"/>
      <c r="L6" s="6"/>
      <c r="M6" s="14"/>
      <c r="N6" s="14"/>
      <c r="O6" s="5"/>
      <c r="P6" s="24"/>
      <c r="Q6" s="24"/>
      <c r="R6" s="25" t="s">
        <v>36</v>
      </c>
      <c r="S6" s="25" t="s">
        <v>37</v>
      </c>
      <c r="T6" s="25" t="s">
        <v>2</v>
      </c>
      <c r="U6" s="25" t="s">
        <v>38</v>
      </c>
      <c r="V6" s="25" t="s">
        <v>39</v>
      </c>
      <c r="W6" s="25"/>
      <c r="X6" s="25"/>
      <c r="Y6" s="39" t="s">
        <v>3</v>
      </c>
      <c r="Z6" s="39" t="s">
        <v>3</v>
      </c>
      <c r="AA6" s="16"/>
      <c r="AB6" s="10">
        <f t="shared" ref="AB6:AK6" si="6">MAX(AB7:AB15)</f>
        <v>5</v>
      </c>
      <c r="AC6" s="10">
        <f t="shared" si="6"/>
        <v>9</v>
      </c>
      <c r="AD6" s="10">
        <f t="shared" si="6"/>
        <v>13</v>
      </c>
      <c r="AE6" s="10">
        <f t="shared" si="6"/>
        <v>19</v>
      </c>
      <c r="AF6" s="10">
        <f t="shared" si="6"/>
        <v>24</v>
      </c>
      <c r="AG6" s="10">
        <f t="shared" si="6"/>
        <v>26</v>
      </c>
      <c r="AH6" s="10">
        <f t="shared" si="6"/>
        <v>0</v>
      </c>
      <c r="AI6" s="10">
        <f t="shared" si="6"/>
        <v>0</v>
      </c>
      <c r="AJ6" s="10">
        <f t="shared" si="6"/>
        <v>0</v>
      </c>
      <c r="AK6" s="10">
        <f t="shared" si="6"/>
        <v>0</v>
      </c>
      <c r="AL6" s="16"/>
      <c r="AM6" s="17" t="s">
        <v>33</v>
      </c>
      <c r="AN6" s="17" t="s">
        <v>33</v>
      </c>
      <c r="AO6" s="17" t="s">
        <v>33</v>
      </c>
      <c r="AP6" s="17" t="s">
        <v>33</v>
      </c>
      <c r="AQ6" s="17" t="s">
        <v>33</v>
      </c>
      <c r="AR6" s="17" t="s">
        <v>33</v>
      </c>
      <c r="AS6" s="17" t="s">
        <v>33</v>
      </c>
      <c r="AT6" s="17" t="s">
        <v>33</v>
      </c>
      <c r="AU6" s="17" t="s">
        <v>33</v>
      </c>
      <c r="AV6" s="17" t="s">
        <v>33</v>
      </c>
      <c r="AW6" s="17"/>
      <c r="AX6" s="39">
        <v>1</v>
      </c>
      <c r="AY6" s="39">
        <f>IF(AX6=0,AY5,AX6)</f>
        <v>1</v>
      </c>
      <c r="AZ6" s="39"/>
      <c r="BA6" s="19"/>
      <c r="BB6" s="19">
        <v>0</v>
      </c>
      <c r="BC6" s="19">
        <v>0</v>
      </c>
      <c r="BD6" s="39">
        <f>IF(BA6=0,BD5,BA6)</f>
        <v>9</v>
      </c>
      <c r="BE6" s="39"/>
      <c r="BF6" s="19"/>
      <c r="BG6" s="21"/>
      <c r="BH6" s="21">
        <v>0</v>
      </c>
      <c r="BI6" s="21">
        <v>1</v>
      </c>
      <c r="BJ6" s="21">
        <v>2</v>
      </c>
      <c r="BK6" s="21">
        <v>3</v>
      </c>
      <c r="BL6" s="16"/>
      <c r="BM6" s="16"/>
      <c r="BN6" s="16"/>
      <c r="BO6" s="16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3"/>
      <c r="CK6" s="3"/>
      <c r="CL6" s="3"/>
      <c r="CM6" s="3"/>
      <c r="CN6" s="3"/>
      <c r="CO6" s="3"/>
      <c r="CP6" s="3"/>
      <c r="CQ6" s="3"/>
      <c r="CR6" s="3"/>
    </row>
    <row r="7" spans="1:96" ht="12" customHeight="1" x14ac:dyDescent="0.25">
      <c r="A7" s="3"/>
      <c r="B7" s="23">
        <f t="shared" ref="B7:B42" si="7">IF(ISNUMBER(C7),B6+1,"")</f>
        <v>1</v>
      </c>
      <c r="C7" s="48">
        <v>471134.78129999997</v>
      </c>
      <c r="D7" s="48">
        <v>7613992.75</v>
      </c>
      <c r="E7" s="14"/>
      <c r="F7" s="48">
        <v>467509.78129999997</v>
      </c>
      <c r="G7" s="48">
        <v>7616967.75</v>
      </c>
      <c r="H7" s="29" t="s">
        <v>30</v>
      </c>
      <c r="I7" s="30" t="s">
        <v>43</v>
      </c>
      <c r="J7" s="30">
        <v>989</v>
      </c>
      <c r="K7" s="14"/>
      <c r="L7" s="27" t="s">
        <v>1</v>
      </c>
      <c r="M7" s="14"/>
      <c r="N7" s="62">
        <f>IF(ISNUMBER(O7),O7-1,"")</f>
        <v>0</v>
      </c>
      <c r="O7" s="6">
        <f t="shared" ref="O7:O42" si="8">IF(ISNUMBER(Q7),ROW()-ROW(O$6),"")</f>
        <v>1</v>
      </c>
      <c r="P7" s="38" t="str">
        <f t="shared" ref="P7:P42" si="9">IF($AY7=M$3,O7,"")</f>
        <v/>
      </c>
      <c r="Q7" s="28">
        <f>IF(ISNUMBER(R7),Q6+1,"")</f>
        <v>1</v>
      </c>
      <c r="R7" s="48">
        <v>467509.78129999997</v>
      </c>
      <c r="S7" s="48">
        <v>7616967.75</v>
      </c>
      <c r="T7" s="29" t="s">
        <v>30</v>
      </c>
      <c r="U7" s="30" t="s">
        <v>43</v>
      </c>
      <c r="V7" s="30">
        <v>989</v>
      </c>
      <c r="W7" s="25">
        <f>IF(ISNUMBER(R7),R7-MIN(R$7:R$42),"")</f>
        <v>3337.5</v>
      </c>
      <c r="X7" s="25">
        <f>IF(ISNUMBER(R7),S7-MIN(S$7:S$42),"")</f>
        <v>9037.5</v>
      </c>
      <c r="Y7" s="25" t="str">
        <f t="shared" ref="Y7:Y42" si="10">IF(ISNUMBER(R7),_xlfn.IFS($Y$3=0,_xlfn.CONCAT(ROUND(W7,0),", ",ROUND(X7,0)),$Y$3=1,N7,$Y$3=2,_xlfn.CONCAT(AY7,AZ7),$Y$3=3,_xlfn.CONCAT(BD7,BE7),$Y$3=4,BI7,$Y$3=5,BJ7,$Y$3=6,BK7),"")</f>
        <v>→</v>
      </c>
      <c r="Z7" s="59">
        <f>Z8-Z8/3</f>
        <v>18.666666666666664</v>
      </c>
      <c r="AA7" s="16"/>
      <c r="AB7" s="40">
        <f t="shared" ref="AB7:AB15" si="11">IF($O7&lt;=AB$4,$O7+BA$6,"")</f>
        <v>1</v>
      </c>
      <c r="AC7" s="40">
        <f t="shared" ref="AC7:AK7" si="12">IF($O7&lt;=AC$4,$O7+AB$6,"")</f>
        <v>6</v>
      </c>
      <c r="AD7" s="40">
        <f t="shared" si="12"/>
        <v>10</v>
      </c>
      <c r="AE7" s="40">
        <f t="shared" si="12"/>
        <v>14</v>
      </c>
      <c r="AF7" s="40">
        <f t="shared" si="12"/>
        <v>20</v>
      </c>
      <c r="AG7" s="40">
        <f t="shared" si="12"/>
        <v>25</v>
      </c>
      <c r="AH7" s="40" t="str">
        <f t="shared" si="12"/>
        <v/>
      </c>
      <c r="AI7" s="40" t="str">
        <f t="shared" si="12"/>
        <v/>
      </c>
      <c r="AJ7" s="40" t="str">
        <f t="shared" si="12"/>
        <v/>
      </c>
      <c r="AK7" s="40" t="str">
        <f t="shared" si="12"/>
        <v/>
      </c>
      <c r="AL7" s="31"/>
      <c r="AM7" s="40">
        <f t="shared" ref="AM7:AM15" si="13">IF(ISNUMBER(AB7),INDEX($R$7:$S$42,AB7,AM$4),AM6)</f>
        <v>467509.78129999997</v>
      </c>
      <c r="AN7" s="40">
        <f t="shared" ref="AN7:AN15" si="14">IF(ISNUMBER(AC7),INDEX($R$7:$S$42,AC7,AN$4),AN6)</f>
        <v>469934.78129999997</v>
      </c>
      <c r="AO7" s="40">
        <f t="shared" ref="AO7:AO15" si="15">IF(ISNUMBER(AD7),INDEX($R$7:$S$42,AD7,AO$4),AO6)</f>
        <v>468434.78129999997</v>
      </c>
      <c r="AP7" s="40">
        <f t="shared" ref="AP7:AP15" si="16">IF(ISNUMBER(AE7),INDEX($R$7:$S$42,AE7,AP$4),AP6)</f>
        <v>464872.28129999997</v>
      </c>
      <c r="AQ7" s="40">
        <f t="shared" ref="AQ7:AQ15" si="17">IF(ISNUMBER(AF7),INDEX($R$7:$S$42,AF7,AQ$4),AQ6)</f>
        <v>468284.78129999997</v>
      </c>
      <c r="AR7" s="40">
        <f t="shared" ref="AR7:AR15" si="18">IF(ISNUMBER(AG7),INDEX($R$7:$S$42,AG7,AR$4),AR6)</f>
        <v>464822.28129999997</v>
      </c>
      <c r="AS7" s="40" t="str">
        <f t="shared" ref="AS7:AS15" si="19">IF(ISNUMBER(AH7),INDEX($R$7:$S$42,AH7,AS$4),AS6)</f>
        <v>x</v>
      </c>
      <c r="AT7" s="40" t="str">
        <f t="shared" ref="AT7:AT15" si="20">IF(ISNUMBER(AI7),INDEX($R$7:$S$42,AI7,AT$4),AT6)</f>
        <v>x</v>
      </c>
      <c r="AU7" s="40" t="str">
        <f t="shared" ref="AU7:AU15" si="21">IF(ISNUMBER(AJ7),INDEX($R$7:$S$42,AJ7,AU$4),AU6)</f>
        <v>x</v>
      </c>
      <c r="AV7" s="40" t="str">
        <f t="shared" ref="AV7:AV15" si="22">IF(ISNUMBER(AK7),INDEX($R$7:$S$42,AK7,AV$4),AV6)</f>
        <v>x</v>
      </c>
      <c r="AW7" s="18"/>
      <c r="AX7" s="39">
        <f>IF(Z7&lt;0,MAX(AX$6:AX6)+1,0)</f>
        <v>0</v>
      </c>
      <c r="AY7" s="39">
        <f t="shared" ref="AY7:AY42" si="23">IF(ISNUMBER(R7),IF(AX7=0,AY6,AX7),"")</f>
        <v>1</v>
      </c>
      <c r="AZ7" s="39">
        <v>1</v>
      </c>
      <c r="BA7" s="19"/>
      <c r="BB7" s="19">
        <v>0</v>
      </c>
      <c r="BC7" s="19">
        <v>0</v>
      </c>
      <c r="BD7" s="65">
        <f t="shared" ref="BD7:BD42" si="24">IF(ISNUMBER(R7),AY7+BB7,"")</f>
        <v>1</v>
      </c>
      <c r="BE7" s="65">
        <f t="shared" ref="BE7:BE42" si="25">IF(ISNUMBER(S7),AZ7+BC7,"")</f>
        <v>1</v>
      </c>
      <c r="BF7" s="19"/>
      <c r="BG7" s="53">
        <v>0</v>
      </c>
      <c r="BH7" s="39">
        <v>0</v>
      </c>
      <c r="BI7" s="54">
        <v>-1</v>
      </c>
      <c r="BJ7" s="54" t="s">
        <v>70</v>
      </c>
      <c r="BK7" s="54" t="s">
        <v>3</v>
      </c>
      <c r="BL7" s="4">
        <f>IF(ISNUMBER(BI7),IF(BI7-BI6=1,"",1),"")</f>
        <v>1</v>
      </c>
      <c r="BM7" s="18"/>
      <c r="BN7" s="18"/>
      <c r="BO7" s="18"/>
      <c r="BP7" s="18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</row>
    <row r="8" spans="1:96" ht="12" customHeight="1" x14ac:dyDescent="0.25">
      <c r="A8" s="3"/>
      <c r="B8" s="23">
        <f t="shared" si="7"/>
        <v>2</v>
      </c>
      <c r="C8" s="48">
        <v>469922.28129999997</v>
      </c>
      <c r="D8" s="48">
        <v>7614405.25</v>
      </c>
      <c r="E8" s="14"/>
      <c r="F8" s="48">
        <v>468059.78129999997</v>
      </c>
      <c r="G8" s="48">
        <v>7616642.75</v>
      </c>
      <c r="H8" s="29" t="s">
        <v>29</v>
      </c>
      <c r="I8" s="30" t="s">
        <v>44</v>
      </c>
      <c r="J8" s="30">
        <v>961</v>
      </c>
      <c r="K8" s="14"/>
      <c r="L8" s="27">
        <f t="shared" ref="L8:L42" si="26">IF(ISNUMBER(R8),SQRT((R8-R7)^2+(S8-S7)^2),"")</f>
        <v>638.84661695903185</v>
      </c>
      <c r="M8" s="14"/>
      <c r="N8" s="62">
        <f t="shared" ref="N8:N42" si="27">IF(ISNUMBER(O8),O8-1,"")</f>
        <v>1</v>
      </c>
      <c r="O8" s="6">
        <f t="shared" si="8"/>
        <v>2</v>
      </c>
      <c r="P8" s="38" t="str">
        <f t="shared" si="9"/>
        <v/>
      </c>
      <c r="Q8" s="28">
        <f>IF(ISNUMBER(R8),Q7+1,"")</f>
        <v>2</v>
      </c>
      <c r="R8" s="48">
        <v>468059.78129999997</v>
      </c>
      <c r="S8" s="48">
        <v>7616642.75</v>
      </c>
      <c r="T8" s="29" t="s">
        <v>29</v>
      </c>
      <c r="U8" s="30" t="s">
        <v>44</v>
      </c>
      <c r="V8" s="30">
        <v>961</v>
      </c>
      <c r="W8" s="25">
        <f t="shared" ref="W8:W42" si="28">IF(ISNUMBER(R8),R8-MIN(R$7:R$42),"")</f>
        <v>3887.5</v>
      </c>
      <c r="X8" s="25">
        <f t="shared" ref="X8:X42" si="29">IF(ISNUMBER(R8),S8-MIN(S$7:S$42),"")</f>
        <v>8712.5</v>
      </c>
      <c r="Y8" s="25">
        <f t="shared" si="10"/>
        <v>-2</v>
      </c>
      <c r="Z8" s="38">
        <f>IF(ISNUMBER(R8),V7-V8,"")</f>
        <v>28</v>
      </c>
      <c r="AA8" s="16"/>
      <c r="AB8" s="40">
        <f t="shared" si="11"/>
        <v>2</v>
      </c>
      <c r="AC8" s="40">
        <f t="shared" ref="AC8:AK8" si="30">IF($O8&lt;=AC$4,$O8+AB$6,"")</f>
        <v>7</v>
      </c>
      <c r="AD8" s="40">
        <f t="shared" si="30"/>
        <v>11</v>
      </c>
      <c r="AE8" s="40">
        <f t="shared" si="30"/>
        <v>15</v>
      </c>
      <c r="AF8" s="40">
        <f t="shared" si="30"/>
        <v>21</v>
      </c>
      <c r="AG8" s="40">
        <f t="shared" si="30"/>
        <v>26</v>
      </c>
      <c r="AH8" s="40" t="str">
        <f t="shared" si="30"/>
        <v/>
      </c>
      <c r="AI8" s="40" t="str">
        <f t="shared" si="30"/>
        <v/>
      </c>
      <c r="AJ8" s="40" t="str">
        <f t="shared" si="30"/>
        <v/>
      </c>
      <c r="AK8" s="40" t="str">
        <f t="shared" si="30"/>
        <v/>
      </c>
      <c r="AL8" s="31"/>
      <c r="AM8" s="40">
        <f t="shared" si="13"/>
        <v>468059.78129999997</v>
      </c>
      <c r="AN8" s="40">
        <f t="shared" si="14"/>
        <v>468797.28129999997</v>
      </c>
      <c r="AO8" s="40">
        <f t="shared" si="15"/>
        <v>467384.78129999997</v>
      </c>
      <c r="AP8" s="40">
        <f t="shared" si="16"/>
        <v>465422.28129999997</v>
      </c>
      <c r="AQ8" s="40">
        <f t="shared" si="17"/>
        <v>466622.28129999997</v>
      </c>
      <c r="AR8" s="40">
        <f t="shared" si="18"/>
        <v>464172.28129999997</v>
      </c>
      <c r="AS8" s="40" t="str">
        <f t="shared" si="19"/>
        <v>x</v>
      </c>
      <c r="AT8" s="40" t="str">
        <f t="shared" si="20"/>
        <v>x</v>
      </c>
      <c r="AU8" s="40" t="str">
        <f t="shared" si="21"/>
        <v>x</v>
      </c>
      <c r="AV8" s="40" t="str">
        <f t="shared" si="22"/>
        <v>x</v>
      </c>
      <c r="AW8" s="18"/>
      <c r="AX8" s="39">
        <f>IF(Z8&lt;0,MAX(AX$6:AX7)+1,0)</f>
        <v>0</v>
      </c>
      <c r="AY8" s="39">
        <f t="shared" si="23"/>
        <v>1</v>
      </c>
      <c r="AZ8" s="39">
        <f>IF(ISNUMBER(R7),IF(AX8&lt;&gt;0,1,AZ7+1),"")</f>
        <v>2</v>
      </c>
      <c r="BA8" s="19"/>
      <c r="BB8" s="19">
        <v>0</v>
      </c>
      <c r="BC8" s="19">
        <v>0</v>
      </c>
      <c r="BD8" s="65">
        <f t="shared" si="24"/>
        <v>1</v>
      </c>
      <c r="BE8" s="65">
        <f t="shared" si="25"/>
        <v>2</v>
      </c>
      <c r="BF8" s="19"/>
      <c r="BG8" s="39">
        <v>1</v>
      </c>
      <c r="BH8" s="39">
        <v>1</v>
      </c>
      <c r="BI8" s="54">
        <v>0</v>
      </c>
      <c r="BJ8" s="54">
        <v>-2</v>
      </c>
      <c r="BK8" s="54" t="s">
        <v>3</v>
      </c>
      <c r="BL8" s="4" t="str">
        <f t="shared" ref="BL8:BL35" si="31">IF(ISNUMBER(BI8),IF(BI8-BI7=1,"",1),"")</f>
        <v/>
      </c>
      <c r="BM8" s="18"/>
      <c r="BN8" s="18"/>
      <c r="BO8" s="18"/>
      <c r="BP8" s="18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</row>
    <row r="9" spans="1:96" ht="12" customHeight="1" x14ac:dyDescent="0.25">
      <c r="A9" s="3"/>
      <c r="B9" s="23">
        <f t="shared" si="7"/>
        <v>3</v>
      </c>
      <c r="C9" s="48">
        <v>468834.78129999997</v>
      </c>
      <c r="D9" s="48">
        <v>7614292.75</v>
      </c>
      <c r="E9" s="14"/>
      <c r="F9" s="48">
        <v>468334.78129999997</v>
      </c>
      <c r="G9" s="48">
        <v>7615805.25</v>
      </c>
      <c r="H9" s="29" t="s">
        <v>28</v>
      </c>
      <c r="I9" s="30" t="s">
        <v>45</v>
      </c>
      <c r="J9" s="30">
        <v>937</v>
      </c>
      <c r="K9" s="14"/>
      <c r="L9" s="27">
        <f t="shared" si="26"/>
        <v>881.49376061319913</v>
      </c>
      <c r="M9" s="14"/>
      <c r="N9" s="62">
        <f t="shared" si="27"/>
        <v>2</v>
      </c>
      <c r="O9" s="6">
        <f t="shared" si="8"/>
        <v>3</v>
      </c>
      <c r="P9" s="38" t="str">
        <f t="shared" si="9"/>
        <v/>
      </c>
      <c r="Q9" s="28">
        <f t="shared" ref="Q9:Q42" si="32">IF(ISNUMBER(R9),Q8+1,"")</f>
        <v>3</v>
      </c>
      <c r="R9" s="48">
        <v>468334.78129999997</v>
      </c>
      <c r="S9" s="48">
        <v>7615805.25</v>
      </c>
      <c r="T9" s="29" t="s">
        <v>28</v>
      </c>
      <c r="U9" s="30" t="s">
        <v>45</v>
      </c>
      <c r="V9" s="30">
        <v>937</v>
      </c>
      <c r="W9" s="25">
        <f t="shared" si="28"/>
        <v>4162.5</v>
      </c>
      <c r="X9" s="25">
        <f t="shared" si="29"/>
        <v>7875</v>
      </c>
      <c r="Y9" s="25">
        <f t="shared" si="10"/>
        <v>-3</v>
      </c>
      <c r="Z9" s="38">
        <f t="shared" ref="Z9:Z42" si="33">IF(ISNUMBER(R9),V8-V9,"")</f>
        <v>24</v>
      </c>
      <c r="AA9" s="16"/>
      <c r="AB9" s="40">
        <f t="shared" si="11"/>
        <v>3</v>
      </c>
      <c r="AC9" s="40">
        <f t="shared" ref="AC9:AK9" si="34">IF($O9&lt;=AC$4,$O9+AB$6,"")</f>
        <v>8</v>
      </c>
      <c r="AD9" s="40">
        <f t="shared" si="34"/>
        <v>12</v>
      </c>
      <c r="AE9" s="40">
        <f t="shared" si="34"/>
        <v>16</v>
      </c>
      <c r="AF9" s="40">
        <f t="shared" si="34"/>
        <v>22</v>
      </c>
      <c r="AG9" s="40" t="str">
        <f t="shared" si="34"/>
        <v/>
      </c>
      <c r="AH9" s="40" t="str">
        <f t="shared" si="34"/>
        <v/>
      </c>
      <c r="AI9" s="40" t="str">
        <f t="shared" si="34"/>
        <v/>
      </c>
      <c r="AJ9" s="40" t="str">
        <f t="shared" si="34"/>
        <v/>
      </c>
      <c r="AK9" s="40" t="str">
        <f t="shared" si="34"/>
        <v/>
      </c>
      <c r="AL9" s="31"/>
      <c r="AM9" s="40">
        <f t="shared" si="13"/>
        <v>468334.78129999997</v>
      </c>
      <c r="AN9" s="40">
        <f t="shared" si="14"/>
        <v>467797.28129999997</v>
      </c>
      <c r="AO9" s="40">
        <f t="shared" si="15"/>
        <v>466597.28129999997</v>
      </c>
      <c r="AP9" s="40">
        <f t="shared" si="16"/>
        <v>465284.78129999997</v>
      </c>
      <c r="AQ9" s="40">
        <f t="shared" si="17"/>
        <v>466097.28129999997</v>
      </c>
      <c r="AR9" s="40">
        <f t="shared" si="18"/>
        <v>464172.28129999997</v>
      </c>
      <c r="AS9" s="40" t="str">
        <f t="shared" si="19"/>
        <v>x</v>
      </c>
      <c r="AT9" s="40" t="str">
        <f t="shared" si="20"/>
        <v>x</v>
      </c>
      <c r="AU9" s="40" t="str">
        <f t="shared" si="21"/>
        <v>x</v>
      </c>
      <c r="AV9" s="40" t="str">
        <f t="shared" si="22"/>
        <v>x</v>
      </c>
      <c r="AW9" s="18"/>
      <c r="AX9" s="39">
        <f>IF(Z9&lt;0,MAX(AX$6:AX8)+1,0)</f>
        <v>0</v>
      </c>
      <c r="AY9" s="39">
        <f t="shared" si="23"/>
        <v>1</v>
      </c>
      <c r="AZ9" s="39">
        <f t="shared" ref="AZ9:AZ42" si="35">IF(ISNUMBER(R8),IF(AX9&lt;&gt;0,1,AZ8+1),"")</f>
        <v>3</v>
      </c>
      <c r="BA9" s="19"/>
      <c r="BB9" s="19">
        <v>0</v>
      </c>
      <c r="BC9" s="19">
        <v>0</v>
      </c>
      <c r="BD9" s="65">
        <f t="shared" si="24"/>
        <v>1</v>
      </c>
      <c r="BE9" s="65">
        <f t="shared" si="25"/>
        <v>3</v>
      </c>
      <c r="BF9" s="19"/>
      <c r="BG9" s="39">
        <v>2</v>
      </c>
      <c r="BH9" s="39">
        <v>2</v>
      </c>
      <c r="BI9" s="54">
        <v>1</v>
      </c>
      <c r="BJ9" s="54">
        <v>-3</v>
      </c>
      <c r="BK9" s="54" t="s">
        <v>3</v>
      </c>
      <c r="BL9" s="4" t="str">
        <f t="shared" si="31"/>
        <v/>
      </c>
      <c r="BM9" s="18"/>
      <c r="BN9" s="18"/>
      <c r="BO9" s="18"/>
      <c r="BP9" s="18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</row>
    <row r="10" spans="1:96" ht="12" customHeight="1" x14ac:dyDescent="0.25">
      <c r="A10" s="3"/>
      <c r="B10" s="23">
        <f t="shared" si="7"/>
        <v>4</v>
      </c>
      <c r="C10" s="48">
        <v>467509.78129999997</v>
      </c>
      <c r="D10" s="48">
        <v>7616967.75</v>
      </c>
      <c r="E10" s="14"/>
      <c r="F10" s="48">
        <v>468397.28129999997</v>
      </c>
      <c r="G10" s="48">
        <v>7614955.25</v>
      </c>
      <c r="H10" s="29" t="s">
        <v>27</v>
      </c>
      <c r="I10" s="30" t="s">
        <v>46</v>
      </c>
      <c r="J10" s="30">
        <v>903</v>
      </c>
      <c r="K10" s="14"/>
      <c r="L10" s="27">
        <f t="shared" si="26"/>
        <v>852.29469668653928</v>
      </c>
      <c r="M10" s="14"/>
      <c r="N10" s="62">
        <f t="shared" si="27"/>
        <v>3</v>
      </c>
      <c r="O10" s="6">
        <f t="shared" si="8"/>
        <v>4</v>
      </c>
      <c r="P10" s="38" t="str">
        <f t="shared" si="9"/>
        <v/>
      </c>
      <c r="Q10" s="28">
        <f t="shared" si="32"/>
        <v>4</v>
      </c>
      <c r="R10" s="48">
        <v>468397.28129999997</v>
      </c>
      <c r="S10" s="48">
        <v>7614955.25</v>
      </c>
      <c r="T10" s="29" t="s">
        <v>27</v>
      </c>
      <c r="U10" s="30" t="s">
        <v>46</v>
      </c>
      <c r="V10" s="30">
        <v>903</v>
      </c>
      <c r="W10" s="25">
        <f t="shared" si="28"/>
        <v>4225</v>
      </c>
      <c r="X10" s="25">
        <f t="shared" si="29"/>
        <v>7025</v>
      </c>
      <c r="Y10" s="25">
        <f t="shared" si="10"/>
        <v>-4</v>
      </c>
      <c r="Z10" s="38">
        <f t="shared" si="33"/>
        <v>34</v>
      </c>
      <c r="AA10" s="16"/>
      <c r="AB10" s="40">
        <f t="shared" si="11"/>
        <v>4</v>
      </c>
      <c r="AC10" s="40">
        <f t="shared" ref="AC10:AK10" si="36">IF($O10&lt;=AC$4,$O10+AB$6,"")</f>
        <v>9</v>
      </c>
      <c r="AD10" s="40">
        <f t="shared" si="36"/>
        <v>13</v>
      </c>
      <c r="AE10" s="40">
        <f t="shared" si="36"/>
        <v>17</v>
      </c>
      <c r="AF10" s="40">
        <f t="shared" si="36"/>
        <v>23</v>
      </c>
      <c r="AG10" s="40" t="str">
        <f t="shared" si="36"/>
        <v/>
      </c>
      <c r="AH10" s="40" t="str">
        <f t="shared" si="36"/>
        <v/>
      </c>
      <c r="AI10" s="40" t="str">
        <f t="shared" si="36"/>
        <v/>
      </c>
      <c r="AJ10" s="40" t="str">
        <f t="shared" si="36"/>
        <v/>
      </c>
      <c r="AK10" s="40" t="str">
        <f t="shared" si="36"/>
        <v/>
      </c>
      <c r="AL10" s="31"/>
      <c r="AM10" s="40">
        <f t="shared" si="13"/>
        <v>468397.28129999997</v>
      </c>
      <c r="AN10" s="40">
        <f t="shared" si="14"/>
        <v>467172.28129999997</v>
      </c>
      <c r="AO10" s="40">
        <f t="shared" si="15"/>
        <v>465672.28129999997</v>
      </c>
      <c r="AP10" s="40">
        <f t="shared" si="16"/>
        <v>464384.78129999997</v>
      </c>
      <c r="AQ10" s="40">
        <f t="shared" si="17"/>
        <v>465534.78129999997</v>
      </c>
      <c r="AR10" s="40">
        <f t="shared" si="18"/>
        <v>464172.28129999997</v>
      </c>
      <c r="AS10" s="40" t="str">
        <f t="shared" si="19"/>
        <v>x</v>
      </c>
      <c r="AT10" s="40" t="str">
        <f t="shared" si="20"/>
        <v>x</v>
      </c>
      <c r="AU10" s="40" t="str">
        <f t="shared" si="21"/>
        <v>x</v>
      </c>
      <c r="AV10" s="40" t="str">
        <f t="shared" si="22"/>
        <v>x</v>
      </c>
      <c r="AW10" s="18"/>
      <c r="AX10" s="39">
        <f>IF(Z10&lt;0,MAX(AX$6:AX9)+1,0)</f>
        <v>0</v>
      </c>
      <c r="AY10" s="39">
        <f t="shared" si="23"/>
        <v>1</v>
      </c>
      <c r="AZ10" s="39">
        <f t="shared" si="35"/>
        <v>4</v>
      </c>
      <c r="BA10" s="19"/>
      <c r="BB10" s="19">
        <v>0</v>
      </c>
      <c r="BC10" s="19">
        <v>0</v>
      </c>
      <c r="BD10" s="65">
        <f t="shared" si="24"/>
        <v>1</v>
      </c>
      <c r="BE10" s="65">
        <f t="shared" si="25"/>
        <v>4</v>
      </c>
      <c r="BF10" s="19"/>
      <c r="BG10" s="39">
        <v>3</v>
      </c>
      <c r="BH10" s="39">
        <v>3</v>
      </c>
      <c r="BI10" s="54">
        <v>2</v>
      </c>
      <c r="BJ10" s="54">
        <v>-4</v>
      </c>
      <c r="BK10" s="54" t="s">
        <v>3</v>
      </c>
      <c r="BL10" s="4" t="str">
        <f t="shared" si="31"/>
        <v/>
      </c>
      <c r="BM10" s="18"/>
      <c r="BN10" s="18"/>
      <c r="BO10" s="18"/>
      <c r="BP10" s="18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</row>
    <row r="11" spans="1:96" ht="12" customHeight="1" x14ac:dyDescent="0.25">
      <c r="A11" s="3"/>
      <c r="B11" s="23">
        <f t="shared" si="7"/>
        <v>5</v>
      </c>
      <c r="C11" s="48">
        <v>468059.78129999997</v>
      </c>
      <c r="D11" s="48">
        <v>7616642.75</v>
      </c>
      <c r="E11" s="14"/>
      <c r="F11" s="48">
        <v>468047.28129999997</v>
      </c>
      <c r="G11" s="48">
        <v>7614180.25</v>
      </c>
      <c r="H11" s="29" t="s">
        <v>25</v>
      </c>
      <c r="I11" s="30" t="s">
        <v>47</v>
      </c>
      <c r="J11" s="30">
        <v>889</v>
      </c>
      <c r="K11" s="14"/>
      <c r="L11" s="27">
        <f t="shared" si="26"/>
        <v>850.36756758474746</v>
      </c>
      <c r="M11" s="14"/>
      <c r="N11" s="62">
        <f t="shared" si="27"/>
        <v>4</v>
      </c>
      <c r="O11" s="6">
        <f t="shared" si="8"/>
        <v>5</v>
      </c>
      <c r="P11" s="38" t="str">
        <f t="shared" si="9"/>
        <v/>
      </c>
      <c r="Q11" s="28">
        <f t="shared" si="32"/>
        <v>5</v>
      </c>
      <c r="R11" s="48">
        <v>468047.28129999997</v>
      </c>
      <c r="S11" s="48">
        <v>7614180.25</v>
      </c>
      <c r="T11" s="29" t="s">
        <v>25</v>
      </c>
      <c r="U11" s="30" t="s">
        <v>47</v>
      </c>
      <c r="V11" s="30">
        <v>889</v>
      </c>
      <c r="W11" s="25">
        <f t="shared" si="28"/>
        <v>3875</v>
      </c>
      <c r="X11" s="25">
        <f t="shared" si="29"/>
        <v>6250</v>
      </c>
      <c r="Y11" s="25">
        <f t="shared" si="10"/>
        <v>-5</v>
      </c>
      <c r="Z11" s="38">
        <f t="shared" si="33"/>
        <v>14</v>
      </c>
      <c r="AA11" s="16"/>
      <c r="AB11" s="40">
        <f t="shared" si="11"/>
        <v>5</v>
      </c>
      <c r="AC11" s="40" t="str">
        <f t="shared" ref="AC11:AK11" si="37">IF($O11&lt;=AC$4,$O11+AB$6,"")</f>
        <v/>
      </c>
      <c r="AD11" s="40" t="str">
        <f t="shared" si="37"/>
        <v/>
      </c>
      <c r="AE11" s="40">
        <f t="shared" si="37"/>
        <v>18</v>
      </c>
      <c r="AF11" s="40">
        <f t="shared" si="37"/>
        <v>24</v>
      </c>
      <c r="AG11" s="40" t="str">
        <f t="shared" si="37"/>
        <v/>
      </c>
      <c r="AH11" s="40" t="str">
        <f t="shared" si="37"/>
        <v/>
      </c>
      <c r="AI11" s="40" t="str">
        <f t="shared" si="37"/>
        <v/>
      </c>
      <c r="AJ11" s="40" t="str">
        <f t="shared" si="37"/>
        <v/>
      </c>
      <c r="AK11" s="40" t="str">
        <f t="shared" si="37"/>
        <v/>
      </c>
      <c r="AL11" s="31"/>
      <c r="AM11" s="40">
        <f t="shared" si="13"/>
        <v>468047.28129999997</v>
      </c>
      <c r="AN11" s="40">
        <f t="shared" si="14"/>
        <v>467172.28129999997</v>
      </c>
      <c r="AO11" s="40">
        <f t="shared" si="15"/>
        <v>465672.28129999997</v>
      </c>
      <c r="AP11" s="40">
        <f t="shared" si="16"/>
        <v>464297.28129999997</v>
      </c>
      <c r="AQ11" s="40">
        <f t="shared" si="17"/>
        <v>464909.78129999997</v>
      </c>
      <c r="AR11" s="40">
        <f t="shared" si="18"/>
        <v>464172.28129999997</v>
      </c>
      <c r="AS11" s="40" t="str">
        <f t="shared" si="19"/>
        <v>x</v>
      </c>
      <c r="AT11" s="40" t="str">
        <f t="shared" si="20"/>
        <v>x</v>
      </c>
      <c r="AU11" s="40" t="str">
        <f t="shared" si="21"/>
        <v>x</v>
      </c>
      <c r="AV11" s="40" t="str">
        <f t="shared" si="22"/>
        <v>x</v>
      </c>
      <c r="AW11" s="18"/>
      <c r="AX11" s="39">
        <f>IF(Z11&lt;0,MAX(AX$6:AX10)+1,0)</f>
        <v>0</v>
      </c>
      <c r="AY11" s="39">
        <f t="shared" si="23"/>
        <v>1</v>
      </c>
      <c r="AZ11" s="39">
        <f t="shared" si="35"/>
        <v>5</v>
      </c>
      <c r="BA11" s="19"/>
      <c r="BB11" s="19">
        <v>0</v>
      </c>
      <c r="BC11" s="19">
        <v>0</v>
      </c>
      <c r="BD11" s="65">
        <f t="shared" si="24"/>
        <v>1</v>
      </c>
      <c r="BE11" s="65">
        <f t="shared" si="25"/>
        <v>5</v>
      </c>
      <c r="BF11" s="19"/>
      <c r="BG11" s="55">
        <v>4</v>
      </c>
      <c r="BH11" s="39">
        <v>4</v>
      </c>
      <c r="BI11" s="54">
        <v>3</v>
      </c>
      <c r="BJ11" s="54">
        <v>-5</v>
      </c>
      <c r="BK11" s="54" t="s">
        <v>3</v>
      </c>
      <c r="BL11" s="4" t="str">
        <f t="shared" si="31"/>
        <v/>
      </c>
      <c r="BM11" s="18"/>
      <c r="BN11" s="18"/>
      <c r="BO11" s="18"/>
      <c r="BP11" s="18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</row>
    <row r="12" spans="1:96" ht="12" customHeight="1" x14ac:dyDescent="0.25">
      <c r="A12" s="3"/>
      <c r="B12" s="23">
        <f t="shared" si="7"/>
        <v>6</v>
      </c>
      <c r="C12" s="48">
        <v>468334.78129999997</v>
      </c>
      <c r="D12" s="48">
        <v>7615805.25</v>
      </c>
      <c r="E12" s="14"/>
      <c r="F12" s="48">
        <v>469934.78129999997</v>
      </c>
      <c r="G12" s="48">
        <v>7612342.75</v>
      </c>
      <c r="H12" s="29" t="s">
        <v>24</v>
      </c>
      <c r="I12" s="30" t="s">
        <v>48</v>
      </c>
      <c r="J12" s="30">
        <v>969</v>
      </c>
      <c r="K12" s="14"/>
      <c r="L12" s="27">
        <f t="shared" si="26"/>
        <v>2634.2100333876188</v>
      </c>
      <c r="M12" s="14"/>
      <c r="N12" s="62">
        <f t="shared" si="27"/>
        <v>5</v>
      </c>
      <c r="O12" s="6">
        <f t="shared" si="8"/>
        <v>6</v>
      </c>
      <c r="P12" s="38" t="str">
        <f t="shared" si="9"/>
        <v/>
      </c>
      <c r="Q12" s="28">
        <f t="shared" si="32"/>
        <v>6</v>
      </c>
      <c r="R12" s="48">
        <v>469934.78129999997</v>
      </c>
      <c r="S12" s="48">
        <v>7612342.75</v>
      </c>
      <c r="T12" s="29" t="s">
        <v>24</v>
      </c>
      <c r="U12" s="30" t="s">
        <v>48</v>
      </c>
      <c r="V12" s="30">
        <v>969</v>
      </c>
      <c r="W12" s="25">
        <f t="shared" si="28"/>
        <v>5762.5</v>
      </c>
      <c r="X12" s="25">
        <f t="shared" si="29"/>
        <v>4412.5</v>
      </c>
      <c r="Y12" s="25">
        <f t="shared" si="10"/>
        <v>4</v>
      </c>
      <c r="Z12" s="38">
        <f t="shared" si="33"/>
        <v>-80</v>
      </c>
      <c r="AA12" s="16"/>
      <c r="AB12" s="40" t="str">
        <f t="shared" si="11"/>
        <v/>
      </c>
      <c r="AC12" s="40" t="str">
        <f t="shared" ref="AC12:AK12" si="38">IF($O12&lt;=AC$4,$O12+AB$6,"")</f>
        <v/>
      </c>
      <c r="AD12" s="40" t="str">
        <f t="shared" si="38"/>
        <v/>
      </c>
      <c r="AE12" s="40">
        <f t="shared" si="38"/>
        <v>19</v>
      </c>
      <c r="AF12" s="40" t="str">
        <f t="shared" si="38"/>
        <v/>
      </c>
      <c r="AG12" s="40" t="str">
        <f t="shared" si="38"/>
        <v/>
      </c>
      <c r="AH12" s="40" t="str">
        <f t="shared" si="38"/>
        <v/>
      </c>
      <c r="AI12" s="40" t="str">
        <f t="shared" si="38"/>
        <v/>
      </c>
      <c r="AJ12" s="40" t="str">
        <f t="shared" si="38"/>
        <v/>
      </c>
      <c r="AK12" s="40" t="str">
        <f t="shared" si="38"/>
        <v/>
      </c>
      <c r="AL12" s="16"/>
      <c r="AM12" s="40">
        <f t="shared" si="13"/>
        <v>468047.28129999997</v>
      </c>
      <c r="AN12" s="40">
        <f t="shared" si="14"/>
        <v>467172.28129999997</v>
      </c>
      <c r="AO12" s="40">
        <f t="shared" si="15"/>
        <v>465672.28129999997</v>
      </c>
      <c r="AP12" s="40">
        <f t="shared" si="16"/>
        <v>464784.78129999997</v>
      </c>
      <c r="AQ12" s="40">
        <f t="shared" si="17"/>
        <v>464909.78129999997</v>
      </c>
      <c r="AR12" s="40">
        <f t="shared" si="18"/>
        <v>464172.28129999997</v>
      </c>
      <c r="AS12" s="40" t="str">
        <f t="shared" si="19"/>
        <v>x</v>
      </c>
      <c r="AT12" s="40" t="str">
        <f t="shared" si="20"/>
        <v>x</v>
      </c>
      <c r="AU12" s="40" t="str">
        <f t="shared" si="21"/>
        <v>x</v>
      </c>
      <c r="AV12" s="40" t="str">
        <f t="shared" si="22"/>
        <v>x</v>
      </c>
      <c r="AW12" s="18"/>
      <c r="AX12" s="39">
        <f>IF(Z12&lt;0,MAX(AX$6:AX11)+1,0)</f>
        <v>2</v>
      </c>
      <c r="AY12" s="39">
        <f t="shared" si="23"/>
        <v>2</v>
      </c>
      <c r="AZ12" s="39">
        <f t="shared" si="35"/>
        <v>1</v>
      </c>
      <c r="BA12" s="19"/>
      <c r="BB12" s="19">
        <v>0</v>
      </c>
      <c r="BC12" s="19">
        <v>0</v>
      </c>
      <c r="BD12" s="65">
        <f t="shared" si="24"/>
        <v>2</v>
      </c>
      <c r="BE12" s="65">
        <f t="shared" si="25"/>
        <v>1</v>
      </c>
      <c r="BF12" s="19"/>
      <c r="BG12" s="53">
        <v>5</v>
      </c>
      <c r="BH12" s="39">
        <v>5</v>
      </c>
      <c r="BI12" s="54">
        <v>5</v>
      </c>
      <c r="BJ12" s="54">
        <v>4</v>
      </c>
      <c r="BK12" s="54" t="s">
        <v>3</v>
      </c>
      <c r="BL12" s="4">
        <f t="shared" si="31"/>
        <v>1</v>
      </c>
      <c r="BM12" s="18"/>
      <c r="BN12" s="18"/>
      <c r="BO12" s="18"/>
      <c r="BP12" s="18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</row>
    <row r="13" spans="1:96" ht="12" customHeight="1" x14ac:dyDescent="0.25">
      <c r="A13" s="3"/>
      <c r="B13" s="23">
        <f t="shared" si="7"/>
        <v>7</v>
      </c>
      <c r="C13" s="48">
        <v>468397.28129999997</v>
      </c>
      <c r="D13" s="48">
        <v>7614955.25</v>
      </c>
      <c r="E13" s="14"/>
      <c r="F13" s="48">
        <v>468797.28129999997</v>
      </c>
      <c r="G13" s="48">
        <v>7612842.75</v>
      </c>
      <c r="H13" s="29" t="s">
        <v>23</v>
      </c>
      <c r="I13" s="30" t="s">
        <v>49</v>
      </c>
      <c r="J13" s="30">
        <v>911</v>
      </c>
      <c r="K13" s="14"/>
      <c r="L13" s="27">
        <f t="shared" si="26"/>
        <v>1242.5402407970537</v>
      </c>
      <c r="M13" s="14"/>
      <c r="N13" s="62">
        <f t="shared" si="27"/>
        <v>6</v>
      </c>
      <c r="O13" s="6">
        <f t="shared" si="8"/>
        <v>7</v>
      </c>
      <c r="P13" s="38" t="str">
        <f t="shared" si="9"/>
        <v/>
      </c>
      <c r="Q13" s="28">
        <f t="shared" si="32"/>
        <v>7</v>
      </c>
      <c r="R13" s="48">
        <v>468797.28129999997</v>
      </c>
      <c r="S13" s="48">
        <v>7612842.75</v>
      </c>
      <c r="T13" s="29" t="s">
        <v>23</v>
      </c>
      <c r="U13" s="30" t="s">
        <v>49</v>
      </c>
      <c r="V13" s="30">
        <v>911</v>
      </c>
      <c r="W13" s="25">
        <f t="shared" si="28"/>
        <v>4625</v>
      </c>
      <c r="X13" s="25">
        <f t="shared" si="29"/>
        <v>4912.5</v>
      </c>
      <c r="Y13" s="25">
        <f t="shared" si="10"/>
        <v>-5</v>
      </c>
      <c r="Z13" s="38">
        <f t="shared" si="33"/>
        <v>58</v>
      </c>
      <c r="AA13" s="16"/>
      <c r="AB13" s="40" t="str">
        <f t="shared" si="11"/>
        <v/>
      </c>
      <c r="AC13" s="40" t="str">
        <f t="shared" ref="AC13:AK13" si="39">IF($O13&lt;=AC$4,$O13+AB$6,"")</f>
        <v/>
      </c>
      <c r="AD13" s="40" t="str">
        <f t="shared" si="39"/>
        <v/>
      </c>
      <c r="AE13" s="40" t="str">
        <f t="shared" si="39"/>
        <v/>
      </c>
      <c r="AF13" s="40" t="str">
        <f t="shared" si="39"/>
        <v/>
      </c>
      <c r="AG13" s="40" t="str">
        <f t="shared" si="39"/>
        <v/>
      </c>
      <c r="AH13" s="40" t="str">
        <f t="shared" si="39"/>
        <v/>
      </c>
      <c r="AI13" s="40" t="str">
        <f t="shared" si="39"/>
        <v/>
      </c>
      <c r="AJ13" s="40" t="str">
        <f t="shared" si="39"/>
        <v/>
      </c>
      <c r="AK13" s="40" t="str">
        <f t="shared" si="39"/>
        <v/>
      </c>
      <c r="AL13" s="16"/>
      <c r="AM13" s="40">
        <f t="shared" si="13"/>
        <v>468047.28129999997</v>
      </c>
      <c r="AN13" s="40">
        <f t="shared" si="14"/>
        <v>467172.28129999997</v>
      </c>
      <c r="AO13" s="40">
        <f t="shared" si="15"/>
        <v>465672.28129999997</v>
      </c>
      <c r="AP13" s="40">
        <f t="shared" si="16"/>
        <v>464784.78129999997</v>
      </c>
      <c r="AQ13" s="40">
        <f t="shared" si="17"/>
        <v>464909.78129999997</v>
      </c>
      <c r="AR13" s="40">
        <f t="shared" si="18"/>
        <v>464172.28129999997</v>
      </c>
      <c r="AS13" s="40" t="str">
        <f t="shared" si="19"/>
        <v>x</v>
      </c>
      <c r="AT13" s="40" t="str">
        <f t="shared" si="20"/>
        <v>x</v>
      </c>
      <c r="AU13" s="40" t="str">
        <f t="shared" si="21"/>
        <v>x</v>
      </c>
      <c r="AV13" s="40" t="str">
        <f t="shared" si="22"/>
        <v>x</v>
      </c>
      <c r="AW13" s="18"/>
      <c r="AX13" s="39">
        <f>IF(Z13&lt;0,MAX(AX$6:AX12)+1,0)</f>
        <v>0</v>
      </c>
      <c r="AY13" s="39">
        <f t="shared" si="23"/>
        <v>2</v>
      </c>
      <c r="AZ13" s="39">
        <f t="shared" si="35"/>
        <v>2</v>
      </c>
      <c r="BA13" s="19"/>
      <c r="BB13" s="19">
        <v>0</v>
      </c>
      <c r="BC13" s="19">
        <v>0</v>
      </c>
      <c r="BD13" s="65">
        <f t="shared" si="24"/>
        <v>2</v>
      </c>
      <c r="BE13" s="65">
        <f t="shared" si="25"/>
        <v>2</v>
      </c>
      <c r="BF13" s="19"/>
      <c r="BG13" s="39">
        <v>6</v>
      </c>
      <c r="BH13" s="39">
        <v>6</v>
      </c>
      <c r="BI13" s="54">
        <v>6</v>
      </c>
      <c r="BJ13" s="54">
        <v>-5</v>
      </c>
      <c r="BK13" s="54" t="s">
        <v>3</v>
      </c>
      <c r="BL13" s="4" t="str">
        <f t="shared" si="31"/>
        <v/>
      </c>
      <c r="BM13" s="18"/>
      <c r="BN13" s="18"/>
      <c r="BO13" s="18"/>
      <c r="BP13" s="18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</row>
    <row r="14" spans="1:96" ht="12" customHeight="1" x14ac:dyDescent="0.25">
      <c r="A14" s="3"/>
      <c r="B14" s="23">
        <f t="shared" si="7"/>
        <v>8</v>
      </c>
      <c r="C14" s="48">
        <v>468047.28129999997</v>
      </c>
      <c r="D14" s="48">
        <v>7614180.25</v>
      </c>
      <c r="E14" s="14"/>
      <c r="F14" s="48">
        <v>467797.28129999997</v>
      </c>
      <c r="G14" s="48">
        <v>7613980.25</v>
      </c>
      <c r="H14" s="29" t="s">
        <v>22</v>
      </c>
      <c r="I14" s="30" t="s">
        <v>50</v>
      </c>
      <c r="J14" s="30">
        <v>888</v>
      </c>
      <c r="K14" s="14"/>
      <c r="L14" s="27">
        <f t="shared" si="26"/>
        <v>1514.5647064420853</v>
      </c>
      <c r="M14" s="14"/>
      <c r="N14" s="62">
        <f t="shared" si="27"/>
        <v>7</v>
      </c>
      <c r="O14" s="6">
        <f t="shared" si="8"/>
        <v>8</v>
      </c>
      <c r="P14" s="38" t="str">
        <f t="shared" si="9"/>
        <v/>
      </c>
      <c r="Q14" s="28">
        <f t="shared" si="32"/>
        <v>8</v>
      </c>
      <c r="R14" s="48">
        <v>467797.28129999997</v>
      </c>
      <c r="S14" s="48">
        <v>7613980.25</v>
      </c>
      <c r="T14" s="29" t="s">
        <v>22</v>
      </c>
      <c r="U14" s="30" t="s">
        <v>50</v>
      </c>
      <c r="V14" s="30">
        <v>888</v>
      </c>
      <c r="W14" s="25">
        <f t="shared" si="28"/>
        <v>3625</v>
      </c>
      <c r="X14" s="25">
        <f t="shared" si="29"/>
        <v>6050</v>
      </c>
      <c r="Y14" s="25">
        <f t="shared" si="10"/>
        <v>-6</v>
      </c>
      <c r="Z14" s="38">
        <f t="shared" si="33"/>
        <v>23</v>
      </c>
      <c r="AA14" s="16"/>
      <c r="AB14" s="40" t="str">
        <f t="shared" si="11"/>
        <v/>
      </c>
      <c r="AC14" s="40" t="str">
        <f t="shared" ref="AC14:AK14" si="40">IF($O14&lt;=AC$4,$O14+AB$6,"")</f>
        <v/>
      </c>
      <c r="AD14" s="40" t="str">
        <f t="shared" si="40"/>
        <v/>
      </c>
      <c r="AE14" s="40" t="str">
        <f t="shared" si="40"/>
        <v/>
      </c>
      <c r="AF14" s="40" t="str">
        <f t="shared" si="40"/>
        <v/>
      </c>
      <c r="AG14" s="40" t="str">
        <f t="shared" si="40"/>
        <v/>
      </c>
      <c r="AH14" s="40" t="str">
        <f t="shared" si="40"/>
        <v/>
      </c>
      <c r="AI14" s="40" t="str">
        <f t="shared" si="40"/>
        <v/>
      </c>
      <c r="AJ14" s="40" t="str">
        <f t="shared" si="40"/>
        <v/>
      </c>
      <c r="AK14" s="40" t="str">
        <f t="shared" si="40"/>
        <v/>
      </c>
      <c r="AL14" s="16"/>
      <c r="AM14" s="40">
        <f t="shared" si="13"/>
        <v>468047.28129999997</v>
      </c>
      <c r="AN14" s="40">
        <f t="shared" si="14"/>
        <v>467172.28129999997</v>
      </c>
      <c r="AO14" s="40">
        <f t="shared" si="15"/>
        <v>465672.28129999997</v>
      </c>
      <c r="AP14" s="40">
        <f t="shared" si="16"/>
        <v>464784.78129999997</v>
      </c>
      <c r="AQ14" s="40">
        <f t="shared" si="17"/>
        <v>464909.78129999997</v>
      </c>
      <c r="AR14" s="40">
        <f t="shared" si="18"/>
        <v>464172.28129999997</v>
      </c>
      <c r="AS14" s="40" t="str">
        <f t="shared" si="19"/>
        <v>x</v>
      </c>
      <c r="AT14" s="40" t="str">
        <f t="shared" si="20"/>
        <v>x</v>
      </c>
      <c r="AU14" s="40" t="str">
        <f t="shared" si="21"/>
        <v>x</v>
      </c>
      <c r="AV14" s="40" t="str">
        <f t="shared" si="22"/>
        <v>x</v>
      </c>
      <c r="AW14" s="18"/>
      <c r="AX14" s="39">
        <f>IF(Z14&lt;0,MAX(AX$6:AX13)+1,0)</f>
        <v>0</v>
      </c>
      <c r="AY14" s="39">
        <f t="shared" si="23"/>
        <v>2</v>
      </c>
      <c r="AZ14" s="39">
        <f t="shared" si="35"/>
        <v>3</v>
      </c>
      <c r="BA14" s="19"/>
      <c r="BB14" s="19">
        <v>0</v>
      </c>
      <c r="BC14" s="19">
        <v>0</v>
      </c>
      <c r="BD14" s="65">
        <f t="shared" si="24"/>
        <v>2</v>
      </c>
      <c r="BE14" s="65">
        <f t="shared" si="25"/>
        <v>3</v>
      </c>
      <c r="BF14" s="19"/>
      <c r="BG14" s="55">
        <v>7</v>
      </c>
      <c r="BH14" s="39">
        <v>7</v>
      </c>
      <c r="BI14" s="57">
        <v>4</v>
      </c>
      <c r="BJ14" s="57">
        <v>-6</v>
      </c>
      <c r="BK14" s="54" t="s">
        <v>3</v>
      </c>
      <c r="BL14" s="4">
        <f t="shared" si="31"/>
        <v>1</v>
      </c>
      <c r="BM14" s="18"/>
      <c r="BN14" s="18"/>
      <c r="BO14" s="18"/>
      <c r="BP14" s="18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</row>
    <row r="15" spans="1:96" ht="12" customHeight="1" x14ac:dyDescent="0.25">
      <c r="A15" s="3"/>
      <c r="B15" s="23">
        <f t="shared" si="7"/>
        <v>9</v>
      </c>
      <c r="C15" s="48">
        <v>468834.78129999997</v>
      </c>
      <c r="D15" s="48">
        <v>7614292.75</v>
      </c>
      <c r="E15" s="14"/>
      <c r="F15" s="48">
        <v>467172.28129999997</v>
      </c>
      <c r="G15" s="48">
        <v>7613492.75</v>
      </c>
      <c r="H15" s="29" t="s">
        <v>21</v>
      </c>
      <c r="I15" s="30" t="s">
        <v>51</v>
      </c>
      <c r="J15" s="30">
        <v>880</v>
      </c>
      <c r="K15" s="14"/>
      <c r="L15" s="27">
        <f t="shared" si="26"/>
        <v>792.64194312438451</v>
      </c>
      <c r="M15" s="14"/>
      <c r="N15" s="62">
        <f t="shared" si="27"/>
        <v>8</v>
      </c>
      <c r="O15" s="6">
        <f t="shared" si="8"/>
        <v>9</v>
      </c>
      <c r="P15" s="38" t="str">
        <f t="shared" si="9"/>
        <v/>
      </c>
      <c r="Q15" s="28">
        <f t="shared" si="32"/>
        <v>9</v>
      </c>
      <c r="R15" s="48">
        <v>467172.28129999997</v>
      </c>
      <c r="S15" s="48">
        <v>7613492.75</v>
      </c>
      <c r="T15" s="29" t="s">
        <v>21</v>
      </c>
      <c r="U15" s="30" t="s">
        <v>51</v>
      </c>
      <c r="V15" s="30">
        <v>880</v>
      </c>
      <c r="W15" s="25">
        <f t="shared" si="28"/>
        <v>3000</v>
      </c>
      <c r="X15" s="25">
        <f t="shared" si="29"/>
        <v>5562.5</v>
      </c>
      <c r="Y15" s="25">
        <f t="shared" si="10"/>
        <v>-7</v>
      </c>
      <c r="Z15" s="38">
        <f t="shared" si="33"/>
        <v>8</v>
      </c>
      <c r="AA15" s="16"/>
      <c r="AB15" s="40" t="str">
        <f t="shared" si="11"/>
        <v/>
      </c>
      <c r="AC15" s="40" t="str">
        <f t="shared" ref="AC15:AK15" si="41">IF($O15&lt;=AC$4,$O15+AB$6,"")</f>
        <v/>
      </c>
      <c r="AD15" s="40" t="str">
        <f t="shared" si="41"/>
        <v/>
      </c>
      <c r="AE15" s="40" t="str">
        <f t="shared" si="41"/>
        <v/>
      </c>
      <c r="AF15" s="40" t="str">
        <f t="shared" si="41"/>
        <v/>
      </c>
      <c r="AG15" s="40" t="str">
        <f t="shared" si="41"/>
        <v/>
      </c>
      <c r="AH15" s="40" t="str">
        <f t="shared" si="41"/>
        <v/>
      </c>
      <c r="AI15" s="40" t="str">
        <f t="shared" si="41"/>
        <v/>
      </c>
      <c r="AJ15" s="40" t="str">
        <f t="shared" si="41"/>
        <v/>
      </c>
      <c r="AK15" s="40" t="str">
        <f t="shared" si="41"/>
        <v/>
      </c>
      <c r="AL15" s="16"/>
      <c r="AM15" s="40">
        <f t="shared" si="13"/>
        <v>468047.28129999997</v>
      </c>
      <c r="AN15" s="40">
        <f t="shared" si="14"/>
        <v>467172.28129999997</v>
      </c>
      <c r="AO15" s="40">
        <f t="shared" si="15"/>
        <v>465672.28129999997</v>
      </c>
      <c r="AP15" s="40">
        <f t="shared" si="16"/>
        <v>464784.78129999997</v>
      </c>
      <c r="AQ15" s="40">
        <f t="shared" si="17"/>
        <v>464909.78129999997</v>
      </c>
      <c r="AR15" s="40">
        <f t="shared" si="18"/>
        <v>464172.28129999997</v>
      </c>
      <c r="AS15" s="40" t="str">
        <f t="shared" si="19"/>
        <v>x</v>
      </c>
      <c r="AT15" s="40" t="str">
        <f t="shared" si="20"/>
        <v>x</v>
      </c>
      <c r="AU15" s="40" t="str">
        <f t="shared" si="21"/>
        <v>x</v>
      </c>
      <c r="AV15" s="40" t="str">
        <f t="shared" si="22"/>
        <v>x</v>
      </c>
      <c r="AW15" s="18"/>
      <c r="AX15" s="39">
        <f>IF(Z15&lt;0,MAX(AX$6:AX14)+1,0)</f>
        <v>0</v>
      </c>
      <c r="AY15" s="39">
        <f t="shared" si="23"/>
        <v>2</v>
      </c>
      <c r="AZ15" s="39">
        <f t="shared" si="35"/>
        <v>4</v>
      </c>
      <c r="BA15" s="19"/>
      <c r="BB15" s="19">
        <v>0</v>
      </c>
      <c r="BC15" s="19">
        <v>0</v>
      </c>
      <c r="BD15" s="65">
        <f t="shared" si="24"/>
        <v>2</v>
      </c>
      <c r="BE15" s="65">
        <f t="shared" si="25"/>
        <v>4</v>
      </c>
      <c r="BF15" s="19"/>
      <c r="BG15" s="53">
        <v>8</v>
      </c>
      <c r="BH15" s="39">
        <v>8</v>
      </c>
      <c r="BI15" s="54">
        <v>5</v>
      </c>
      <c r="BJ15" s="54">
        <v>-7</v>
      </c>
      <c r="BK15" s="54" t="s">
        <v>3</v>
      </c>
      <c r="BL15" s="4" t="str">
        <f t="shared" si="31"/>
        <v/>
      </c>
      <c r="BM15" s="18"/>
      <c r="BN15" s="18"/>
      <c r="BO15" s="18"/>
      <c r="BP15" s="18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</row>
    <row r="16" spans="1:96" ht="12" customHeight="1" x14ac:dyDescent="0.25">
      <c r="A16" s="3"/>
      <c r="B16" s="23">
        <f t="shared" si="7"/>
        <v>10</v>
      </c>
      <c r="C16" s="48">
        <v>468047.28129999997</v>
      </c>
      <c r="D16" s="48">
        <v>7614180.25</v>
      </c>
      <c r="E16" s="14"/>
      <c r="F16" s="48">
        <v>468434.78129999997</v>
      </c>
      <c r="G16" s="48">
        <v>7611380.25</v>
      </c>
      <c r="H16" s="29" t="s">
        <v>20</v>
      </c>
      <c r="I16" s="30" t="s">
        <v>49</v>
      </c>
      <c r="J16" s="30">
        <v>911</v>
      </c>
      <c r="K16" s="14"/>
      <c r="L16" s="27">
        <f t="shared" si="26"/>
        <v>2461.008431517454</v>
      </c>
      <c r="M16" s="14"/>
      <c r="N16" s="62">
        <f t="shared" si="27"/>
        <v>9</v>
      </c>
      <c r="O16" s="6">
        <f t="shared" si="8"/>
        <v>10</v>
      </c>
      <c r="P16" s="38" t="str">
        <f t="shared" si="9"/>
        <v/>
      </c>
      <c r="Q16" s="28">
        <f t="shared" si="32"/>
        <v>10</v>
      </c>
      <c r="R16" s="48">
        <v>468434.78129999997</v>
      </c>
      <c r="S16" s="48">
        <v>7611380.25</v>
      </c>
      <c r="T16" s="29" t="s">
        <v>20</v>
      </c>
      <c r="U16" s="30" t="s">
        <v>49</v>
      </c>
      <c r="V16" s="30">
        <v>911</v>
      </c>
      <c r="W16" s="25">
        <f t="shared" si="28"/>
        <v>4262.5</v>
      </c>
      <c r="X16" s="25">
        <f t="shared" si="29"/>
        <v>3450</v>
      </c>
      <c r="Y16" s="25">
        <f t="shared" si="10"/>
        <v>8</v>
      </c>
      <c r="Z16" s="38">
        <f t="shared" si="33"/>
        <v>-31</v>
      </c>
      <c r="AA16" s="16"/>
      <c r="AB16" s="29"/>
      <c r="AC16" s="29"/>
      <c r="AD16" s="29"/>
      <c r="AE16" s="29"/>
      <c r="AF16" s="29"/>
      <c r="AG16" s="29"/>
      <c r="AH16" s="29"/>
      <c r="AI16" s="29"/>
      <c r="AJ16" s="29"/>
      <c r="AK16" s="29"/>
      <c r="AL16" s="16"/>
      <c r="AM16" s="18"/>
      <c r="AN16" s="18"/>
      <c r="AO16" s="18"/>
      <c r="AP16" s="18"/>
      <c r="AQ16" s="18"/>
      <c r="AR16" s="18"/>
      <c r="AS16" s="18"/>
      <c r="AT16" s="18"/>
      <c r="AU16" s="18"/>
      <c r="AV16" s="18"/>
      <c r="AW16" s="18"/>
      <c r="AX16" s="39">
        <f>IF(Z16&lt;0,MAX(AX$6:AX15)+1,0)</f>
        <v>3</v>
      </c>
      <c r="AY16" s="39">
        <f t="shared" si="23"/>
        <v>3</v>
      </c>
      <c r="AZ16" s="39">
        <f t="shared" si="35"/>
        <v>1</v>
      </c>
      <c r="BA16" s="19"/>
      <c r="BB16" s="19">
        <v>0</v>
      </c>
      <c r="BC16" s="19">
        <v>0</v>
      </c>
      <c r="BD16" s="65">
        <f t="shared" si="24"/>
        <v>3</v>
      </c>
      <c r="BE16" s="65">
        <f t="shared" si="25"/>
        <v>1</v>
      </c>
      <c r="BF16" s="19"/>
      <c r="BG16" s="55">
        <v>9</v>
      </c>
      <c r="BH16" s="39">
        <v>9</v>
      </c>
      <c r="BI16" s="54">
        <v>7</v>
      </c>
      <c r="BJ16" s="54">
        <v>8</v>
      </c>
      <c r="BK16" s="54" t="s">
        <v>3</v>
      </c>
      <c r="BL16" s="4">
        <f t="shared" si="31"/>
        <v>1</v>
      </c>
      <c r="BM16" s="18"/>
      <c r="BN16" s="18"/>
      <c r="BO16" s="18"/>
      <c r="BP16" s="18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</row>
    <row r="17" spans="1:96" ht="12" customHeight="1" x14ac:dyDescent="0.25">
      <c r="A17" s="3"/>
      <c r="B17" s="23">
        <f t="shared" si="7"/>
        <v>11</v>
      </c>
      <c r="C17" s="48">
        <v>467797.28129999997</v>
      </c>
      <c r="D17" s="48">
        <v>7613980.25</v>
      </c>
      <c r="E17" s="14"/>
      <c r="F17" s="48">
        <v>467384.78129999997</v>
      </c>
      <c r="G17" s="48">
        <v>7612080.25</v>
      </c>
      <c r="H17" s="29" t="s">
        <v>19</v>
      </c>
      <c r="I17" s="30" t="s">
        <v>52</v>
      </c>
      <c r="J17" s="30">
        <v>896</v>
      </c>
      <c r="K17" s="14"/>
      <c r="L17" s="27">
        <f t="shared" si="26"/>
        <v>1261.9429464123962</v>
      </c>
      <c r="M17" s="14"/>
      <c r="N17" s="62">
        <f t="shared" si="27"/>
        <v>10</v>
      </c>
      <c r="O17" s="6">
        <f t="shared" si="8"/>
        <v>11</v>
      </c>
      <c r="P17" s="38" t="str">
        <f t="shared" si="9"/>
        <v/>
      </c>
      <c r="Q17" s="28">
        <f t="shared" si="32"/>
        <v>11</v>
      </c>
      <c r="R17" s="48">
        <v>467384.78129999997</v>
      </c>
      <c r="S17" s="48">
        <v>7612080.25</v>
      </c>
      <c r="T17" s="29" t="s">
        <v>19</v>
      </c>
      <c r="U17" s="30" t="s">
        <v>52</v>
      </c>
      <c r="V17" s="30">
        <v>896</v>
      </c>
      <c r="W17" s="25">
        <f t="shared" si="28"/>
        <v>3212.5</v>
      </c>
      <c r="X17" s="25">
        <f t="shared" si="29"/>
        <v>4150</v>
      </c>
      <c r="Y17" s="25">
        <f t="shared" si="10"/>
        <v>-7</v>
      </c>
      <c r="Z17" s="38">
        <f t="shared" si="33"/>
        <v>15</v>
      </c>
      <c r="AA17" s="16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16"/>
      <c r="AM17" s="63">
        <v>2</v>
      </c>
      <c r="AN17" s="63">
        <v>2</v>
      </c>
      <c r="AO17" s="63">
        <v>2</v>
      </c>
      <c r="AP17" s="63">
        <v>2</v>
      </c>
      <c r="AQ17" s="63">
        <v>2</v>
      </c>
      <c r="AR17" s="63">
        <v>2</v>
      </c>
      <c r="AS17" s="63">
        <v>2</v>
      </c>
      <c r="AT17" s="63">
        <v>2</v>
      </c>
      <c r="AU17" s="63">
        <v>2</v>
      </c>
      <c r="AV17" s="63">
        <v>2</v>
      </c>
      <c r="AW17" s="17"/>
      <c r="AX17" s="39">
        <f>IF(Z17&lt;0,MAX(AX$6:AX16)+1,0)</f>
        <v>0</v>
      </c>
      <c r="AY17" s="39">
        <f t="shared" si="23"/>
        <v>3</v>
      </c>
      <c r="AZ17" s="39">
        <f t="shared" si="35"/>
        <v>2</v>
      </c>
      <c r="BA17" s="19"/>
      <c r="BB17" s="19">
        <v>1</v>
      </c>
      <c r="BC17" s="19">
        <v>-2</v>
      </c>
      <c r="BD17" s="65">
        <f t="shared" si="24"/>
        <v>4</v>
      </c>
      <c r="BE17" s="65">
        <f t="shared" si="25"/>
        <v>0</v>
      </c>
      <c r="BF17" s="19"/>
      <c r="BG17" s="53">
        <v>10</v>
      </c>
      <c r="BH17" s="39">
        <v>10</v>
      </c>
      <c r="BI17" s="54">
        <v>8</v>
      </c>
      <c r="BJ17" s="54">
        <v>-7</v>
      </c>
      <c r="BK17" s="54" t="s">
        <v>3</v>
      </c>
      <c r="BL17" s="4" t="str">
        <f t="shared" si="31"/>
        <v/>
      </c>
      <c r="BM17" s="18"/>
      <c r="BN17" s="18"/>
      <c r="BO17" s="18"/>
      <c r="BP17" s="18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</row>
    <row r="18" spans="1:96" ht="12" customHeight="1" x14ac:dyDescent="0.25">
      <c r="A18" s="3"/>
      <c r="B18" s="23">
        <f t="shared" si="7"/>
        <v>12</v>
      </c>
      <c r="C18" s="48">
        <v>469934.78129999997</v>
      </c>
      <c r="D18" s="48">
        <v>7612342.75</v>
      </c>
      <c r="E18" s="14"/>
      <c r="F18" s="48">
        <v>466597.28129999997</v>
      </c>
      <c r="G18" s="48">
        <v>7613155.25</v>
      </c>
      <c r="H18" s="29" t="s">
        <v>18</v>
      </c>
      <c r="I18" s="30" t="s">
        <v>51</v>
      </c>
      <c r="J18" s="30">
        <v>880</v>
      </c>
      <c r="K18" s="14"/>
      <c r="L18" s="27">
        <f t="shared" si="26"/>
        <v>1332.5844250928344</v>
      </c>
      <c r="M18" s="14"/>
      <c r="N18" s="62">
        <f t="shared" si="27"/>
        <v>11</v>
      </c>
      <c r="O18" s="6">
        <f t="shared" si="8"/>
        <v>12</v>
      </c>
      <c r="P18" s="38" t="str">
        <f t="shared" si="9"/>
        <v/>
      </c>
      <c r="Q18" s="28">
        <f t="shared" si="32"/>
        <v>12</v>
      </c>
      <c r="R18" s="48">
        <v>466597.28129999997</v>
      </c>
      <c r="S18" s="48">
        <v>7613155.25</v>
      </c>
      <c r="T18" s="29" t="s">
        <v>18</v>
      </c>
      <c r="U18" s="30" t="s">
        <v>51</v>
      </c>
      <c r="V18" s="30">
        <v>880</v>
      </c>
      <c r="W18" s="25">
        <f t="shared" si="28"/>
        <v>2425</v>
      </c>
      <c r="X18" s="25">
        <f t="shared" si="29"/>
        <v>5225</v>
      </c>
      <c r="Y18" s="25">
        <f t="shared" si="10"/>
        <v>-8</v>
      </c>
      <c r="Z18" s="38">
        <f t="shared" si="33"/>
        <v>16</v>
      </c>
      <c r="AA18" s="16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16"/>
      <c r="AM18" s="17" t="s">
        <v>34</v>
      </c>
      <c r="AN18" s="17" t="s">
        <v>34</v>
      </c>
      <c r="AO18" s="17" t="s">
        <v>34</v>
      </c>
      <c r="AP18" s="17" t="s">
        <v>34</v>
      </c>
      <c r="AQ18" s="17" t="s">
        <v>34</v>
      </c>
      <c r="AR18" s="17" t="s">
        <v>34</v>
      </c>
      <c r="AS18" s="17" t="s">
        <v>34</v>
      </c>
      <c r="AT18" s="17" t="s">
        <v>34</v>
      </c>
      <c r="AU18" s="17" t="s">
        <v>34</v>
      </c>
      <c r="AV18" s="17" t="s">
        <v>34</v>
      </c>
      <c r="AW18" s="17"/>
      <c r="AX18" s="39">
        <f>IF(Z18&lt;0,MAX(AX$6:AX17)+1,0)</f>
        <v>0</v>
      </c>
      <c r="AY18" s="39">
        <f t="shared" si="23"/>
        <v>3</v>
      </c>
      <c r="AZ18" s="39">
        <f t="shared" si="35"/>
        <v>3</v>
      </c>
      <c r="BA18" s="19"/>
      <c r="BB18" s="19">
        <v>1</v>
      </c>
      <c r="BC18" s="19">
        <v>-2</v>
      </c>
      <c r="BD18" s="65">
        <f t="shared" si="24"/>
        <v>4</v>
      </c>
      <c r="BE18" s="65">
        <f t="shared" si="25"/>
        <v>1</v>
      </c>
      <c r="BF18" s="19"/>
      <c r="BG18" s="55">
        <v>11</v>
      </c>
      <c r="BH18" s="39">
        <v>11</v>
      </c>
      <c r="BI18" s="57">
        <v>9</v>
      </c>
      <c r="BJ18" s="57">
        <v>-8</v>
      </c>
      <c r="BK18" s="54" t="s">
        <v>3</v>
      </c>
      <c r="BL18" s="4" t="str">
        <f t="shared" si="31"/>
        <v/>
      </c>
      <c r="BM18" s="18"/>
      <c r="BN18" s="18"/>
      <c r="BO18" s="18"/>
      <c r="BP18" s="18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</row>
    <row r="19" spans="1:96" ht="12" customHeight="1" x14ac:dyDescent="0.25">
      <c r="A19" s="3"/>
      <c r="B19" s="23">
        <f t="shared" si="7"/>
        <v>13</v>
      </c>
      <c r="C19" s="48">
        <v>468797.28129999997</v>
      </c>
      <c r="D19" s="48">
        <v>7612842.75</v>
      </c>
      <c r="E19" s="14"/>
      <c r="F19" s="48">
        <v>465672.28129999997</v>
      </c>
      <c r="G19" s="48">
        <v>7613092.75</v>
      </c>
      <c r="H19" s="29" t="s">
        <v>17</v>
      </c>
      <c r="I19" s="30" t="s">
        <v>51</v>
      </c>
      <c r="J19" s="30">
        <v>880</v>
      </c>
      <c r="K19" s="14"/>
      <c r="L19" s="27">
        <f t="shared" si="26"/>
        <v>927.10908203943291</v>
      </c>
      <c r="M19" s="14"/>
      <c r="N19" s="62">
        <f t="shared" si="27"/>
        <v>12</v>
      </c>
      <c r="O19" s="6">
        <f t="shared" si="8"/>
        <v>13</v>
      </c>
      <c r="P19" s="38" t="str">
        <f t="shared" si="9"/>
        <v/>
      </c>
      <c r="Q19" s="28">
        <f t="shared" si="32"/>
        <v>13</v>
      </c>
      <c r="R19" s="48">
        <v>465672.28129999997</v>
      </c>
      <c r="S19" s="48">
        <v>7613092.75</v>
      </c>
      <c r="T19" s="29" t="s">
        <v>17</v>
      </c>
      <c r="U19" s="30" t="s">
        <v>51</v>
      </c>
      <c r="V19" s="30">
        <v>880</v>
      </c>
      <c r="W19" s="25">
        <f t="shared" si="28"/>
        <v>1500</v>
      </c>
      <c r="X19" s="25">
        <f t="shared" si="29"/>
        <v>5162.5</v>
      </c>
      <c r="Y19" s="25">
        <f t="shared" si="10"/>
        <v>-9</v>
      </c>
      <c r="Z19" s="38">
        <f t="shared" si="33"/>
        <v>0</v>
      </c>
      <c r="AA19" s="16"/>
      <c r="AB19" s="40">
        <f t="shared" ref="AB19:AK27" si="42">AB7</f>
        <v>1</v>
      </c>
      <c r="AC19" s="40">
        <f t="shared" si="42"/>
        <v>6</v>
      </c>
      <c r="AD19" s="40">
        <f t="shared" si="42"/>
        <v>10</v>
      </c>
      <c r="AE19" s="40">
        <f t="shared" si="42"/>
        <v>14</v>
      </c>
      <c r="AF19" s="40">
        <f t="shared" si="42"/>
        <v>20</v>
      </c>
      <c r="AG19" s="40">
        <f t="shared" si="42"/>
        <v>25</v>
      </c>
      <c r="AH19" s="40" t="str">
        <f t="shared" si="42"/>
        <v/>
      </c>
      <c r="AI19" s="40" t="str">
        <f t="shared" si="42"/>
        <v/>
      </c>
      <c r="AJ19" s="40" t="str">
        <f t="shared" si="42"/>
        <v/>
      </c>
      <c r="AK19" s="40" t="str">
        <f t="shared" si="42"/>
        <v/>
      </c>
      <c r="AL19" s="16"/>
      <c r="AM19" s="40">
        <f t="shared" ref="AM19:AV25" si="43">IF(ISNUMBER(AB19),INDEX($R$7:$S$42,AB19,AM$17),AM18)</f>
        <v>7616967.75</v>
      </c>
      <c r="AN19" s="40">
        <f t="shared" si="43"/>
        <v>7612342.75</v>
      </c>
      <c r="AO19" s="40">
        <f t="shared" si="43"/>
        <v>7611380.25</v>
      </c>
      <c r="AP19" s="40">
        <f t="shared" si="43"/>
        <v>7613880.25</v>
      </c>
      <c r="AQ19" s="40">
        <f t="shared" si="43"/>
        <v>7609942.75</v>
      </c>
      <c r="AR19" s="40">
        <f t="shared" si="43"/>
        <v>7609305.25</v>
      </c>
      <c r="AS19" s="40" t="str">
        <f t="shared" si="43"/>
        <v>y</v>
      </c>
      <c r="AT19" s="40" t="str">
        <f t="shared" si="43"/>
        <v>y</v>
      </c>
      <c r="AU19" s="40" t="str">
        <f t="shared" si="43"/>
        <v>y</v>
      </c>
      <c r="AV19" s="40" t="str">
        <f t="shared" si="43"/>
        <v>y</v>
      </c>
      <c r="AW19" s="18"/>
      <c r="AX19" s="39">
        <f>IF(Z19&lt;0,MAX(AX$6:AX18)+1,0)</f>
        <v>0</v>
      </c>
      <c r="AY19" s="39">
        <f t="shared" si="23"/>
        <v>3</v>
      </c>
      <c r="AZ19" s="39">
        <f t="shared" si="35"/>
        <v>4</v>
      </c>
      <c r="BA19" s="19"/>
      <c r="BB19" s="19">
        <v>1</v>
      </c>
      <c r="BC19" s="19">
        <v>0</v>
      </c>
      <c r="BD19" s="65">
        <f t="shared" si="24"/>
        <v>4</v>
      </c>
      <c r="BE19" s="65">
        <f t="shared" si="25"/>
        <v>4</v>
      </c>
      <c r="BF19" s="19"/>
      <c r="BG19" s="53">
        <v>12</v>
      </c>
      <c r="BH19" s="39">
        <v>12</v>
      </c>
      <c r="BI19" s="54" t="s">
        <v>3</v>
      </c>
      <c r="BJ19" s="54">
        <v>-9</v>
      </c>
      <c r="BK19" s="54" t="s">
        <v>3</v>
      </c>
      <c r="BL19" s="4" t="str">
        <f t="shared" si="31"/>
        <v/>
      </c>
      <c r="BM19" s="18"/>
      <c r="BN19" s="18"/>
      <c r="BO19" s="18"/>
      <c r="BP19" s="18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</row>
    <row r="20" spans="1:96" ht="12" customHeight="1" x14ac:dyDescent="0.25">
      <c r="A20" s="3"/>
      <c r="B20" s="23">
        <f t="shared" si="7"/>
        <v>14</v>
      </c>
      <c r="C20" s="48">
        <v>467797.28129999997</v>
      </c>
      <c r="D20" s="48">
        <v>7613980.25</v>
      </c>
      <c r="E20" s="14"/>
      <c r="F20" s="48">
        <v>464872.28129999997</v>
      </c>
      <c r="G20" s="48">
        <v>7613880.25</v>
      </c>
      <c r="H20" s="29" t="s">
        <v>16</v>
      </c>
      <c r="I20" s="30" t="s">
        <v>53</v>
      </c>
      <c r="J20" s="30">
        <v>890</v>
      </c>
      <c r="K20" s="14"/>
      <c r="L20" s="27">
        <f t="shared" si="26"/>
        <v>1122.5668131563484</v>
      </c>
      <c r="M20" s="14"/>
      <c r="N20" s="62">
        <f t="shared" si="27"/>
        <v>13</v>
      </c>
      <c r="O20" s="6">
        <f t="shared" si="8"/>
        <v>14</v>
      </c>
      <c r="P20" s="38" t="str">
        <f t="shared" si="9"/>
        <v/>
      </c>
      <c r="Q20" s="28">
        <f t="shared" si="32"/>
        <v>14</v>
      </c>
      <c r="R20" s="48">
        <v>464872.28129999997</v>
      </c>
      <c r="S20" s="48">
        <v>7613880.25</v>
      </c>
      <c r="T20" s="29" t="s">
        <v>16</v>
      </c>
      <c r="U20" s="30" t="s">
        <v>53</v>
      </c>
      <c r="V20" s="30">
        <v>890</v>
      </c>
      <c r="W20" s="25">
        <f t="shared" si="28"/>
        <v>700</v>
      </c>
      <c r="X20" s="25">
        <f t="shared" si="29"/>
        <v>5950</v>
      </c>
      <c r="Y20" s="25">
        <f t="shared" si="10"/>
        <v>10</v>
      </c>
      <c r="Z20" s="38">
        <f t="shared" si="33"/>
        <v>-10</v>
      </c>
      <c r="AA20" s="16"/>
      <c r="AB20" s="40">
        <f t="shared" si="42"/>
        <v>2</v>
      </c>
      <c r="AC20" s="40">
        <f t="shared" si="42"/>
        <v>7</v>
      </c>
      <c r="AD20" s="40">
        <f t="shared" si="42"/>
        <v>11</v>
      </c>
      <c r="AE20" s="40">
        <f t="shared" si="42"/>
        <v>15</v>
      </c>
      <c r="AF20" s="40">
        <f t="shared" si="42"/>
        <v>21</v>
      </c>
      <c r="AG20" s="40">
        <f t="shared" si="42"/>
        <v>26</v>
      </c>
      <c r="AH20" s="40" t="str">
        <f t="shared" si="42"/>
        <v/>
      </c>
      <c r="AI20" s="40" t="str">
        <f t="shared" si="42"/>
        <v/>
      </c>
      <c r="AJ20" s="40" t="str">
        <f t="shared" si="42"/>
        <v/>
      </c>
      <c r="AK20" s="40" t="str">
        <f t="shared" si="42"/>
        <v/>
      </c>
      <c r="AL20" s="16"/>
      <c r="AM20" s="40">
        <f t="shared" si="43"/>
        <v>7616642.75</v>
      </c>
      <c r="AN20" s="40">
        <f t="shared" si="43"/>
        <v>7612842.75</v>
      </c>
      <c r="AO20" s="40">
        <f t="shared" si="43"/>
        <v>7612080.25</v>
      </c>
      <c r="AP20" s="40">
        <f t="shared" si="43"/>
        <v>7612830.25</v>
      </c>
      <c r="AQ20" s="40">
        <f t="shared" si="43"/>
        <v>7609955.25</v>
      </c>
      <c r="AR20" s="40">
        <f t="shared" si="43"/>
        <v>7607930.25</v>
      </c>
      <c r="AS20" s="40" t="str">
        <f t="shared" si="43"/>
        <v>y</v>
      </c>
      <c r="AT20" s="40" t="str">
        <f t="shared" si="43"/>
        <v>y</v>
      </c>
      <c r="AU20" s="40" t="str">
        <f t="shared" si="43"/>
        <v>y</v>
      </c>
      <c r="AV20" s="40" t="str">
        <f t="shared" si="43"/>
        <v>y</v>
      </c>
      <c r="AW20" s="18"/>
      <c r="AX20" s="39">
        <f>IF(Z20&lt;0,MAX(AX$6:AX19)+1,0)</f>
        <v>4</v>
      </c>
      <c r="AY20" s="39">
        <f t="shared" si="23"/>
        <v>4</v>
      </c>
      <c r="AZ20" s="39">
        <f t="shared" si="35"/>
        <v>1</v>
      </c>
      <c r="BA20" s="19"/>
      <c r="BB20" s="19">
        <v>1</v>
      </c>
      <c r="BC20" s="19">
        <v>0</v>
      </c>
      <c r="BD20" s="65">
        <f t="shared" si="24"/>
        <v>5</v>
      </c>
      <c r="BE20" s="65">
        <f t="shared" si="25"/>
        <v>1</v>
      </c>
      <c r="BF20" s="19"/>
      <c r="BG20" s="55">
        <v>13</v>
      </c>
      <c r="BH20" s="39">
        <v>13</v>
      </c>
      <c r="BI20" s="54" t="s">
        <v>3</v>
      </c>
      <c r="BJ20" s="54">
        <v>10</v>
      </c>
      <c r="BK20" s="54" t="s">
        <v>3</v>
      </c>
      <c r="BL20" s="4" t="str">
        <f t="shared" si="31"/>
        <v/>
      </c>
      <c r="BM20" s="18"/>
      <c r="BN20" s="18"/>
      <c r="BO20" s="18"/>
      <c r="BP20" s="18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</row>
    <row r="21" spans="1:96" ht="12" customHeight="1" x14ac:dyDescent="0.25">
      <c r="A21" s="3"/>
      <c r="B21" s="23">
        <f t="shared" si="7"/>
        <v>15</v>
      </c>
      <c r="C21" s="48">
        <v>467172.28129999997</v>
      </c>
      <c r="D21" s="48">
        <v>7613492.75</v>
      </c>
      <c r="E21" s="14"/>
      <c r="F21" s="48">
        <v>465422.28129999997</v>
      </c>
      <c r="G21" s="48">
        <v>7612830.25</v>
      </c>
      <c r="H21" s="29" t="s">
        <v>15</v>
      </c>
      <c r="I21" s="30" t="s">
        <v>54</v>
      </c>
      <c r="J21" s="30">
        <v>877</v>
      </c>
      <c r="K21" s="14"/>
      <c r="L21" s="27">
        <f t="shared" si="26"/>
        <v>1185.3269591129699</v>
      </c>
      <c r="M21" s="14"/>
      <c r="N21" s="62">
        <f t="shared" si="27"/>
        <v>14</v>
      </c>
      <c r="O21" s="6">
        <f t="shared" si="8"/>
        <v>15</v>
      </c>
      <c r="P21" s="38" t="str">
        <f t="shared" si="9"/>
        <v/>
      </c>
      <c r="Q21" s="28">
        <f t="shared" si="32"/>
        <v>15</v>
      </c>
      <c r="R21" s="48">
        <v>465422.28129999997</v>
      </c>
      <c r="S21" s="48">
        <v>7612830.25</v>
      </c>
      <c r="T21" s="29" t="s">
        <v>15</v>
      </c>
      <c r="U21" s="30" t="s">
        <v>54</v>
      </c>
      <c r="V21" s="30">
        <v>877</v>
      </c>
      <c r="W21" s="25">
        <f t="shared" si="28"/>
        <v>1250</v>
      </c>
      <c r="X21" s="25">
        <f t="shared" si="29"/>
        <v>4900</v>
      </c>
      <c r="Y21" s="25">
        <f t="shared" si="10"/>
        <v>-9</v>
      </c>
      <c r="Z21" s="38">
        <f t="shared" si="33"/>
        <v>13</v>
      </c>
      <c r="AA21" s="16"/>
      <c r="AB21" s="40">
        <f t="shared" si="42"/>
        <v>3</v>
      </c>
      <c r="AC21" s="40">
        <f t="shared" si="42"/>
        <v>8</v>
      </c>
      <c r="AD21" s="40">
        <f t="shared" si="42"/>
        <v>12</v>
      </c>
      <c r="AE21" s="40">
        <f t="shared" si="42"/>
        <v>16</v>
      </c>
      <c r="AF21" s="40">
        <f t="shared" si="42"/>
        <v>22</v>
      </c>
      <c r="AG21" s="40" t="str">
        <f t="shared" si="42"/>
        <v/>
      </c>
      <c r="AH21" s="40" t="str">
        <f t="shared" si="42"/>
        <v/>
      </c>
      <c r="AI21" s="40" t="str">
        <f t="shared" si="42"/>
        <v/>
      </c>
      <c r="AJ21" s="40" t="str">
        <f t="shared" si="42"/>
        <v/>
      </c>
      <c r="AK21" s="40" t="str">
        <f t="shared" si="42"/>
        <v/>
      </c>
      <c r="AL21" s="16"/>
      <c r="AM21" s="40">
        <f t="shared" si="43"/>
        <v>7615805.25</v>
      </c>
      <c r="AN21" s="40">
        <f t="shared" si="43"/>
        <v>7613980.25</v>
      </c>
      <c r="AO21" s="40">
        <f t="shared" si="43"/>
        <v>7613155.25</v>
      </c>
      <c r="AP21" s="40">
        <f t="shared" si="43"/>
        <v>7611667.75</v>
      </c>
      <c r="AQ21" s="40">
        <f t="shared" si="43"/>
        <v>7610467.75</v>
      </c>
      <c r="AR21" s="40">
        <f t="shared" si="43"/>
        <v>7607930.25</v>
      </c>
      <c r="AS21" s="40" t="str">
        <f t="shared" si="43"/>
        <v>y</v>
      </c>
      <c r="AT21" s="40" t="str">
        <f t="shared" si="43"/>
        <v>y</v>
      </c>
      <c r="AU21" s="40" t="str">
        <f t="shared" si="43"/>
        <v>y</v>
      </c>
      <c r="AV21" s="40" t="str">
        <f t="shared" si="43"/>
        <v>y</v>
      </c>
      <c r="AW21" s="16"/>
      <c r="AX21" s="39">
        <f>IF(Z21&lt;0,MAX(AX$6:AX20)+1,0)</f>
        <v>0</v>
      </c>
      <c r="AY21" s="39">
        <f t="shared" si="23"/>
        <v>4</v>
      </c>
      <c r="AZ21" s="39">
        <f t="shared" si="35"/>
        <v>2</v>
      </c>
      <c r="BA21" s="19"/>
      <c r="BB21" s="19">
        <v>2</v>
      </c>
      <c r="BC21" s="19">
        <v>-2</v>
      </c>
      <c r="BD21" s="65">
        <f t="shared" si="24"/>
        <v>6</v>
      </c>
      <c r="BE21" s="65">
        <f t="shared" si="25"/>
        <v>0</v>
      </c>
      <c r="BF21" s="19"/>
      <c r="BG21" s="53">
        <v>14</v>
      </c>
      <c r="BH21" s="39">
        <v>14</v>
      </c>
      <c r="BI21" s="54" t="s">
        <v>3</v>
      </c>
      <c r="BJ21" s="54">
        <v>-9</v>
      </c>
      <c r="BK21" s="54" t="s">
        <v>3</v>
      </c>
      <c r="BL21" s="4" t="str">
        <f t="shared" si="31"/>
        <v/>
      </c>
      <c r="BM21" s="16"/>
      <c r="BN21" s="16"/>
      <c r="BO21" s="16"/>
      <c r="BP21" s="18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</row>
    <row r="22" spans="1:96" ht="12" customHeight="1" x14ac:dyDescent="0.25">
      <c r="A22" s="3"/>
      <c r="B22" s="23">
        <f t="shared" si="7"/>
        <v>16</v>
      </c>
      <c r="C22" s="48">
        <v>466597.28129999997</v>
      </c>
      <c r="D22" s="48">
        <v>7613155.25</v>
      </c>
      <c r="E22" s="14"/>
      <c r="F22" s="48">
        <v>465284.78129999997</v>
      </c>
      <c r="G22" s="48">
        <v>7611667.75</v>
      </c>
      <c r="H22" s="29" t="s">
        <v>14</v>
      </c>
      <c r="I22" s="30" t="s">
        <v>55</v>
      </c>
      <c r="J22" s="30">
        <v>863</v>
      </c>
      <c r="K22" s="14"/>
      <c r="L22" s="27">
        <f t="shared" si="26"/>
        <v>1170.6034768443155</v>
      </c>
      <c r="M22" s="14"/>
      <c r="N22" s="62">
        <f t="shared" si="27"/>
        <v>15</v>
      </c>
      <c r="O22" s="6">
        <f t="shared" si="8"/>
        <v>16</v>
      </c>
      <c r="P22" s="38" t="str">
        <f t="shared" si="9"/>
        <v/>
      </c>
      <c r="Q22" s="28">
        <f t="shared" si="32"/>
        <v>16</v>
      </c>
      <c r="R22" s="48">
        <v>465284.78129999997</v>
      </c>
      <c r="S22" s="48">
        <v>7611667.75</v>
      </c>
      <c r="T22" s="29" t="s">
        <v>14</v>
      </c>
      <c r="U22" s="30" t="s">
        <v>55</v>
      </c>
      <c r="V22" s="30">
        <v>863</v>
      </c>
      <c r="W22" s="25">
        <f t="shared" si="28"/>
        <v>1112.5</v>
      </c>
      <c r="X22" s="25">
        <f t="shared" si="29"/>
        <v>3737.5</v>
      </c>
      <c r="Y22" s="25">
        <f t="shared" si="10"/>
        <v>-10</v>
      </c>
      <c r="Z22" s="38">
        <f t="shared" si="33"/>
        <v>14</v>
      </c>
      <c r="AA22" s="16"/>
      <c r="AB22" s="40">
        <f t="shared" si="42"/>
        <v>4</v>
      </c>
      <c r="AC22" s="40">
        <f t="shared" si="42"/>
        <v>9</v>
      </c>
      <c r="AD22" s="40">
        <f t="shared" si="42"/>
        <v>13</v>
      </c>
      <c r="AE22" s="40">
        <f t="shared" si="42"/>
        <v>17</v>
      </c>
      <c r="AF22" s="40">
        <f t="shared" si="42"/>
        <v>23</v>
      </c>
      <c r="AG22" s="40" t="str">
        <f t="shared" si="42"/>
        <v/>
      </c>
      <c r="AH22" s="40" t="str">
        <f t="shared" si="42"/>
        <v/>
      </c>
      <c r="AI22" s="40" t="str">
        <f t="shared" si="42"/>
        <v/>
      </c>
      <c r="AJ22" s="40" t="str">
        <f t="shared" si="42"/>
        <v/>
      </c>
      <c r="AK22" s="40" t="str">
        <f t="shared" si="42"/>
        <v/>
      </c>
      <c r="AL22" s="16"/>
      <c r="AM22" s="40">
        <f t="shared" si="43"/>
        <v>7614955.25</v>
      </c>
      <c r="AN22" s="40">
        <f t="shared" si="43"/>
        <v>7613492.75</v>
      </c>
      <c r="AO22" s="40">
        <f t="shared" si="43"/>
        <v>7613092.75</v>
      </c>
      <c r="AP22" s="40">
        <f t="shared" si="43"/>
        <v>7611405.25</v>
      </c>
      <c r="AQ22" s="40">
        <f t="shared" si="43"/>
        <v>7610505.25</v>
      </c>
      <c r="AR22" s="40">
        <f t="shared" si="43"/>
        <v>7607930.25</v>
      </c>
      <c r="AS22" s="40" t="str">
        <f t="shared" si="43"/>
        <v>y</v>
      </c>
      <c r="AT22" s="40" t="str">
        <f t="shared" si="43"/>
        <v>y</v>
      </c>
      <c r="AU22" s="40" t="str">
        <f t="shared" si="43"/>
        <v>y</v>
      </c>
      <c r="AV22" s="40" t="str">
        <f t="shared" si="43"/>
        <v>y</v>
      </c>
      <c r="AW22" s="17"/>
      <c r="AX22" s="39">
        <f>IF(Z22&lt;0,MAX(AX$6:AX21)+1,0)</f>
        <v>0</v>
      </c>
      <c r="AY22" s="39">
        <f t="shared" si="23"/>
        <v>4</v>
      </c>
      <c r="AZ22" s="39">
        <f t="shared" si="35"/>
        <v>3</v>
      </c>
      <c r="BA22" s="19"/>
      <c r="BB22" s="19">
        <v>2</v>
      </c>
      <c r="BC22" s="19">
        <v>-2</v>
      </c>
      <c r="BD22" s="65">
        <f t="shared" si="24"/>
        <v>6</v>
      </c>
      <c r="BE22" s="65">
        <f t="shared" si="25"/>
        <v>1</v>
      </c>
      <c r="BF22" s="19"/>
      <c r="BG22" s="55">
        <v>15</v>
      </c>
      <c r="BH22" s="39">
        <v>15</v>
      </c>
      <c r="BI22" s="57" t="s">
        <v>3</v>
      </c>
      <c r="BJ22" s="57">
        <v>-10</v>
      </c>
      <c r="BK22" s="54" t="s">
        <v>3</v>
      </c>
      <c r="BL22" s="4" t="str">
        <f t="shared" si="31"/>
        <v/>
      </c>
      <c r="BM22" s="17"/>
      <c r="BN22" s="17"/>
      <c r="BO22" s="17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</row>
    <row r="23" spans="1:96" ht="12" customHeight="1" x14ac:dyDescent="0.25">
      <c r="A23" s="3"/>
      <c r="B23" s="23">
        <f t="shared" si="7"/>
        <v>17</v>
      </c>
      <c r="C23" s="48">
        <v>468434.78129999997</v>
      </c>
      <c r="D23" s="48">
        <v>7611380.25</v>
      </c>
      <c r="E23" s="14"/>
      <c r="F23" s="48">
        <v>464384.78129999997</v>
      </c>
      <c r="G23" s="48">
        <v>7611405.25</v>
      </c>
      <c r="H23" s="29" t="s">
        <v>13</v>
      </c>
      <c r="I23" s="30" t="s">
        <v>56</v>
      </c>
      <c r="J23" s="30">
        <v>854</v>
      </c>
      <c r="K23" s="14"/>
      <c r="L23" s="27">
        <f t="shared" si="26"/>
        <v>937.5</v>
      </c>
      <c r="M23" s="14"/>
      <c r="N23" s="62">
        <f t="shared" si="27"/>
        <v>16</v>
      </c>
      <c r="O23" s="6">
        <f t="shared" si="8"/>
        <v>17</v>
      </c>
      <c r="P23" s="38" t="str">
        <f t="shared" si="9"/>
        <v/>
      </c>
      <c r="Q23" s="28">
        <f t="shared" si="32"/>
        <v>17</v>
      </c>
      <c r="R23" s="48">
        <v>464384.78129999997</v>
      </c>
      <c r="S23" s="48">
        <v>7611405.25</v>
      </c>
      <c r="T23" s="29" t="s">
        <v>13</v>
      </c>
      <c r="U23" s="30" t="s">
        <v>56</v>
      </c>
      <c r="V23" s="30">
        <v>854</v>
      </c>
      <c r="W23" s="25">
        <f t="shared" si="28"/>
        <v>212.5</v>
      </c>
      <c r="X23" s="25">
        <f t="shared" si="29"/>
        <v>3475</v>
      </c>
      <c r="Y23" s="25">
        <f t="shared" si="10"/>
        <v>-11</v>
      </c>
      <c r="Z23" s="38">
        <f t="shared" si="33"/>
        <v>9</v>
      </c>
      <c r="AA23" s="16"/>
      <c r="AB23" s="40">
        <f t="shared" si="42"/>
        <v>5</v>
      </c>
      <c r="AC23" s="40" t="str">
        <f t="shared" si="42"/>
        <v/>
      </c>
      <c r="AD23" s="40" t="str">
        <f t="shared" si="42"/>
        <v/>
      </c>
      <c r="AE23" s="40">
        <f t="shared" si="42"/>
        <v>18</v>
      </c>
      <c r="AF23" s="40">
        <f t="shared" si="42"/>
        <v>24</v>
      </c>
      <c r="AG23" s="40" t="str">
        <f t="shared" si="42"/>
        <v/>
      </c>
      <c r="AH23" s="40" t="str">
        <f t="shared" si="42"/>
        <v/>
      </c>
      <c r="AI23" s="40" t="str">
        <f t="shared" si="42"/>
        <v/>
      </c>
      <c r="AJ23" s="40" t="str">
        <f t="shared" si="42"/>
        <v/>
      </c>
      <c r="AK23" s="40" t="str">
        <f t="shared" si="42"/>
        <v/>
      </c>
      <c r="AL23" s="16"/>
      <c r="AM23" s="40">
        <f t="shared" si="43"/>
        <v>7614180.25</v>
      </c>
      <c r="AN23" s="40">
        <f t="shared" si="43"/>
        <v>7613492.75</v>
      </c>
      <c r="AO23" s="40">
        <f t="shared" si="43"/>
        <v>7613092.75</v>
      </c>
      <c r="AP23" s="40">
        <f t="shared" si="43"/>
        <v>7610630.25</v>
      </c>
      <c r="AQ23" s="40">
        <f t="shared" si="43"/>
        <v>7609892.75</v>
      </c>
      <c r="AR23" s="40">
        <f t="shared" si="43"/>
        <v>7607930.25</v>
      </c>
      <c r="AS23" s="40" t="str">
        <f t="shared" si="43"/>
        <v>y</v>
      </c>
      <c r="AT23" s="40" t="str">
        <f t="shared" si="43"/>
        <v>y</v>
      </c>
      <c r="AU23" s="40" t="str">
        <f t="shared" si="43"/>
        <v>y</v>
      </c>
      <c r="AV23" s="40" t="str">
        <f t="shared" si="43"/>
        <v>y</v>
      </c>
      <c r="AW23" s="16"/>
      <c r="AX23" s="39">
        <f>IF(Z23&lt;0,MAX(AX$6:AX22)+1,0)</f>
        <v>0</v>
      </c>
      <c r="AY23" s="39">
        <f t="shared" si="23"/>
        <v>4</v>
      </c>
      <c r="AZ23" s="39">
        <f t="shared" si="35"/>
        <v>4</v>
      </c>
      <c r="BA23" s="19"/>
      <c r="BB23" s="19">
        <f>BB22</f>
        <v>2</v>
      </c>
      <c r="BC23" s="19">
        <v>0</v>
      </c>
      <c r="BD23" s="65">
        <f t="shared" si="24"/>
        <v>6</v>
      </c>
      <c r="BE23" s="65">
        <f t="shared" si="25"/>
        <v>4</v>
      </c>
      <c r="BF23" s="19"/>
      <c r="BG23" s="39">
        <v>16</v>
      </c>
      <c r="BH23" s="39">
        <v>16</v>
      </c>
      <c r="BI23" s="54" t="s">
        <v>3</v>
      </c>
      <c r="BJ23" s="54">
        <v>-11</v>
      </c>
      <c r="BK23" s="54" t="s">
        <v>3</v>
      </c>
      <c r="BL23" s="4" t="str">
        <f t="shared" si="31"/>
        <v/>
      </c>
      <c r="BM23" s="16"/>
      <c r="BN23" s="16"/>
      <c r="BO23" s="16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</row>
    <row r="24" spans="1:96" ht="12" customHeight="1" x14ac:dyDescent="0.25">
      <c r="A24" s="3"/>
      <c r="B24" s="23">
        <f t="shared" si="7"/>
        <v>18</v>
      </c>
      <c r="C24" s="48">
        <v>467384.78129999997</v>
      </c>
      <c r="D24" s="48">
        <v>7612080.25</v>
      </c>
      <c r="E24" s="14"/>
      <c r="F24" s="48">
        <v>464297.28129999997</v>
      </c>
      <c r="G24" s="48">
        <v>7610630.25</v>
      </c>
      <c r="H24" s="29" t="s">
        <v>7</v>
      </c>
      <c r="I24" s="30" t="s">
        <v>57</v>
      </c>
      <c r="J24" s="30">
        <v>847</v>
      </c>
      <c r="K24" s="14"/>
      <c r="L24" s="27">
        <f t="shared" si="26"/>
        <v>779.92387449032481</v>
      </c>
      <c r="M24" s="14"/>
      <c r="N24" s="62">
        <f t="shared" si="27"/>
        <v>17</v>
      </c>
      <c r="O24" s="6">
        <f t="shared" si="8"/>
        <v>18</v>
      </c>
      <c r="P24" s="38" t="str">
        <f t="shared" si="9"/>
        <v/>
      </c>
      <c r="Q24" s="28">
        <f t="shared" si="32"/>
        <v>18</v>
      </c>
      <c r="R24" s="48">
        <v>464297.28129999997</v>
      </c>
      <c r="S24" s="48">
        <v>7610630.25</v>
      </c>
      <c r="T24" s="29" t="s">
        <v>7</v>
      </c>
      <c r="U24" s="30" t="s">
        <v>57</v>
      </c>
      <c r="V24" s="30">
        <v>847</v>
      </c>
      <c r="W24" s="25">
        <f t="shared" si="28"/>
        <v>125</v>
      </c>
      <c r="X24" s="25">
        <f t="shared" si="29"/>
        <v>2700</v>
      </c>
      <c r="Y24" s="25">
        <f t="shared" si="10"/>
        <v>-12</v>
      </c>
      <c r="Z24" s="38">
        <f t="shared" si="33"/>
        <v>7</v>
      </c>
      <c r="AA24" s="16"/>
      <c r="AB24" s="40" t="str">
        <f t="shared" si="42"/>
        <v/>
      </c>
      <c r="AC24" s="40" t="str">
        <f t="shared" si="42"/>
        <v/>
      </c>
      <c r="AD24" s="40" t="str">
        <f t="shared" si="42"/>
        <v/>
      </c>
      <c r="AE24" s="40">
        <f t="shared" si="42"/>
        <v>19</v>
      </c>
      <c r="AF24" s="40" t="str">
        <f t="shared" si="42"/>
        <v/>
      </c>
      <c r="AG24" s="40" t="str">
        <f t="shared" si="42"/>
        <v/>
      </c>
      <c r="AH24" s="40" t="str">
        <f t="shared" si="42"/>
        <v/>
      </c>
      <c r="AI24" s="40" t="str">
        <f t="shared" si="42"/>
        <v/>
      </c>
      <c r="AJ24" s="40" t="str">
        <f t="shared" si="42"/>
        <v/>
      </c>
      <c r="AK24" s="40" t="str">
        <f t="shared" si="42"/>
        <v/>
      </c>
      <c r="AL24" s="16"/>
      <c r="AM24" s="40">
        <f t="shared" si="43"/>
        <v>7614180.25</v>
      </c>
      <c r="AN24" s="40">
        <f t="shared" si="43"/>
        <v>7613492.75</v>
      </c>
      <c r="AO24" s="40">
        <f t="shared" si="43"/>
        <v>7613092.75</v>
      </c>
      <c r="AP24" s="40">
        <f t="shared" si="43"/>
        <v>7609967.75</v>
      </c>
      <c r="AQ24" s="40">
        <f t="shared" si="43"/>
        <v>7609892.75</v>
      </c>
      <c r="AR24" s="40">
        <f t="shared" si="43"/>
        <v>7607930.25</v>
      </c>
      <c r="AS24" s="40" t="str">
        <f t="shared" si="43"/>
        <v>y</v>
      </c>
      <c r="AT24" s="40" t="str">
        <f t="shared" si="43"/>
        <v>y</v>
      </c>
      <c r="AU24" s="40" t="str">
        <f t="shared" si="43"/>
        <v>y</v>
      </c>
      <c r="AV24" s="40" t="str">
        <f t="shared" si="43"/>
        <v>y</v>
      </c>
      <c r="AW24" s="16"/>
      <c r="AX24" s="39">
        <f>IF(Z24&lt;0,MAX(AX$6:AX23)+1,0)</f>
        <v>0</v>
      </c>
      <c r="AY24" s="39">
        <f t="shared" si="23"/>
        <v>4</v>
      </c>
      <c r="AZ24" s="39">
        <f t="shared" si="35"/>
        <v>5</v>
      </c>
      <c r="BA24" s="19"/>
      <c r="BB24" s="19">
        <v>3</v>
      </c>
      <c r="BC24" s="19">
        <v>-1</v>
      </c>
      <c r="BD24" s="65">
        <f t="shared" si="24"/>
        <v>7</v>
      </c>
      <c r="BE24" s="65">
        <f t="shared" si="25"/>
        <v>4</v>
      </c>
      <c r="BF24" s="19"/>
      <c r="BG24" s="55">
        <v>17</v>
      </c>
      <c r="BH24" s="39">
        <v>17</v>
      </c>
      <c r="BI24" s="54" t="s">
        <v>3</v>
      </c>
      <c r="BJ24" s="54">
        <v>-12</v>
      </c>
      <c r="BK24" s="54" t="s">
        <v>3</v>
      </c>
      <c r="BL24" s="4" t="str">
        <f t="shared" si="31"/>
        <v/>
      </c>
      <c r="BM24" s="16"/>
      <c r="BN24" s="16"/>
      <c r="BO24" s="16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</row>
    <row r="25" spans="1:96" ht="12" customHeight="1" x14ac:dyDescent="0.25">
      <c r="A25" s="3"/>
      <c r="B25" s="23">
        <f t="shared" si="7"/>
        <v>19</v>
      </c>
      <c r="C25" s="48">
        <v>466597.28129999997</v>
      </c>
      <c r="D25" s="48">
        <v>7613155.25</v>
      </c>
      <c r="E25" s="14"/>
      <c r="F25" s="48">
        <v>464784.78129999997</v>
      </c>
      <c r="G25" s="48">
        <v>7609967.75</v>
      </c>
      <c r="H25" s="29" t="s">
        <v>6</v>
      </c>
      <c r="I25" s="30" t="s">
        <v>58</v>
      </c>
      <c r="J25" s="30">
        <v>844</v>
      </c>
      <c r="K25" s="14"/>
      <c r="L25" s="27">
        <f t="shared" si="26"/>
        <v>822.534193818105</v>
      </c>
      <c r="M25" s="14"/>
      <c r="N25" s="62">
        <f t="shared" si="27"/>
        <v>18</v>
      </c>
      <c r="O25" s="6">
        <f t="shared" si="8"/>
        <v>19</v>
      </c>
      <c r="P25" s="38" t="str">
        <f t="shared" si="9"/>
        <v/>
      </c>
      <c r="Q25" s="28">
        <f t="shared" si="32"/>
        <v>19</v>
      </c>
      <c r="R25" s="48">
        <v>464784.78129999997</v>
      </c>
      <c r="S25" s="48">
        <v>7609967.75</v>
      </c>
      <c r="T25" s="29" t="s">
        <v>6</v>
      </c>
      <c r="U25" s="30" t="s">
        <v>58</v>
      </c>
      <c r="V25" s="30">
        <v>844</v>
      </c>
      <c r="W25" s="25">
        <f t="shared" si="28"/>
        <v>612.5</v>
      </c>
      <c r="X25" s="25">
        <f t="shared" si="29"/>
        <v>2037.5</v>
      </c>
      <c r="Y25" s="25">
        <f t="shared" si="10"/>
        <v>-13</v>
      </c>
      <c r="Z25" s="38">
        <f t="shared" si="33"/>
        <v>3</v>
      </c>
      <c r="AA25" s="16"/>
      <c r="AB25" s="40" t="str">
        <f t="shared" si="42"/>
        <v/>
      </c>
      <c r="AC25" s="40" t="str">
        <f t="shared" si="42"/>
        <v/>
      </c>
      <c r="AD25" s="40" t="str">
        <f t="shared" si="42"/>
        <v/>
      </c>
      <c r="AE25" s="40" t="str">
        <f t="shared" si="42"/>
        <v/>
      </c>
      <c r="AF25" s="40" t="str">
        <f t="shared" si="42"/>
        <v/>
      </c>
      <c r="AG25" s="40" t="str">
        <f t="shared" si="42"/>
        <v/>
      </c>
      <c r="AH25" s="40" t="str">
        <f t="shared" si="42"/>
        <v/>
      </c>
      <c r="AI25" s="40" t="str">
        <f t="shared" si="42"/>
        <v/>
      </c>
      <c r="AJ25" s="40" t="str">
        <f t="shared" si="42"/>
        <v/>
      </c>
      <c r="AK25" s="40" t="str">
        <f t="shared" si="42"/>
        <v/>
      </c>
      <c r="AL25" s="16"/>
      <c r="AM25" s="40">
        <f t="shared" si="43"/>
        <v>7614180.25</v>
      </c>
      <c r="AN25" s="40">
        <f t="shared" si="43"/>
        <v>7613492.75</v>
      </c>
      <c r="AO25" s="40">
        <f t="shared" si="43"/>
        <v>7613092.75</v>
      </c>
      <c r="AP25" s="40">
        <f t="shared" si="43"/>
        <v>7609967.75</v>
      </c>
      <c r="AQ25" s="40">
        <f t="shared" si="43"/>
        <v>7609892.75</v>
      </c>
      <c r="AR25" s="40">
        <f t="shared" si="43"/>
        <v>7607930.25</v>
      </c>
      <c r="AS25" s="40" t="str">
        <f t="shared" si="43"/>
        <v>y</v>
      </c>
      <c r="AT25" s="40" t="str">
        <f t="shared" si="43"/>
        <v>y</v>
      </c>
      <c r="AU25" s="40" t="str">
        <f t="shared" si="43"/>
        <v>y</v>
      </c>
      <c r="AV25" s="40" t="str">
        <f t="shared" si="43"/>
        <v>y</v>
      </c>
      <c r="AW25" s="16"/>
      <c r="AX25" s="39">
        <f>IF(Z25&lt;0,MAX(AX$6:AX24)+1,0)</f>
        <v>0</v>
      </c>
      <c r="AY25" s="39">
        <f t="shared" si="23"/>
        <v>4</v>
      </c>
      <c r="AZ25" s="39">
        <f t="shared" si="35"/>
        <v>6</v>
      </c>
      <c r="BA25" s="19"/>
      <c r="BB25" s="19">
        <f t="shared" ref="BB25:BB35" si="44">BB24</f>
        <v>3</v>
      </c>
      <c r="BC25" s="19">
        <v>-1</v>
      </c>
      <c r="BD25" s="65">
        <f t="shared" si="24"/>
        <v>7</v>
      </c>
      <c r="BE25" s="65">
        <f t="shared" si="25"/>
        <v>5</v>
      </c>
      <c r="BF25" s="19"/>
      <c r="BG25" s="53">
        <v>18</v>
      </c>
      <c r="BH25" s="39">
        <v>18</v>
      </c>
      <c r="BI25" s="54" t="s">
        <v>3</v>
      </c>
      <c r="BJ25" s="54">
        <v>-13</v>
      </c>
      <c r="BK25" s="54" t="s">
        <v>3</v>
      </c>
      <c r="BL25" s="4" t="str">
        <f t="shared" si="31"/>
        <v/>
      </c>
      <c r="BM25" s="16"/>
      <c r="BN25" s="16"/>
      <c r="BO25" s="16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</row>
    <row r="26" spans="1:96" ht="12" customHeight="1" x14ac:dyDescent="0.25">
      <c r="A26" s="3"/>
      <c r="B26" s="23">
        <f t="shared" si="7"/>
        <v>20</v>
      </c>
      <c r="C26" s="48">
        <v>465672.28129999997</v>
      </c>
      <c r="D26" s="48">
        <v>7613092.75</v>
      </c>
      <c r="E26" s="14"/>
      <c r="F26" s="48">
        <v>468284.78129999997</v>
      </c>
      <c r="G26" s="48">
        <v>7609942.75</v>
      </c>
      <c r="H26" s="29" t="s">
        <v>12</v>
      </c>
      <c r="I26" s="30" t="s">
        <v>59</v>
      </c>
      <c r="J26" s="30">
        <v>928</v>
      </c>
      <c r="K26" s="14"/>
      <c r="L26" s="27">
        <f t="shared" si="26"/>
        <v>3500.0892845754665</v>
      </c>
      <c r="M26" s="14"/>
      <c r="N26" s="62">
        <f t="shared" si="27"/>
        <v>19</v>
      </c>
      <c r="O26" s="6">
        <f t="shared" si="8"/>
        <v>20</v>
      </c>
      <c r="P26" s="38" t="str">
        <f t="shared" si="9"/>
        <v/>
      </c>
      <c r="Q26" s="28">
        <f t="shared" si="32"/>
        <v>20</v>
      </c>
      <c r="R26" s="48">
        <v>468284.78129999997</v>
      </c>
      <c r="S26" s="48">
        <v>7609942.75</v>
      </c>
      <c r="T26" s="29" t="s">
        <v>12</v>
      </c>
      <c r="U26" s="30" t="s">
        <v>59</v>
      </c>
      <c r="V26" s="30">
        <v>928</v>
      </c>
      <c r="W26" s="25">
        <f t="shared" si="28"/>
        <v>4112.5</v>
      </c>
      <c r="X26" s="25">
        <f t="shared" si="29"/>
        <v>2012.5</v>
      </c>
      <c r="Y26" s="25">
        <f t="shared" si="10"/>
        <v>8</v>
      </c>
      <c r="Z26" s="38">
        <f t="shared" si="33"/>
        <v>-84</v>
      </c>
      <c r="AA26" s="16"/>
      <c r="AB26" s="40" t="str">
        <f t="shared" si="42"/>
        <v/>
      </c>
      <c r="AC26" s="40" t="str">
        <f t="shared" si="42"/>
        <v/>
      </c>
      <c r="AD26" s="40" t="str">
        <f t="shared" si="42"/>
        <v/>
      </c>
      <c r="AE26" s="40" t="str">
        <f t="shared" si="42"/>
        <v/>
      </c>
      <c r="AF26" s="40" t="str">
        <f t="shared" si="42"/>
        <v/>
      </c>
      <c r="AG26" s="40" t="str">
        <f t="shared" si="42"/>
        <v/>
      </c>
      <c r="AH26" s="40" t="str">
        <f t="shared" si="42"/>
        <v/>
      </c>
      <c r="AI26" s="40" t="str">
        <f t="shared" si="42"/>
        <v/>
      </c>
      <c r="AJ26" s="40" t="str">
        <f t="shared" si="42"/>
        <v/>
      </c>
      <c r="AK26" s="40" t="str">
        <f t="shared" si="42"/>
        <v/>
      </c>
      <c r="AL26" s="16"/>
      <c r="AM26" s="40">
        <f>IF(ISNUMBER(#REF!),INDEX($R$7:$S$42,#REF!,AM$17),AM25)</f>
        <v>7614180.25</v>
      </c>
      <c r="AN26" s="40">
        <f>IF(ISNUMBER(#REF!),INDEX($R$7:$S$42,#REF!,AN$17),AN25)</f>
        <v>7613492.75</v>
      </c>
      <c r="AO26" s="40">
        <f>IF(ISNUMBER(#REF!),INDEX($R$7:$S$42,#REF!,AO$17),AO25)</f>
        <v>7613092.75</v>
      </c>
      <c r="AP26" s="40">
        <f>IF(ISNUMBER(#REF!),INDEX($R$7:$S$42,#REF!,AP$17),AP25)</f>
        <v>7609967.75</v>
      </c>
      <c r="AQ26" s="40">
        <f>IF(ISNUMBER(#REF!),INDEX($R$7:$S$42,#REF!,AQ$17),AQ25)</f>
        <v>7609892.75</v>
      </c>
      <c r="AR26" s="40">
        <f>IF(ISNUMBER(#REF!),INDEX($R$7:$S$42,#REF!,AR$17),AR25)</f>
        <v>7607930.25</v>
      </c>
      <c r="AS26" s="40" t="str">
        <f>IF(ISNUMBER(#REF!),INDEX($R$7:$S$42,#REF!,AS$17),AS25)</f>
        <v>y</v>
      </c>
      <c r="AT26" s="40" t="str">
        <f>IF(ISNUMBER(#REF!),INDEX($R$7:$S$42,#REF!,AT$17),AT25)</f>
        <v>y</v>
      </c>
      <c r="AU26" s="40" t="str">
        <f>IF(ISNUMBER(#REF!),INDEX($R$7:$S$42,#REF!,AU$17),AU25)</f>
        <v>y</v>
      </c>
      <c r="AV26" s="40" t="str">
        <f>IF(ISNUMBER(#REF!),INDEX($R$7:$S$42,#REF!,AV$17),AV25)</f>
        <v>y</v>
      </c>
      <c r="AW26" s="16"/>
      <c r="AX26" s="39">
        <f>IF(Z26&lt;0,MAX(AX$6:AX25)+1,0)</f>
        <v>5</v>
      </c>
      <c r="AY26" s="39">
        <f t="shared" si="23"/>
        <v>5</v>
      </c>
      <c r="AZ26" s="39">
        <f t="shared" si="35"/>
        <v>1</v>
      </c>
      <c r="BA26" s="19"/>
      <c r="BB26" s="19">
        <f t="shared" si="44"/>
        <v>3</v>
      </c>
      <c r="BC26" s="19">
        <v>-1</v>
      </c>
      <c r="BD26" s="65">
        <f t="shared" si="24"/>
        <v>8</v>
      </c>
      <c r="BE26" s="65">
        <f t="shared" si="25"/>
        <v>0</v>
      </c>
      <c r="BF26" s="19"/>
      <c r="BG26" s="39">
        <v>19</v>
      </c>
      <c r="BH26" s="39">
        <v>19</v>
      </c>
      <c r="BI26" s="54" t="s">
        <v>3</v>
      </c>
      <c r="BJ26" s="54">
        <v>8</v>
      </c>
      <c r="BK26" s="54" t="s">
        <v>3</v>
      </c>
      <c r="BL26" s="4" t="str">
        <f t="shared" si="31"/>
        <v/>
      </c>
      <c r="BM26" s="16"/>
      <c r="BN26" s="16"/>
      <c r="BO26" s="16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</row>
    <row r="27" spans="1:96" ht="12" customHeight="1" x14ac:dyDescent="0.25">
      <c r="A27" s="3"/>
      <c r="B27" s="23">
        <f t="shared" si="7"/>
        <v>21</v>
      </c>
      <c r="C27" s="48">
        <v>465422.28129999997</v>
      </c>
      <c r="D27" s="48">
        <v>7612830.25</v>
      </c>
      <c r="E27" s="14"/>
      <c r="F27" s="48">
        <v>466622.28129999997</v>
      </c>
      <c r="G27" s="48">
        <v>7609955.25</v>
      </c>
      <c r="H27" s="29" t="s">
        <v>11</v>
      </c>
      <c r="I27" s="30" t="s">
        <v>60</v>
      </c>
      <c r="J27" s="30">
        <v>895</v>
      </c>
      <c r="K27" s="14"/>
      <c r="L27" s="27">
        <f t="shared" si="26"/>
        <v>1662.5469918170734</v>
      </c>
      <c r="M27" s="14"/>
      <c r="N27" s="62">
        <f t="shared" si="27"/>
        <v>20</v>
      </c>
      <c r="O27" s="6">
        <f t="shared" si="8"/>
        <v>21</v>
      </c>
      <c r="P27" s="38" t="str">
        <f t="shared" si="9"/>
        <v/>
      </c>
      <c r="Q27" s="28">
        <f t="shared" si="32"/>
        <v>21</v>
      </c>
      <c r="R27" s="48">
        <v>466622.28129999997</v>
      </c>
      <c r="S27" s="48">
        <v>7609955.25</v>
      </c>
      <c r="T27" s="29" t="s">
        <v>11</v>
      </c>
      <c r="U27" s="30" t="s">
        <v>60</v>
      </c>
      <c r="V27" s="30">
        <v>895</v>
      </c>
      <c r="W27" s="25">
        <f t="shared" si="28"/>
        <v>2450</v>
      </c>
      <c r="X27" s="25">
        <f t="shared" si="29"/>
        <v>2025</v>
      </c>
      <c r="Y27" s="25">
        <f t="shared" si="10"/>
        <v>9</v>
      </c>
      <c r="Z27" s="38">
        <f t="shared" si="33"/>
        <v>33</v>
      </c>
      <c r="AA27" s="16"/>
      <c r="AB27" s="40" t="str">
        <f t="shared" si="42"/>
        <v/>
      </c>
      <c r="AC27" s="40" t="str">
        <f t="shared" si="42"/>
        <v/>
      </c>
      <c r="AD27" s="40" t="str">
        <f t="shared" si="42"/>
        <v/>
      </c>
      <c r="AE27" s="40" t="str">
        <f t="shared" si="42"/>
        <v/>
      </c>
      <c r="AF27" s="40" t="str">
        <f t="shared" si="42"/>
        <v/>
      </c>
      <c r="AG27" s="40" t="str">
        <f t="shared" si="42"/>
        <v/>
      </c>
      <c r="AH27" s="40" t="str">
        <f t="shared" si="42"/>
        <v/>
      </c>
      <c r="AI27" s="40" t="str">
        <f t="shared" si="42"/>
        <v/>
      </c>
      <c r="AJ27" s="40" t="str">
        <f t="shared" si="42"/>
        <v/>
      </c>
      <c r="AK27" s="40" t="str">
        <f t="shared" si="42"/>
        <v/>
      </c>
      <c r="AL27" s="16"/>
      <c r="AM27" s="40">
        <f>IF(ISNUMBER(#REF!),INDEX($R$7:$S$42,#REF!,AM$17),AM26)</f>
        <v>7614180.25</v>
      </c>
      <c r="AN27" s="40">
        <f>IF(ISNUMBER(#REF!),INDEX($R$7:$S$42,#REF!,AN$17),AN26)</f>
        <v>7613492.75</v>
      </c>
      <c r="AO27" s="40">
        <f>IF(ISNUMBER(#REF!),INDEX($R$7:$S$42,#REF!,AO$17),AO26)</f>
        <v>7613092.75</v>
      </c>
      <c r="AP27" s="40">
        <f>IF(ISNUMBER(#REF!),INDEX($R$7:$S$42,#REF!,AP$17),AP26)</f>
        <v>7609967.75</v>
      </c>
      <c r="AQ27" s="40">
        <f>IF(ISNUMBER(#REF!),INDEX($R$7:$S$42,#REF!,AQ$17),AQ26)</f>
        <v>7609892.75</v>
      </c>
      <c r="AR27" s="40">
        <f>IF(ISNUMBER(#REF!),INDEX($R$7:$S$42,#REF!,AR$17),AR26)</f>
        <v>7607930.25</v>
      </c>
      <c r="AS27" s="40" t="str">
        <f>IF(ISNUMBER(#REF!),INDEX($R$7:$S$42,#REF!,AS$17),AS26)</f>
        <v>y</v>
      </c>
      <c r="AT27" s="40" t="str">
        <f>IF(ISNUMBER(#REF!),INDEX($R$7:$S$42,#REF!,AT$17),AT26)</f>
        <v>y</v>
      </c>
      <c r="AU27" s="40" t="str">
        <f>IF(ISNUMBER(#REF!),INDEX($R$7:$S$42,#REF!,AU$17),AU26)</f>
        <v>y</v>
      </c>
      <c r="AV27" s="40" t="str">
        <f>IF(ISNUMBER(#REF!),INDEX($R$7:$S$42,#REF!,AV$17),AV26)</f>
        <v>y</v>
      </c>
      <c r="AW27" s="16"/>
      <c r="AX27" s="39">
        <f>IF(Z27&lt;0,MAX(AX$6:AX26)+1,0)</f>
        <v>0</v>
      </c>
      <c r="AY27" s="39">
        <f t="shared" si="23"/>
        <v>5</v>
      </c>
      <c r="AZ27" s="39">
        <f t="shared" si="35"/>
        <v>2</v>
      </c>
      <c r="BA27" s="19"/>
      <c r="BB27" s="19">
        <f t="shared" si="44"/>
        <v>3</v>
      </c>
      <c r="BC27" s="19">
        <v>-1</v>
      </c>
      <c r="BD27" s="65">
        <f t="shared" si="24"/>
        <v>8</v>
      </c>
      <c r="BE27" s="65">
        <f t="shared" si="25"/>
        <v>1</v>
      </c>
      <c r="BF27" s="19"/>
      <c r="BG27" s="39">
        <v>20</v>
      </c>
      <c r="BH27" s="39">
        <v>20</v>
      </c>
      <c r="BI27" s="54" t="s">
        <v>3</v>
      </c>
      <c r="BJ27" s="54">
        <v>9</v>
      </c>
      <c r="BK27" s="54" t="s">
        <v>3</v>
      </c>
      <c r="BL27" s="4" t="str">
        <f t="shared" si="31"/>
        <v/>
      </c>
      <c r="BM27" s="16"/>
      <c r="BN27" s="16"/>
      <c r="BO27" s="16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</row>
    <row r="28" spans="1:96" ht="12" customHeight="1" x14ac:dyDescent="0.25">
      <c r="A28" s="3"/>
      <c r="B28" s="23">
        <f t="shared" si="7"/>
        <v>22</v>
      </c>
      <c r="C28" s="48">
        <v>464872.28129999997</v>
      </c>
      <c r="D28" s="48">
        <v>7613880.25</v>
      </c>
      <c r="E28" s="14"/>
      <c r="F28" s="48">
        <v>466097.28129999997</v>
      </c>
      <c r="G28" s="48">
        <v>7610467.75</v>
      </c>
      <c r="H28" s="29" t="s">
        <v>10</v>
      </c>
      <c r="I28" s="30" t="s">
        <v>61</v>
      </c>
      <c r="J28" s="30">
        <v>865</v>
      </c>
      <c r="K28" s="14"/>
      <c r="L28" s="27">
        <f t="shared" si="26"/>
        <v>733.67652954145944</v>
      </c>
      <c r="M28" s="14"/>
      <c r="N28" s="62">
        <f t="shared" si="27"/>
        <v>21</v>
      </c>
      <c r="O28" s="6">
        <f t="shared" si="8"/>
        <v>22</v>
      </c>
      <c r="P28" s="38" t="str">
        <f t="shared" si="9"/>
        <v/>
      </c>
      <c r="Q28" s="28">
        <f t="shared" si="32"/>
        <v>22</v>
      </c>
      <c r="R28" s="48">
        <v>466097.28129999997</v>
      </c>
      <c r="S28" s="48">
        <v>7610467.75</v>
      </c>
      <c r="T28" s="29" t="s">
        <v>10</v>
      </c>
      <c r="U28" s="30" t="s">
        <v>61</v>
      </c>
      <c r="V28" s="30">
        <v>865</v>
      </c>
      <c r="W28" s="25">
        <f t="shared" si="28"/>
        <v>1925</v>
      </c>
      <c r="X28" s="25">
        <f t="shared" si="29"/>
        <v>2537.5</v>
      </c>
      <c r="Y28" s="25">
        <f t="shared" si="10"/>
        <v>10</v>
      </c>
      <c r="Z28" s="38">
        <f t="shared" si="33"/>
        <v>30</v>
      </c>
      <c r="AA28" s="16"/>
      <c r="AB28" s="29"/>
      <c r="AC28" s="29"/>
      <c r="AD28" s="29"/>
      <c r="AE28" s="29"/>
      <c r="AF28" s="29"/>
      <c r="AG28" s="29"/>
      <c r="AH28" s="29"/>
      <c r="AI28" s="29"/>
      <c r="AJ28" s="29"/>
      <c r="AK28" s="29"/>
      <c r="AL28" s="16"/>
      <c r="AM28" s="29"/>
      <c r="AN28" s="29"/>
      <c r="AO28" s="29"/>
      <c r="AP28" s="29"/>
      <c r="AQ28" s="29"/>
      <c r="AR28" s="29"/>
      <c r="AS28" s="29"/>
      <c r="AT28" s="29"/>
      <c r="AU28" s="29"/>
      <c r="AV28" s="29"/>
      <c r="AW28" s="16"/>
      <c r="AX28" s="39">
        <f>IF(Z28&lt;0,MAX(AX$6:AX27)+1,0)</f>
        <v>0</v>
      </c>
      <c r="AY28" s="39">
        <f t="shared" si="23"/>
        <v>5</v>
      </c>
      <c r="AZ28" s="39">
        <f t="shared" si="35"/>
        <v>3</v>
      </c>
      <c r="BA28" s="19"/>
      <c r="BB28" s="19">
        <f t="shared" si="44"/>
        <v>3</v>
      </c>
      <c r="BC28" s="19">
        <v>-1</v>
      </c>
      <c r="BD28" s="65">
        <f t="shared" si="24"/>
        <v>8</v>
      </c>
      <c r="BE28" s="65">
        <f t="shared" si="25"/>
        <v>2</v>
      </c>
      <c r="BF28" s="19"/>
      <c r="BG28" s="55">
        <v>21</v>
      </c>
      <c r="BH28" s="39">
        <v>21</v>
      </c>
      <c r="BI28" s="54" t="s">
        <v>3</v>
      </c>
      <c r="BJ28" s="54">
        <v>10</v>
      </c>
      <c r="BK28" s="54" t="s">
        <v>3</v>
      </c>
      <c r="BL28" s="4" t="str">
        <f t="shared" si="31"/>
        <v/>
      </c>
      <c r="BM28" s="16"/>
      <c r="BN28" s="16"/>
      <c r="BO28" s="16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</row>
    <row r="29" spans="1:96" ht="12" customHeight="1" x14ac:dyDescent="0.25">
      <c r="A29" s="3"/>
      <c r="B29" s="23">
        <f t="shared" si="7"/>
        <v>23</v>
      </c>
      <c r="C29" s="48">
        <v>465422.28129999997</v>
      </c>
      <c r="D29" s="48">
        <v>7612830.25</v>
      </c>
      <c r="E29" s="14"/>
      <c r="F29" s="48">
        <v>465534.78129999997</v>
      </c>
      <c r="G29" s="48">
        <v>7610505.25</v>
      </c>
      <c r="H29" s="29" t="s">
        <v>9</v>
      </c>
      <c r="I29" s="30" t="s">
        <v>62</v>
      </c>
      <c r="J29" s="30">
        <v>856</v>
      </c>
      <c r="K29" s="14"/>
      <c r="L29" s="27">
        <f t="shared" si="26"/>
        <v>563.74861418898411</v>
      </c>
      <c r="M29" s="14"/>
      <c r="N29" s="62">
        <f t="shared" si="27"/>
        <v>22</v>
      </c>
      <c r="O29" s="6">
        <f t="shared" si="8"/>
        <v>23</v>
      </c>
      <c r="P29" s="38" t="str">
        <f t="shared" si="9"/>
        <v/>
      </c>
      <c r="Q29" s="28">
        <f t="shared" si="32"/>
        <v>23</v>
      </c>
      <c r="R29" s="48">
        <v>465534.78129999997</v>
      </c>
      <c r="S29" s="48">
        <v>7610505.25</v>
      </c>
      <c r="T29" s="29" t="s">
        <v>9</v>
      </c>
      <c r="U29" s="30" t="s">
        <v>62</v>
      </c>
      <c r="V29" s="30">
        <v>856</v>
      </c>
      <c r="W29" s="25">
        <f t="shared" si="28"/>
        <v>1362.5</v>
      </c>
      <c r="X29" s="25">
        <f t="shared" si="29"/>
        <v>2575</v>
      </c>
      <c r="Y29" s="25">
        <f t="shared" si="10"/>
        <v>11</v>
      </c>
      <c r="Z29" s="38">
        <f t="shared" si="33"/>
        <v>9</v>
      </c>
      <c r="AA29" s="16"/>
      <c r="AB29" s="40" t="str">
        <f t="shared" ref="AB29:AB37" si="45">IF(AND(ISNUMBER(AB7),(ISNUMBER(O$5))),INDEX($Y$7:$Y$41,AB7,1),"")</f>
        <v>→</v>
      </c>
      <c r="AC29" s="40">
        <f t="shared" ref="AC29:AC37" si="46">IF(AND(ISNUMBER(AC7),(ISNUMBER(P$5))),INDEX($Y$7:$Y$41,AC7,1),"")</f>
        <v>4</v>
      </c>
      <c r="AD29" s="40">
        <f t="shared" ref="AD29:AD37" si="47">IF(AND(ISNUMBER(AD7),(ISNUMBER(Q$5))),INDEX($Y$7:$Y$41,AD7,1),"")</f>
        <v>8</v>
      </c>
      <c r="AE29" s="40">
        <f t="shared" ref="AE29:AE37" si="48">IF(AND(ISNUMBER(AE7),(ISNUMBER(R$5))),INDEX($Y$7:$Y$41,AE7,1),"")</f>
        <v>10</v>
      </c>
      <c r="AF29" s="40">
        <f t="shared" ref="AF29:AF37" si="49">IF(AND(ISNUMBER(AF7),(ISNUMBER(S$5))),INDEX($Y$7:$Y$41,AF7,1),"")</f>
        <v>8</v>
      </c>
      <c r="AG29" s="40">
        <f t="shared" ref="AG29:AG37" si="50">IF(AND(ISNUMBER(AG7),(ISNUMBER(T$5))),INDEX($Y$7:$Y$41,AG7,1),"")</f>
        <v>-14</v>
      </c>
      <c r="AH29" s="40" t="str">
        <f t="shared" ref="AH29:AH37" si="51">IF(AND(ISNUMBER(AH7),(ISNUMBER(U$5))),INDEX($Y$7:$Y$41,AH7,1),"")</f>
        <v/>
      </c>
      <c r="AI29" s="40" t="str">
        <f t="shared" ref="AI29:AI37" si="52">IF(AND(ISNUMBER(AI7),(ISNUMBER(V$5))),INDEX($Y$7:$Y$41,AI7,1),"")</f>
        <v/>
      </c>
      <c r="AJ29" s="40" t="str">
        <f>IF(AND(ISNUMBER(AJ7),(ISNUMBER(#REF!))),INDEX($Y$7:$Y$41,AJ7,1),"")</f>
        <v/>
      </c>
      <c r="AK29" s="40" t="str">
        <f t="shared" ref="AK29:AK37" si="53">IF(AND(ISNUMBER(AK7),(ISNUMBER(W$5))),INDEX($Y$7:$Y$41,AK7,1),"")</f>
        <v/>
      </c>
      <c r="AL29" s="8"/>
      <c r="AM29" s="29"/>
      <c r="AN29" s="29"/>
      <c r="AO29" s="29"/>
      <c r="AP29" s="29"/>
      <c r="AQ29" s="29"/>
      <c r="AR29" s="29"/>
      <c r="AS29" s="29"/>
      <c r="AT29" s="29"/>
      <c r="AU29" s="29"/>
      <c r="AV29" s="29"/>
      <c r="AW29" s="16"/>
      <c r="AX29" s="39">
        <f>IF(Z29&lt;0,MAX(AX$6:AX28)+1,0)</f>
        <v>0</v>
      </c>
      <c r="AY29" s="39">
        <f t="shared" si="23"/>
        <v>5</v>
      </c>
      <c r="AZ29" s="39">
        <f t="shared" si="35"/>
        <v>4</v>
      </c>
      <c r="BA29" s="19"/>
      <c r="BB29" s="19">
        <f t="shared" si="44"/>
        <v>3</v>
      </c>
      <c r="BC29" s="19">
        <v>0</v>
      </c>
      <c r="BD29" s="65">
        <f t="shared" si="24"/>
        <v>8</v>
      </c>
      <c r="BE29" s="65">
        <f t="shared" si="25"/>
        <v>4</v>
      </c>
      <c r="BF29" s="19"/>
      <c r="BG29" s="53">
        <v>22</v>
      </c>
      <c r="BH29" s="39">
        <v>22</v>
      </c>
      <c r="BI29" s="54" t="s">
        <v>3</v>
      </c>
      <c r="BJ29" s="54">
        <v>11</v>
      </c>
      <c r="BK29" s="54" t="s">
        <v>3</v>
      </c>
      <c r="BL29" s="4" t="str">
        <f t="shared" si="31"/>
        <v/>
      </c>
      <c r="BM29" s="16"/>
      <c r="BN29" s="16"/>
      <c r="BO29" s="16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</row>
    <row r="30" spans="1:96" ht="12" customHeight="1" x14ac:dyDescent="0.25">
      <c r="A30" s="3"/>
      <c r="B30" s="23">
        <f t="shared" si="7"/>
        <v>24</v>
      </c>
      <c r="C30" s="48">
        <v>465284.78129999997</v>
      </c>
      <c r="D30" s="48">
        <v>7611667.75</v>
      </c>
      <c r="E30" s="14"/>
      <c r="F30" s="48">
        <v>464909.78129999997</v>
      </c>
      <c r="G30" s="48">
        <v>7609892.75</v>
      </c>
      <c r="H30" s="29" t="s">
        <v>8</v>
      </c>
      <c r="I30" s="30" t="s">
        <v>58</v>
      </c>
      <c r="J30" s="30">
        <v>844</v>
      </c>
      <c r="K30" s="14"/>
      <c r="L30" s="27">
        <f t="shared" si="26"/>
        <v>875.08928115935691</v>
      </c>
      <c r="M30" s="14"/>
      <c r="N30" s="62">
        <f t="shared" si="27"/>
        <v>23</v>
      </c>
      <c r="O30" s="6">
        <f t="shared" si="8"/>
        <v>24</v>
      </c>
      <c r="P30" s="38" t="str">
        <f t="shared" si="9"/>
        <v/>
      </c>
      <c r="Q30" s="28">
        <f t="shared" si="32"/>
        <v>24</v>
      </c>
      <c r="R30" s="48">
        <v>464909.78129999997</v>
      </c>
      <c r="S30" s="48">
        <v>7609892.75</v>
      </c>
      <c r="T30" s="29" t="s">
        <v>8</v>
      </c>
      <c r="U30" s="30" t="s">
        <v>58</v>
      </c>
      <c r="V30" s="30">
        <v>844</v>
      </c>
      <c r="W30" s="25">
        <f t="shared" si="28"/>
        <v>737.5</v>
      </c>
      <c r="X30" s="25">
        <f t="shared" si="29"/>
        <v>1962.5</v>
      </c>
      <c r="Y30" s="25">
        <f t="shared" si="10"/>
        <v>-13</v>
      </c>
      <c r="Z30" s="38">
        <f t="shared" si="33"/>
        <v>12</v>
      </c>
      <c r="AA30" s="16"/>
      <c r="AB30" s="40">
        <f t="shared" si="45"/>
        <v>-2</v>
      </c>
      <c r="AC30" s="40">
        <f t="shared" si="46"/>
        <v>-5</v>
      </c>
      <c r="AD30" s="40">
        <f t="shared" si="47"/>
        <v>-7</v>
      </c>
      <c r="AE30" s="40">
        <f t="shared" si="48"/>
        <v>-9</v>
      </c>
      <c r="AF30" s="40">
        <f t="shared" si="49"/>
        <v>9</v>
      </c>
      <c r="AG30" s="40">
        <f t="shared" si="50"/>
        <v>-15</v>
      </c>
      <c r="AH30" s="40" t="str">
        <f t="shared" si="51"/>
        <v/>
      </c>
      <c r="AI30" s="40" t="str">
        <f t="shared" si="52"/>
        <v/>
      </c>
      <c r="AJ30" s="40" t="str">
        <f>IF(AND(ISNUMBER(AJ8),(ISNUMBER(#REF!))),INDEX($Y$7:$Y$41,AJ8,1),"")</f>
        <v/>
      </c>
      <c r="AK30" s="40" t="str">
        <f t="shared" si="53"/>
        <v/>
      </c>
      <c r="AL30" s="8"/>
      <c r="AM30" s="29"/>
      <c r="AN30" s="29"/>
      <c r="AO30" s="29"/>
      <c r="AP30" s="29"/>
      <c r="AQ30" s="29"/>
      <c r="AR30" s="29"/>
      <c r="AS30" s="29"/>
      <c r="AT30" s="29"/>
      <c r="AU30" s="29"/>
      <c r="AV30" s="29"/>
      <c r="AW30" s="16"/>
      <c r="AX30" s="39">
        <f>IF(Z30&lt;0,MAX(AX$6:AX29)+1,0)</f>
        <v>0</v>
      </c>
      <c r="AY30" s="39">
        <f t="shared" si="23"/>
        <v>5</v>
      </c>
      <c r="AZ30" s="39">
        <f t="shared" si="35"/>
        <v>5</v>
      </c>
      <c r="BA30" s="19"/>
      <c r="BB30" s="19">
        <f t="shared" si="44"/>
        <v>3</v>
      </c>
      <c r="BC30" s="19">
        <v>0</v>
      </c>
      <c r="BD30" s="65">
        <f t="shared" si="24"/>
        <v>8</v>
      </c>
      <c r="BE30" s="65">
        <f t="shared" si="25"/>
        <v>5</v>
      </c>
      <c r="BF30" s="19"/>
      <c r="BG30" s="39">
        <v>23</v>
      </c>
      <c r="BH30" s="39">
        <v>23</v>
      </c>
      <c r="BI30" s="54" t="s">
        <v>3</v>
      </c>
      <c r="BJ30" s="54">
        <v>-13</v>
      </c>
      <c r="BK30" s="54" t="s">
        <v>3</v>
      </c>
      <c r="BL30" s="4" t="str">
        <f t="shared" si="31"/>
        <v/>
      </c>
      <c r="BM30" s="16"/>
      <c r="BN30" s="16"/>
      <c r="BO30" s="16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</row>
    <row r="31" spans="1:96" ht="12" customHeight="1" x14ac:dyDescent="0.25">
      <c r="A31" s="3"/>
      <c r="B31" s="23">
        <f t="shared" si="7"/>
        <v>25</v>
      </c>
      <c r="C31" s="48">
        <v>464384.78129999997</v>
      </c>
      <c r="D31" s="48">
        <v>7611405.25</v>
      </c>
      <c r="E31" s="14"/>
      <c r="F31" s="48">
        <v>464822.28129999997</v>
      </c>
      <c r="G31" s="48">
        <v>7609305.25</v>
      </c>
      <c r="H31" s="29" t="s">
        <v>5</v>
      </c>
      <c r="I31" s="30" t="s">
        <v>63</v>
      </c>
      <c r="J31" s="30">
        <v>846</v>
      </c>
      <c r="K31" s="14"/>
      <c r="L31" s="27">
        <f t="shared" si="26"/>
        <v>593.98021852583611</v>
      </c>
      <c r="M31" s="14"/>
      <c r="N31" s="62">
        <f t="shared" si="27"/>
        <v>24</v>
      </c>
      <c r="O31" s="6">
        <f t="shared" si="8"/>
        <v>25</v>
      </c>
      <c r="P31" s="38" t="str">
        <f t="shared" si="9"/>
        <v/>
      </c>
      <c r="Q31" s="28">
        <f t="shared" si="32"/>
        <v>25</v>
      </c>
      <c r="R31" s="48">
        <v>464822.28129999997</v>
      </c>
      <c r="S31" s="48">
        <v>7609305.25</v>
      </c>
      <c r="T31" s="29" t="s">
        <v>5</v>
      </c>
      <c r="U31" s="30" t="s">
        <v>63</v>
      </c>
      <c r="V31" s="30">
        <v>846</v>
      </c>
      <c r="W31" s="25">
        <f t="shared" si="28"/>
        <v>650</v>
      </c>
      <c r="X31" s="25">
        <f t="shared" si="29"/>
        <v>1375</v>
      </c>
      <c r="Y31" s="25">
        <f t="shared" si="10"/>
        <v>-14</v>
      </c>
      <c r="Z31" s="38">
        <f t="shared" si="33"/>
        <v>-2</v>
      </c>
      <c r="AA31" s="16"/>
      <c r="AB31" s="40">
        <f t="shared" si="45"/>
        <v>-3</v>
      </c>
      <c r="AC31" s="40">
        <f t="shared" si="46"/>
        <v>-6</v>
      </c>
      <c r="AD31" s="40">
        <f t="shared" si="47"/>
        <v>-8</v>
      </c>
      <c r="AE31" s="40">
        <f t="shared" si="48"/>
        <v>-10</v>
      </c>
      <c r="AF31" s="40">
        <f t="shared" si="49"/>
        <v>10</v>
      </c>
      <c r="AG31" s="40" t="str">
        <f t="shared" si="50"/>
        <v/>
      </c>
      <c r="AH31" s="40" t="str">
        <f t="shared" si="51"/>
        <v/>
      </c>
      <c r="AI31" s="40" t="str">
        <f t="shared" si="52"/>
        <v/>
      </c>
      <c r="AJ31" s="40" t="str">
        <f>IF(AND(ISNUMBER(AJ9),(ISNUMBER(#REF!))),INDEX($Y$7:$Y$41,AJ9,1),"")</f>
        <v/>
      </c>
      <c r="AK31" s="40" t="str">
        <f t="shared" si="53"/>
        <v/>
      </c>
      <c r="AL31" s="8"/>
      <c r="AM31" s="29"/>
      <c r="AN31" s="29"/>
      <c r="AO31" s="29"/>
      <c r="AP31" s="29"/>
      <c r="AQ31" s="29"/>
      <c r="AR31" s="29"/>
      <c r="AS31" s="29"/>
      <c r="AT31" s="29"/>
      <c r="AU31" s="29"/>
      <c r="AV31" s="29"/>
      <c r="AW31" s="16"/>
      <c r="AX31" s="39">
        <f>IF(Z31&lt;0,MAX(AX$6:AX30)+1,0)</f>
        <v>6</v>
      </c>
      <c r="AY31" s="39">
        <f t="shared" si="23"/>
        <v>6</v>
      </c>
      <c r="AZ31" s="39">
        <f t="shared" si="35"/>
        <v>1</v>
      </c>
      <c r="BA31" s="19"/>
      <c r="BB31" s="19">
        <f t="shared" si="44"/>
        <v>3</v>
      </c>
      <c r="BC31" s="19">
        <v>0</v>
      </c>
      <c r="BD31" s="65">
        <f t="shared" si="24"/>
        <v>9</v>
      </c>
      <c r="BE31" s="65">
        <f t="shared" si="25"/>
        <v>1</v>
      </c>
      <c r="BF31" s="19"/>
      <c r="BG31" s="39">
        <v>24</v>
      </c>
      <c r="BH31" s="39">
        <v>24</v>
      </c>
      <c r="BI31" s="57" t="s">
        <v>3</v>
      </c>
      <c r="BJ31" s="57">
        <v>-14</v>
      </c>
      <c r="BK31" s="54" t="s">
        <v>3</v>
      </c>
      <c r="BL31" s="4" t="str">
        <f t="shared" si="31"/>
        <v/>
      </c>
      <c r="BM31" s="16"/>
      <c r="BN31" s="16"/>
      <c r="BO31" s="16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</row>
    <row r="32" spans="1:96" ht="12" customHeight="1" x14ac:dyDescent="0.25">
      <c r="A32" s="3"/>
      <c r="B32" s="23">
        <f t="shared" si="7"/>
        <v>26</v>
      </c>
      <c r="C32" s="48">
        <v>464297.28129999997</v>
      </c>
      <c r="D32" s="48">
        <v>7610630.25</v>
      </c>
      <c r="E32" s="14"/>
      <c r="F32" s="48">
        <v>464172.28129999997</v>
      </c>
      <c r="G32" s="48">
        <v>7607930.25</v>
      </c>
      <c r="H32" s="29" t="s">
        <v>4</v>
      </c>
      <c r="I32" s="30" t="s">
        <v>64</v>
      </c>
      <c r="J32" s="30">
        <v>842</v>
      </c>
      <c r="K32" s="14"/>
      <c r="L32" s="27">
        <f t="shared" si="26"/>
        <v>1520.896117425513</v>
      </c>
      <c r="M32" s="14"/>
      <c r="N32" s="62">
        <f t="shared" si="27"/>
        <v>25</v>
      </c>
      <c r="O32" s="6">
        <f t="shared" si="8"/>
        <v>26</v>
      </c>
      <c r="P32" s="38" t="str">
        <f t="shared" si="9"/>
        <v/>
      </c>
      <c r="Q32" s="28">
        <f t="shared" si="32"/>
        <v>26</v>
      </c>
      <c r="R32" s="48">
        <v>464172.28129999997</v>
      </c>
      <c r="S32" s="48">
        <v>7607930.25</v>
      </c>
      <c r="T32" s="29" t="s">
        <v>4</v>
      </c>
      <c r="U32" s="30" t="s">
        <v>64</v>
      </c>
      <c r="V32" s="30">
        <v>842</v>
      </c>
      <c r="W32" s="25">
        <f t="shared" si="28"/>
        <v>0</v>
      </c>
      <c r="X32" s="25">
        <f t="shared" si="29"/>
        <v>0</v>
      </c>
      <c r="Y32" s="25">
        <f t="shared" si="10"/>
        <v>-15</v>
      </c>
      <c r="Z32" s="38">
        <f t="shared" si="33"/>
        <v>4</v>
      </c>
      <c r="AA32" s="16"/>
      <c r="AB32" s="40">
        <f t="shared" si="45"/>
        <v>-4</v>
      </c>
      <c r="AC32" s="40">
        <f t="shared" si="46"/>
        <v>-7</v>
      </c>
      <c r="AD32" s="40">
        <f t="shared" si="47"/>
        <v>-9</v>
      </c>
      <c r="AE32" s="40">
        <f t="shared" si="48"/>
        <v>-11</v>
      </c>
      <c r="AF32" s="40">
        <f t="shared" si="49"/>
        <v>11</v>
      </c>
      <c r="AG32" s="40" t="str">
        <f t="shared" si="50"/>
        <v/>
      </c>
      <c r="AH32" s="40" t="str">
        <f t="shared" si="51"/>
        <v/>
      </c>
      <c r="AI32" s="40" t="str">
        <f t="shared" si="52"/>
        <v/>
      </c>
      <c r="AJ32" s="40" t="str">
        <f>IF(AND(ISNUMBER(AJ10),(ISNUMBER(#REF!))),INDEX($Y$7:$Y$41,AJ10,1),"")</f>
        <v/>
      </c>
      <c r="AK32" s="40" t="str">
        <f t="shared" si="53"/>
        <v/>
      </c>
      <c r="AL32" s="8"/>
      <c r="AM32" s="29"/>
      <c r="AN32" s="29"/>
      <c r="AO32" s="29"/>
      <c r="AP32" s="29"/>
      <c r="AQ32" s="29"/>
      <c r="AR32" s="29"/>
      <c r="AS32" s="29"/>
      <c r="AT32" s="29"/>
      <c r="AU32" s="29"/>
      <c r="AV32" s="29"/>
      <c r="AW32" s="16"/>
      <c r="AX32" s="39">
        <f>IF(Z32&lt;0,MAX(AX$6:AX31)+1,0)</f>
        <v>0</v>
      </c>
      <c r="AY32" s="39">
        <f t="shared" si="23"/>
        <v>6</v>
      </c>
      <c r="AZ32" s="39">
        <f t="shared" si="35"/>
        <v>2</v>
      </c>
      <c r="BA32" s="19"/>
      <c r="BB32" s="19">
        <f t="shared" si="44"/>
        <v>3</v>
      </c>
      <c r="BC32" s="19">
        <v>0</v>
      </c>
      <c r="BD32" s="65">
        <f t="shared" si="24"/>
        <v>9</v>
      </c>
      <c r="BE32" s="65">
        <f t="shared" si="25"/>
        <v>2</v>
      </c>
      <c r="BF32" s="19"/>
      <c r="BG32" s="39">
        <v>25</v>
      </c>
      <c r="BH32" s="39">
        <v>25</v>
      </c>
      <c r="BI32" s="54" t="s">
        <v>3</v>
      </c>
      <c r="BJ32" s="54">
        <v>-15</v>
      </c>
      <c r="BK32" s="54" t="s">
        <v>3</v>
      </c>
      <c r="BL32" s="4" t="str">
        <f t="shared" si="31"/>
        <v/>
      </c>
      <c r="BM32" s="16"/>
      <c r="BN32" s="16"/>
      <c r="BO32" s="16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</row>
    <row r="33" spans="1:96" ht="12" customHeight="1" x14ac:dyDescent="0.25">
      <c r="A33" s="3"/>
      <c r="B33" s="23">
        <f t="shared" si="7"/>
        <v>27</v>
      </c>
      <c r="C33" s="48">
        <v>468284.78129999997</v>
      </c>
      <c r="D33" s="48">
        <v>7609942.75</v>
      </c>
      <c r="E33" s="14"/>
      <c r="F33" s="48"/>
      <c r="G33" s="48"/>
      <c r="H33" s="29"/>
      <c r="I33" s="30"/>
      <c r="J33" s="30"/>
      <c r="K33" s="14"/>
      <c r="L33" s="27" t="str">
        <f t="shared" si="26"/>
        <v/>
      </c>
      <c r="M33" s="14"/>
      <c r="N33" s="62" t="str">
        <f t="shared" si="27"/>
        <v/>
      </c>
      <c r="O33" s="6" t="str">
        <f t="shared" si="8"/>
        <v/>
      </c>
      <c r="P33" s="38" t="str">
        <f t="shared" si="9"/>
        <v/>
      </c>
      <c r="Q33" s="28" t="str">
        <f t="shared" si="32"/>
        <v/>
      </c>
      <c r="R33" s="48"/>
      <c r="S33" s="48"/>
      <c r="T33" s="29"/>
      <c r="U33" s="30"/>
      <c r="V33" s="30"/>
      <c r="W33" s="25" t="str">
        <f t="shared" si="28"/>
        <v/>
      </c>
      <c r="X33" s="25" t="str">
        <f t="shared" si="29"/>
        <v/>
      </c>
      <c r="Y33" s="25" t="str">
        <f t="shared" si="10"/>
        <v/>
      </c>
      <c r="Z33" s="38" t="str">
        <f t="shared" si="33"/>
        <v/>
      </c>
      <c r="AA33" s="16"/>
      <c r="AB33" s="40">
        <f t="shared" si="45"/>
        <v>-5</v>
      </c>
      <c r="AC33" s="40" t="str">
        <f t="shared" si="46"/>
        <v/>
      </c>
      <c r="AD33" s="40" t="str">
        <f t="shared" si="47"/>
        <v/>
      </c>
      <c r="AE33" s="40">
        <f t="shared" si="48"/>
        <v>-12</v>
      </c>
      <c r="AF33" s="40">
        <f t="shared" si="49"/>
        <v>-13</v>
      </c>
      <c r="AG33" s="40" t="str">
        <f t="shared" si="50"/>
        <v/>
      </c>
      <c r="AH33" s="40" t="str">
        <f t="shared" si="51"/>
        <v/>
      </c>
      <c r="AI33" s="40" t="str">
        <f t="shared" si="52"/>
        <v/>
      </c>
      <c r="AJ33" s="40" t="str">
        <f>IF(AND(ISNUMBER(AJ11),(ISNUMBER(#REF!))),INDEX($Y$7:$Y$41,AJ11,1),"")</f>
        <v/>
      </c>
      <c r="AK33" s="40" t="str">
        <f t="shared" si="53"/>
        <v/>
      </c>
      <c r="AL33" s="8"/>
      <c r="AM33" s="29"/>
      <c r="AN33" s="29"/>
      <c r="AO33" s="29"/>
      <c r="AP33" s="29"/>
      <c r="AQ33" s="29"/>
      <c r="AR33" s="29"/>
      <c r="AS33" s="29"/>
      <c r="AT33" s="29"/>
      <c r="AU33" s="29"/>
      <c r="AV33" s="29"/>
      <c r="AW33" s="16"/>
      <c r="AX33" s="39">
        <f>IF(Z33&lt;0,MAX(AX$6:AX32)+1,0)</f>
        <v>0</v>
      </c>
      <c r="AY33" s="39" t="str">
        <f t="shared" si="23"/>
        <v/>
      </c>
      <c r="AZ33" s="39">
        <f t="shared" si="35"/>
        <v>3</v>
      </c>
      <c r="BA33" s="19"/>
      <c r="BB33" s="19">
        <f t="shared" si="44"/>
        <v>3</v>
      </c>
      <c r="BC33" s="19">
        <v>0</v>
      </c>
      <c r="BD33" s="39" t="str">
        <f t="shared" si="24"/>
        <v/>
      </c>
      <c r="BE33" s="39" t="str">
        <f t="shared" si="25"/>
        <v/>
      </c>
      <c r="BF33" s="19"/>
      <c r="BG33" s="55">
        <v>26</v>
      </c>
      <c r="BH33" s="39">
        <v>26</v>
      </c>
      <c r="BI33" s="54" t="s">
        <v>3</v>
      </c>
      <c r="BJ33" s="54" t="s">
        <v>3</v>
      </c>
      <c r="BK33" s="54" t="s">
        <v>3</v>
      </c>
      <c r="BL33" s="4" t="str">
        <f t="shared" si="31"/>
        <v/>
      </c>
      <c r="BM33" s="16"/>
      <c r="BN33" s="16"/>
      <c r="BO33" s="16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</row>
    <row r="34" spans="1:96" ht="12" customHeight="1" x14ac:dyDescent="0.25">
      <c r="A34" s="3"/>
      <c r="B34" s="23">
        <f t="shared" si="7"/>
        <v>28</v>
      </c>
      <c r="C34" s="48">
        <v>466622.28129999997</v>
      </c>
      <c r="D34" s="48">
        <v>7609955.25</v>
      </c>
      <c r="E34" s="14"/>
      <c r="F34" s="48"/>
      <c r="G34" s="48"/>
      <c r="H34" s="29"/>
      <c r="I34" s="30"/>
      <c r="J34" s="30"/>
      <c r="K34" s="14"/>
      <c r="L34" s="27" t="str">
        <f t="shared" si="26"/>
        <v/>
      </c>
      <c r="M34" s="14"/>
      <c r="N34" s="62" t="str">
        <f t="shared" si="27"/>
        <v/>
      </c>
      <c r="O34" s="6" t="str">
        <f t="shared" si="8"/>
        <v/>
      </c>
      <c r="P34" s="38" t="str">
        <f t="shared" si="9"/>
        <v/>
      </c>
      <c r="Q34" s="28" t="str">
        <f t="shared" si="32"/>
        <v/>
      </c>
      <c r="R34" s="48"/>
      <c r="S34" s="48"/>
      <c r="T34" s="29"/>
      <c r="U34" s="30"/>
      <c r="V34" s="30"/>
      <c r="W34" s="25" t="str">
        <f t="shared" si="28"/>
        <v/>
      </c>
      <c r="X34" s="25" t="str">
        <f t="shared" si="29"/>
        <v/>
      </c>
      <c r="Y34" s="25" t="str">
        <f t="shared" si="10"/>
        <v/>
      </c>
      <c r="Z34" s="38" t="str">
        <f t="shared" si="33"/>
        <v/>
      </c>
      <c r="AA34" s="16"/>
      <c r="AB34" s="40" t="str">
        <f t="shared" si="45"/>
        <v/>
      </c>
      <c r="AC34" s="40" t="str">
        <f t="shared" si="46"/>
        <v/>
      </c>
      <c r="AD34" s="40" t="str">
        <f t="shared" si="47"/>
        <v/>
      </c>
      <c r="AE34" s="40">
        <f t="shared" si="48"/>
        <v>-13</v>
      </c>
      <c r="AF34" s="40" t="str">
        <f t="shared" si="49"/>
        <v/>
      </c>
      <c r="AG34" s="40" t="str">
        <f t="shared" si="50"/>
        <v/>
      </c>
      <c r="AH34" s="40" t="str">
        <f t="shared" si="51"/>
        <v/>
      </c>
      <c r="AI34" s="40" t="str">
        <f t="shared" si="52"/>
        <v/>
      </c>
      <c r="AJ34" s="40" t="str">
        <f>IF(AND(ISNUMBER(AJ12),(ISNUMBER(#REF!))),INDEX($Y$7:$Y$41,AJ12,1),"")</f>
        <v/>
      </c>
      <c r="AK34" s="40" t="str">
        <f t="shared" si="53"/>
        <v/>
      </c>
      <c r="AL34" s="8"/>
      <c r="AM34" s="29"/>
      <c r="AN34" s="29"/>
      <c r="AO34" s="29"/>
      <c r="AP34" s="29"/>
      <c r="AQ34" s="29"/>
      <c r="AR34" s="29"/>
      <c r="AS34" s="29"/>
      <c r="AT34" s="29"/>
      <c r="AU34" s="29"/>
      <c r="AV34" s="29"/>
      <c r="AW34" s="16"/>
      <c r="AX34" s="39">
        <f>IF(Z34&lt;0,MAX(AX$6:AX33)+1,0)</f>
        <v>0</v>
      </c>
      <c r="AY34" s="39" t="str">
        <f t="shared" si="23"/>
        <v/>
      </c>
      <c r="AZ34" s="39" t="str">
        <f t="shared" si="35"/>
        <v/>
      </c>
      <c r="BA34" s="19"/>
      <c r="BB34" s="19">
        <f t="shared" si="44"/>
        <v>3</v>
      </c>
      <c r="BC34" s="19">
        <v>0</v>
      </c>
      <c r="BD34" s="39" t="str">
        <f t="shared" si="24"/>
        <v/>
      </c>
      <c r="BE34" s="39" t="str">
        <f t="shared" si="25"/>
        <v/>
      </c>
      <c r="BF34" s="19"/>
      <c r="BG34" s="53">
        <v>27</v>
      </c>
      <c r="BH34" s="39">
        <v>27</v>
      </c>
      <c r="BI34" s="54" t="s">
        <v>3</v>
      </c>
      <c r="BJ34" s="54" t="s">
        <v>3</v>
      </c>
      <c r="BK34" s="54" t="s">
        <v>3</v>
      </c>
      <c r="BL34" s="4" t="str">
        <f t="shared" si="31"/>
        <v/>
      </c>
      <c r="BM34" s="16"/>
      <c r="BN34" s="16"/>
      <c r="BO34" s="16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</row>
    <row r="35" spans="1:96" ht="12" customHeight="1" x14ac:dyDescent="0.25">
      <c r="A35" s="3"/>
      <c r="B35" s="23">
        <f t="shared" si="7"/>
        <v>29</v>
      </c>
      <c r="C35" s="48">
        <v>466097.28129999997</v>
      </c>
      <c r="D35" s="48">
        <v>7610467.75</v>
      </c>
      <c r="E35" s="14"/>
      <c r="F35" s="48"/>
      <c r="G35" s="48"/>
      <c r="H35" s="29"/>
      <c r="I35" s="30"/>
      <c r="J35" s="30"/>
      <c r="K35" s="14"/>
      <c r="L35" s="27" t="str">
        <f t="shared" si="26"/>
        <v/>
      </c>
      <c r="M35" s="14"/>
      <c r="N35" s="62" t="str">
        <f t="shared" si="27"/>
        <v/>
      </c>
      <c r="O35" s="6" t="str">
        <f t="shared" si="8"/>
        <v/>
      </c>
      <c r="P35" s="38" t="str">
        <f t="shared" si="9"/>
        <v/>
      </c>
      <c r="Q35" s="28" t="str">
        <f t="shared" si="32"/>
        <v/>
      </c>
      <c r="R35" s="48"/>
      <c r="S35" s="48"/>
      <c r="T35" s="29"/>
      <c r="U35" s="30"/>
      <c r="V35" s="30"/>
      <c r="W35" s="25" t="str">
        <f t="shared" si="28"/>
        <v/>
      </c>
      <c r="X35" s="25" t="str">
        <f t="shared" si="29"/>
        <v/>
      </c>
      <c r="Y35" s="25" t="str">
        <f t="shared" si="10"/>
        <v/>
      </c>
      <c r="Z35" s="38" t="str">
        <f t="shared" si="33"/>
        <v/>
      </c>
      <c r="AA35" s="16"/>
      <c r="AB35" s="40" t="str">
        <f t="shared" si="45"/>
        <v/>
      </c>
      <c r="AC35" s="40" t="str">
        <f t="shared" si="46"/>
        <v/>
      </c>
      <c r="AD35" s="40" t="str">
        <f t="shared" si="47"/>
        <v/>
      </c>
      <c r="AE35" s="40" t="str">
        <f t="shared" si="48"/>
        <v/>
      </c>
      <c r="AF35" s="40" t="str">
        <f t="shared" si="49"/>
        <v/>
      </c>
      <c r="AG35" s="40" t="str">
        <f t="shared" si="50"/>
        <v/>
      </c>
      <c r="AH35" s="40" t="str">
        <f t="shared" si="51"/>
        <v/>
      </c>
      <c r="AI35" s="40" t="str">
        <f t="shared" si="52"/>
        <v/>
      </c>
      <c r="AJ35" s="40" t="str">
        <f>IF(AND(ISNUMBER(AJ13),(ISNUMBER(#REF!))),INDEX($Y$7:$Y$41,AJ13,1),"")</f>
        <v/>
      </c>
      <c r="AK35" s="40" t="str">
        <f t="shared" si="53"/>
        <v/>
      </c>
      <c r="AL35" s="8"/>
      <c r="AM35" s="17"/>
      <c r="AN35" s="17"/>
      <c r="AO35" s="17"/>
      <c r="AP35" s="17"/>
      <c r="AQ35" s="17"/>
      <c r="AR35" s="17"/>
      <c r="AS35" s="17"/>
      <c r="AT35" s="17"/>
      <c r="AU35" s="17"/>
      <c r="AV35" s="17"/>
      <c r="AW35" s="16"/>
      <c r="AX35" s="39">
        <f>IF(Z35&lt;0,MAX(AX$6:AX34)+1,0)</f>
        <v>0</v>
      </c>
      <c r="AY35" s="39" t="str">
        <f t="shared" si="23"/>
        <v/>
      </c>
      <c r="AZ35" s="39" t="str">
        <f t="shared" si="35"/>
        <v/>
      </c>
      <c r="BA35" s="19"/>
      <c r="BB35" s="19">
        <f t="shared" si="44"/>
        <v>3</v>
      </c>
      <c r="BC35" s="19">
        <v>0</v>
      </c>
      <c r="BD35" s="39" t="str">
        <f t="shared" si="24"/>
        <v/>
      </c>
      <c r="BE35" s="39" t="str">
        <f t="shared" si="25"/>
        <v/>
      </c>
      <c r="BF35" s="19"/>
      <c r="BG35" s="55">
        <v>28</v>
      </c>
      <c r="BH35" s="39">
        <v>28</v>
      </c>
      <c r="BI35" s="54" t="s">
        <v>3</v>
      </c>
      <c r="BJ35" s="54" t="s">
        <v>3</v>
      </c>
      <c r="BK35" s="54" t="s">
        <v>3</v>
      </c>
      <c r="BL35" s="4" t="str">
        <f t="shared" si="31"/>
        <v/>
      </c>
      <c r="BM35" s="16"/>
      <c r="BN35" s="16"/>
      <c r="BO35" s="16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</row>
    <row r="36" spans="1:96" ht="12" customHeight="1" x14ac:dyDescent="0.25">
      <c r="A36" s="3"/>
      <c r="B36" s="23">
        <f t="shared" si="7"/>
        <v>30</v>
      </c>
      <c r="C36" s="48">
        <v>465534.78129999997</v>
      </c>
      <c r="D36" s="48">
        <v>7610505.25</v>
      </c>
      <c r="E36" s="14"/>
      <c r="F36" s="48"/>
      <c r="G36" s="48"/>
      <c r="H36" s="26"/>
      <c r="I36" s="10"/>
      <c r="J36" s="10"/>
      <c r="K36" s="14"/>
      <c r="L36" s="27" t="str">
        <f t="shared" si="26"/>
        <v/>
      </c>
      <c r="M36" s="14"/>
      <c r="N36" s="62" t="str">
        <f t="shared" si="27"/>
        <v/>
      </c>
      <c r="O36" s="6" t="str">
        <f t="shared" si="8"/>
        <v/>
      </c>
      <c r="P36" s="38" t="str">
        <f t="shared" si="9"/>
        <v/>
      </c>
      <c r="Q36" s="28" t="str">
        <f t="shared" si="32"/>
        <v/>
      </c>
      <c r="R36" s="48"/>
      <c r="S36" s="48"/>
      <c r="T36" s="29"/>
      <c r="U36" s="30"/>
      <c r="V36" s="30"/>
      <c r="W36" s="25" t="str">
        <f t="shared" si="28"/>
        <v/>
      </c>
      <c r="X36" s="25" t="str">
        <f t="shared" si="29"/>
        <v/>
      </c>
      <c r="Y36" s="25" t="str">
        <f t="shared" si="10"/>
        <v/>
      </c>
      <c r="Z36" s="38" t="str">
        <f t="shared" si="33"/>
        <v/>
      </c>
      <c r="AA36" s="16"/>
      <c r="AB36" s="40" t="str">
        <f t="shared" si="45"/>
        <v/>
      </c>
      <c r="AC36" s="40" t="str">
        <f t="shared" si="46"/>
        <v/>
      </c>
      <c r="AD36" s="40" t="str">
        <f t="shared" si="47"/>
        <v/>
      </c>
      <c r="AE36" s="40" t="str">
        <f t="shared" si="48"/>
        <v/>
      </c>
      <c r="AF36" s="40" t="str">
        <f t="shared" si="49"/>
        <v/>
      </c>
      <c r="AG36" s="40" t="str">
        <f t="shared" si="50"/>
        <v/>
      </c>
      <c r="AH36" s="40" t="str">
        <f t="shared" si="51"/>
        <v/>
      </c>
      <c r="AI36" s="40" t="str">
        <f t="shared" si="52"/>
        <v/>
      </c>
      <c r="AJ36" s="40" t="str">
        <f>IF(AND(ISNUMBER(AJ14),(ISNUMBER(#REF!))),INDEX($Y$7:$Y$41,AJ14,1),"")</f>
        <v/>
      </c>
      <c r="AK36" s="40" t="str">
        <f t="shared" si="53"/>
        <v/>
      </c>
      <c r="AL36" s="8"/>
      <c r="AM36" s="17"/>
      <c r="AN36" s="17"/>
      <c r="AO36" s="17"/>
      <c r="AP36" s="17"/>
      <c r="AQ36" s="17"/>
      <c r="AR36" s="17"/>
      <c r="AS36" s="17"/>
      <c r="AT36" s="17"/>
      <c r="AU36" s="17"/>
      <c r="AV36" s="17"/>
      <c r="AW36" s="16"/>
      <c r="AX36" s="39">
        <f>IF(Z36&lt;0,MAX(AX$6:AX35)+1,0)</f>
        <v>0</v>
      </c>
      <c r="AY36" s="39" t="str">
        <f t="shared" si="23"/>
        <v/>
      </c>
      <c r="AZ36" s="39" t="str">
        <f t="shared" si="35"/>
        <v/>
      </c>
      <c r="BA36" s="19"/>
      <c r="BB36" s="19">
        <v>0</v>
      </c>
      <c r="BC36" s="19">
        <v>0</v>
      </c>
      <c r="BD36" s="39" t="str">
        <f t="shared" si="24"/>
        <v/>
      </c>
      <c r="BE36" s="39" t="str">
        <f t="shared" si="25"/>
        <v/>
      </c>
      <c r="BF36" s="19"/>
      <c r="BG36" s="39" t="str">
        <f t="shared" ref="BG36:BH42" si="54">IF(ISNUMBER(AI36),AS36+AV36,"")</f>
        <v/>
      </c>
      <c r="BH36" s="39" t="str">
        <f t="shared" si="54"/>
        <v/>
      </c>
      <c r="BI36" s="39"/>
      <c r="BJ36" s="39"/>
      <c r="BK36" s="39"/>
      <c r="BL36" s="16"/>
      <c r="BM36" s="16"/>
      <c r="BN36" s="16"/>
      <c r="BO36" s="16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</row>
    <row r="37" spans="1:96" ht="12" customHeight="1" x14ac:dyDescent="0.25">
      <c r="A37" s="3"/>
      <c r="B37" s="23">
        <f t="shared" si="7"/>
        <v>31</v>
      </c>
      <c r="C37" s="48">
        <v>464909.78129999997</v>
      </c>
      <c r="D37" s="48">
        <v>7609892.75</v>
      </c>
      <c r="E37" s="14"/>
      <c r="F37" s="48"/>
      <c r="G37" s="48"/>
      <c r="H37" s="26"/>
      <c r="I37" s="10"/>
      <c r="J37" s="10"/>
      <c r="K37" s="14"/>
      <c r="L37" s="27" t="str">
        <f t="shared" si="26"/>
        <v/>
      </c>
      <c r="M37" s="14"/>
      <c r="N37" s="62" t="str">
        <f t="shared" si="27"/>
        <v/>
      </c>
      <c r="O37" s="6" t="str">
        <f t="shared" si="8"/>
        <v/>
      </c>
      <c r="P37" s="38" t="str">
        <f t="shared" si="9"/>
        <v/>
      </c>
      <c r="Q37" s="28" t="str">
        <f t="shared" si="32"/>
        <v/>
      </c>
      <c r="R37" s="48"/>
      <c r="S37" s="48"/>
      <c r="T37" s="29"/>
      <c r="U37" s="30"/>
      <c r="V37" s="30"/>
      <c r="W37" s="25" t="str">
        <f t="shared" si="28"/>
        <v/>
      </c>
      <c r="X37" s="25" t="str">
        <f t="shared" si="29"/>
        <v/>
      </c>
      <c r="Y37" s="25" t="str">
        <f t="shared" si="10"/>
        <v/>
      </c>
      <c r="Z37" s="38" t="str">
        <f t="shared" si="33"/>
        <v/>
      </c>
      <c r="AA37" s="16"/>
      <c r="AB37" s="40" t="str">
        <f t="shared" si="45"/>
        <v/>
      </c>
      <c r="AC37" s="40" t="str">
        <f t="shared" si="46"/>
        <v/>
      </c>
      <c r="AD37" s="40" t="str">
        <f t="shared" si="47"/>
        <v/>
      </c>
      <c r="AE37" s="40" t="str">
        <f t="shared" si="48"/>
        <v/>
      </c>
      <c r="AF37" s="40" t="str">
        <f t="shared" si="49"/>
        <v/>
      </c>
      <c r="AG37" s="40" t="str">
        <f t="shared" si="50"/>
        <v/>
      </c>
      <c r="AH37" s="40" t="str">
        <f t="shared" si="51"/>
        <v/>
      </c>
      <c r="AI37" s="40" t="str">
        <f t="shared" si="52"/>
        <v/>
      </c>
      <c r="AJ37" s="40" t="str">
        <f>IF(AND(ISNUMBER(AJ15),(ISNUMBER(#REF!))),INDEX($Y$7:$Y$41,AJ15,1),"")</f>
        <v/>
      </c>
      <c r="AK37" s="40" t="str">
        <f t="shared" si="53"/>
        <v/>
      </c>
      <c r="AL37" s="8"/>
      <c r="AM37" s="17"/>
      <c r="AN37" s="17"/>
      <c r="AO37" s="17"/>
      <c r="AP37" s="17"/>
      <c r="AQ37" s="17"/>
      <c r="AR37" s="17"/>
      <c r="AS37" s="17"/>
      <c r="AT37" s="17"/>
      <c r="AU37" s="17"/>
      <c r="AV37" s="17"/>
      <c r="AW37" s="16"/>
      <c r="AX37" s="39">
        <f>IF(Z37&lt;0,MAX(AX$6:AX36)+1,0)</f>
        <v>0</v>
      </c>
      <c r="AY37" s="39" t="str">
        <f t="shared" si="23"/>
        <v/>
      </c>
      <c r="AZ37" s="39" t="str">
        <f t="shared" si="35"/>
        <v/>
      </c>
      <c r="BA37" s="19"/>
      <c r="BB37" s="19">
        <v>0</v>
      </c>
      <c r="BC37" s="19">
        <v>0</v>
      </c>
      <c r="BD37" s="39" t="str">
        <f t="shared" si="24"/>
        <v/>
      </c>
      <c r="BE37" s="39" t="str">
        <f t="shared" si="25"/>
        <v/>
      </c>
      <c r="BF37" s="19"/>
      <c r="BG37" s="39" t="str">
        <f t="shared" si="54"/>
        <v/>
      </c>
      <c r="BH37" s="39" t="str">
        <f t="shared" si="54"/>
        <v/>
      </c>
      <c r="BI37" s="39"/>
      <c r="BJ37" s="39"/>
      <c r="BK37" s="39"/>
      <c r="BL37" s="16"/>
      <c r="BM37" s="16"/>
      <c r="BN37" s="16"/>
      <c r="BO37" s="16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</row>
    <row r="38" spans="1:96" ht="12" customHeight="1" x14ac:dyDescent="0.25">
      <c r="A38" s="3"/>
      <c r="B38" s="23">
        <f t="shared" si="7"/>
        <v>32</v>
      </c>
      <c r="C38" s="48">
        <v>464822.28129999997</v>
      </c>
      <c r="D38" s="48">
        <v>7609305.25</v>
      </c>
      <c r="E38" s="14"/>
      <c r="F38" s="48"/>
      <c r="G38" s="48"/>
      <c r="H38" s="26"/>
      <c r="I38" s="10"/>
      <c r="J38" s="10"/>
      <c r="K38" s="14"/>
      <c r="L38" s="27" t="str">
        <f t="shared" si="26"/>
        <v/>
      </c>
      <c r="M38" s="14"/>
      <c r="N38" s="62" t="str">
        <f t="shared" si="27"/>
        <v/>
      </c>
      <c r="O38" s="6" t="str">
        <f t="shared" si="8"/>
        <v/>
      </c>
      <c r="P38" s="38" t="str">
        <f t="shared" si="9"/>
        <v/>
      </c>
      <c r="Q38" s="28" t="str">
        <f t="shared" si="32"/>
        <v/>
      </c>
      <c r="R38" s="48"/>
      <c r="S38" s="48"/>
      <c r="T38" s="29"/>
      <c r="U38" s="30"/>
      <c r="V38" s="30"/>
      <c r="W38" s="25" t="str">
        <f t="shared" si="28"/>
        <v/>
      </c>
      <c r="X38" s="25" t="str">
        <f t="shared" si="29"/>
        <v/>
      </c>
      <c r="Y38" s="25" t="str">
        <f t="shared" si="10"/>
        <v/>
      </c>
      <c r="Z38" s="38" t="str">
        <f t="shared" si="33"/>
        <v/>
      </c>
      <c r="AA38" s="16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16"/>
      <c r="AM38" s="17"/>
      <c r="AN38" s="17"/>
      <c r="AO38" s="17"/>
      <c r="AP38" s="17"/>
      <c r="AQ38" s="17"/>
      <c r="AR38" s="17"/>
      <c r="AS38" s="17"/>
      <c r="AT38" s="17"/>
      <c r="AU38" s="17"/>
      <c r="AV38" s="16"/>
      <c r="AW38" s="16"/>
      <c r="AX38" s="39">
        <f>IF(Z38&lt;0,MAX(AX$6:AX37)+1,0)</f>
        <v>0</v>
      </c>
      <c r="AY38" s="39" t="str">
        <f t="shared" si="23"/>
        <v/>
      </c>
      <c r="AZ38" s="39" t="str">
        <f t="shared" si="35"/>
        <v/>
      </c>
      <c r="BA38" s="19"/>
      <c r="BB38" s="19">
        <v>0</v>
      </c>
      <c r="BC38" s="19">
        <v>0</v>
      </c>
      <c r="BD38" s="39" t="str">
        <f t="shared" si="24"/>
        <v/>
      </c>
      <c r="BE38" s="39" t="str">
        <f t="shared" si="25"/>
        <v/>
      </c>
      <c r="BF38" s="19"/>
      <c r="BG38" s="39" t="str">
        <f t="shared" si="54"/>
        <v/>
      </c>
      <c r="BH38" s="39" t="str">
        <f t="shared" si="54"/>
        <v/>
      </c>
      <c r="BI38" s="39"/>
      <c r="BJ38" s="39"/>
      <c r="BK38" s="39"/>
      <c r="BL38" s="16"/>
      <c r="BM38" s="16"/>
      <c r="BN38" s="16"/>
      <c r="BO38" s="16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</row>
    <row r="39" spans="1:96" ht="12" customHeight="1" x14ac:dyDescent="0.25">
      <c r="A39" s="3"/>
      <c r="B39" s="23">
        <f t="shared" si="7"/>
        <v>33</v>
      </c>
      <c r="C39" s="48">
        <v>464297.28129999997</v>
      </c>
      <c r="D39" s="48">
        <v>7610630.25</v>
      </c>
      <c r="E39" s="14"/>
      <c r="F39" s="48"/>
      <c r="G39" s="48"/>
      <c r="H39" s="26"/>
      <c r="I39" s="10"/>
      <c r="J39" s="10"/>
      <c r="K39" s="14"/>
      <c r="L39" s="27" t="str">
        <f t="shared" si="26"/>
        <v/>
      </c>
      <c r="M39" s="14"/>
      <c r="N39" s="62" t="str">
        <f t="shared" si="27"/>
        <v/>
      </c>
      <c r="O39" s="6" t="str">
        <f t="shared" si="8"/>
        <v/>
      </c>
      <c r="P39" s="38" t="str">
        <f t="shared" si="9"/>
        <v/>
      </c>
      <c r="Q39" s="28" t="str">
        <f t="shared" si="32"/>
        <v/>
      </c>
      <c r="R39" s="48"/>
      <c r="S39" s="48"/>
      <c r="T39" s="29"/>
      <c r="U39" s="30"/>
      <c r="V39" s="30"/>
      <c r="W39" s="25" t="str">
        <f t="shared" si="28"/>
        <v/>
      </c>
      <c r="X39" s="25" t="str">
        <f t="shared" si="29"/>
        <v/>
      </c>
      <c r="Y39" s="25" t="str">
        <f t="shared" si="10"/>
        <v/>
      </c>
      <c r="Z39" s="38" t="str">
        <f t="shared" si="33"/>
        <v/>
      </c>
      <c r="AA39" s="16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16"/>
      <c r="AM39" s="17"/>
      <c r="AN39" s="17"/>
      <c r="AO39" s="17"/>
      <c r="AP39" s="17"/>
      <c r="AQ39" s="17"/>
      <c r="AR39" s="17"/>
      <c r="AS39" s="17"/>
      <c r="AT39" s="17"/>
      <c r="AU39" s="17"/>
      <c r="AV39" s="17"/>
      <c r="AW39" s="16"/>
      <c r="AX39" s="39">
        <f>IF(Z39&lt;0,MAX(AX$6:AX38)+1,0)</f>
        <v>0</v>
      </c>
      <c r="AY39" s="39" t="str">
        <f t="shared" si="23"/>
        <v/>
      </c>
      <c r="AZ39" s="39" t="str">
        <f t="shared" si="35"/>
        <v/>
      </c>
      <c r="BA39" s="19"/>
      <c r="BB39" s="19">
        <v>0</v>
      </c>
      <c r="BC39" s="19">
        <v>0</v>
      </c>
      <c r="BD39" s="39" t="str">
        <f t="shared" si="24"/>
        <v/>
      </c>
      <c r="BE39" s="39" t="str">
        <f t="shared" si="25"/>
        <v/>
      </c>
      <c r="BF39" s="19"/>
      <c r="BG39" s="39" t="str">
        <f t="shared" si="54"/>
        <v/>
      </c>
      <c r="BH39" s="39" t="str">
        <f t="shared" si="54"/>
        <v/>
      </c>
      <c r="BI39" s="39"/>
      <c r="BJ39" s="39"/>
      <c r="BK39" s="39"/>
      <c r="BL39" s="16"/>
      <c r="BM39" s="16"/>
      <c r="BN39" s="16"/>
      <c r="BO39" s="16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</row>
    <row r="40" spans="1:96" ht="12" customHeight="1" x14ac:dyDescent="0.25">
      <c r="A40" s="3"/>
      <c r="B40" s="23">
        <f t="shared" si="7"/>
        <v>34</v>
      </c>
      <c r="C40" s="48">
        <v>464784.78129999997</v>
      </c>
      <c r="D40" s="48">
        <v>7609967.75</v>
      </c>
      <c r="E40" s="14"/>
      <c r="F40" s="48"/>
      <c r="G40" s="48"/>
      <c r="H40" s="26"/>
      <c r="I40" s="10"/>
      <c r="J40" s="10"/>
      <c r="K40" s="14"/>
      <c r="L40" s="27" t="str">
        <f t="shared" si="26"/>
        <v/>
      </c>
      <c r="M40" s="14"/>
      <c r="N40" s="62" t="str">
        <f t="shared" si="27"/>
        <v/>
      </c>
      <c r="O40" s="6" t="str">
        <f t="shared" si="8"/>
        <v/>
      </c>
      <c r="P40" s="38" t="str">
        <f t="shared" si="9"/>
        <v/>
      </c>
      <c r="Q40" s="28" t="str">
        <f t="shared" si="32"/>
        <v/>
      </c>
      <c r="R40" s="48"/>
      <c r="S40" s="48"/>
      <c r="T40" s="29"/>
      <c r="U40" s="30"/>
      <c r="V40" s="30"/>
      <c r="W40" s="25" t="str">
        <f t="shared" si="28"/>
        <v/>
      </c>
      <c r="X40" s="25" t="str">
        <f t="shared" si="29"/>
        <v/>
      </c>
      <c r="Y40" s="25" t="str">
        <f t="shared" si="10"/>
        <v/>
      </c>
      <c r="Z40" s="38" t="str">
        <f t="shared" si="33"/>
        <v/>
      </c>
      <c r="AA40" s="16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16"/>
      <c r="AM40" s="17"/>
      <c r="AN40" s="17"/>
      <c r="AO40" s="17"/>
      <c r="AP40" s="17"/>
      <c r="AQ40" s="17"/>
      <c r="AR40" s="17"/>
      <c r="AS40" s="17"/>
      <c r="AT40" s="17"/>
      <c r="AU40" s="17"/>
      <c r="AV40" s="17"/>
      <c r="AW40" s="16"/>
      <c r="AX40" s="39">
        <f>IF(Z40&lt;0,MAX(AX$6:AX39)+1,0)</f>
        <v>0</v>
      </c>
      <c r="AY40" s="39" t="str">
        <f t="shared" si="23"/>
        <v/>
      </c>
      <c r="AZ40" s="39" t="str">
        <f t="shared" si="35"/>
        <v/>
      </c>
      <c r="BA40" s="19"/>
      <c r="BB40" s="19">
        <v>0</v>
      </c>
      <c r="BC40" s="19">
        <v>0</v>
      </c>
      <c r="BD40" s="39" t="str">
        <f t="shared" si="24"/>
        <v/>
      </c>
      <c r="BE40" s="39" t="str">
        <f t="shared" si="25"/>
        <v/>
      </c>
      <c r="BF40" s="19"/>
      <c r="BG40" s="39" t="str">
        <f t="shared" si="54"/>
        <v/>
      </c>
      <c r="BH40" s="39" t="str">
        <f t="shared" si="54"/>
        <v/>
      </c>
      <c r="BI40" s="39"/>
      <c r="BJ40" s="39"/>
      <c r="BK40" s="39"/>
      <c r="BL40" s="16"/>
      <c r="BM40" s="16"/>
      <c r="BN40" s="16"/>
      <c r="BO40" s="16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</row>
    <row r="41" spans="1:96" ht="12" customHeight="1" x14ac:dyDescent="0.25">
      <c r="A41" s="3"/>
      <c r="B41" s="23">
        <f t="shared" si="7"/>
        <v>35</v>
      </c>
      <c r="C41" s="48">
        <v>464822.28129999997</v>
      </c>
      <c r="D41" s="48">
        <v>7609305.25</v>
      </c>
      <c r="E41" s="14"/>
      <c r="F41" s="48"/>
      <c r="G41" s="48"/>
      <c r="H41" s="26"/>
      <c r="I41" s="10"/>
      <c r="J41" s="10"/>
      <c r="K41" s="14"/>
      <c r="L41" s="27" t="str">
        <f t="shared" si="26"/>
        <v/>
      </c>
      <c r="M41" s="14"/>
      <c r="N41" s="62" t="str">
        <f t="shared" si="27"/>
        <v/>
      </c>
      <c r="O41" s="6" t="str">
        <f t="shared" si="8"/>
        <v/>
      </c>
      <c r="P41" s="38" t="str">
        <f t="shared" si="9"/>
        <v/>
      </c>
      <c r="Q41" s="28" t="str">
        <f t="shared" si="32"/>
        <v/>
      </c>
      <c r="R41" s="48"/>
      <c r="S41" s="48"/>
      <c r="T41" s="29"/>
      <c r="U41" s="30"/>
      <c r="V41" s="30"/>
      <c r="W41" s="25" t="str">
        <f t="shared" si="28"/>
        <v/>
      </c>
      <c r="X41" s="25" t="str">
        <f t="shared" si="29"/>
        <v/>
      </c>
      <c r="Y41" s="25" t="str">
        <f t="shared" si="10"/>
        <v/>
      </c>
      <c r="Z41" s="38" t="str">
        <f t="shared" si="33"/>
        <v/>
      </c>
      <c r="AA41" s="16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16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6"/>
      <c r="AX41" s="39">
        <f>IF(Z41&lt;0,MAX(AX$6:AX40)+1,0)</f>
        <v>0</v>
      </c>
      <c r="AY41" s="39" t="str">
        <f t="shared" si="23"/>
        <v/>
      </c>
      <c r="AZ41" s="39" t="str">
        <f t="shared" si="35"/>
        <v/>
      </c>
      <c r="BA41" s="19"/>
      <c r="BB41" s="19">
        <v>0</v>
      </c>
      <c r="BC41" s="19">
        <v>0</v>
      </c>
      <c r="BD41" s="39" t="str">
        <f t="shared" si="24"/>
        <v/>
      </c>
      <c r="BE41" s="39" t="str">
        <f t="shared" si="25"/>
        <v/>
      </c>
      <c r="BF41" s="19"/>
      <c r="BG41" s="39" t="str">
        <f t="shared" si="54"/>
        <v/>
      </c>
      <c r="BH41" s="39" t="str">
        <f t="shared" si="54"/>
        <v/>
      </c>
      <c r="BI41" s="39"/>
      <c r="BJ41" s="39"/>
      <c r="BK41" s="39"/>
      <c r="BL41" s="16"/>
      <c r="BM41" s="16"/>
      <c r="BN41" s="16"/>
      <c r="BO41" s="16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</row>
    <row r="42" spans="1:96" ht="12" customHeight="1" x14ac:dyDescent="0.25">
      <c r="A42" s="3"/>
      <c r="B42" s="23">
        <f t="shared" si="7"/>
        <v>36</v>
      </c>
      <c r="C42" s="48">
        <v>464172.28129999997</v>
      </c>
      <c r="D42" s="48">
        <v>7607930.25</v>
      </c>
      <c r="E42" s="14"/>
      <c r="F42" s="48"/>
      <c r="G42" s="48"/>
      <c r="H42" s="26"/>
      <c r="I42" s="10"/>
      <c r="J42" s="10"/>
      <c r="K42" s="14"/>
      <c r="L42" s="27" t="str">
        <f t="shared" si="26"/>
        <v/>
      </c>
      <c r="M42" s="14"/>
      <c r="N42" s="62" t="str">
        <f t="shared" si="27"/>
        <v/>
      </c>
      <c r="O42" s="6" t="str">
        <f t="shared" si="8"/>
        <v/>
      </c>
      <c r="P42" s="38" t="str">
        <f t="shared" si="9"/>
        <v/>
      </c>
      <c r="Q42" s="28" t="str">
        <f t="shared" si="32"/>
        <v/>
      </c>
      <c r="R42" s="48"/>
      <c r="S42" s="48"/>
      <c r="T42" s="29"/>
      <c r="U42" s="30"/>
      <c r="V42" s="30"/>
      <c r="W42" s="25" t="str">
        <f t="shared" si="28"/>
        <v/>
      </c>
      <c r="X42" s="25" t="str">
        <f t="shared" si="29"/>
        <v/>
      </c>
      <c r="Y42" s="25" t="str">
        <f t="shared" si="10"/>
        <v/>
      </c>
      <c r="Z42" s="38" t="str">
        <f t="shared" si="33"/>
        <v/>
      </c>
      <c r="AA42" s="16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16"/>
      <c r="AM42" s="17"/>
      <c r="AN42" s="17"/>
      <c r="AO42" s="17"/>
      <c r="AP42" s="17"/>
      <c r="AQ42" s="17"/>
      <c r="AR42" s="17"/>
      <c r="AS42" s="17"/>
      <c r="AT42" s="17"/>
      <c r="AU42" s="17"/>
      <c r="AV42" s="17"/>
      <c r="AW42" s="16"/>
      <c r="AX42" s="39">
        <f>IF(Z42&lt;0,MAX(AX$6:AX41)+1,0)</f>
        <v>0</v>
      </c>
      <c r="AY42" s="39" t="str">
        <f t="shared" si="23"/>
        <v/>
      </c>
      <c r="AZ42" s="39" t="str">
        <f t="shared" si="35"/>
        <v/>
      </c>
      <c r="BA42" s="19"/>
      <c r="BB42" s="19">
        <v>0</v>
      </c>
      <c r="BC42" s="19">
        <v>0</v>
      </c>
      <c r="BD42" s="39" t="str">
        <f t="shared" si="24"/>
        <v/>
      </c>
      <c r="BE42" s="39" t="str">
        <f t="shared" si="25"/>
        <v/>
      </c>
      <c r="BF42" s="19"/>
      <c r="BG42" s="39" t="str">
        <f t="shared" si="54"/>
        <v/>
      </c>
      <c r="BH42" s="39" t="str">
        <f t="shared" si="54"/>
        <v/>
      </c>
      <c r="BI42" s="39"/>
      <c r="BJ42" s="39"/>
      <c r="BK42" s="39"/>
      <c r="BL42" s="16"/>
      <c r="BM42" s="16"/>
      <c r="BN42" s="16"/>
      <c r="BO42" s="16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</row>
    <row r="43" spans="1:96" ht="12" customHeight="1" x14ac:dyDescent="0.25">
      <c r="A43" s="3"/>
      <c r="B43" s="4"/>
      <c r="C43" s="3"/>
      <c r="D43" s="3"/>
      <c r="E43" s="14"/>
      <c r="F43" s="26"/>
      <c r="G43" s="26"/>
      <c r="H43" s="26"/>
      <c r="I43" s="10"/>
      <c r="J43" s="10"/>
      <c r="K43" s="14"/>
      <c r="L43" s="11"/>
      <c r="M43" s="14"/>
      <c r="N43" s="14"/>
      <c r="O43" s="4"/>
      <c r="P43" s="3"/>
      <c r="Q43" s="4"/>
      <c r="R43" s="3"/>
      <c r="S43" s="3"/>
      <c r="T43" s="3"/>
      <c r="U43" s="4"/>
      <c r="V43" s="4"/>
      <c r="W43" s="4"/>
      <c r="X43" s="4"/>
      <c r="Y43" s="4"/>
      <c r="Z43" s="11"/>
      <c r="AA43" s="16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16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6"/>
      <c r="AX43" s="15"/>
      <c r="AY43" s="15"/>
      <c r="AZ43" s="15"/>
      <c r="BA43" s="16"/>
      <c r="BB43" s="16"/>
      <c r="BC43" s="16"/>
      <c r="BD43" s="16"/>
      <c r="BE43" s="16"/>
      <c r="BF43" s="16"/>
      <c r="BG43" s="16"/>
      <c r="BH43" s="16"/>
      <c r="BI43" s="16"/>
      <c r="BJ43" s="16"/>
      <c r="BK43" s="16"/>
      <c r="BL43" s="16"/>
      <c r="BM43" s="16"/>
      <c r="BN43" s="16"/>
      <c r="BO43" s="16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</row>
    <row r="44" spans="1:96" ht="12" customHeight="1" x14ac:dyDescent="0.25">
      <c r="A44" s="3"/>
      <c r="B44" s="4"/>
      <c r="C44" s="3"/>
      <c r="D44" s="3"/>
      <c r="E44" s="14"/>
      <c r="F44" s="26"/>
      <c r="G44" s="26"/>
      <c r="H44" s="26"/>
      <c r="I44" s="10"/>
      <c r="J44" s="10"/>
      <c r="K44" s="14"/>
      <c r="L44" s="11"/>
      <c r="M44" s="14"/>
      <c r="N44" s="14"/>
      <c r="O44" s="4"/>
      <c r="P44" s="3"/>
      <c r="Q44" s="4"/>
      <c r="R44" s="3"/>
      <c r="S44" s="3"/>
      <c r="T44" s="3"/>
      <c r="U44" s="4"/>
      <c r="V44" s="4"/>
      <c r="W44" s="4"/>
      <c r="X44" s="4"/>
      <c r="Y44" s="4"/>
      <c r="Z44" s="11"/>
      <c r="AA44" s="16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16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6"/>
      <c r="AX44" s="15"/>
      <c r="AY44" s="15"/>
      <c r="AZ44" s="15"/>
      <c r="BA44" s="16"/>
      <c r="BB44" s="16"/>
      <c r="BC44" s="16"/>
      <c r="BD44" s="16"/>
      <c r="BE44" s="16"/>
      <c r="BF44" s="16"/>
      <c r="BG44" s="16"/>
      <c r="BH44" s="16"/>
      <c r="BI44" s="16"/>
      <c r="BJ44" s="16"/>
      <c r="BK44" s="16"/>
      <c r="BL44" s="16"/>
      <c r="BM44" s="16"/>
      <c r="BN44" s="16"/>
      <c r="BO44" s="16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</row>
    <row r="45" spans="1:96" ht="12" customHeight="1" x14ac:dyDescent="0.25">
      <c r="A45" s="3"/>
      <c r="B45" s="4"/>
      <c r="C45" s="3"/>
      <c r="D45" s="3"/>
      <c r="E45" s="14"/>
      <c r="F45" s="26"/>
      <c r="G45" s="26"/>
      <c r="H45" s="26"/>
      <c r="I45" s="10"/>
      <c r="J45" s="10"/>
      <c r="K45" s="14"/>
      <c r="L45" s="11"/>
      <c r="M45" s="14"/>
      <c r="N45" s="14"/>
      <c r="O45" s="4"/>
      <c r="P45" s="3"/>
      <c r="Q45" s="4"/>
      <c r="R45" s="3"/>
      <c r="S45" s="3"/>
      <c r="T45" s="3"/>
      <c r="U45" s="4"/>
      <c r="V45" s="4"/>
      <c r="W45" s="4"/>
      <c r="X45" s="4"/>
      <c r="Y45" s="4"/>
      <c r="Z45" s="11"/>
      <c r="AA45" s="16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16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6"/>
      <c r="AX45" s="15"/>
      <c r="AY45" s="15"/>
      <c r="AZ45" s="15"/>
      <c r="BA45" s="16"/>
      <c r="BB45" s="16"/>
      <c r="BC45" s="16"/>
      <c r="BD45" s="16"/>
      <c r="BE45" s="16"/>
      <c r="BF45" s="16"/>
      <c r="BG45" s="16"/>
      <c r="BH45" s="16"/>
      <c r="BI45" s="16"/>
      <c r="BJ45" s="16"/>
      <c r="BK45" s="16"/>
      <c r="BL45" s="16"/>
      <c r="BM45" s="16"/>
      <c r="BN45" s="16"/>
      <c r="BO45" s="16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</row>
    <row r="46" spans="1:96" ht="12" customHeight="1" x14ac:dyDescent="0.25">
      <c r="A46" s="3"/>
      <c r="B46" s="4"/>
      <c r="C46" s="3"/>
      <c r="D46" s="3"/>
      <c r="E46" s="14"/>
      <c r="F46" s="26"/>
      <c r="G46" s="26"/>
      <c r="H46" s="26"/>
      <c r="I46" s="10"/>
      <c r="J46" s="10"/>
      <c r="K46" s="14"/>
      <c r="L46" s="11"/>
      <c r="M46" s="14"/>
      <c r="N46" s="14"/>
      <c r="O46" s="4"/>
      <c r="P46" s="3"/>
      <c r="Q46" s="4"/>
      <c r="R46" s="3"/>
      <c r="S46" s="3"/>
      <c r="T46" s="3"/>
      <c r="U46" s="4"/>
      <c r="V46" s="4"/>
      <c r="W46" s="4"/>
      <c r="X46" s="4"/>
      <c r="Y46" s="4"/>
      <c r="Z46" s="11"/>
      <c r="AA46" s="16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16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5"/>
      <c r="AY46" s="15"/>
      <c r="AZ46" s="15"/>
      <c r="BA46" s="16"/>
      <c r="BB46" s="16"/>
      <c r="BC46" s="16"/>
      <c r="BD46" s="16"/>
      <c r="BE46" s="16"/>
      <c r="BF46" s="16"/>
      <c r="BG46" s="17"/>
      <c r="BH46" s="17"/>
      <c r="BI46" s="17"/>
      <c r="BJ46" s="17"/>
      <c r="BK46" s="17"/>
      <c r="BL46" s="17"/>
      <c r="BM46" s="17"/>
      <c r="BN46" s="17"/>
      <c r="BO46" s="17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</row>
    <row r="47" spans="1:96" ht="12" customHeight="1" x14ac:dyDescent="0.25">
      <c r="A47" s="3"/>
      <c r="B47" s="4"/>
      <c r="C47" s="3"/>
      <c r="D47" s="3"/>
      <c r="E47" s="14"/>
      <c r="F47" s="26"/>
      <c r="G47" s="26"/>
      <c r="H47" s="26"/>
      <c r="I47" s="10"/>
      <c r="J47" s="10"/>
      <c r="K47" s="14"/>
      <c r="L47" s="11"/>
      <c r="M47" s="14"/>
      <c r="N47" s="14"/>
      <c r="O47" s="4"/>
      <c r="P47" s="3"/>
      <c r="Q47" s="4"/>
      <c r="R47" s="3"/>
      <c r="S47" s="3"/>
      <c r="T47" s="3"/>
      <c r="U47" s="4"/>
      <c r="V47" s="4"/>
      <c r="W47" s="4"/>
      <c r="X47" s="4"/>
      <c r="Y47" s="4"/>
      <c r="Z47" s="11"/>
      <c r="AA47" s="16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16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6"/>
      <c r="AX47" s="15"/>
      <c r="AY47" s="15"/>
      <c r="AZ47" s="15"/>
      <c r="BA47" s="16"/>
      <c r="BB47" s="16"/>
      <c r="BC47" s="16"/>
      <c r="BD47" s="16"/>
      <c r="BE47" s="16"/>
      <c r="BF47" s="16"/>
      <c r="BG47" s="16"/>
      <c r="BH47" s="16"/>
      <c r="BI47" s="16"/>
      <c r="BJ47" s="16"/>
      <c r="BK47" s="16"/>
      <c r="BL47" s="16"/>
      <c r="BM47" s="16"/>
      <c r="BN47" s="16"/>
      <c r="BO47" s="16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  <c r="CN47" s="3"/>
      <c r="CO47" s="3"/>
      <c r="CP47" s="3"/>
      <c r="CQ47" s="3"/>
    </row>
    <row r="48" spans="1:96" ht="12" customHeight="1" x14ac:dyDescent="0.25">
      <c r="A48" s="3"/>
      <c r="B48" s="4"/>
      <c r="C48" s="3"/>
      <c r="D48" s="3"/>
      <c r="E48" s="14"/>
      <c r="F48" s="26"/>
      <c r="G48" s="26"/>
      <c r="H48" s="26"/>
      <c r="I48" s="10"/>
      <c r="J48" s="10"/>
      <c r="K48" s="14"/>
      <c r="L48" s="11"/>
      <c r="M48" s="14"/>
      <c r="N48" s="14"/>
      <c r="O48" s="4"/>
      <c r="P48" s="3"/>
      <c r="Q48" s="4"/>
      <c r="R48" s="3"/>
      <c r="S48" s="3"/>
      <c r="T48" s="3"/>
      <c r="U48" s="4"/>
      <c r="V48" s="4"/>
      <c r="W48" s="4"/>
      <c r="X48" s="4"/>
      <c r="Y48" s="4"/>
      <c r="Z48" s="11"/>
      <c r="AA48" s="16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16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6"/>
      <c r="AX48" s="15"/>
      <c r="AY48" s="15"/>
      <c r="AZ48" s="15"/>
      <c r="BA48" s="16"/>
      <c r="BB48" s="16"/>
      <c r="BC48" s="16"/>
      <c r="BD48" s="16"/>
      <c r="BE48" s="16"/>
      <c r="BF48" s="16"/>
      <c r="BG48" s="16"/>
      <c r="BH48" s="16"/>
      <c r="BI48" s="16"/>
      <c r="BJ48" s="16"/>
      <c r="BK48" s="16"/>
      <c r="BL48" s="16"/>
      <c r="BM48" s="16"/>
      <c r="BN48" s="16"/>
      <c r="BO48" s="16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  <c r="CN48" s="3"/>
      <c r="CO48" s="3"/>
      <c r="CP48" s="3"/>
      <c r="CQ48" s="3"/>
      <c r="CR48" s="3"/>
    </row>
    <row r="49" spans="1:96" ht="12" customHeight="1" x14ac:dyDescent="0.25">
      <c r="A49" s="3"/>
      <c r="B49" s="4"/>
      <c r="C49" s="3"/>
      <c r="D49" s="3"/>
      <c r="E49" s="14"/>
      <c r="F49" s="26"/>
      <c r="G49" s="26"/>
      <c r="H49" s="26"/>
      <c r="I49" s="10"/>
      <c r="J49" s="10"/>
      <c r="K49" s="14"/>
      <c r="L49" s="11"/>
      <c r="M49" s="14"/>
      <c r="N49" s="14"/>
      <c r="O49" s="4"/>
      <c r="P49" s="3"/>
      <c r="Q49" s="4"/>
      <c r="R49" s="3"/>
      <c r="S49" s="3"/>
      <c r="T49" s="3"/>
      <c r="U49" s="4"/>
      <c r="V49" s="4"/>
      <c r="W49" s="4"/>
      <c r="X49" s="4"/>
      <c r="Y49" s="4"/>
      <c r="Z49" s="11"/>
      <c r="AA49" s="16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16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6"/>
      <c r="AX49" s="15"/>
      <c r="AY49" s="15"/>
      <c r="AZ49" s="15"/>
      <c r="BA49" s="16"/>
      <c r="BB49" s="16"/>
      <c r="BC49" s="16"/>
      <c r="BD49" s="16"/>
      <c r="BE49" s="16"/>
      <c r="BF49" s="16"/>
      <c r="BG49" s="16"/>
      <c r="BH49" s="16"/>
      <c r="BI49" s="16"/>
      <c r="BJ49" s="16"/>
      <c r="BK49" s="16"/>
      <c r="BL49" s="16"/>
      <c r="BM49" s="16"/>
      <c r="BN49" s="16"/>
      <c r="BO49" s="16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  <c r="CN49" s="3"/>
      <c r="CO49" s="3"/>
      <c r="CP49" s="3"/>
      <c r="CQ49" s="3"/>
      <c r="CR49" s="3"/>
    </row>
    <row r="50" spans="1:96" ht="12" customHeight="1" x14ac:dyDescent="0.25">
      <c r="A50" s="3"/>
      <c r="B50" s="4"/>
      <c r="C50" s="3"/>
      <c r="D50" s="3"/>
      <c r="E50" s="14"/>
      <c r="F50" s="26"/>
      <c r="G50" s="26"/>
      <c r="H50" s="26"/>
      <c r="I50" s="10"/>
      <c r="J50" s="10"/>
      <c r="K50" s="14"/>
      <c r="L50" s="11"/>
      <c r="M50" s="14"/>
      <c r="N50" s="14"/>
      <c r="O50" s="4"/>
      <c r="P50" s="3"/>
      <c r="Q50" s="4"/>
      <c r="R50" s="3"/>
      <c r="S50" s="3"/>
      <c r="T50" s="3"/>
      <c r="U50" s="4"/>
      <c r="V50" s="4"/>
      <c r="W50" s="4"/>
      <c r="X50" s="4"/>
      <c r="Y50" s="4"/>
      <c r="Z50" s="11"/>
      <c r="AA50" s="16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16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6"/>
      <c r="AX50" s="15"/>
      <c r="AY50" s="15"/>
      <c r="AZ50" s="15"/>
      <c r="BA50" s="16"/>
      <c r="BB50" s="16"/>
      <c r="BC50" s="16"/>
      <c r="BD50" s="16"/>
      <c r="BE50" s="16"/>
      <c r="BF50" s="16"/>
      <c r="BG50" s="16"/>
      <c r="BH50" s="16"/>
      <c r="BI50" s="16"/>
      <c r="BJ50" s="16"/>
      <c r="BK50" s="16"/>
      <c r="BL50" s="16"/>
      <c r="BM50" s="16"/>
      <c r="BN50" s="16"/>
      <c r="BO50" s="16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  <c r="CN50" s="3"/>
      <c r="CO50" s="3"/>
      <c r="CP50" s="3"/>
      <c r="CQ50" s="3"/>
      <c r="CR50" s="3"/>
    </row>
    <row r="51" spans="1:96" ht="12" customHeight="1" x14ac:dyDescent="0.25">
      <c r="A51" s="3"/>
      <c r="B51" s="4"/>
      <c r="C51" s="3"/>
      <c r="D51" s="3"/>
      <c r="E51" s="14"/>
      <c r="F51" s="26"/>
      <c r="G51" s="26"/>
      <c r="H51" s="26"/>
      <c r="I51" s="10"/>
      <c r="J51" s="10"/>
      <c r="K51" s="14"/>
      <c r="L51" s="11"/>
      <c r="M51" s="14"/>
      <c r="N51" s="14"/>
      <c r="O51" s="4"/>
      <c r="P51" s="3"/>
      <c r="Q51" s="4"/>
      <c r="R51" s="3"/>
      <c r="S51" s="3"/>
      <c r="T51" s="3"/>
      <c r="U51" s="4"/>
      <c r="V51" s="4"/>
      <c r="W51" s="4"/>
      <c r="X51" s="4"/>
      <c r="Y51" s="4"/>
      <c r="Z51" s="11"/>
      <c r="AA51" s="16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16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6"/>
      <c r="AX51" s="15"/>
      <c r="AY51" s="15"/>
      <c r="AZ51" s="15"/>
      <c r="BA51" s="16"/>
      <c r="BB51" s="16"/>
      <c r="BC51" s="16"/>
      <c r="BD51" s="16"/>
      <c r="BE51" s="16"/>
      <c r="BF51" s="16"/>
      <c r="BG51" s="16"/>
      <c r="BH51" s="16"/>
      <c r="BI51" s="16"/>
      <c r="BJ51" s="16"/>
      <c r="BK51" s="16"/>
      <c r="BL51" s="16"/>
      <c r="BM51" s="16"/>
      <c r="BN51" s="16"/>
      <c r="BO51" s="16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  <c r="CN51" s="3"/>
      <c r="CO51" s="3"/>
      <c r="CP51" s="3"/>
      <c r="CQ51" s="3"/>
      <c r="CR51" s="3"/>
    </row>
    <row r="52" spans="1:96" ht="12" customHeight="1" x14ac:dyDescent="0.25">
      <c r="A52" s="3"/>
      <c r="B52" s="4"/>
      <c r="C52" s="3"/>
      <c r="D52" s="3"/>
      <c r="E52" s="14"/>
      <c r="F52" s="26"/>
      <c r="G52" s="26"/>
      <c r="H52" s="26"/>
      <c r="I52" s="10"/>
      <c r="J52" s="10"/>
      <c r="K52" s="14"/>
      <c r="L52" s="11"/>
      <c r="M52" s="14"/>
      <c r="N52" s="14"/>
      <c r="O52" s="4"/>
      <c r="P52" s="3"/>
      <c r="Q52" s="4"/>
      <c r="R52" s="3"/>
      <c r="S52" s="3"/>
      <c r="T52" s="3"/>
      <c r="U52" s="4"/>
      <c r="V52" s="4"/>
      <c r="W52" s="4"/>
      <c r="X52" s="4"/>
      <c r="Y52" s="4"/>
      <c r="Z52" s="11"/>
      <c r="AA52" s="16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16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6"/>
      <c r="AX52" s="15"/>
      <c r="AY52" s="15"/>
      <c r="AZ52" s="15"/>
      <c r="BA52" s="16"/>
      <c r="BB52" s="16"/>
      <c r="BC52" s="16"/>
      <c r="BD52" s="16"/>
      <c r="BE52" s="16"/>
      <c r="BF52" s="16"/>
      <c r="BG52" s="16"/>
      <c r="BH52" s="16"/>
      <c r="BI52" s="16"/>
      <c r="BJ52" s="16"/>
      <c r="BK52" s="16"/>
      <c r="BL52" s="16"/>
      <c r="BM52" s="16"/>
      <c r="BN52" s="16"/>
      <c r="BO52" s="16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  <c r="CN52" s="3"/>
      <c r="CO52" s="3"/>
      <c r="CP52" s="3"/>
      <c r="CQ52" s="3"/>
      <c r="CR52" s="3"/>
    </row>
    <row r="53" spans="1:96" ht="12" customHeight="1" x14ac:dyDescent="0.25">
      <c r="A53" s="3"/>
      <c r="B53" s="4"/>
      <c r="C53" s="3"/>
      <c r="D53" s="3"/>
      <c r="E53" s="14"/>
      <c r="F53" s="26"/>
      <c r="G53" s="26"/>
      <c r="H53" s="26"/>
      <c r="I53" s="10"/>
      <c r="J53" s="10"/>
      <c r="K53" s="14"/>
      <c r="L53" s="11"/>
      <c r="M53" s="14"/>
      <c r="N53" s="14"/>
      <c r="O53" s="4"/>
      <c r="P53" s="3"/>
      <c r="Q53" s="4"/>
      <c r="R53" s="3"/>
      <c r="S53" s="3"/>
      <c r="T53" s="3"/>
      <c r="U53" s="4"/>
      <c r="V53" s="4"/>
      <c r="W53" s="4"/>
      <c r="X53" s="4"/>
      <c r="Y53" s="4"/>
      <c r="Z53" s="11"/>
      <c r="AA53" s="16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16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6"/>
      <c r="AX53" s="15"/>
      <c r="AY53" s="15"/>
      <c r="AZ53" s="15"/>
      <c r="BA53" s="16"/>
      <c r="BB53" s="16"/>
      <c r="BC53" s="16"/>
      <c r="BD53" s="16"/>
      <c r="BE53" s="16"/>
      <c r="BF53" s="16"/>
      <c r="BG53" s="16"/>
      <c r="BH53" s="16"/>
      <c r="BI53" s="16"/>
      <c r="BJ53" s="16"/>
      <c r="BK53" s="16"/>
      <c r="BL53" s="16"/>
      <c r="BM53" s="16"/>
      <c r="BN53" s="16"/>
      <c r="BO53" s="16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  <c r="CN53" s="3"/>
      <c r="CO53" s="3"/>
      <c r="CP53" s="3"/>
      <c r="CQ53" s="3"/>
      <c r="CR53" s="3"/>
    </row>
    <row r="54" spans="1:96" ht="12" customHeight="1" x14ac:dyDescent="0.25">
      <c r="A54" s="3"/>
      <c r="B54" s="4"/>
      <c r="C54" s="3"/>
      <c r="D54" s="3"/>
      <c r="E54" s="14"/>
      <c r="F54" s="26"/>
      <c r="G54" s="26"/>
      <c r="H54" s="26"/>
      <c r="I54" s="10"/>
      <c r="J54" s="10"/>
      <c r="K54" s="14"/>
      <c r="L54" s="11"/>
      <c r="M54" s="14"/>
      <c r="N54" s="14"/>
      <c r="O54" s="4"/>
      <c r="P54" s="3"/>
      <c r="Q54" s="4"/>
      <c r="R54" s="3"/>
      <c r="S54" s="3"/>
      <c r="T54" s="3"/>
      <c r="U54" s="4"/>
      <c r="V54" s="4"/>
      <c r="W54" s="4"/>
      <c r="X54" s="4"/>
      <c r="Y54" s="4"/>
      <c r="Z54" s="11"/>
      <c r="AA54" s="16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16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6"/>
      <c r="AX54" s="15"/>
      <c r="AY54" s="15"/>
      <c r="AZ54" s="15"/>
      <c r="BA54" s="16"/>
      <c r="BB54" s="16"/>
      <c r="BC54" s="16"/>
      <c r="BD54" s="16"/>
      <c r="BE54" s="16"/>
      <c r="BF54" s="16"/>
      <c r="BG54" s="16"/>
      <c r="BH54" s="16"/>
      <c r="BI54" s="16"/>
      <c r="BJ54" s="16"/>
      <c r="BK54" s="16"/>
      <c r="BL54" s="16"/>
      <c r="BM54" s="16"/>
      <c r="BN54" s="16"/>
      <c r="BO54" s="16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  <c r="CN54" s="3"/>
      <c r="CO54" s="3"/>
      <c r="CP54" s="3"/>
      <c r="CQ54" s="3"/>
      <c r="CR54" s="3"/>
    </row>
    <row r="55" spans="1:96" ht="12" customHeight="1" x14ac:dyDescent="0.25">
      <c r="A55" s="3"/>
      <c r="B55" s="4"/>
      <c r="C55" s="3"/>
      <c r="D55" s="3"/>
      <c r="E55" s="14"/>
      <c r="F55" s="26"/>
      <c r="G55" s="26"/>
      <c r="H55" s="26"/>
      <c r="I55" s="10"/>
      <c r="J55" s="10"/>
      <c r="K55" s="14"/>
      <c r="L55" s="11"/>
      <c r="M55" s="14"/>
      <c r="N55" s="14"/>
      <c r="O55" s="4"/>
      <c r="P55" s="3"/>
      <c r="Q55" s="4"/>
      <c r="R55" s="3"/>
      <c r="S55" s="3"/>
      <c r="T55" s="3"/>
      <c r="U55" s="4"/>
      <c r="V55" s="4"/>
      <c r="W55" s="4"/>
      <c r="X55" s="4"/>
      <c r="Y55" s="4"/>
      <c r="Z55" s="11"/>
      <c r="AA55" s="16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16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6"/>
      <c r="AX55" s="15"/>
      <c r="AY55" s="15"/>
      <c r="AZ55" s="15"/>
      <c r="BA55" s="16"/>
      <c r="BB55" s="16"/>
      <c r="BC55" s="16"/>
      <c r="BD55" s="16"/>
      <c r="BE55" s="16"/>
      <c r="BF55" s="16"/>
      <c r="BG55" s="16"/>
      <c r="BH55" s="16"/>
      <c r="BI55" s="16"/>
      <c r="BJ55" s="16"/>
      <c r="BK55" s="16"/>
      <c r="BL55" s="16"/>
      <c r="BM55" s="16"/>
      <c r="BN55" s="16"/>
      <c r="BO55" s="16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  <c r="CN55" s="3"/>
      <c r="CO55" s="3"/>
      <c r="CP55" s="3"/>
      <c r="CQ55" s="3"/>
      <c r="CR55" s="3"/>
    </row>
    <row r="56" spans="1:96" ht="12" customHeight="1" x14ac:dyDescent="0.25">
      <c r="A56" s="3"/>
      <c r="B56" s="4"/>
      <c r="C56" s="3"/>
      <c r="D56" s="3"/>
      <c r="E56" s="14"/>
      <c r="F56" s="26"/>
      <c r="G56" s="26"/>
      <c r="H56" s="26"/>
      <c r="I56" s="10"/>
      <c r="J56" s="10"/>
      <c r="K56" s="14"/>
      <c r="L56" s="11"/>
      <c r="M56" s="14"/>
      <c r="N56" s="14"/>
      <c r="O56" s="4"/>
      <c r="P56" s="3"/>
      <c r="Q56" s="4"/>
      <c r="R56" s="3"/>
      <c r="S56" s="3"/>
      <c r="T56" s="3"/>
      <c r="U56" s="4"/>
      <c r="V56" s="4"/>
      <c r="W56" s="4"/>
      <c r="X56" s="4"/>
      <c r="Y56" s="4"/>
      <c r="Z56" s="11"/>
      <c r="AA56" s="16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16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6"/>
      <c r="AX56" s="15"/>
      <c r="AY56" s="15"/>
      <c r="AZ56" s="15"/>
      <c r="BA56" s="16"/>
      <c r="BB56" s="16"/>
      <c r="BC56" s="16"/>
      <c r="BD56" s="16"/>
      <c r="BE56" s="16"/>
      <c r="BF56" s="16"/>
      <c r="BG56" s="16"/>
      <c r="BH56" s="16"/>
      <c r="BI56" s="16"/>
      <c r="BJ56" s="16"/>
      <c r="BK56" s="16"/>
      <c r="BL56" s="16"/>
      <c r="BM56" s="16"/>
      <c r="BN56" s="16"/>
      <c r="BO56" s="16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  <c r="CN56" s="3"/>
      <c r="CO56" s="3"/>
      <c r="CP56" s="3"/>
      <c r="CQ56" s="3"/>
      <c r="CR56" s="3"/>
    </row>
    <row r="57" spans="1:96" ht="12" customHeight="1" x14ac:dyDescent="0.25">
      <c r="A57" s="3"/>
      <c r="B57" s="14"/>
      <c r="C57" s="14"/>
      <c r="D57" s="14"/>
      <c r="E57" s="14"/>
      <c r="F57" s="26"/>
      <c r="G57" s="26"/>
      <c r="H57" s="26"/>
      <c r="I57" s="10"/>
      <c r="J57" s="10"/>
      <c r="K57" s="14"/>
      <c r="L57" s="11"/>
      <c r="M57" s="14"/>
      <c r="N57" s="14"/>
      <c r="O57" s="4"/>
      <c r="P57" s="3"/>
      <c r="Q57" s="4"/>
      <c r="R57" s="3"/>
      <c r="S57" s="3"/>
      <c r="T57" s="3"/>
      <c r="U57" s="4"/>
      <c r="V57" s="4"/>
      <c r="W57" s="4"/>
      <c r="X57" s="4"/>
      <c r="Y57" s="4"/>
      <c r="Z57" s="11"/>
      <c r="AA57" s="16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16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6"/>
      <c r="AX57" s="15"/>
      <c r="AY57" s="15"/>
      <c r="AZ57" s="15"/>
      <c r="BA57" s="16"/>
      <c r="BB57" s="16"/>
      <c r="BC57" s="16"/>
      <c r="BD57" s="16"/>
      <c r="BE57" s="16"/>
      <c r="BF57" s="16"/>
      <c r="BG57" s="16"/>
      <c r="BH57" s="16"/>
      <c r="BI57" s="16"/>
      <c r="BJ57" s="16"/>
      <c r="BK57" s="16"/>
      <c r="BL57" s="16"/>
      <c r="BM57" s="16"/>
      <c r="BN57" s="16"/>
      <c r="BO57" s="16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  <c r="CN57" s="3"/>
      <c r="CO57" s="3"/>
      <c r="CP57" s="3"/>
      <c r="CQ57" s="3"/>
      <c r="CR57" s="3"/>
    </row>
    <row r="58" spans="1:96" ht="12" customHeight="1" x14ac:dyDescent="0.25">
      <c r="A58" s="3"/>
      <c r="B58" s="14"/>
      <c r="C58" s="14"/>
      <c r="D58" s="14"/>
      <c r="E58" s="14"/>
      <c r="F58" s="26"/>
      <c r="G58" s="26"/>
      <c r="H58" s="26"/>
      <c r="I58" s="10"/>
      <c r="J58" s="10"/>
      <c r="K58" s="14"/>
      <c r="L58" s="11"/>
      <c r="M58" s="14"/>
      <c r="N58" s="14"/>
      <c r="O58" s="4"/>
      <c r="P58" s="3"/>
      <c r="Q58" s="4"/>
      <c r="R58" s="3"/>
      <c r="S58" s="3"/>
      <c r="T58" s="3"/>
      <c r="U58" s="4"/>
      <c r="V58" s="4"/>
      <c r="W58" s="4"/>
      <c r="X58" s="4"/>
      <c r="Y58" s="4"/>
      <c r="Z58" s="11"/>
      <c r="AA58" s="16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16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6"/>
      <c r="AX58" s="15"/>
      <c r="AY58" s="15"/>
      <c r="AZ58" s="15"/>
      <c r="BA58" s="16"/>
      <c r="BB58" s="16"/>
      <c r="BC58" s="16"/>
      <c r="BD58" s="16"/>
      <c r="BE58" s="16"/>
      <c r="BF58" s="16"/>
      <c r="BG58" s="16"/>
      <c r="BH58" s="16"/>
      <c r="BI58" s="16"/>
      <c r="BJ58" s="16"/>
      <c r="BK58" s="16"/>
      <c r="BL58" s="16"/>
      <c r="BM58" s="16"/>
      <c r="BN58" s="16"/>
      <c r="BO58" s="16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  <c r="CN58" s="3"/>
      <c r="CO58" s="3"/>
      <c r="CP58" s="3"/>
      <c r="CQ58" s="3"/>
      <c r="CR58" s="3"/>
    </row>
    <row r="59" spans="1:96" ht="12" customHeight="1" x14ac:dyDescent="0.25">
      <c r="A59" s="3"/>
      <c r="B59" s="14"/>
      <c r="C59" s="14"/>
      <c r="D59" s="14"/>
      <c r="E59" s="14"/>
      <c r="F59" s="26"/>
      <c r="G59" s="26"/>
      <c r="H59" s="26"/>
      <c r="I59" s="10"/>
      <c r="J59" s="10"/>
      <c r="K59" s="14"/>
      <c r="L59" s="11"/>
      <c r="M59" s="14"/>
      <c r="N59" s="14"/>
      <c r="O59" s="4"/>
      <c r="P59" s="3"/>
      <c r="Q59" s="4"/>
      <c r="R59" s="3"/>
      <c r="S59" s="3"/>
      <c r="T59" s="3"/>
      <c r="U59" s="4"/>
      <c r="V59" s="4"/>
      <c r="W59" s="4"/>
      <c r="X59" s="4"/>
      <c r="Y59" s="4"/>
      <c r="Z59" s="11"/>
      <c r="AA59" s="16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16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6"/>
      <c r="AX59" s="15"/>
      <c r="AY59" s="15"/>
      <c r="AZ59" s="15"/>
      <c r="BA59" s="16"/>
      <c r="BB59" s="16"/>
      <c r="BC59" s="16"/>
      <c r="BD59" s="16"/>
      <c r="BE59" s="16"/>
      <c r="BF59" s="16"/>
      <c r="BG59" s="16"/>
      <c r="BH59" s="16"/>
      <c r="BI59" s="16"/>
      <c r="BJ59" s="16"/>
      <c r="BK59" s="16"/>
      <c r="BL59" s="16"/>
      <c r="BM59" s="16"/>
      <c r="BN59" s="16"/>
      <c r="BO59" s="16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  <c r="CN59" s="3"/>
      <c r="CO59" s="3"/>
      <c r="CP59" s="3"/>
      <c r="CQ59" s="3"/>
      <c r="CR59" s="3"/>
    </row>
    <row r="60" spans="1:96" ht="12" customHeight="1" x14ac:dyDescent="0.25">
      <c r="A60" s="3"/>
      <c r="B60" s="14"/>
      <c r="C60" s="14"/>
      <c r="D60" s="14"/>
      <c r="E60" s="14"/>
      <c r="F60" s="26"/>
      <c r="G60" s="26"/>
      <c r="H60" s="26"/>
      <c r="I60" s="10"/>
      <c r="J60" s="10"/>
      <c r="K60" s="14"/>
      <c r="L60" s="11"/>
      <c r="M60" s="14"/>
      <c r="N60" s="14"/>
      <c r="O60" s="4"/>
      <c r="P60" s="3"/>
      <c r="Q60" s="4"/>
      <c r="R60" s="3"/>
      <c r="S60" s="3"/>
      <c r="T60" s="3"/>
      <c r="U60" s="4"/>
      <c r="V60" s="4"/>
      <c r="W60" s="4"/>
      <c r="X60" s="4"/>
      <c r="Y60" s="4"/>
      <c r="Z60" s="11"/>
      <c r="AA60" s="16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16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6"/>
      <c r="AX60" s="15"/>
      <c r="AY60" s="15"/>
      <c r="AZ60" s="15"/>
      <c r="BA60" s="16"/>
      <c r="BB60" s="16"/>
      <c r="BC60" s="16"/>
      <c r="BD60" s="16"/>
      <c r="BE60" s="16"/>
      <c r="BF60" s="16"/>
      <c r="BG60" s="16"/>
      <c r="BH60" s="16"/>
      <c r="BI60" s="16"/>
      <c r="BJ60" s="16"/>
      <c r="BK60" s="16"/>
      <c r="BL60" s="16"/>
      <c r="BM60" s="16"/>
      <c r="BN60" s="16"/>
      <c r="BO60" s="16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  <c r="CN60" s="3"/>
      <c r="CO60" s="3"/>
      <c r="CP60" s="3"/>
      <c r="CQ60" s="3"/>
      <c r="CR60" s="3"/>
    </row>
    <row r="61" spans="1:96" ht="12" customHeight="1" x14ac:dyDescent="0.25">
      <c r="A61" s="3"/>
      <c r="B61" s="14"/>
      <c r="C61" s="14"/>
      <c r="D61" s="14"/>
      <c r="E61" s="14"/>
      <c r="F61" s="26"/>
      <c r="G61" s="26"/>
      <c r="H61" s="26"/>
      <c r="I61" s="10"/>
      <c r="J61" s="10"/>
      <c r="K61" s="14"/>
      <c r="L61" s="11"/>
      <c r="M61" s="14"/>
      <c r="N61" s="14"/>
      <c r="O61" s="4"/>
      <c r="P61" s="3"/>
      <c r="Q61" s="4"/>
      <c r="R61" s="3"/>
      <c r="S61" s="3"/>
      <c r="T61" s="3"/>
      <c r="U61" s="4"/>
      <c r="V61" s="4"/>
      <c r="W61" s="4"/>
      <c r="X61" s="4"/>
      <c r="Y61" s="4"/>
      <c r="Z61" s="11"/>
      <c r="AA61" s="16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16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6"/>
      <c r="AX61" s="15"/>
      <c r="AY61" s="15"/>
      <c r="AZ61" s="15"/>
      <c r="BA61" s="16"/>
      <c r="BB61" s="16"/>
      <c r="BC61" s="16"/>
      <c r="BD61" s="16"/>
      <c r="BE61" s="16"/>
      <c r="BF61" s="16"/>
      <c r="BG61" s="16"/>
      <c r="BH61" s="16"/>
      <c r="BI61" s="16"/>
      <c r="BJ61" s="16"/>
      <c r="BK61" s="16"/>
      <c r="BL61" s="16"/>
      <c r="BM61" s="16"/>
      <c r="BN61" s="16"/>
      <c r="BO61" s="16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  <c r="CN61" s="3"/>
      <c r="CO61" s="3"/>
      <c r="CP61" s="3"/>
      <c r="CQ61" s="3"/>
      <c r="CR61" s="3"/>
    </row>
    <row r="62" spans="1:96" ht="12" customHeight="1" x14ac:dyDescent="0.25">
      <c r="A62" s="3"/>
      <c r="B62" s="14"/>
      <c r="C62" s="14"/>
      <c r="D62" s="14"/>
      <c r="E62" s="14"/>
      <c r="F62" s="26"/>
      <c r="G62" s="26"/>
      <c r="H62" s="26"/>
      <c r="I62" s="10"/>
      <c r="J62" s="10"/>
      <c r="K62" s="14"/>
      <c r="L62" s="11"/>
      <c r="M62" s="14"/>
      <c r="N62" s="14"/>
      <c r="O62" s="4"/>
      <c r="P62" s="3"/>
      <c r="Q62" s="4"/>
      <c r="R62" s="3"/>
      <c r="S62" s="3"/>
      <c r="T62" s="3"/>
      <c r="U62" s="4"/>
      <c r="V62" s="4"/>
      <c r="W62" s="4"/>
      <c r="X62" s="4"/>
      <c r="Y62" s="4"/>
      <c r="Z62" s="11"/>
      <c r="AA62" s="16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16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6"/>
      <c r="AX62" s="15"/>
      <c r="AY62" s="15"/>
      <c r="AZ62" s="15"/>
      <c r="BA62" s="16"/>
      <c r="BB62" s="16"/>
      <c r="BC62" s="16"/>
      <c r="BD62" s="16"/>
      <c r="BE62" s="16"/>
      <c r="BF62" s="16"/>
      <c r="BG62" s="16"/>
      <c r="BH62" s="16"/>
      <c r="BI62" s="16"/>
      <c r="BJ62" s="16"/>
      <c r="BK62" s="16"/>
      <c r="BL62" s="16"/>
      <c r="BM62" s="16"/>
      <c r="BN62" s="16"/>
      <c r="BO62" s="16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  <c r="CN62" s="3"/>
      <c r="CO62" s="3"/>
      <c r="CP62" s="3"/>
      <c r="CQ62" s="3"/>
      <c r="CR62" s="3"/>
    </row>
    <row r="63" spans="1:96" ht="12" customHeight="1" x14ac:dyDescent="0.25">
      <c r="A63" s="3"/>
      <c r="B63" s="14"/>
      <c r="C63" s="14"/>
      <c r="D63" s="14"/>
      <c r="E63" s="14"/>
      <c r="F63" s="26"/>
      <c r="G63" s="26"/>
      <c r="H63" s="26"/>
      <c r="I63" s="10"/>
      <c r="J63" s="10"/>
      <c r="K63" s="14"/>
      <c r="L63" s="11"/>
      <c r="M63" s="14"/>
      <c r="N63" s="14"/>
      <c r="O63" s="4"/>
      <c r="P63" s="3"/>
      <c r="Q63" s="4"/>
      <c r="R63" s="3"/>
      <c r="S63" s="3"/>
      <c r="T63" s="3"/>
      <c r="U63" s="4"/>
      <c r="V63" s="4"/>
      <c r="W63" s="4"/>
      <c r="X63" s="4"/>
      <c r="Y63" s="4"/>
      <c r="Z63" s="11"/>
      <c r="AA63" s="16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16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6"/>
      <c r="AX63" s="15"/>
      <c r="AY63" s="15"/>
      <c r="AZ63" s="15"/>
      <c r="BA63" s="16"/>
      <c r="BB63" s="16"/>
      <c r="BC63" s="16"/>
      <c r="BD63" s="16"/>
      <c r="BE63" s="16"/>
      <c r="BF63" s="16"/>
      <c r="BG63" s="16"/>
      <c r="BH63" s="16"/>
      <c r="BI63" s="16"/>
      <c r="BJ63" s="16"/>
      <c r="BK63" s="16"/>
      <c r="BL63" s="16"/>
      <c r="BM63" s="16"/>
      <c r="BN63" s="16"/>
      <c r="BO63" s="16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  <c r="CN63" s="3"/>
      <c r="CO63" s="3"/>
      <c r="CP63" s="3"/>
      <c r="CQ63" s="3"/>
      <c r="CR63" s="3"/>
    </row>
    <row r="64" spans="1:96" ht="12" customHeight="1" x14ac:dyDescent="0.25">
      <c r="A64" s="3"/>
      <c r="B64" s="14"/>
      <c r="C64" s="14"/>
      <c r="D64" s="14"/>
      <c r="E64" s="14"/>
      <c r="F64" s="26"/>
      <c r="G64" s="26"/>
      <c r="H64" s="26"/>
      <c r="I64" s="10"/>
      <c r="J64" s="10"/>
      <c r="K64" s="14"/>
      <c r="L64" s="11"/>
      <c r="M64" s="14"/>
      <c r="N64" s="14"/>
      <c r="O64" s="4"/>
      <c r="P64" s="3"/>
      <c r="Q64" s="4"/>
      <c r="R64" s="3"/>
      <c r="S64" s="3"/>
      <c r="T64" s="3"/>
      <c r="U64" s="4"/>
      <c r="V64" s="4"/>
      <c r="W64" s="4"/>
      <c r="X64" s="4"/>
      <c r="Y64" s="4"/>
      <c r="Z64" s="11"/>
      <c r="AA64" s="16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16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6"/>
      <c r="AX64" s="15"/>
      <c r="AY64" s="15"/>
      <c r="AZ64" s="15"/>
      <c r="BA64" s="16"/>
      <c r="BB64" s="16"/>
      <c r="BC64" s="16"/>
      <c r="BD64" s="16"/>
      <c r="BE64" s="16"/>
      <c r="BF64" s="16"/>
      <c r="BG64" s="16"/>
      <c r="BH64" s="16"/>
      <c r="BI64" s="16"/>
      <c r="BJ64" s="16"/>
      <c r="BK64" s="16"/>
      <c r="BL64" s="16"/>
      <c r="BM64" s="16"/>
      <c r="BN64" s="16"/>
      <c r="BO64" s="16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  <c r="CN64" s="3"/>
      <c r="CO64" s="3"/>
      <c r="CP64" s="3"/>
      <c r="CQ64" s="3"/>
      <c r="CR64" s="3"/>
    </row>
    <row r="65" spans="1:96" ht="12" customHeight="1" x14ac:dyDescent="0.25">
      <c r="A65" s="3"/>
      <c r="B65" s="14"/>
      <c r="C65" s="14"/>
      <c r="D65" s="14"/>
      <c r="E65" s="14"/>
      <c r="F65" s="26"/>
      <c r="G65" s="26"/>
      <c r="H65" s="26"/>
      <c r="I65" s="10"/>
      <c r="J65" s="10"/>
      <c r="K65" s="14"/>
      <c r="L65" s="11"/>
      <c r="M65" s="14"/>
      <c r="N65" s="14"/>
      <c r="O65" s="4"/>
      <c r="P65" s="3"/>
      <c r="Q65" s="4"/>
      <c r="R65" s="3"/>
      <c r="S65" s="3"/>
      <c r="T65" s="3"/>
      <c r="U65" s="4"/>
      <c r="V65" s="4"/>
      <c r="W65" s="4"/>
      <c r="X65" s="4"/>
      <c r="Y65" s="4"/>
      <c r="Z65" s="11"/>
      <c r="AA65" s="16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16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6"/>
      <c r="AX65" s="15"/>
      <c r="AY65" s="15"/>
      <c r="AZ65" s="15"/>
      <c r="BA65" s="16"/>
      <c r="BB65" s="16"/>
      <c r="BC65" s="16"/>
      <c r="BD65" s="16"/>
      <c r="BE65" s="16"/>
      <c r="BF65" s="16"/>
      <c r="BG65" s="16"/>
      <c r="BH65" s="16"/>
      <c r="BI65" s="16"/>
      <c r="BJ65" s="16"/>
      <c r="BK65" s="16"/>
      <c r="BL65" s="16"/>
      <c r="BM65" s="16"/>
      <c r="BN65" s="16"/>
      <c r="BO65" s="16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  <c r="CN65" s="3"/>
      <c r="CO65" s="3"/>
      <c r="CP65" s="3"/>
      <c r="CQ65" s="3"/>
      <c r="CR65" s="3"/>
    </row>
    <row r="66" spans="1:96" ht="12" customHeight="1" x14ac:dyDescent="0.25">
      <c r="A66" s="3"/>
      <c r="B66" s="14"/>
      <c r="C66" s="14"/>
      <c r="D66" s="14"/>
      <c r="E66" s="14"/>
      <c r="F66" s="26"/>
      <c r="G66" s="26"/>
      <c r="H66" s="26"/>
      <c r="I66" s="10"/>
      <c r="J66" s="10"/>
      <c r="K66" s="14"/>
      <c r="L66" s="11"/>
      <c r="M66" s="14"/>
      <c r="N66" s="14"/>
      <c r="O66" s="4"/>
      <c r="P66" s="3"/>
      <c r="Q66" s="4"/>
      <c r="R66" s="3"/>
      <c r="S66" s="3"/>
      <c r="T66" s="3"/>
      <c r="U66" s="4"/>
      <c r="V66" s="4"/>
      <c r="W66" s="4"/>
      <c r="X66" s="4"/>
      <c r="Y66" s="4"/>
      <c r="Z66" s="11"/>
      <c r="AA66" s="16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16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6"/>
      <c r="AX66" s="15"/>
      <c r="AY66" s="15"/>
      <c r="AZ66" s="15"/>
      <c r="BA66" s="16"/>
      <c r="BB66" s="16"/>
      <c r="BC66" s="16"/>
      <c r="BD66" s="16"/>
      <c r="BE66" s="16"/>
      <c r="BF66" s="16"/>
      <c r="BG66" s="16"/>
      <c r="BH66" s="16"/>
      <c r="BI66" s="16"/>
      <c r="BJ66" s="16"/>
      <c r="BK66" s="16"/>
      <c r="BL66" s="16"/>
      <c r="BM66" s="16"/>
      <c r="BN66" s="16"/>
      <c r="BO66" s="16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  <c r="CN66" s="3"/>
      <c r="CO66" s="3"/>
      <c r="CP66" s="3"/>
      <c r="CQ66" s="3"/>
      <c r="CR66" s="3"/>
    </row>
    <row r="67" spans="1:96" ht="12" customHeight="1" x14ac:dyDescent="0.25">
      <c r="A67" s="3"/>
      <c r="B67" s="14"/>
      <c r="C67" s="14"/>
      <c r="D67" s="14"/>
      <c r="E67" s="14"/>
      <c r="F67" s="26"/>
      <c r="G67" s="26"/>
      <c r="H67" s="26"/>
      <c r="I67" s="10"/>
      <c r="J67" s="10"/>
      <c r="K67" s="14"/>
      <c r="L67" s="11"/>
      <c r="M67" s="14"/>
      <c r="N67" s="14"/>
      <c r="O67" s="4"/>
      <c r="P67" s="3"/>
      <c r="Q67" s="4"/>
      <c r="R67" s="3"/>
      <c r="S67" s="3"/>
      <c r="T67" s="3"/>
      <c r="U67" s="4"/>
      <c r="V67" s="4"/>
      <c r="W67" s="4"/>
      <c r="X67" s="4"/>
      <c r="Y67" s="4"/>
      <c r="Z67" s="11"/>
      <c r="AA67" s="16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16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6"/>
      <c r="AX67" s="15"/>
      <c r="AY67" s="15"/>
      <c r="AZ67" s="15"/>
      <c r="BA67" s="16"/>
      <c r="BB67" s="16"/>
      <c r="BC67" s="16"/>
      <c r="BD67" s="16"/>
      <c r="BE67" s="16"/>
      <c r="BF67" s="16"/>
      <c r="BG67" s="16"/>
      <c r="BH67" s="16"/>
      <c r="BI67" s="16"/>
      <c r="BJ67" s="16"/>
      <c r="BK67" s="16"/>
      <c r="BL67" s="16"/>
      <c r="BM67" s="16"/>
      <c r="BN67" s="16"/>
      <c r="BO67" s="16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  <c r="CN67" s="3"/>
      <c r="CO67" s="3"/>
      <c r="CP67" s="3"/>
      <c r="CQ67" s="3"/>
      <c r="CR67" s="3"/>
    </row>
    <row r="68" spans="1:96" ht="12" customHeight="1" x14ac:dyDescent="0.25">
      <c r="A68" s="3"/>
      <c r="B68" s="14"/>
      <c r="C68" s="14"/>
      <c r="D68" s="14"/>
      <c r="E68" s="14"/>
      <c r="F68" s="26"/>
      <c r="G68" s="26"/>
      <c r="H68" s="26"/>
      <c r="I68" s="10"/>
      <c r="J68" s="10"/>
      <c r="K68" s="14"/>
      <c r="L68" s="11"/>
      <c r="M68" s="14"/>
      <c r="N68" s="14"/>
      <c r="O68" s="4"/>
      <c r="P68" s="3"/>
      <c r="Q68" s="4"/>
      <c r="R68" s="3"/>
      <c r="S68" s="3"/>
      <c r="T68" s="3"/>
      <c r="U68" s="4"/>
      <c r="V68" s="4"/>
      <c r="W68" s="4"/>
      <c r="X68" s="4"/>
      <c r="Y68" s="4"/>
      <c r="Z68" s="11"/>
      <c r="AA68" s="16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16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6"/>
      <c r="AX68" s="15"/>
      <c r="AY68" s="15"/>
      <c r="AZ68" s="15"/>
      <c r="BA68" s="16"/>
      <c r="BB68" s="16"/>
      <c r="BC68" s="16"/>
      <c r="BD68" s="16"/>
      <c r="BE68" s="16"/>
      <c r="BF68" s="16"/>
      <c r="BG68" s="16"/>
      <c r="BH68" s="16"/>
      <c r="BI68" s="16"/>
      <c r="BJ68" s="16"/>
      <c r="BK68" s="16"/>
      <c r="BL68" s="16"/>
      <c r="BM68" s="16"/>
      <c r="BN68" s="16"/>
      <c r="BO68" s="16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  <c r="CN68" s="3"/>
      <c r="CO68" s="3"/>
      <c r="CP68" s="3"/>
      <c r="CQ68" s="3"/>
      <c r="CR68" s="3"/>
    </row>
    <row r="69" spans="1:96" ht="12" customHeight="1" x14ac:dyDescent="0.25">
      <c r="A69" s="3"/>
      <c r="B69" s="14"/>
      <c r="C69" s="14"/>
      <c r="D69" s="14"/>
      <c r="E69" s="14"/>
      <c r="F69" s="26"/>
      <c r="G69" s="26"/>
      <c r="H69" s="26"/>
      <c r="I69" s="10"/>
      <c r="J69" s="10"/>
      <c r="K69" s="14"/>
      <c r="L69" s="11"/>
      <c r="M69" s="14"/>
      <c r="N69" s="14"/>
      <c r="O69" s="4"/>
      <c r="P69" s="3"/>
      <c r="Q69" s="4"/>
      <c r="R69" s="3"/>
      <c r="S69" s="3"/>
      <c r="T69" s="3"/>
      <c r="U69" s="4"/>
      <c r="V69" s="4"/>
      <c r="W69" s="4"/>
      <c r="X69" s="4"/>
      <c r="Y69" s="4"/>
      <c r="Z69" s="11"/>
      <c r="AA69" s="16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16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6"/>
      <c r="AX69" s="15"/>
      <c r="AY69" s="15"/>
      <c r="AZ69" s="15"/>
      <c r="BA69" s="16"/>
      <c r="BB69" s="16"/>
      <c r="BC69" s="16"/>
      <c r="BD69" s="16"/>
      <c r="BE69" s="16"/>
      <c r="BF69" s="16"/>
      <c r="BG69" s="16"/>
      <c r="BH69" s="16"/>
      <c r="BI69" s="16"/>
      <c r="BJ69" s="16"/>
      <c r="BK69" s="16"/>
      <c r="BL69" s="16"/>
      <c r="BM69" s="16"/>
      <c r="BN69" s="16"/>
      <c r="BO69" s="16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  <c r="CN69" s="3"/>
      <c r="CO69" s="3"/>
      <c r="CP69" s="3"/>
      <c r="CQ69" s="3"/>
      <c r="CR69" s="3"/>
    </row>
    <row r="70" spans="1:96" ht="12" customHeight="1" x14ac:dyDescent="0.25">
      <c r="A70" s="3"/>
      <c r="B70" s="14"/>
      <c r="C70" s="14"/>
      <c r="D70" s="14"/>
      <c r="E70" s="14"/>
      <c r="F70" s="26"/>
      <c r="G70" s="26"/>
      <c r="H70" s="26"/>
      <c r="I70" s="10"/>
      <c r="J70" s="10"/>
      <c r="K70" s="14"/>
      <c r="L70" s="11"/>
      <c r="M70" s="14"/>
      <c r="N70" s="14"/>
      <c r="O70" s="4"/>
      <c r="P70" s="3"/>
      <c r="Q70" s="4"/>
      <c r="R70" s="3"/>
      <c r="S70" s="3"/>
      <c r="T70" s="3"/>
      <c r="U70" s="4"/>
      <c r="V70" s="4"/>
      <c r="W70" s="4"/>
      <c r="X70" s="4"/>
      <c r="Y70" s="4"/>
      <c r="Z70" s="11"/>
      <c r="AA70" s="16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16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6"/>
      <c r="AX70" s="15"/>
      <c r="AY70" s="15"/>
      <c r="AZ70" s="15"/>
      <c r="BA70" s="16"/>
      <c r="BB70" s="16"/>
      <c r="BC70" s="16"/>
      <c r="BD70" s="16"/>
      <c r="BE70" s="16"/>
      <c r="BF70" s="16"/>
      <c r="BG70" s="16"/>
      <c r="BH70" s="16"/>
      <c r="BI70" s="16"/>
      <c r="BJ70" s="16"/>
      <c r="BK70" s="16"/>
      <c r="BL70" s="16"/>
      <c r="BM70" s="16"/>
      <c r="BN70" s="16"/>
      <c r="BO70" s="16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  <c r="CN70" s="3"/>
      <c r="CO70" s="3"/>
      <c r="CP70" s="3"/>
      <c r="CQ70" s="3"/>
      <c r="CR70" s="3"/>
    </row>
    <row r="71" spans="1:96" ht="12" customHeight="1" x14ac:dyDescent="0.25">
      <c r="A71" s="3"/>
      <c r="B71" s="14"/>
      <c r="C71" s="14"/>
      <c r="D71" s="14"/>
      <c r="E71" s="14"/>
      <c r="F71" s="26"/>
      <c r="G71" s="26"/>
      <c r="H71" s="26"/>
      <c r="I71" s="10"/>
      <c r="J71" s="10"/>
      <c r="K71" s="14"/>
      <c r="L71" s="11"/>
      <c r="M71" s="14"/>
      <c r="N71" s="14"/>
      <c r="O71" s="4"/>
      <c r="P71" s="3"/>
      <c r="Q71" s="4"/>
      <c r="R71" s="3"/>
      <c r="S71" s="3"/>
      <c r="T71" s="3"/>
      <c r="U71" s="4"/>
      <c r="V71" s="4"/>
      <c r="W71" s="4"/>
      <c r="X71" s="4"/>
      <c r="Y71" s="4"/>
      <c r="Z71" s="11"/>
      <c r="AA71" s="16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16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6"/>
      <c r="AX71" s="15"/>
      <c r="AY71" s="15"/>
      <c r="AZ71" s="15"/>
      <c r="BA71" s="16"/>
      <c r="BB71" s="16"/>
      <c r="BC71" s="16"/>
      <c r="BD71" s="16"/>
      <c r="BE71" s="16"/>
      <c r="BF71" s="16"/>
      <c r="BG71" s="16"/>
      <c r="BH71" s="16"/>
      <c r="BI71" s="16"/>
      <c r="BJ71" s="16"/>
      <c r="BK71" s="16"/>
      <c r="BL71" s="16"/>
      <c r="BM71" s="16"/>
      <c r="BN71" s="16"/>
      <c r="BO71" s="16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  <c r="CN71" s="3"/>
      <c r="CO71" s="3"/>
      <c r="CP71" s="3"/>
      <c r="CQ71" s="3"/>
      <c r="CR71" s="3"/>
    </row>
    <row r="72" spans="1:96" ht="12" customHeight="1" x14ac:dyDescent="0.25">
      <c r="A72" s="3"/>
      <c r="B72" s="14"/>
      <c r="C72" s="14"/>
      <c r="D72" s="14"/>
      <c r="E72" s="14"/>
      <c r="F72" s="26"/>
      <c r="G72" s="26"/>
      <c r="H72" s="26"/>
      <c r="I72" s="10"/>
      <c r="J72" s="10"/>
      <c r="K72" s="14"/>
      <c r="L72" s="11"/>
      <c r="M72" s="14"/>
      <c r="N72" s="14"/>
      <c r="O72" s="4"/>
      <c r="P72" s="3"/>
      <c r="Q72" s="4"/>
      <c r="R72" s="3"/>
      <c r="S72" s="3"/>
      <c r="T72" s="3"/>
      <c r="U72" s="4"/>
      <c r="V72" s="4"/>
      <c r="W72" s="4"/>
      <c r="X72" s="4"/>
      <c r="Y72" s="4"/>
      <c r="Z72" s="11"/>
      <c r="AA72" s="16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16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6"/>
      <c r="AX72" s="15"/>
      <c r="AY72" s="15"/>
      <c r="AZ72" s="15"/>
      <c r="BA72" s="16"/>
      <c r="BB72" s="16"/>
      <c r="BC72" s="16"/>
      <c r="BD72" s="16"/>
      <c r="BE72" s="16"/>
      <c r="BF72" s="16"/>
      <c r="BG72" s="16"/>
      <c r="BH72" s="16"/>
      <c r="BI72" s="16"/>
      <c r="BJ72" s="16"/>
      <c r="BK72" s="16"/>
      <c r="BL72" s="16"/>
      <c r="BM72" s="16"/>
      <c r="BN72" s="16"/>
      <c r="BO72" s="16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  <c r="CN72" s="3"/>
      <c r="CO72" s="3"/>
      <c r="CP72" s="3"/>
      <c r="CQ72" s="3"/>
      <c r="CR72" s="3"/>
    </row>
    <row r="73" spans="1:96" ht="12" customHeight="1" x14ac:dyDescent="0.25">
      <c r="A73" s="3"/>
      <c r="B73" s="14"/>
      <c r="C73" s="14"/>
      <c r="D73" s="14"/>
      <c r="E73" s="14"/>
      <c r="F73" s="26"/>
      <c r="G73" s="26"/>
      <c r="H73" s="26"/>
      <c r="I73" s="10"/>
      <c r="J73" s="10"/>
      <c r="K73" s="14"/>
      <c r="L73" s="11"/>
      <c r="M73" s="14"/>
      <c r="N73" s="14"/>
      <c r="O73" s="4"/>
      <c r="P73" s="3"/>
      <c r="Q73" s="4"/>
      <c r="R73" s="3"/>
      <c r="S73" s="3"/>
      <c r="T73" s="3"/>
      <c r="U73" s="4"/>
      <c r="V73" s="4"/>
      <c r="W73" s="4"/>
      <c r="X73" s="4"/>
      <c r="Y73" s="4"/>
      <c r="Z73" s="11"/>
      <c r="AA73" s="16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16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6"/>
      <c r="AX73" s="15"/>
      <c r="AY73" s="15"/>
      <c r="AZ73" s="15"/>
      <c r="BA73" s="16"/>
      <c r="BB73" s="16"/>
      <c r="BC73" s="16"/>
      <c r="BD73" s="16"/>
      <c r="BE73" s="16"/>
      <c r="BF73" s="16"/>
      <c r="BG73" s="16"/>
      <c r="BH73" s="16"/>
      <c r="BI73" s="16"/>
      <c r="BJ73" s="16"/>
      <c r="BK73" s="16"/>
      <c r="BL73" s="16"/>
      <c r="BM73" s="16"/>
      <c r="BN73" s="16"/>
      <c r="BO73" s="16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  <c r="CN73" s="3"/>
      <c r="CO73" s="3"/>
      <c r="CP73" s="3"/>
      <c r="CQ73" s="3"/>
      <c r="CR73" s="3"/>
    </row>
    <row r="74" spans="1:96" ht="12" customHeight="1" x14ac:dyDescent="0.25">
      <c r="A74" s="3"/>
      <c r="B74" s="14"/>
      <c r="C74" s="14"/>
      <c r="D74" s="14"/>
      <c r="E74" s="14"/>
      <c r="F74" s="26"/>
      <c r="G74" s="26"/>
      <c r="H74" s="26"/>
      <c r="I74" s="10"/>
      <c r="J74" s="10"/>
      <c r="K74" s="14"/>
      <c r="L74" s="11"/>
      <c r="M74" s="14"/>
      <c r="N74" s="14"/>
      <c r="O74" s="4"/>
      <c r="P74" s="3"/>
      <c r="Q74" s="4"/>
      <c r="R74" s="3"/>
      <c r="S74" s="3"/>
      <c r="T74" s="3"/>
      <c r="U74" s="4"/>
      <c r="V74" s="4"/>
      <c r="W74" s="4"/>
      <c r="X74" s="4"/>
      <c r="Y74" s="4"/>
      <c r="Z74" s="11"/>
      <c r="AA74" s="16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16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6"/>
      <c r="AX74" s="15"/>
      <c r="AY74" s="15"/>
      <c r="AZ74" s="15"/>
      <c r="BA74" s="16"/>
      <c r="BB74" s="16"/>
      <c r="BC74" s="16"/>
      <c r="BD74" s="16"/>
      <c r="BE74" s="16"/>
      <c r="BF74" s="16"/>
      <c r="BG74" s="16"/>
      <c r="BH74" s="16"/>
      <c r="BI74" s="16"/>
      <c r="BJ74" s="16"/>
      <c r="BK74" s="16"/>
      <c r="BL74" s="16"/>
      <c r="BM74" s="16"/>
      <c r="BN74" s="16"/>
      <c r="BO74" s="16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  <c r="CN74" s="3"/>
      <c r="CO74" s="3"/>
      <c r="CP74" s="3"/>
      <c r="CQ74" s="3"/>
      <c r="CR74" s="3"/>
    </row>
    <row r="75" spans="1:96" ht="12" customHeight="1" x14ac:dyDescent="0.25">
      <c r="A75" s="3"/>
      <c r="B75" s="14"/>
      <c r="C75" s="14"/>
      <c r="D75" s="14"/>
      <c r="E75" s="14"/>
      <c r="F75" s="26"/>
      <c r="G75" s="26"/>
      <c r="H75" s="26"/>
      <c r="I75" s="10"/>
      <c r="J75" s="10"/>
      <c r="K75" s="14"/>
      <c r="L75" s="11"/>
      <c r="M75" s="14"/>
      <c r="N75" s="14"/>
      <c r="O75" s="4"/>
      <c r="P75" s="3"/>
      <c r="Q75" s="4"/>
      <c r="R75" s="3"/>
      <c r="S75" s="3"/>
      <c r="T75" s="3"/>
      <c r="U75" s="4"/>
      <c r="V75" s="4"/>
      <c r="W75" s="4"/>
      <c r="X75" s="4"/>
      <c r="Y75" s="4"/>
      <c r="Z75" s="11"/>
      <c r="AA75" s="16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16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6"/>
      <c r="AX75" s="15"/>
      <c r="AY75" s="15"/>
      <c r="AZ75" s="15"/>
      <c r="BA75" s="16"/>
      <c r="BB75" s="16"/>
      <c r="BC75" s="16"/>
      <c r="BD75" s="16"/>
      <c r="BE75" s="16"/>
      <c r="BF75" s="16"/>
      <c r="BG75" s="16"/>
      <c r="BH75" s="16"/>
      <c r="BI75" s="16"/>
      <c r="BJ75" s="16"/>
      <c r="BK75" s="16"/>
      <c r="BL75" s="16"/>
      <c r="BM75" s="16"/>
      <c r="BN75" s="16"/>
      <c r="BO75" s="16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  <c r="CN75" s="3"/>
      <c r="CO75" s="3"/>
      <c r="CP75" s="3"/>
      <c r="CQ75" s="3"/>
      <c r="CR75" s="3"/>
    </row>
    <row r="76" spans="1:96" ht="12" customHeight="1" x14ac:dyDescent="0.25">
      <c r="A76" s="3"/>
      <c r="B76" s="14"/>
      <c r="C76" s="14"/>
      <c r="D76" s="14"/>
      <c r="E76" s="14"/>
      <c r="F76" s="26"/>
      <c r="G76" s="26"/>
      <c r="H76" s="26"/>
      <c r="I76" s="10"/>
      <c r="J76" s="10"/>
      <c r="K76" s="14"/>
      <c r="L76" s="11"/>
      <c r="M76" s="14"/>
      <c r="N76" s="14"/>
      <c r="O76" s="4"/>
      <c r="P76" s="3"/>
      <c r="Q76" s="4"/>
      <c r="R76" s="3"/>
      <c r="S76" s="3"/>
      <c r="T76" s="3"/>
      <c r="U76" s="4"/>
      <c r="V76" s="4"/>
      <c r="W76" s="4"/>
      <c r="X76" s="4"/>
      <c r="Y76" s="4"/>
      <c r="Z76" s="11"/>
      <c r="AA76" s="16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16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6"/>
      <c r="AX76" s="15"/>
      <c r="AY76" s="15"/>
      <c r="AZ76" s="15"/>
      <c r="BA76" s="16"/>
      <c r="BB76" s="16"/>
      <c r="BC76" s="16"/>
      <c r="BD76" s="16"/>
      <c r="BE76" s="16"/>
      <c r="BF76" s="16"/>
      <c r="BG76" s="16"/>
      <c r="BH76" s="16"/>
      <c r="BI76" s="16"/>
      <c r="BJ76" s="16"/>
      <c r="BK76" s="16"/>
      <c r="BL76" s="16"/>
      <c r="BM76" s="16"/>
      <c r="BN76" s="16"/>
      <c r="BO76" s="16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  <c r="CN76" s="3"/>
      <c r="CO76" s="3"/>
      <c r="CP76" s="3"/>
      <c r="CQ76" s="3"/>
      <c r="CR76" s="3"/>
    </row>
    <row r="77" spans="1:96" ht="12" customHeight="1" x14ac:dyDescent="0.25">
      <c r="A77" s="3"/>
      <c r="B77" s="14"/>
      <c r="C77" s="14"/>
      <c r="D77" s="14"/>
      <c r="E77" s="14"/>
      <c r="F77" s="26"/>
      <c r="G77" s="26"/>
      <c r="H77" s="26"/>
      <c r="I77" s="10"/>
      <c r="J77" s="10"/>
      <c r="K77" s="14"/>
      <c r="L77" s="11"/>
      <c r="M77" s="14"/>
      <c r="N77" s="14"/>
      <c r="O77" s="4"/>
      <c r="P77" s="3"/>
      <c r="Q77" s="4"/>
      <c r="R77" s="3"/>
      <c r="S77" s="3"/>
      <c r="T77" s="3"/>
      <c r="U77" s="4"/>
      <c r="V77" s="4"/>
      <c r="W77" s="4"/>
      <c r="X77" s="4"/>
      <c r="Y77" s="4"/>
      <c r="Z77" s="11"/>
      <c r="AA77" s="16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16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6"/>
      <c r="AX77" s="15"/>
      <c r="AY77" s="15"/>
      <c r="AZ77" s="15"/>
      <c r="BA77" s="16"/>
      <c r="BB77" s="16"/>
      <c r="BC77" s="16"/>
      <c r="BD77" s="16"/>
      <c r="BE77" s="16"/>
      <c r="BF77" s="16"/>
      <c r="BG77" s="16"/>
      <c r="BH77" s="16"/>
      <c r="BI77" s="16"/>
      <c r="BJ77" s="16"/>
      <c r="BK77" s="16"/>
      <c r="BL77" s="16"/>
      <c r="BM77" s="16"/>
      <c r="BN77" s="16"/>
      <c r="BO77" s="16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  <c r="CN77" s="3"/>
      <c r="CO77" s="3"/>
      <c r="CP77" s="3"/>
      <c r="CQ77" s="3"/>
      <c r="CR77" s="3"/>
    </row>
    <row r="78" spans="1:96" ht="12" customHeight="1" x14ac:dyDescent="0.25">
      <c r="A78" s="3"/>
      <c r="B78" s="14"/>
      <c r="C78" s="14"/>
      <c r="D78" s="14"/>
      <c r="E78" s="14"/>
      <c r="F78" s="26"/>
      <c r="G78" s="26"/>
      <c r="H78" s="26"/>
      <c r="I78" s="10"/>
      <c r="J78" s="10"/>
      <c r="K78" s="14"/>
      <c r="L78" s="11"/>
      <c r="M78" s="14"/>
      <c r="N78" s="14"/>
      <c r="O78" s="4"/>
      <c r="P78" s="3"/>
      <c r="Q78" s="4"/>
      <c r="R78" s="3"/>
      <c r="S78" s="3"/>
      <c r="T78" s="3"/>
      <c r="U78" s="4"/>
      <c r="V78" s="4"/>
      <c r="W78" s="4"/>
      <c r="X78" s="4"/>
      <c r="Y78" s="4"/>
      <c r="Z78" s="11"/>
      <c r="AA78" s="16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16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6"/>
      <c r="AX78" s="15"/>
      <c r="AY78" s="15"/>
      <c r="AZ78" s="15"/>
      <c r="BA78" s="16"/>
      <c r="BB78" s="16"/>
      <c r="BC78" s="16"/>
      <c r="BD78" s="16"/>
      <c r="BE78" s="16"/>
      <c r="BF78" s="16"/>
      <c r="BG78" s="16"/>
      <c r="BH78" s="16"/>
      <c r="BI78" s="16"/>
      <c r="BJ78" s="16"/>
      <c r="BK78" s="16"/>
      <c r="BL78" s="16"/>
      <c r="BM78" s="16"/>
      <c r="BN78" s="16"/>
      <c r="BO78" s="16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  <c r="CN78" s="3"/>
      <c r="CO78" s="3"/>
      <c r="CP78" s="3"/>
      <c r="CQ78" s="3"/>
      <c r="CR78" s="3"/>
    </row>
    <row r="79" spans="1:96" ht="12" customHeight="1" x14ac:dyDescent="0.25">
      <c r="A79" s="3"/>
      <c r="B79" s="14"/>
      <c r="C79" s="14"/>
      <c r="D79" s="14"/>
      <c r="E79" s="14"/>
      <c r="F79" s="26"/>
      <c r="G79" s="26"/>
      <c r="H79" s="26"/>
      <c r="I79" s="10"/>
      <c r="J79" s="10"/>
      <c r="K79" s="14"/>
      <c r="L79" s="11"/>
      <c r="M79" s="14"/>
      <c r="N79" s="14"/>
      <c r="O79" s="4"/>
      <c r="P79" s="3"/>
      <c r="Q79" s="4"/>
      <c r="R79" s="3"/>
      <c r="S79" s="3"/>
      <c r="T79" s="3"/>
      <c r="U79" s="4"/>
      <c r="V79" s="4"/>
      <c r="W79" s="4"/>
      <c r="X79" s="4"/>
      <c r="Y79" s="4"/>
      <c r="Z79" s="11"/>
      <c r="AA79" s="16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16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6"/>
      <c r="AX79" s="15"/>
      <c r="AY79" s="15"/>
      <c r="AZ79" s="15"/>
      <c r="BA79" s="16"/>
      <c r="BB79" s="16"/>
      <c r="BC79" s="16"/>
      <c r="BD79" s="16"/>
      <c r="BE79" s="16"/>
      <c r="BF79" s="16"/>
      <c r="BG79" s="16"/>
      <c r="BH79" s="16"/>
      <c r="BI79" s="16"/>
      <c r="BJ79" s="16"/>
      <c r="BK79" s="16"/>
      <c r="BL79" s="16"/>
      <c r="BM79" s="16"/>
      <c r="BN79" s="16"/>
      <c r="BO79" s="16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  <c r="CN79" s="3"/>
      <c r="CO79" s="3"/>
      <c r="CP79" s="3"/>
      <c r="CQ79" s="3"/>
      <c r="CR79" s="3"/>
    </row>
    <row r="80" spans="1:96" ht="12" customHeight="1" x14ac:dyDescent="0.25">
      <c r="A80" s="3"/>
      <c r="B80" s="14"/>
      <c r="C80" s="14"/>
      <c r="D80" s="14"/>
      <c r="E80" s="14"/>
      <c r="F80" s="26"/>
      <c r="G80" s="26"/>
      <c r="H80" s="26"/>
      <c r="I80" s="10"/>
      <c r="J80" s="10"/>
      <c r="K80" s="14"/>
      <c r="L80" s="11"/>
      <c r="M80" s="14"/>
      <c r="N80" s="14"/>
      <c r="O80" s="4"/>
      <c r="P80" s="3"/>
      <c r="Q80" s="4"/>
      <c r="R80" s="3"/>
      <c r="S80" s="3"/>
      <c r="T80" s="3"/>
      <c r="U80" s="4"/>
      <c r="V80" s="4"/>
      <c r="W80" s="4"/>
      <c r="X80" s="4"/>
      <c r="Y80" s="4"/>
      <c r="Z80" s="11"/>
      <c r="AA80" s="16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16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6"/>
      <c r="AX80" s="15"/>
      <c r="AY80" s="15"/>
      <c r="AZ80" s="15"/>
      <c r="BA80" s="16"/>
      <c r="BB80" s="16"/>
      <c r="BC80" s="16"/>
      <c r="BD80" s="16"/>
      <c r="BE80" s="16"/>
      <c r="BF80" s="16"/>
      <c r="BG80" s="16"/>
      <c r="BH80" s="16"/>
      <c r="BI80" s="16"/>
      <c r="BJ80" s="16"/>
      <c r="BK80" s="16"/>
      <c r="BL80" s="16"/>
      <c r="BM80" s="16"/>
      <c r="BN80" s="16"/>
      <c r="BO80" s="16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  <c r="CN80" s="3"/>
      <c r="CO80" s="3"/>
      <c r="CP80" s="3"/>
      <c r="CQ80" s="3"/>
      <c r="CR80" s="3"/>
    </row>
    <row r="81" spans="1:96" ht="12" customHeight="1" x14ac:dyDescent="0.25">
      <c r="A81" s="3"/>
      <c r="B81" s="14"/>
      <c r="C81" s="14"/>
      <c r="D81" s="14"/>
      <c r="E81" s="14"/>
      <c r="F81" s="26"/>
      <c r="G81" s="26"/>
      <c r="H81" s="26"/>
      <c r="I81" s="10"/>
      <c r="J81" s="10"/>
      <c r="K81" s="14"/>
      <c r="L81" s="11"/>
      <c r="M81" s="14"/>
      <c r="N81" s="14"/>
      <c r="O81" s="4"/>
      <c r="P81" s="3"/>
      <c r="Q81" s="4"/>
      <c r="R81" s="3"/>
      <c r="S81" s="3"/>
      <c r="T81" s="3"/>
      <c r="U81" s="4"/>
      <c r="V81" s="4"/>
      <c r="W81" s="4"/>
      <c r="X81" s="4"/>
      <c r="Y81" s="4"/>
      <c r="Z81" s="11"/>
      <c r="AA81" s="16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16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6"/>
      <c r="AX81" s="15"/>
      <c r="AY81" s="15"/>
      <c r="AZ81" s="15"/>
      <c r="BA81" s="16"/>
      <c r="BB81" s="16"/>
      <c r="BC81" s="16"/>
      <c r="BD81" s="16"/>
      <c r="BE81" s="16"/>
      <c r="BF81" s="16"/>
      <c r="BG81" s="16"/>
      <c r="BH81" s="16"/>
      <c r="BI81" s="16"/>
      <c r="BJ81" s="16"/>
      <c r="BK81" s="16"/>
      <c r="BL81" s="16"/>
      <c r="BM81" s="16"/>
      <c r="BN81" s="16"/>
      <c r="BO81" s="16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  <c r="CN81" s="3"/>
      <c r="CO81" s="3"/>
      <c r="CP81" s="3"/>
      <c r="CQ81" s="3"/>
      <c r="CR81" s="3"/>
    </row>
    <row r="82" spans="1:96" ht="12" customHeight="1" x14ac:dyDescent="0.25">
      <c r="A82" s="3"/>
      <c r="B82" s="14"/>
      <c r="C82" s="14"/>
      <c r="D82" s="14"/>
      <c r="E82" s="14"/>
      <c r="F82" s="26"/>
      <c r="G82" s="26"/>
      <c r="H82" s="26"/>
      <c r="I82" s="10"/>
      <c r="J82" s="10"/>
      <c r="K82" s="14"/>
      <c r="L82" s="11"/>
      <c r="M82" s="14"/>
      <c r="N82" s="14"/>
      <c r="O82" s="4"/>
      <c r="P82" s="3"/>
      <c r="Q82" s="4"/>
      <c r="R82" s="3"/>
      <c r="S82" s="3"/>
      <c r="T82" s="3"/>
      <c r="U82" s="4"/>
      <c r="V82" s="4"/>
      <c r="W82" s="4"/>
      <c r="X82" s="4"/>
      <c r="Y82" s="4"/>
      <c r="Z82" s="11"/>
      <c r="AA82" s="16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16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6"/>
      <c r="AX82" s="15"/>
      <c r="AY82" s="15"/>
      <c r="AZ82" s="15"/>
      <c r="BA82" s="16"/>
      <c r="BB82" s="16"/>
      <c r="BC82" s="16"/>
      <c r="BD82" s="16"/>
      <c r="BE82" s="16"/>
      <c r="BF82" s="16"/>
      <c r="BG82" s="16"/>
      <c r="BH82" s="16"/>
      <c r="BI82" s="16"/>
      <c r="BJ82" s="16"/>
      <c r="BK82" s="16"/>
      <c r="BL82" s="16"/>
      <c r="BM82" s="16"/>
      <c r="BN82" s="16"/>
      <c r="BO82" s="16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  <c r="CN82" s="3"/>
      <c r="CO82" s="3"/>
      <c r="CP82" s="3"/>
      <c r="CQ82" s="3"/>
      <c r="CR82" s="3"/>
    </row>
    <row r="83" spans="1:96" ht="12" customHeight="1" x14ac:dyDescent="0.25">
      <c r="A83" s="3"/>
      <c r="B83" s="14"/>
      <c r="C83" s="14"/>
      <c r="D83" s="14"/>
      <c r="E83" s="14"/>
      <c r="F83" s="26"/>
      <c r="G83" s="26"/>
      <c r="H83" s="26"/>
      <c r="I83" s="10"/>
      <c r="J83" s="10"/>
      <c r="K83" s="14"/>
      <c r="L83" s="11"/>
      <c r="M83" s="14"/>
      <c r="N83" s="14"/>
      <c r="O83" s="4"/>
      <c r="P83" s="3"/>
      <c r="Q83" s="4"/>
      <c r="R83" s="3"/>
      <c r="S83" s="3"/>
      <c r="T83" s="3"/>
      <c r="U83" s="4"/>
      <c r="V83" s="4"/>
      <c r="W83" s="4"/>
      <c r="X83" s="4"/>
      <c r="Y83" s="4"/>
      <c r="Z83" s="11"/>
      <c r="AA83" s="16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16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6"/>
      <c r="AX83" s="15"/>
      <c r="AY83" s="15"/>
      <c r="AZ83" s="15"/>
      <c r="BA83" s="16"/>
      <c r="BB83" s="16"/>
      <c r="BC83" s="16"/>
      <c r="BD83" s="16"/>
      <c r="BE83" s="16"/>
      <c r="BF83" s="16"/>
      <c r="BG83" s="16"/>
      <c r="BH83" s="16"/>
      <c r="BI83" s="16"/>
      <c r="BJ83" s="16"/>
      <c r="BK83" s="16"/>
      <c r="BL83" s="16"/>
      <c r="BM83" s="16"/>
      <c r="BN83" s="16"/>
      <c r="BO83" s="16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  <c r="CN83" s="3"/>
      <c r="CO83" s="3"/>
      <c r="CP83" s="3"/>
      <c r="CQ83" s="3"/>
      <c r="CR83" s="3"/>
    </row>
    <row r="84" spans="1:96" ht="12" customHeight="1" x14ac:dyDescent="0.25">
      <c r="A84" s="3"/>
      <c r="B84" s="14"/>
      <c r="C84" s="14"/>
      <c r="D84" s="14"/>
      <c r="E84" s="14"/>
      <c r="F84" s="26"/>
      <c r="G84" s="26"/>
      <c r="H84" s="26"/>
      <c r="I84" s="10"/>
      <c r="J84" s="10"/>
      <c r="K84" s="14"/>
      <c r="L84" s="11"/>
      <c r="M84" s="14"/>
      <c r="N84" s="14"/>
      <c r="O84" s="4"/>
      <c r="P84" s="3"/>
      <c r="Q84" s="4"/>
      <c r="R84" s="3"/>
      <c r="S84" s="3"/>
      <c r="T84" s="3"/>
      <c r="U84" s="4"/>
      <c r="V84" s="4"/>
      <c r="W84" s="4"/>
      <c r="X84" s="4"/>
      <c r="Y84" s="4"/>
      <c r="Z84" s="11"/>
      <c r="AA84" s="16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16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6"/>
      <c r="AX84" s="15"/>
      <c r="AY84" s="15"/>
      <c r="AZ84" s="15"/>
      <c r="BA84" s="16"/>
      <c r="BB84" s="16"/>
      <c r="BC84" s="16"/>
      <c r="BD84" s="16"/>
      <c r="BE84" s="16"/>
      <c r="BF84" s="16"/>
      <c r="BG84" s="16"/>
      <c r="BH84" s="16"/>
      <c r="BI84" s="16"/>
      <c r="BJ84" s="16"/>
      <c r="BK84" s="16"/>
      <c r="BL84" s="16"/>
      <c r="BM84" s="16"/>
      <c r="BN84" s="16"/>
      <c r="BO84" s="16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  <c r="CN84" s="3"/>
      <c r="CO84" s="3"/>
      <c r="CP84" s="3"/>
      <c r="CQ84" s="3"/>
      <c r="CR84" s="3"/>
    </row>
    <row r="85" spans="1:96" ht="12" customHeight="1" x14ac:dyDescent="0.25">
      <c r="A85" s="3"/>
      <c r="B85" s="14"/>
      <c r="C85" s="14"/>
      <c r="D85" s="14"/>
      <c r="E85" s="14"/>
      <c r="F85" s="26"/>
      <c r="G85" s="26"/>
      <c r="H85" s="26"/>
      <c r="I85" s="10"/>
      <c r="J85" s="10"/>
      <c r="K85" s="14"/>
      <c r="L85" s="11"/>
      <c r="M85" s="14"/>
      <c r="N85" s="14"/>
      <c r="O85" s="4"/>
      <c r="P85" s="3"/>
      <c r="Q85" s="4"/>
      <c r="R85" s="3"/>
      <c r="S85" s="3"/>
      <c r="T85" s="3"/>
      <c r="U85" s="4"/>
      <c r="V85" s="4"/>
      <c r="W85" s="4"/>
      <c r="X85" s="4"/>
      <c r="Y85" s="4"/>
      <c r="Z85" s="11"/>
      <c r="AA85" s="16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16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6"/>
      <c r="AX85" s="15"/>
      <c r="AY85" s="15"/>
      <c r="AZ85" s="15"/>
      <c r="BA85" s="16"/>
      <c r="BB85" s="16"/>
      <c r="BC85" s="16"/>
      <c r="BD85" s="16"/>
      <c r="BE85" s="16"/>
      <c r="BF85" s="16"/>
      <c r="BG85" s="16"/>
      <c r="BH85" s="16"/>
      <c r="BI85" s="16"/>
      <c r="BJ85" s="16"/>
      <c r="BK85" s="16"/>
      <c r="BL85" s="16"/>
      <c r="BM85" s="16"/>
      <c r="BN85" s="16"/>
      <c r="BO85" s="16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  <c r="CN85" s="3"/>
      <c r="CO85" s="3"/>
      <c r="CP85" s="3"/>
      <c r="CQ85" s="3"/>
      <c r="CR85" s="3"/>
    </row>
    <row r="86" spans="1:96" ht="12" customHeight="1" x14ac:dyDescent="0.25">
      <c r="A86" s="3"/>
      <c r="B86" s="14"/>
      <c r="C86" s="14"/>
      <c r="D86" s="14"/>
      <c r="E86" s="14"/>
      <c r="F86" s="26"/>
      <c r="G86" s="26"/>
      <c r="H86" s="26"/>
      <c r="I86" s="10"/>
      <c r="J86" s="10"/>
      <c r="K86" s="14"/>
      <c r="L86" s="11"/>
      <c r="M86" s="14"/>
      <c r="N86" s="14"/>
      <c r="O86" s="4"/>
      <c r="P86" s="3"/>
      <c r="Q86" s="4"/>
      <c r="R86" s="3"/>
      <c r="S86" s="3"/>
      <c r="T86" s="3"/>
      <c r="U86" s="4"/>
      <c r="V86" s="4"/>
      <c r="W86" s="4"/>
      <c r="X86" s="4"/>
      <c r="Y86" s="4"/>
      <c r="Z86" s="11"/>
      <c r="AA86" s="16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16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6"/>
      <c r="AX86" s="15"/>
      <c r="AY86" s="15"/>
      <c r="AZ86" s="15"/>
      <c r="BA86" s="16"/>
      <c r="BB86" s="16"/>
      <c r="BC86" s="16"/>
      <c r="BD86" s="16"/>
      <c r="BE86" s="16"/>
      <c r="BF86" s="16"/>
      <c r="BG86" s="16"/>
      <c r="BH86" s="16"/>
      <c r="BI86" s="16"/>
      <c r="BJ86" s="16"/>
      <c r="BK86" s="16"/>
      <c r="BL86" s="16"/>
      <c r="BM86" s="16"/>
      <c r="BN86" s="16"/>
      <c r="BO86" s="16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  <c r="CN86" s="3"/>
      <c r="CO86" s="3"/>
      <c r="CP86" s="3"/>
      <c r="CQ86" s="3"/>
      <c r="CR86" s="3"/>
    </row>
    <row r="87" spans="1:96" ht="12" customHeight="1" x14ac:dyDescent="0.25">
      <c r="A87" s="3"/>
      <c r="B87" s="14"/>
      <c r="C87" s="14"/>
      <c r="D87" s="14"/>
      <c r="E87" s="14"/>
      <c r="F87" s="26"/>
      <c r="G87" s="26"/>
      <c r="H87" s="26"/>
      <c r="I87" s="10"/>
      <c r="J87" s="10"/>
      <c r="K87" s="14"/>
      <c r="L87" s="11"/>
      <c r="M87" s="14"/>
      <c r="N87" s="14"/>
      <c r="O87" s="4"/>
      <c r="P87" s="3"/>
      <c r="Q87" s="4"/>
      <c r="R87" s="3"/>
      <c r="S87" s="3"/>
      <c r="T87" s="3"/>
      <c r="U87" s="4"/>
      <c r="V87" s="4"/>
      <c r="W87" s="4"/>
      <c r="X87" s="4"/>
      <c r="Y87" s="4"/>
      <c r="Z87" s="11"/>
      <c r="AA87" s="16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16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6"/>
      <c r="AX87" s="15"/>
      <c r="AY87" s="15"/>
      <c r="AZ87" s="15"/>
      <c r="BA87" s="16"/>
      <c r="BB87" s="16"/>
      <c r="BC87" s="16"/>
      <c r="BD87" s="16"/>
      <c r="BE87" s="16"/>
      <c r="BF87" s="16"/>
      <c r="BG87" s="16"/>
      <c r="BH87" s="16"/>
      <c r="BI87" s="16"/>
      <c r="BJ87" s="16"/>
      <c r="BK87" s="16"/>
      <c r="BL87" s="16"/>
      <c r="BM87" s="16"/>
      <c r="BN87" s="16"/>
      <c r="BO87" s="16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  <c r="CN87" s="3"/>
      <c r="CO87" s="3"/>
      <c r="CP87" s="3"/>
      <c r="CQ87" s="3"/>
      <c r="CR87" s="3"/>
    </row>
    <row r="88" spans="1:96" ht="12" customHeight="1" x14ac:dyDescent="0.25">
      <c r="A88" s="3"/>
      <c r="B88" s="14"/>
      <c r="C88" s="14"/>
      <c r="D88" s="14"/>
      <c r="E88" s="14"/>
      <c r="F88" s="26"/>
      <c r="G88" s="26"/>
      <c r="H88" s="26"/>
      <c r="I88" s="10"/>
      <c r="J88" s="10"/>
      <c r="K88" s="14"/>
      <c r="L88" s="11"/>
      <c r="M88" s="14"/>
      <c r="N88" s="14"/>
      <c r="O88" s="4"/>
      <c r="P88" s="3"/>
      <c r="Q88" s="4"/>
      <c r="R88" s="3"/>
      <c r="S88" s="3"/>
      <c r="T88" s="3"/>
      <c r="U88" s="4"/>
      <c r="V88" s="4"/>
      <c r="W88" s="4"/>
      <c r="X88" s="4"/>
      <c r="Y88" s="4"/>
      <c r="Z88" s="11"/>
      <c r="AA88" s="16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16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6"/>
      <c r="AX88" s="15"/>
      <c r="AY88" s="15"/>
      <c r="AZ88" s="15"/>
      <c r="BA88" s="16"/>
      <c r="BB88" s="16"/>
      <c r="BC88" s="16"/>
      <c r="BD88" s="16"/>
      <c r="BE88" s="16"/>
      <c r="BF88" s="16"/>
      <c r="BG88" s="16"/>
      <c r="BH88" s="16"/>
      <c r="BI88" s="16"/>
      <c r="BJ88" s="16"/>
      <c r="BK88" s="16"/>
      <c r="BL88" s="16"/>
      <c r="BM88" s="16"/>
      <c r="BN88" s="16"/>
      <c r="BO88" s="16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  <c r="CN88" s="3"/>
      <c r="CO88" s="3"/>
      <c r="CP88" s="3"/>
      <c r="CQ88" s="3"/>
      <c r="CR88" s="3"/>
    </row>
    <row r="89" spans="1:96" ht="12" customHeight="1" x14ac:dyDescent="0.25">
      <c r="A89" s="3"/>
      <c r="B89" s="14"/>
      <c r="C89" s="14"/>
      <c r="D89" s="14"/>
      <c r="E89" s="14"/>
      <c r="F89" s="26"/>
      <c r="G89" s="26"/>
      <c r="H89" s="26"/>
      <c r="I89" s="10"/>
      <c r="J89" s="10"/>
      <c r="K89" s="14"/>
      <c r="L89" s="11"/>
      <c r="M89" s="14"/>
      <c r="N89" s="14"/>
      <c r="O89" s="4"/>
      <c r="P89" s="3"/>
      <c r="Q89" s="4"/>
      <c r="R89" s="3"/>
      <c r="S89" s="3"/>
      <c r="T89" s="3"/>
      <c r="U89" s="4"/>
      <c r="V89" s="4"/>
      <c r="W89" s="4"/>
      <c r="X89" s="4"/>
      <c r="Y89" s="4"/>
      <c r="Z89" s="11"/>
      <c r="AA89" s="16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16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6"/>
      <c r="AX89" s="15"/>
      <c r="AY89" s="15"/>
      <c r="AZ89" s="15"/>
      <c r="BA89" s="16"/>
      <c r="BB89" s="16"/>
      <c r="BC89" s="16"/>
      <c r="BD89" s="16"/>
      <c r="BE89" s="16"/>
      <c r="BF89" s="16"/>
      <c r="BG89" s="16"/>
      <c r="BH89" s="16"/>
      <c r="BI89" s="16"/>
      <c r="BJ89" s="16"/>
      <c r="BK89" s="16"/>
      <c r="BL89" s="16"/>
      <c r="BM89" s="16"/>
      <c r="BN89" s="16"/>
      <c r="BO89" s="16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  <c r="CN89" s="3"/>
      <c r="CO89" s="3"/>
      <c r="CP89" s="3"/>
      <c r="CQ89" s="3"/>
      <c r="CR89" s="3"/>
    </row>
    <row r="90" spans="1:96" ht="12" customHeight="1" x14ac:dyDescent="0.25">
      <c r="A90" s="3"/>
      <c r="B90" s="14"/>
      <c r="C90" s="14"/>
      <c r="D90" s="14"/>
      <c r="E90" s="14"/>
      <c r="F90" s="26"/>
      <c r="G90" s="26"/>
      <c r="H90" s="26"/>
      <c r="I90" s="10"/>
      <c r="J90" s="10"/>
      <c r="K90" s="14"/>
      <c r="L90" s="11"/>
      <c r="M90" s="14"/>
      <c r="N90" s="14"/>
      <c r="O90" s="4"/>
      <c r="P90" s="3"/>
      <c r="Q90" s="4"/>
      <c r="R90" s="3"/>
      <c r="S90" s="3"/>
      <c r="T90" s="3"/>
      <c r="U90" s="4"/>
      <c r="V90" s="4"/>
      <c r="W90" s="4"/>
      <c r="X90" s="4"/>
      <c r="Y90" s="4"/>
      <c r="Z90" s="11"/>
      <c r="AA90" s="16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16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6"/>
      <c r="AX90" s="15"/>
      <c r="AY90" s="15"/>
      <c r="AZ90" s="15"/>
      <c r="BA90" s="16"/>
      <c r="BB90" s="16"/>
      <c r="BC90" s="16"/>
      <c r="BD90" s="16"/>
      <c r="BE90" s="16"/>
      <c r="BF90" s="16"/>
      <c r="BG90" s="16"/>
      <c r="BH90" s="16"/>
      <c r="BI90" s="16"/>
      <c r="BJ90" s="16"/>
      <c r="BK90" s="16"/>
      <c r="BL90" s="16"/>
      <c r="BM90" s="16"/>
      <c r="BN90" s="16"/>
      <c r="BO90" s="16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  <c r="CN90" s="3"/>
      <c r="CO90" s="3"/>
      <c r="CP90" s="3"/>
      <c r="CQ90" s="3"/>
      <c r="CR90" s="3"/>
    </row>
    <row r="91" spans="1:96" ht="12" customHeight="1" x14ac:dyDescent="0.25">
      <c r="A91" s="3"/>
      <c r="B91" s="14"/>
      <c r="C91" s="14"/>
      <c r="D91" s="14"/>
      <c r="E91" s="14"/>
      <c r="F91" s="26"/>
      <c r="G91" s="26"/>
      <c r="H91" s="26"/>
      <c r="I91" s="10"/>
      <c r="J91" s="10"/>
      <c r="K91" s="14"/>
      <c r="L91" s="11"/>
      <c r="M91" s="14"/>
      <c r="N91" s="14"/>
      <c r="O91" s="4"/>
      <c r="P91" s="3"/>
      <c r="Q91" s="4"/>
      <c r="R91" s="3"/>
      <c r="S91" s="3"/>
      <c r="T91" s="3"/>
      <c r="U91" s="4"/>
      <c r="V91" s="4"/>
      <c r="W91" s="4"/>
      <c r="X91" s="4"/>
      <c r="Y91" s="4"/>
      <c r="Z91" s="11"/>
      <c r="AA91" s="16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16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6"/>
      <c r="AX91" s="15"/>
      <c r="AY91" s="15"/>
      <c r="AZ91" s="15"/>
      <c r="BA91" s="16"/>
      <c r="BB91" s="16"/>
      <c r="BC91" s="16"/>
      <c r="BD91" s="16"/>
      <c r="BE91" s="16"/>
      <c r="BF91" s="16"/>
      <c r="BG91" s="16"/>
      <c r="BH91" s="16"/>
      <c r="BI91" s="16"/>
      <c r="BJ91" s="16"/>
      <c r="BK91" s="16"/>
      <c r="BL91" s="16"/>
      <c r="BM91" s="16"/>
      <c r="BN91" s="16"/>
      <c r="BO91" s="16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  <c r="CN91" s="3"/>
      <c r="CO91" s="3"/>
      <c r="CP91" s="3"/>
      <c r="CQ91" s="3"/>
      <c r="CR91" s="3"/>
    </row>
    <row r="92" spans="1:96" ht="12" customHeight="1" x14ac:dyDescent="0.25">
      <c r="A92" s="3"/>
      <c r="B92" s="14"/>
      <c r="C92" s="14"/>
      <c r="D92" s="14"/>
      <c r="E92" s="14"/>
      <c r="F92" s="26"/>
      <c r="G92" s="26"/>
      <c r="H92" s="26"/>
      <c r="I92" s="10"/>
      <c r="J92" s="10"/>
      <c r="K92" s="14"/>
      <c r="L92" s="11"/>
      <c r="M92" s="14"/>
      <c r="N92" s="14"/>
      <c r="O92" s="4"/>
      <c r="P92" s="3"/>
      <c r="Q92" s="4"/>
      <c r="R92" s="3"/>
      <c r="S92" s="3"/>
      <c r="T92" s="3"/>
      <c r="U92" s="4"/>
      <c r="V92" s="4"/>
      <c r="W92" s="4"/>
      <c r="X92" s="4"/>
      <c r="Y92" s="4"/>
      <c r="Z92" s="11"/>
      <c r="AA92" s="16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16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6"/>
      <c r="AX92" s="15"/>
      <c r="AY92" s="15"/>
      <c r="AZ92" s="15"/>
      <c r="BA92" s="16"/>
      <c r="BB92" s="16"/>
      <c r="BC92" s="16"/>
      <c r="BD92" s="16"/>
      <c r="BE92" s="16"/>
      <c r="BF92" s="16"/>
      <c r="BG92" s="16"/>
      <c r="BH92" s="16"/>
      <c r="BI92" s="16"/>
      <c r="BJ92" s="16"/>
      <c r="BK92" s="16"/>
      <c r="BL92" s="16"/>
      <c r="BM92" s="16"/>
      <c r="BN92" s="16"/>
      <c r="BO92" s="16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  <c r="CN92" s="3"/>
      <c r="CO92" s="3"/>
      <c r="CP92" s="3"/>
      <c r="CQ92" s="3"/>
      <c r="CR92" s="3"/>
    </row>
    <row r="93" spans="1:96" ht="12" customHeight="1" x14ac:dyDescent="0.25">
      <c r="A93" s="3"/>
      <c r="B93" s="14"/>
      <c r="C93" s="14"/>
      <c r="D93" s="14"/>
      <c r="E93" s="14"/>
      <c r="F93" s="26"/>
      <c r="G93" s="26"/>
      <c r="H93" s="26"/>
      <c r="I93" s="10"/>
      <c r="J93" s="10"/>
      <c r="K93" s="14"/>
      <c r="L93" s="11"/>
      <c r="M93" s="14"/>
      <c r="N93" s="14"/>
      <c r="O93" s="4"/>
      <c r="P93" s="3"/>
      <c r="Q93" s="4"/>
      <c r="R93" s="3"/>
      <c r="S93" s="3"/>
      <c r="T93" s="3"/>
      <c r="U93" s="4"/>
      <c r="V93" s="4"/>
      <c r="W93" s="4"/>
      <c r="X93" s="4"/>
      <c r="Y93" s="4"/>
      <c r="Z93" s="11"/>
      <c r="AA93" s="16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16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6"/>
      <c r="AX93" s="15"/>
      <c r="AY93" s="15"/>
      <c r="AZ93" s="15"/>
      <c r="BA93" s="16"/>
      <c r="BB93" s="16"/>
      <c r="BC93" s="16"/>
      <c r="BD93" s="16"/>
      <c r="BE93" s="16"/>
      <c r="BF93" s="16"/>
      <c r="BG93" s="16"/>
      <c r="BH93" s="16"/>
      <c r="BI93" s="16"/>
      <c r="BJ93" s="16"/>
      <c r="BK93" s="16"/>
      <c r="BL93" s="16"/>
      <c r="BM93" s="16"/>
      <c r="BN93" s="16"/>
      <c r="BO93" s="16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  <c r="CN93" s="3"/>
      <c r="CO93" s="3"/>
      <c r="CP93" s="3"/>
      <c r="CQ93" s="3"/>
      <c r="CR93" s="3"/>
    </row>
    <row r="94" spans="1:96" ht="12" customHeight="1" x14ac:dyDescent="0.25">
      <c r="A94" s="3"/>
      <c r="B94" s="14"/>
      <c r="C94" s="14"/>
      <c r="D94" s="14"/>
      <c r="E94" s="14"/>
      <c r="F94" s="26"/>
      <c r="G94" s="26"/>
      <c r="H94" s="26"/>
      <c r="I94" s="10"/>
      <c r="J94" s="10"/>
      <c r="K94" s="14"/>
      <c r="L94" s="11"/>
      <c r="M94" s="14"/>
      <c r="N94" s="14"/>
      <c r="O94" s="4"/>
      <c r="P94" s="3"/>
      <c r="Q94" s="4"/>
      <c r="R94" s="3"/>
      <c r="S94" s="3"/>
      <c r="T94" s="3"/>
      <c r="U94" s="4"/>
      <c r="V94" s="4"/>
      <c r="W94" s="4"/>
      <c r="X94" s="4"/>
      <c r="Y94" s="4"/>
      <c r="Z94" s="11"/>
      <c r="AA94" s="16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16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6"/>
      <c r="AX94" s="15"/>
      <c r="AY94" s="15"/>
      <c r="AZ94" s="15"/>
      <c r="BA94" s="16"/>
      <c r="BB94" s="16"/>
      <c r="BC94" s="16"/>
      <c r="BD94" s="16"/>
      <c r="BE94" s="16"/>
      <c r="BF94" s="16"/>
      <c r="BG94" s="16"/>
      <c r="BH94" s="16"/>
      <c r="BI94" s="16"/>
      <c r="BJ94" s="16"/>
      <c r="BK94" s="16"/>
      <c r="BL94" s="16"/>
      <c r="BM94" s="16"/>
      <c r="BN94" s="16"/>
      <c r="BO94" s="16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  <c r="CN94" s="3"/>
      <c r="CO94" s="3"/>
      <c r="CP94" s="3"/>
      <c r="CQ94" s="3"/>
      <c r="CR94" s="3"/>
    </row>
    <row r="95" spans="1:96" ht="12" customHeight="1" x14ac:dyDescent="0.25">
      <c r="A95" s="3"/>
      <c r="B95" s="14"/>
      <c r="C95" s="14"/>
      <c r="D95" s="14"/>
      <c r="E95" s="14"/>
      <c r="F95" s="26"/>
      <c r="G95" s="26"/>
      <c r="H95" s="26"/>
      <c r="I95" s="10"/>
      <c r="J95" s="10"/>
      <c r="K95" s="14"/>
      <c r="L95" s="11"/>
      <c r="M95" s="14"/>
      <c r="N95" s="14"/>
      <c r="O95" s="4"/>
      <c r="P95" s="3"/>
      <c r="Q95" s="4"/>
      <c r="R95" s="3"/>
      <c r="S95" s="3"/>
      <c r="T95" s="3"/>
      <c r="U95" s="4"/>
      <c r="V95" s="4"/>
      <c r="W95" s="4"/>
      <c r="X95" s="4"/>
      <c r="Y95" s="4"/>
      <c r="Z95" s="11"/>
      <c r="AA95" s="16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16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6"/>
      <c r="AX95" s="15"/>
      <c r="AY95" s="15"/>
      <c r="AZ95" s="15"/>
      <c r="BA95" s="16"/>
      <c r="BB95" s="16"/>
      <c r="BC95" s="16"/>
      <c r="BD95" s="16"/>
      <c r="BE95" s="16"/>
      <c r="BF95" s="16"/>
      <c r="BG95" s="16"/>
      <c r="BH95" s="16"/>
      <c r="BI95" s="16"/>
      <c r="BJ95" s="16"/>
      <c r="BK95" s="16"/>
      <c r="BL95" s="16"/>
      <c r="BM95" s="16"/>
      <c r="BN95" s="16"/>
      <c r="BO95" s="16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  <c r="CN95" s="3"/>
      <c r="CO95" s="3"/>
      <c r="CP95" s="3"/>
      <c r="CQ95" s="3"/>
      <c r="CR95" s="3"/>
    </row>
    <row r="96" spans="1:96" ht="12" customHeight="1" x14ac:dyDescent="0.25">
      <c r="A96" s="3"/>
      <c r="B96" s="14"/>
      <c r="C96" s="14"/>
      <c r="D96" s="14"/>
      <c r="E96" s="14"/>
      <c r="F96" s="26"/>
      <c r="G96" s="26"/>
      <c r="H96" s="26"/>
      <c r="I96" s="10"/>
      <c r="J96" s="10"/>
      <c r="K96" s="14"/>
      <c r="L96" s="11"/>
      <c r="M96" s="14"/>
      <c r="N96" s="14"/>
      <c r="O96" s="4"/>
      <c r="P96" s="3"/>
      <c r="Q96" s="4"/>
      <c r="R96" s="3"/>
      <c r="S96" s="3"/>
      <c r="T96" s="3"/>
      <c r="U96" s="4"/>
      <c r="V96" s="4"/>
      <c r="W96" s="4"/>
      <c r="X96" s="4"/>
      <c r="Y96" s="4"/>
      <c r="Z96" s="11"/>
      <c r="AA96" s="16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16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6"/>
      <c r="AX96" s="15"/>
      <c r="AY96" s="15"/>
      <c r="AZ96" s="15"/>
      <c r="BA96" s="16"/>
      <c r="BB96" s="16"/>
      <c r="BC96" s="16"/>
      <c r="BD96" s="16"/>
      <c r="BE96" s="16"/>
      <c r="BF96" s="16"/>
      <c r="BG96" s="16"/>
      <c r="BH96" s="16"/>
      <c r="BI96" s="16"/>
      <c r="BJ96" s="16"/>
      <c r="BK96" s="16"/>
      <c r="BL96" s="16"/>
      <c r="BM96" s="16"/>
      <c r="BN96" s="16"/>
      <c r="BO96" s="16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  <c r="CN96" s="3"/>
      <c r="CO96" s="3"/>
      <c r="CP96" s="3"/>
      <c r="CQ96" s="3"/>
      <c r="CR96" s="3"/>
    </row>
    <row r="97" spans="1:96" ht="12" customHeight="1" x14ac:dyDescent="0.25">
      <c r="A97" s="3"/>
      <c r="B97" s="14"/>
      <c r="C97" s="14"/>
      <c r="D97" s="14"/>
      <c r="E97" s="14"/>
      <c r="F97" s="26"/>
      <c r="G97" s="26"/>
      <c r="H97" s="26"/>
      <c r="I97" s="10"/>
      <c r="J97" s="10"/>
      <c r="K97" s="14"/>
      <c r="L97" s="11"/>
      <c r="M97" s="14"/>
      <c r="N97" s="14"/>
      <c r="O97" s="4"/>
      <c r="P97" s="3"/>
      <c r="Q97" s="4"/>
      <c r="R97" s="3"/>
      <c r="S97" s="3"/>
      <c r="T97" s="3"/>
      <c r="U97" s="4"/>
      <c r="V97" s="4"/>
      <c r="W97" s="4"/>
      <c r="X97" s="4"/>
      <c r="Y97" s="4"/>
      <c r="Z97" s="11"/>
      <c r="AA97" s="16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16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6"/>
      <c r="AX97" s="15"/>
      <c r="AY97" s="15"/>
      <c r="AZ97" s="15"/>
      <c r="BA97" s="16"/>
      <c r="BB97" s="16"/>
      <c r="BC97" s="16"/>
      <c r="BD97" s="16"/>
      <c r="BE97" s="16"/>
      <c r="BF97" s="16"/>
      <c r="BG97" s="16"/>
      <c r="BH97" s="16"/>
      <c r="BI97" s="16"/>
      <c r="BJ97" s="16"/>
      <c r="BK97" s="16"/>
      <c r="BL97" s="16"/>
      <c r="BM97" s="16"/>
      <c r="BN97" s="16"/>
      <c r="BO97" s="16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  <c r="CN97" s="3"/>
      <c r="CO97" s="3"/>
      <c r="CP97" s="3"/>
      <c r="CQ97" s="3"/>
      <c r="CR97" s="3"/>
    </row>
    <row r="98" spans="1:96" ht="12" customHeight="1" x14ac:dyDescent="0.25">
      <c r="A98" s="3"/>
      <c r="B98" s="14"/>
      <c r="C98" s="14"/>
      <c r="D98" s="14"/>
      <c r="E98" s="14"/>
      <c r="F98" s="26"/>
      <c r="G98" s="26"/>
      <c r="H98" s="26"/>
      <c r="I98" s="10"/>
      <c r="J98" s="10"/>
      <c r="K98" s="14"/>
      <c r="L98" s="11"/>
      <c r="M98" s="14"/>
      <c r="N98" s="14"/>
      <c r="O98" s="4"/>
      <c r="P98" s="3"/>
      <c r="Q98" s="4"/>
      <c r="R98" s="3"/>
      <c r="S98" s="3"/>
      <c r="T98" s="3"/>
      <c r="U98" s="4"/>
      <c r="V98" s="4"/>
      <c r="W98" s="4"/>
      <c r="X98" s="4"/>
      <c r="Y98" s="4"/>
      <c r="Z98" s="11"/>
      <c r="AA98" s="16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16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6"/>
      <c r="AX98" s="15"/>
      <c r="AY98" s="15"/>
      <c r="AZ98" s="15"/>
      <c r="BA98" s="16"/>
      <c r="BB98" s="16"/>
      <c r="BC98" s="16"/>
      <c r="BD98" s="16"/>
      <c r="BE98" s="16"/>
      <c r="BF98" s="16"/>
      <c r="BG98" s="16"/>
      <c r="BH98" s="16"/>
      <c r="BI98" s="16"/>
      <c r="BJ98" s="16"/>
      <c r="BK98" s="16"/>
      <c r="BL98" s="16"/>
      <c r="BM98" s="16"/>
      <c r="BN98" s="16"/>
      <c r="BO98" s="16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  <c r="CN98" s="3"/>
      <c r="CO98" s="3"/>
      <c r="CP98" s="3"/>
      <c r="CQ98" s="3"/>
      <c r="CR98" s="3"/>
    </row>
    <row r="99" spans="1:96" ht="12" customHeight="1" x14ac:dyDescent="0.25">
      <c r="A99" s="3"/>
      <c r="B99" s="14"/>
      <c r="C99" s="14"/>
      <c r="D99" s="14"/>
      <c r="E99" s="14"/>
      <c r="F99" s="26"/>
      <c r="G99" s="26"/>
      <c r="H99" s="26"/>
      <c r="I99" s="10"/>
      <c r="J99" s="10"/>
      <c r="K99" s="14"/>
      <c r="L99" s="11"/>
      <c r="M99" s="14"/>
      <c r="N99" s="14"/>
      <c r="O99" s="4"/>
      <c r="P99" s="3"/>
      <c r="Q99" s="4"/>
      <c r="R99" s="3"/>
      <c r="S99" s="3"/>
      <c r="T99" s="3"/>
      <c r="U99" s="4"/>
      <c r="V99" s="4"/>
      <c r="W99" s="4"/>
      <c r="X99" s="4"/>
      <c r="Y99" s="4"/>
      <c r="Z99" s="11"/>
      <c r="AA99" s="16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16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6"/>
      <c r="AX99" s="15"/>
      <c r="AY99" s="15"/>
      <c r="AZ99" s="15"/>
      <c r="BA99" s="16"/>
      <c r="BB99" s="16"/>
      <c r="BC99" s="16"/>
      <c r="BD99" s="16"/>
      <c r="BE99" s="16"/>
      <c r="BF99" s="16"/>
      <c r="BG99" s="16"/>
      <c r="BH99" s="16"/>
      <c r="BI99" s="16"/>
      <c r="BJ99" s="16"/>
      <c r="BK99" s="16"/>
      <c r="BL99" s="16"/>
      <c r="BM99" s="16"/>
      <c r="BN99" s="16"/>
      <c r="BO99" s="16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  <c r="CN99" s="3"/>
      <c r="CO99" s="3"/>
      <c r="CP99" s="3"/>
      <c r="CQ99" s="3"/>
      <c r="CR99" s="3"/>
    </row>
    <row r="100" spans="1:96" ht="12" customHeight="1" x14ac:dyDescent="0.25">
      <c r="A100" s="3"/>
      <c r="B100" s="14"/>
      <c r="C100" s="14"/>
      <c r="D100" s="14"/>
      <c r="E100" s="14"/>
      <c r="F100" s="26"/>
      <c r="G100" s="26"/>
      <c r="H100" s="26"/>
      <c r="I100" s="10"/>
      <c r="J100" s="10"/>
      <c r="K100" s="14"/>
      <c r="L100" s="11"/>
      <c r="M100" s="14"/>
      <c r="N100" s="14"/>
      <c r="O100" s="4"/>
      <c r="P100" s="3"/>
      <c r="Q100" s="4"/>
      <c r="R100" s="3"/>
      <c r="S100" s="3"/>
      <c r="T100" s="3"/>
      <c r="U100" s="4"/>
      <c r="V100" s="4"/>
      <c r="W100" s="4"/>
      <c r="X100" s="4"/>
      <c r="Y100" s="4"/>
      <c r="Z100" s="11"/>
      <c r="AA100" s="16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16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6"/>
      <c r="AX100" s="15"/>
      <c r="AY100" s="15"/>
      <c r="AZ100" s="15"/>
      <c r="BA100" s="16"/>
      <c r="BB100" s="16"/>
      <c r="BC100" s="16"/>
      <c r="BD100" s="16"/>
      <c r="BE100" s="16"/>
      <c r="BF100" s="16"/>
      <c r="BG100" s="16"/>
      <c r="BH100" s="16"/>
      <c r="BI100" s="16"/>
      <c r="BJ100" s="16"/>
      <c r="BK100" s="16"/>
      <c r="BL100" s="16"/>
      <c r="BM100" s="16"/>
      <c r="BN100" s="16"/>
      <c r="BO100" s="16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  <c r="CN100" s="3"/>
      <c r="CO100" s="3"/>
      <c r="CP100" s="3"/>
      <c r="CQ100" s="3"/>
      <c r="CR100" s="3"/>
    </row>
    <row r="101" spans="1:96" ht="12" customHeight="1" x14ac:dyDescent="0.25">
      <c r="A101" s="3"/>
      <c r="B101" s="14"/>
      <c r="C101" s="14"/>
      <c r="D101" s="14"/>
      <c r="E101" s="14"/>
      <c r="F101" s="26"/>
      <c r="G101" s="26"/>
      <c r="H101" s="26"/>
      <c r="I101" s="10"/>
      <c r="J101" s="10"/>
      <c r="K101" s="14"/>
      <c r="L101" s="11"/>
      <c r="M101" s="14"/>
      <c r="N101" s="14"/>
      <c r="O101" s="4"/>
      <c r="P101" s="3"/>
      <c r="Q101" s="4"/>
      <c r="R101" s="3"/>
      <c r="S101" s="3"/>
      <c r="T101" s="3"/>
      <c r="U101" s="4"/>
      <c r="V101" s="4"/>
      <c r="W101" s="4"/>
      <c r="X101" s="4"/>
      <c r="Y101" s="4"/>
      <c r="Z101" s="11"/>
      <c r="AA101" s="16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16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6"/>
      <c r="AX101" s="15"/>
      <c r="AY101" s="15"/>
      <c r="AZ101" s="15"/>
      <c r="BA101" s="16"/>
      <c r="BB101" s="16"/>
      <c r="BC101" s="16"/>
      <c r="BD101" s="16"/>
      <c r="BE101" s="16"/>
      <c r="BF101" s="16"/>
      <c r="BG101" s="16"/>
      <c r="BH101" s="16"/>
      <c r="BI101" s="16"/>
      <c r="BJ101" s="16"/>
      <c r="BK101" s="16"/>
      <c r="BL101" s="16"/>
      <c r="BM101" s="16"/>
      <c r="BN101" s="16"/>
      <c r="BO101" s="16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  <c r="CN101" s="3"/>
      <c r="CO101" s="3"/>
      <c r="CP101" s="3"/>
      <c r="CQ101" s="3"/>
      <c r="CR101" s="3"/>
    </row>
    <row r="102" spans="1:96" ht="12" customHeight="1" x14ac:dyDescent="0.25">
      <c r="A102" s="3"/>
      <c r="B102" s="14"/>
      <c r="C102" s="14"/>
      <c r="D102" s="14"/>
      <c r="E102" s="14"/>
      <c r="F102" s="26"/>
      <c r="G102" s="26"/>
      <c r="H102" s="26"/>
      <c r="I102" s="10"/>
      <c r="J102" s="10"/>
      <c r="K102" s="14"/>
      <c r="L102" s="11"/>
      <c r="M102" s="14"/>
      <c r="N102" s="14"/>
      <c r="O102" s="4"/>
      <c r="P102" s="3"/>
      <c r="Q102" s="4"/>
      <c r="R102" s="3"/>
      <c r="S102" s="3"/>
      <c r="T102" s="3"/>
      <c r="U102" s="4"/>
      <c r="V102" s="4"/>
      <c r="W102" s="4"/>
      <c r="X102" s="4"/>
      <c r="Y102" s="4"/>
      <c r="Z102" s="11"/>
      <c r="AA102" s="16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16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6"/>
      <c r="AX102" s="15"/>
      <c r="AY102" s="15"/>
      <c r="AZ102" s="15"/>
      <c r="BA102" s="16"/>
      <c r="BB102" s="16"/>
      <c r="BC102" s="16"/>
      <c r="BD102" s="16"/>
      <c r="BE102" s="16"/>
      <c r="BF102" s="16"/>
      <c r="BG102" s="16"/>
      <c r="BH102" s="16"/>
      <c r="BI102" s="16"/>
      <c r="BJ102" s="16"/>
      <c r="BK102" s="16"/>
      <c r="BL102" s="16"/>
      <c r="BM102" s="16"/>
      <c r="BN102" s="16"/>
      <c r="BO102" s="16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  <c r="CN102" s="3"/>
      <c r="CO102" s="3"/>
      <c r="CP102" s="3"/>
      <c r="CQ102" s="3"/>
      <c r="CR102" s="3"/>
    </row>
    <row r="103" spans="1:96" ht="12" customHeight="1" x14ac:dyDescent="0.25">
      <c r="A103" s="3"/>
      <c r="B103" s="14"/>
      <c r="C103" s="14"/>
      <c r="D103" s="14"/>
      <c r="E103" s="14"/>
      <c r="F103" s="26"/>
      <c r="G103" s="26"/>
      <c r="H103" s="26"/>
      <c r="I103" s="10"/>
      <c r="J103" s="10"/>
      <c r="K103" s="14"/>
      <c r="L103" s="11"/>
      <c r="M103" s="14"/>
      <c r="N103" s="14"/>
      <c r="O103" s="4"/>
      <c r="P103" s="3"/>
      <c r="Q103" s="4"/>
      <c r="R103" s="3"/>
      <c r="S103" s="3"/>
      <c r="T103" s="3"/>
      <c r="U103" s="4"/>
      <c r="V103" s="4"/>
      <c r="W103" s="4"/>
      <c r="X103" s="4"/>
      <c r="Y103" s="4"/>
      <c r="Z103" s="11"/>
      <c r="AA103" s="16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16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6"/>
      <c r="AX103" s="15"/>
      <c r="AY103" s="15"/>
      <c r="AZ103" s="15"/>
      <c r="BA103" s="16"/>
      <c r="BB103" s="16"/>
      <c r="BC103" s="16"/>
      <c r="BD103" s="16"/>
      <c r="BE103" s="16"/>
      <c r="BF103" s="16"/>
      <c r="BG103" s="16"/>
      <c r="BH103" s="16"/>
      <c r="BI103" s="16"/>
      <c r="BJ103" s="16"/>
      <c r="BK103" s="16"/>
      <c r="BL103" s="16"/>
      <c r="BM103" s="16"/>
      <c r="BN103" s="16"/>
      <c r="BO103" s="16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  <c r="CN103" s="3"/>
      <c r="CO103" s="3"/>
      <c r="CP103" s="3"/>
      <c r="CQ103" s="3"/>
      <c r="CR103" s="3"/>
    </row>
    <row r="104" spans="1:96" ht="12" customHeight="1" x14ac:dyDescent="0.25">
      <c r="A104" s="3"/>
      <c r="B104" s="14"/>
      <c r="C104" s="14"/>
      <c r="D104" s="14"/>
      <c r="E104" s="14"/>
      <c r="F104" s="26"/>
      <c r="G104" s="26"/>
      <c r="H104" s="26"/>
      <c r="I104" s="10"/>
      <c r="J104" s="10"/>
      <c r="K104" s="14"/>
      <c r="L104" s="11"/>
      <c r="M104" s="14"/>
      <c r="N104" s="14"/>
      <c r="O104" s="4"/>
      <c r="P104" s="3"/>
      <c r="Q104" s="4"/>
      <c r="R104" s="3"/>
      <c r="S104" s="3"/>
      <c r="T104" s="3"/>
      <c r="U104" s="4"/>
      <c r="V104" s="4"/>
      <c r="W104" s="4"/>
      <c r="X104" s="4"/>
      <c r="Y104" s="4"/>
      <c r="Z104" s="11"/>
      <c r="AA104" s="16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16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6"/>
      <c r="AX104" s="15"/>
      <c r="AY104" s="15"/>
      <c r="AZ104" s="15"/>
      <c r="BA104" s="16"/>
      <c r="BB104" s="16"/>
      <c r="BC104" s="16"/>
      <c r="BD104" s="16"/>
      <c r="BE104" s="16"/>
      <c r="BF104" s="16"/>
      <c r="BG104" s="16"/>
      <c r="BH104" s="16"/>
      <c r="BI104" s="16"/>
      <c r="BJ104" s="16"/>
      <c r="BK104" s="16"/>
      <c r="BL104" s="16"/>
      <c r="BM104" s="16"/>
      <c r="BN104" s="16"/>
      <c r="BO104" s="16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  <c r="CN104" s="3"/>
      <c r="CO104" s="3"/>
      <c r="CP104" s="3"/>
      <c r="CQ104" s="3"/>
      <c r="CR104" s="3"/>
    </row>
    <row r="105" spans="1:96" ht="12" customHeight="1" x14ac:dyDescent="0.25">
      <c r="A105" s="3"/>
      <c r="B105" s="14"/>
      <c r="C105" s="14"/>
      <c r="D105" s="14"/>
      <c r="E105" s="14"/>
      <c r="F105" s="26"/>
      <c r="G105" s="26"/>
      <c r="H105" s="26"/>
      <c r="I105" s="10"/>
      <c r="J105" s="10"/>
      <c r="K105" s="14"/>
      <c r="L105" s="11"/>
      <c r="M105" s="14"/>
      <c r="N105" s="14"/>
      <c r="O105" s="4"/>
      <c r="P105" s="3"/>
      <c r="Q105" s="4"/>
      <c r="R105" s="3"/>
      <c r="S105" s="3"/>
      <c r="T105" s="3"/>
      <c r="U105" s="4"/>
      <c r="V105" s="4"/>
      <c r="W105" s="4"/>
      <c r="X105" s="4"/>
      <c r="Y105" s="4"/>
      <c r="Z105" s="11"/>
      <c r="AA105" s="16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16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6"/>
      <c r="AX105" s="15"/>
      <c r="AY105" s="15"/>
      <c r="AZ105" s="15"/>
      <c r="BA105" s="16"/>
      <c r="BB105" s="16"/>
      <c r="BC105" s="16"/>
      <c r="BD105" s="16"/>
      <c r="BE105" s="16"/>
      <c r="BF105" s="16"/>
      <c r="BG105" s="16"/>
      <c r="BH105" s="16"/>
      <c r="BI105" s="16"/>
      <c r="BJ105" s="16"/>
      <c r="BK105" s="16"/>
      <c r="BL105" s="16"/>
      <c r="BM105" s="16"/>
      <c r="BN105" s="16"/>
      <c r="BO105" s="16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  <c r="CN105" s="3"/>
      <c r="CO105" s="3"/>
      <c r="CP105" s="3"/>
      <c r="CQ105" s="3"/>
      <c r="CR105" s="3"/>
    </row>
    <row r="106" spans="1:96" ht="12" customHeight="1" x14ac:dyDescent="0.25">
      <c r="A106" s="3"/>
      <c r="B106" s="14"/>
      <c r="C106" s="14"/>
      <c r="D106" s="14"/>
      <c r="E106" s="14"/>
      <c r="F106" s="26"/>
      <c r="G106" s="26"/>
      <c r="H106" s="26"/>
      <c r="I106" s="10"/>
      <c r="J106" s="10"/>
      <c r="K106" s="14"/>
      <c r="L106" s="11"/>
      <c r="M106" s="14"/>
      <c r="N106" s="14"/>
      <c r="O106" s="4"/>
      <c r="P106" s="3"/>
      <c r="Q106" s="4"/>
      <c r="R106" s="3"/>
      <c r="S106" s="3"/>
      <c r="T106" s="3"/>
      <c r="U106" s="4"/>
      <c r="V106" s="4"/>
      <c r="W106" s="4"/>
      <c r="X106" s="4"/>
      <c r="Y106" s="4"/>
      <c r="Z106" s="11"/>
      <c r="AA106" s="16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16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6"/>
      <c r="AX106" s="15"/>
      <c r="AY106" s="15"/>
      <c r="AZ106" s="15"/>
      <c r="BA106" s="16"/>
      <c r="BB106" s="16"/>
      <c r="BC106" s="16"/>
      <c r="BD106" s="16"/>
      <c r="BE106" s="16"/>
      <c r="BF106" s="16"/>
      <c r="BG106" s="16"/>
      <c r="BH106" s="16"/>
      <c r="BI106" s="16"/>
      <c r="BJ106" s="16"/>
      <c r="BK106" s="16"/>
      <c r="BL106" s="16"/>
      <c r="BM106" s="16"/>
      <c r="BN106" s="16"/>
      <c r="BO106" s="16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  <c r="CN106" s="3"/>
      <c r="CO106" s="3"/>
      <c r="CP106" s="3"/>
      <c r="CQ106" s="3"/>
      <c r="CR106" s="3"/>
    </row>
    <row r="107" spans="1:96" ht="12" customHeight="1" x14ac:dyDescent="0.25">
      <c r="A107" s="3"/>
      <c r="B107" s="14"/>
      <c r="C107" s="14"/>
      <c r="D107" s="14"/>
      <c r="E107" s="14"/>
      <c r="F107" s="26"/>
      <c r="G107" s="26"/>
      <c r="H107" s="26"/>
      <c r="I107" s="10"/>
      <c r="J107" s="10"/>
      <c r="K107" s="14"/>
      <c r="L107" s="11"/>
      <c r="M107" s="14"/>
      <c r="N107" s="14"/>
      <c r="O107" s="4"/>
      <c r="P107" s="3"/>
      <c r="Q107" s="4"/>
      <c r="R107" s="3"/>
      <c r="S107" s="3"/>
      <c r="T107" s="3"/>
      <c r="U107" s="4"/>
      <c r="V107" s="4"/>
      <c r="W107" s="4"/>
      <c r="X107" s="4"/>
      <c r="Y107" s="4"/>
      <c r="Z107" s="11"/>
      <c r="AA107" s="16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16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6"/>
      <c r="AX107" s="15"/>
      <c r="AY107" s="15"/>
      <c r="AZ107" s="15"/>
      <c r="BA107" s="16"/>
      <c r="BB107" s="16"/>
      <c r="BC107" s="16"/>
      <c r="BD107" s="16"/>
      <c r="BE107" s="16"/>
      <c r="BF107" s="16"/>
      <c r="BG107" s="16"/>
      <c r="BH107" s="16"/>
      <c r="BI107" s="16"/>
      <c r="BJ107" s="16"/>
      <c r="BK107" s="16"/>
      <c r="BL107" s="16"/>
      <c r="BM107" s="16"/>
      <c r="BN107" s="16"/>
      <c r="BO107" s="16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  <c r="CN107" s="3"/>
      <c r="CO107" s="3"/>
      <c r="CP107" s="3"/>
      <c r="CQ107" s="3"/>
      <c r="CR107" s="3"/>
    </row>
    <row r="108" spans="1:96" ht="12" customHeight="1" x14ac:dyDescent="0.25">
      <c r="A108" s="3"/>
      <c r="B108" s="14"/>
      <c r="C108" s="14"/>
      <c r="D108" s="14"/>
      <c r="E108" s="14"/>
      <c r="F108" s="26"/>
      <c r="G108" s="26"/>
      <c r="H108" s="26"/>
      <c r="I108" s="10"/>
      <c r="J108" s="10"/>
      <c r="K108" s="14"/>
      <c r="L108" s="11"/>
      <c r="M108" s="14"/>
      <c r="N108" s="14"/>
      <c r="O108" s="4"/>
      <c r="P108" s="3"/>
      <c r="Q108" s="4"/>
      <c r="R108" s="3"/>
      <c r="S108" s="3"/>
      <c r="T108" s="3"/>
      <c r="U108" s="4"/>
      <c r="V108" s="4"/>
      <c r="W108" s="4"/>
      <c r="X108" s="4"/>
      <c r="Y108" s="4"/>
      <c r="Z108" s="11"/>
      <c r="AA108" s="16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16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6"/>
      <c r="AX108" s="15"/>
      <c r="AY108" s="15"/>
      <c r="AZ108" s="15"/>
      <c r="BA108" s="16"/>
      <c r="BB108" s="16"/>
      <c r="BC108" s="16"/>
      <c r="BD108" s="16"/>
      <c r="BE108" s="16"/>
      <c r="BF108" s="16"/>
      <c r="BG108" s="16"/>
      <c r="BH108" s="16"/>
      <c r="BI108" s="16"/>
      <c r="BJ108" s="16"/>
      <c r="BK108" s="16"/>
      <c r="BL108" s="16"/>
      <c r="BM108" s="16"/>
      <c r="BN108" s="16"/>
      <c r="BO108" s="16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  <c r="CN108" s="3"/>
      <c r="CO108" s="3"/>
      <c r="CP108" s="3"/>
      <c r="CQ108" s="3"/>
      <c r="CR108" s="3"/>
    </row>
    <row r="109" spans="1:96" ht="12" customHeight="1" x14ac:dyDescent="0.25">
      <c r="A109" s="3"/>
      <c r="B109" s="14"/>
      <c r="C109" s="14"/>
      <c r="D109" s="14"/>
      <c r="E109" s="14"/>
      <c r="F109" s="26"/>
      <c r="G109" s="26"/>
      <c r="H109" s="26"/>
      <c r="I109" s="10"/>
      <c r="J109" s="10"/>
      <c r="K109" s="14"/>
      <c r="L109" s="11"/>
      <c r="M109" s="14"/>
      <c r="N109" s="14"/>
      <c r="O109" s="4"/>
      <c r="P109" s="3"/>
      <c r="Q109" s="4"/>
      <c r="R109" s="3"/>
      <c r="S109" s="3"/>
      <c r="T109" s="3"/>
      <c r="U109" s="4"/>
      <c r="V109" s="4"/>
      <c r="W109" s="4"/>
      <c r="X109" s="4"/>
      <c r="Y109" s="4"/>
      <c r="Z109" s="11"/>
      <c r="AA109" s="16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16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6"/>
      <c r="AX109" s="15"/>
      <c r="AY109" s="15"/>
      <c r="AZ109" s="15"/>
      <c r="BA109" s="16"/>
      <c r="BB109" s="16"/>
      <c r="BC109" s="16"/>
      <c r="BD109" s="16"/>
      <c r="BE109" s="16"/>
      <c r="BF109" s="16"/>
      <c r="BG109" s="16"/>
      <c r="BH109" s="16"/>
      <c r="BI109" s="16"/>
      <c r="BJ109" s="16"/>
      <c r="BK109" s="16"/>
      <c r="BL109" s="16"/>
      <c r="BM109" s="16"/>
      <c r="BN109" s="16"/>
      <c r="BO109" s="16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  <c r="CN109" s="3"/>
      <c r="CO109" s="3"/>
      <c r="CP109" s="3"/>
      <c r="CQ109" s="3"/>
      <c r="CR109" s="3"/>
    </row>
    <row r="110" spans="1:96" ht="12" customHeight="1" x14ac:dyDescent="0.25">
      <c r="A110" s="3"/>
      <c r="B110" s="14"/>
      <c r="C110" s="14"/>
      <c r="D110" s="14"/>
      <c r="E110" s="14"/>
      <c r="F110" s="26"/>
      <c r="G110" s="26"/>
      <c r="H110" s="26"/>
      <c r="I110" s="10"/>
      <c r="J110" s="10"/>
      <c r="K110" s="14"/>
      <c r="L110" s="11"/>
      <c r="M110" s="14"/>
      <c r="N110" s="14"/>
      <c r="O110" s="4"/>
      <c r="P110" s="3"/>
      <c r="Q110" s="4"/>
      <c r="R110" s="3"/>
      <c r="S110" s="3"/>
      <c r="T110" s="3"/>
      <c r="U110" s="4"/>
      <c r="V110" s="4"/>
      <c r="W110" s="4"/>
      <c r="X110" s="4"/>
      <c r="Y110" s="4"/>
      <c r="Z110" s="11"/>
      <c r="AA110" s="16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16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6"/>
      <c r="AX110" s="15"/>
      <c r="AY110" s="15"/>
      <c r="AZ110" s="15"/>
      <c r="BA110" s="16"/>
      <c r="BB110" s="16"/>
      <c r="BC110" s="16"/>
      <c r="BD110" s="16"/>
      <c r="BE110" s="16"/>
      <c r="BF110" s="16"/>
      <c r="BG110" s="16"/>
      <c r="BH110" s="16"/>
      <c r="BI110" s="16"/>
      <c r="BJ110" s="16"/>
      <c r="BK110" s="16"/>
      <c r="BL110" s="16"/>
      <c r="BM110" s="16"/>
      <c r="BN110" s="16"/>
      <c r="BO110" s="16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  <c r="CN110" s="3"/>
      <c r="CO110" s="3"/>
      <c r="CP110" s="3"/>
      <c r="CQ110" s="3"/>
      <c r="CR110" s="3"/>
    </row>
    <row r="111" spans="1:96" ht="12" customHeight="1" x14ac:dyDescent="0.25">
      <c r="A111" s="3"/>
      <c r="B111" s="14"/>
      <c r="C111" s="14"/>
      <c r="D111" s="14"/>
      <c r="E111" s="14"/>
      <c r="F111" s="26"/>
      <c r="G111" s="26"/>
      <c r="H111" s="26"/>
      <c r="I111" s="10"/>
      <c r="J111" s="10"/>
      <c r="K111" s="14"/>
      <c r="L111" s="11"/>
      <c r="M111" s="14"/>
      <c r="N111" s="14"/>
      <c r="O111" s="4"/>
      <c r="P111" s="3"/>
      <c r="Q111" s="4"/>
      <c r="R111" s="3"/>
      <c r="S111" s="3"/>
      <c r="T111" s="3"/>
      <c r="U111" s="4"/>
      <c r="V111" s="4"/>
      <c r="W111" s="4"/>
      <c r="X111" s="4"/>
      <c r="Y111" s="4"/>
      <c r="Z111" s="11"/>
      <c r="AA111" s="16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16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6"/>
      <c r="AX111" s="15"/>
      <c r="AY111" s="15"/>
      <c r="AZ111" s="15"/>
      <c r="BA111" s="16"/>
      <c r="BB111" s="16"/>
      <c r="BC111" s="16"/>
      <c r="BD111" s="16"/>
      <c r="BE111" s="16"/>
      <c r="BF111" s="16"/>
      <c r="BG111" s="16"/>
      <c r="BH111" s="16"/>
      <c r="BI111" s="16"/>
      <c r="BJ111" s="16"/>
      <c r="BK111" s="16"/>
      <c r="BL111" s="16"/>
      <c r="BM111" s="16"/>
      <c r="BN111" s="16"/>
      <c r="BO111" s="16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  <c r="CN111" s="3"/>
      <c r="CO111" s="3"/>
      <c r="CP111" s="3"/>
      <c r="CQ111" s="3"/>
      <c r="CR111" s="3"/>
    </row>
    <row r="112" spans="1:96" ht="12" customHeight="1" x14ac:dyDescent="0.25">
      <c r="A112" s="3"/>
      <c r="B112" s="14"/>
      <c r="C112" s="14"/>
      <c r="D112" s="14"/>
      <c r="E112" s="14"/>
      <c r="F112" s="26"/>
      <c r="G112" s="26"/>
      <c r="H112" s="26"/>
      <c r="I112" s="10"/>
      <c r="J112" s="10"/>
      <c r="K112" s="14"/>
      <c r="L112" s="11"/>
      <c r="M112" s="14"/>
      <c r="N112" s="14"/>
      <c r="O112" s="4"/>
      <c r="P112" s="3"/>
      <c r="Q112" s="4"/>
      <c r="R112" s="3"/>
      <c r="S112" s="3"/>
      <c r="T112" s="3"/>
      <c r="U112" s="4"/>
      <c r="V112" s="4"/>
      <c r="W112" s="4"/>
      <c r="X112" s="4"/>
      <c r="Y112" s="4"/>
      <c r="Z112" s="11"/>
      <c r="AA112" s="16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16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6"/>
      <c r="AX112" s="15"/>
      <c r="AY112" s="15"/>
      <c r="AZ112" s="15"/>
      <c r="BA112" s="16"/>
      <c r="BB112" s="16"/>
      <c r="BC112" s="16"/>
      <c r="BD112" s="16"/>
      <c r="BE112" s="16"/>
      <c r="BF112" s="16"/>
      <c r="BG112" s="16"/>
      <c r="BH112" s="16"/>
      <c r="BI112" s="16"/>
      <c r="BJ112" s="16"/>
      <c r="BK112" s="16"/>
      <c r="BL112" s="16"/>
      <c r="BM112" s="16"/>
      <c r="BN112" s="16"/>
      <c r="BO112" s="16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  <c r="CN112" s="3"/>
      <c r="CO112" s="3"/>
      <c r="CP112" s="3"/>
      <c r="CQ112" s="3"/>
      <c r="CR112" s="3"/>
    </row>
    <row r="113" spans="1:96" ht="12" customHeight="1" x14ac:dyDescent="0.25">
      <c r="A113" s="3"/>
      <c r="B113" s="14"/>
      <c r="C113" s="14"/>
      <c r="D113" s="14"/>
      <c r="E113" s="14"/>
      <c r="F113" s="26"/>
      <c r="G113" s="26"/>
      <c r="H113" s="26"/>
      <c r="I113" s="10"/>
      <c r="J113" s="10"/>
      <c r="K113" s="14"/>
      <c r="L113" s="11"/>
      <c r="M113" s="14"/>
      <c r="N113" s="14"/>
      <c r="O113" s="4"/>
      <c r="P113" s="3"/>
      <c r="Q113" s="4"/>
      <c r="R113" s="3"/>
      <c r="S113" s="3"/>
      <c r="T113" s="3"/>
      <c r="U113" s="4"/>
      <c r="V113" s="4"/>
      <c r="W113" s="4"/>
      <c r="X113" s="4"/>
      <c r="Y113" s="4"/>
      <c r="Z113" s="11"/>
      <c r="AA113" s="16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16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6"/>
      <c r="AX113" s="15"/>
      <c r="AY113" s="15"/>
      <c r="AZ113" s="15"/>
      <c r="BA113" s="16"/>
      <c r="BB113" s="16"/>
      <c r="BC113" s="16"/>
      <c r="BD113" s="16"/>
      <c r="BE113" s="16"/>
      <c r="BF113" s="16"/>
      <c r="BG113" s="16"/>
      <c r="BH113" s="16"/>
      <c r="BI113" s="16"/>
      <c r="BJ113" s="16"/>
      <c r="BK113" s="16"/>
      <c r="BL113" s="16"/>
      <c r="BM113" s="16"/>
      <c r="BN113" s="16"/>
      <c r="BO113" s="16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  <c r="CN113" s="3"/>
      <c r="CO113" s="3"/>
      <c r="CP113" s="3"/>
      <c r="CQ113" s="3"/>
      <c r="CR113" s="3"/>
    </row>
    <row r="114" spans="1:96" ht="12" customHeight="1" x14ac:dyDescent="0.25">
      <c r="A114" s="3"/>
      <c r="B114" s="14"/>
      <c r="C114" s="14"/>
      <c r="D114" s="14"/>
      <c r="E114" s="14"/>
      <c r="F114" s="26"/>
      <c r="G114" s="26"/>
      <c r="H114" s="26"/>
      <c r="I114" s="10"/>
      <c r="J114" s="10"/>
      <c r="K114" s="14"/>
      <c r="L114" s="11"/>
      <c r="M114" s="14"/>
      <c r="N114" s="14"/>
      <c r="O114" s="4"/>
      <c r="P114" s="3"/>
      <c r="Q114" s="4"/>
      <c r="R114" s="3"/>
      <c r="S114" s="3"/>
      <c r="T114" s="3"/>
      <c r="U114" s="4"/>
      <c r="V114" s="4"/>
      <c r="W114" s="4"/>
      <c r="X114" s="4"/>
      <c r="Y114" s="4"/>
      <c r="Z114" s="11"/>
      <c r="AA114" s="16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16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6"/>
      <c r="AX114" s="15"/>
      <c r="AY114" s="15"/>
      <c r="AZ114" s="15"/>
      <c r="BA114" s="16"/>
      <c r="BB114" s="16"/>
      <c r="BC114" s="16"/>
      <c r="BD114" s="16"/>
      <c r="BE114" s="16"/>
      <c r="BF114" s="16"/>
      <c r="BG114" s="16"/>
      <c r="BH114" s="16"/>
      <c r="BI114" s="16"/>
      <c r="BJ114" s="16"/>
      <c r="BK114" s="16"/>
      <c r="BL114" s="16"/>
      <c r="BM114" s="16"/>
      <c r="BN114" s="16"/>
      <c r="BO114" s="16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  <c r="CN114" s="3"/>
      <c r="CO114" s="3"/>
      <c r="CP114" s="3"/>
      <c r="CQ114" s="3"/>
      <c r="CR114" s="3"/>
    </row>
    <row r="115" spans="1:96" ht="12" customHeight="1" x14ac:dyDescent="0.25">
      <c r="A115" s="3"/>
      <c r="B115" s="14"/>
      <c r="C115" s="14"/>
      <c r="D115" s="14"/>
      <c r="E115" s="14"/>
      <c r="F115" s="26"/>
      <c r="G115" s="26"/>
      <c r="H115" s="26"/>
      <c r="I115" s="10"/>
      <c r="J115" s="10"/>
      <c r="K115" s="14"/>
      <c r="L115" s="11"/>
      <c r="M115" s="14"/>
      <c r="N115" s="14"/>
      <c r="O115" s="4"/>
      <c r="P115" s="3"/>
      <c r="Q115" s="4"/>
      <c r="R115" s="3"/>
      <c r="S115" s="3"/>
      <c r="T115" s="3"/>
      <c r="U115" s="4"/>
      <c r="V115" s="4"/>
      <c r="W115" s="4"/>
      <c r="X115" s="4"/>
      <c r="Y115" s="4"/>
      <c r="Z115" s="11"/>
      <c r="AA115" s="16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16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6"/>
      <c r="AX115" s="15"/>
      <c r="AY115" s="15"/>
      <c r="AZ115" s="15"/>
      <c r="BA115" s="16"/>
      <c r="BB115" s="16"/>
      <c r="BC115" s="16"/>
      <c r="BD115" s="16"/>
      <c r="BE115" s="16"/>
      <c r="BF115" s="16"/>
      <c r="BG115" s="16"/>
      <c r="BH115" s="16"/>
      <c r="BI115" s="16"/>
      <c r="BJ115" s="16"/>
      <c r="BK115" s="16"/>
      <c r="BL115" s="16"/>
      <c r="BM115" s="16"/>
      <c r="BN115" s="16"/>
      <c r="BO115" s="16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  <c r="CN115" s="3"/>
      <c r="CO115" s="3"/>
      <c r="CP115" s="3"/>
      <c r="CQ115" s="3"/>
      <c r="CR115" s="3"/>
    </row>
    <row r="116" spans="1:96" ht="12" customHeight="1" x14ac:dyDescent="0.25">
      <c r="A116" s="3"/>
      <c r="B116" s="14"/>
      <c r="C116" s="14"/>
      <c r="D116" s="14"/>
      <c r="E116" s="14"/>
      <c r="F116" s="26"/>
      <c r="G116" s="26"/>
      <c r="H116" s="26"/>
      <c r="I116" s="10"/>
      <c r="J116" s="10"/>
      <c r="K116" s="14"/>
      <c r="L116" s="11"/>
      <c r="M116" s="14"/>
      <c r="N116" s="14"/>
      <c r="O116" s="4"/>
      <c r="P116" s="3"/>
      <c r="Q116" s="4"/>
      <c r="R116" s="3"/>
      <c r="S116" s="3"/>
      <c r="T116" s="3"/>
      <c r="U116" s="4"/>
      <c r="V116" s="4"/>
      <c r="W116" s="4"/>
      <c r="X116" s="4"/>
      <c r="Y116" s="4"/>
      <c r="Z116" s="11"/>
      <c r="AA116" s="16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16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6"/>
      <c r="AX116" s="15"/>
      <c r="AY116" s="15"/>
      <c r="AZ116" s="15"/>
      <c r="BA116" s="16"/>
      <c r="BB116" s="16"/>
      <c r="BC116" s="16"/>
      <c r="BD116" s="16"/>
      <c r="BE116" s="16"/>
      <c r="BF116" s="16"/>
      <c r="BG116" s="16"/>
      <c r="BH116" s="16"/>
      <c r="BI116" s="16"/>
      <c r="BJ116" s="16"/>
      <c r="BK116" s="16"/>
      <c r="BL116" s="16"/>
      <c r="BM116" s="16"/>
      <c r="BN116" s="16"/>
      <c r="BO116" s="16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  <c r="CN116" s="3"/>
      <c r="CO116" s="3"/>
      <c r="CP116" s="3"/>
      <c r="CQ116" s="3"/>
      <c r="CR116" s="3"/>
    </row>
    <row r="117" spans="1:96" ht="12" customHeight="1" x14ac:dyDescent="0.25">
      <c r="A117" s="3"/>
      <c r="B117" s="14"/>
      <c r="C117" s="14"/>
      <c r="D117" s="14"/>
      <c r="E117" s="14"/>
      <c r="F117" s="26"/>
      <c r="G117" s="26"/>
      <c r="H117" s="26"/>
      <c r="I117" s="10"/>
      <c r="J117" s="10"/>
      <c r="K117" s="14"/>
      <c r="L117" s="11"/>
      <c r="M117" s="14"/>
      <c r="N117" s="14"/>
      <c r="O117" s="4"/>
      <c r="P117" s="3"/>
      <c r="Q117" s="4"/>
      <c r="R117" s="3"/>
      <c r="S117" s="3"/>
      <c r="T117" s="3"/>
      <c r="U117" s="4"/>
      <c r="V117" s="4"/>
      <c r="W117" s="4"/>
      <c r="X117" s="4"/>
      <c r="Y117" s="4"/>
      <c r="Z117" s="11"/>
      <c r="AA117" s="16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16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6"/>
      <c r="AX117" s="15"/>
      <c r="AY117" s="15"/>
      <c r="AZ117" s="15"/>
      <c r="BA117" s="16"/>
      <c r="BB117" s="16"/>
      <c r="BC117" s="16"/>
      <c r="BD117" s="16"/>
      <c r="BE117" s="16"/>
      <c r="BF117" s="16"/>
      <c r="BG117" s="16"/>
      <c r="BH117" s="16"/>
      <c r="BI117" s="16"/>
      <c r="BJ117" s="16"/>
      <c r="BK117" s="16"/>
      <c r="BL117" s="16"/>
      <c r="BM117" s="16"/>
      <c r="BN117" s="16"/>
      <c r="BO117" s="16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  <c r="CN117" s="3"/>
      <c r="CO117" s="3"/>
      <c r="CP117" s="3"/>
      <c r="CQ117" s="3"/>
      <c r="CR117" s="3"/>
    </row>
    <row r="118" spans="1:96" ht="12" customHeight="1" x14ac:dyDescent="0.25">
      <c r="A118" s="3"/>
      <c r="B118" s="14"/>
      <c r="C118" s="14"/>
      <c r="D118" s="14"/>
      <c r="E118" s="14"/>
      <c r="F118" s="26"/>
      <c r="G118" s="26"/>
      <c r="H118" s="26"/>
      <c r="I118" s="10"/>
      <c r="J118" s="10"/>
      <c r="K118" s="14"/>
      <c r="L118" s="11"/>
      <c r="M118" s="14"/>
      <c r="N118" s="14"/>
      <c r="O118" s="4"/>
      <c r="P118" s="3"/>
      <c r="Q118" s="4"/>
      <c r="R118" s="3"/>
      <c r="S118" s="3"/>
      <c r="T118" s="3"/>
      <c r="U118" s="4"/>
      <c r="V118" s="4"/>
      <c r="W118" s="4"/>
      <c r="X118" s="4"/>
      <c r="Y118" s="4"/>
      <c r="Z118" s="11"/>
      <c r="AA118" s="16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16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6"/>
      <c r="AX118" s="15"/>
      <c r="AY118" s="15"/>
      <c r="AZ118" s="15"/>
      <c r="BA118" s="16"/>
      <c r="BB118" s="16"/>
      <c r="BC118" s="16"/>
      <c r="BD118" s="16"/>
      <c r="BE118" s="16"/>
      <c r="BF118" s="16"/>
      <c r="BG118" s="16"/>
      <c r="BH118" s="16"/>
      <c r="BI118" s="16"/>
      <c r="BJ118" s="16"/>
      <c r="BK118" s="16"/>
      <c r="BL118" s="16"/>
      <c r="BM118" s="16"/>
      <c r="BN118" s="16"/>
      <c r="BO118" s="16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  <c r="CN118" s="3"/>
      <c r="CO118" s="3"/>
      <c r="CP118" s="3"/>
      <c r="CQ118" s="3"/>
      <c r="CR118" s="3"/>
    </row>
    <row r="119" spans="1:96" ht="12" customHeight="1" x14ac:dyDescent="0.25">
      <c r="A119" s="3"/>
      <c r="B119" s="14"/>
      <c r="C119" s="14"/>
      <c r="D119" s="14"/>
      <c r="E119" s="14"/>
      <c r="F119" s="26"/>
      <c r="G119" s="26"/>
      <c r="H119" s="26"/>
      <c r="I119" s="10"/>
      <c r="J119" s="10"/>
      <c r="K119" s="14"/>
      <c r="L119" s="11"/>
      <c r="M119" s="14"/>
      <c r="N119" s="14"/>
      <c r="O119" s="4"/>
      <c r="P119" s="3"/>
      <c r="Q119" s="4"/>
      <c r="R119" s="3"/>
      <c r="S119" s="3"/>
      <c r="T119" s="3"/>
      <c r="U119" s="4"/>
      <c r="V119" s="4"/>
      <c r="W119" s="4"/>
      <c r="X119" s="4"/>
      <c r="Y119" s="4"/>
      <c r="Z119" s="11"/>
      <c r="AA119" s="16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16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6"/>
      <c r="AX119" s="15"/>
      <c r="AY119" s="15"/>
      <c r="AZ119" s="15"/>
      <c r="BA119" s="16"/>
      <c r="BB119" s="16"/>
      <c r="BC119" s="16"/>
      <c r="BD119" s="16"/>
      <c r="BE119" s="16"/>
      <c r="BF119" s="16"/>
      <c r="BG119" s="16"/>
      <c r="BH119" s="16"/>
      <c r="BI119" s="16"/>
      <c r="BJ119" s="16"/>
      <c r="BK119" s="16"/>
      <c r="BL119" s="16"/>
      <c r="BM119" s="16"/>
      <c r="BN119" s="16"/>
      <c r="BO119" s="16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  <c r="CN119" s="3"/>
      <c r="CO119" s="3"/>
      <c r="CP119" s="3"/>
      <c r="CQ119" s="3"/>
      <c r="CR119" s="3"/>
    </row>
    <row r="120" spans="1:96" ht="12" customHeight="1" x14ac:dyDescent="0.25">
      <c r="A120" s="3"/>
      <c r="B120" s="14"/>
      <c r="C120" s="14"/>
      <c r="D120" s="14"/>
      <c r="E120" s="14"/>
      <c r="F120" s="26"/>
      <c r="G120" s="26"/>
      <c r="H120" s="26"/>
      <c r="I120" s="10"/>
      <c r="J120" s="10"/>
      <c r="K120" s="14"/>
      <c r="L120" s="11"/>
      <c r="M120" s="14"/>
      <c r="N120" s="14"/>
      <c r="O120" s="4"/>
      <c r="P120" s="3"/>
      <c r="Q120" s="4"/>
      <c r="R120" s="3"/>
      <c r="S120" s="3"/>
      <c r="T120" s="3"/>
      <c r="U120" s="4"/>
      <c r="V120" s="4"/>
      <c r="W120" s="4"/>
      <c r="X120" s="4"/>
      <c r="Y120" s="4"/>
      <c r="Z120" s="11"/>
      <c r="AA120" s="16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16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6"/>
      <c r="AX120" s="15"/>
      <c r="AY120" s="15"/>
      <c r="AZ120" s="15"/>
      <c r="BA120" s="16"/>
      <c r="BB120" s="16"/>
      <c r="BC120" s="16"/>
      <c r="BD120" s="16"/>
      <c r="BE120" s="16"/>
      <c r="BF120" s="16"/>
      <c r="BG120" s="16"/>
      <c r="BH120" s="16"/>
      <c r="BI120" s="16"/>
      <c r="BJ120" s="16"/>
      <c r="BK120" s="16"/>
      <c r="BL120" s="16"/>
      <c r="BM120" s="16"/>
      <c r="BN120" s="16"/>
      <c r="BO120" s="16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  <c r="CN120" s="3"/>
      <c r="CO120" s="3"/>
      <c r="CP120" s="3"/>
      <c r="CQ120" s="3"/>
      <c r="CR120" s="3"/>
    </row>
    <row r="121" spans="1:96" ht="12" customHeight="1" x14ac:dyDescent="0.25">
      <c r="A121" s="3"/>
      <c r="B121" s="14"/>
      <c r="C121" s="14"/>
      <c r="D121" s="14"/>
      <c r="E121" s="14"/>
      <c r="F121" s="26"/>
      <c r="G121" s="26"/>
      <c r="H121" s="26"/>
      <c r="I121" s="10"/>
      <c r="J121" s="10"/>
      <c r="K121" s="14"/>
      <c r="L121" s="11"/>
      <c r="M121" s="14"/>
      <c r="N121" s="14"/>
      <c r="O121" s="4"/>
      <c r="P121" s="3"/>
      <c r="Q121" s="4"/>
      <c r="R121" s="3"/>
      <c r="S121" s="3"/>
      <c r="T121" s="3"/>
      <c r="U121" s="4"/>
      <c r="V121" s="4"/>
      <c r="W121" s="4"/>
      <c r="X121" s="4"/>
      <c r="Y121" s="4"/>
      <c r="Z121" s="11"/>
      <c r="AA121" s="16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16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6"/>
      <c r="AX121" s="15"/>
      <c r="AY121" s="15"/>
      <c r="AZ121" s="15"/>
      <c r="BA121" s="16"/>
      <c r="BB121" s="16"/>
      <c r="BC121" s="16"/>
      <c r="BD121" s="16"/>
      <c r="BE121" s="16"/>
      <c r="BF121" s="16"/>
      <c r="BG121" s="16"/>
      <c r="BH121" s="16"/>
      <c r="BI121" s="16"/>
      <c r="BJ121" s="16"/>
      <c r="BK121" s="16"/>
      <c r="BL121" s="16"/>
      <c r="BM121" s="16"/>
      <c r="BN121" s="16"/>
      <c r="BO121" s="16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  <c r="CN121" s="3"/>
      <c r="CO121" s="3"/>
      <c r="CP121" s="3"/>
      <c r="CQ121" s="3"/>
      <c r="CR121" s="3"/>
    </row>
    <row r="122" spans="1:96" ht="12" customHeight="1" x14ac:dyDescent="0.25">
      <c r="A122" s="3"/>
      <c r="B122" s="14"/>
      <c r="C122" s="14"/>
      <c r="D122" s="14"/>
      <c r="E122" s="14"/>
      <c r="F122" s="26"/>
      <c r="G122" s="26"/>
      <c r="H122" s="26"/>
      <c r="I122" s="10"/>
      <c r="J122" s="10"/>
      <c r="K122" s="14"/>
      <c r="L122" s="11"/>
      <c r="M122" s="14"/>
      <c r="N122" s="14"/>
      <c r="O122" s="4"/>
      <c r="P122" s="3"/>
      <c r="Q122" s="4"/>
      <c r="R122" s="3"/>
      <c r="S122" s="3"/>
      <c r="T122" s="3"/>
      <c r="U122" s="4"/>
      <c r="V122" s="4"/>
      <c r="W122" s="4"/>
      <c r="X122" s="4"/>
      <c r="Y122" s="4"/>
      <c r="Z122" s="11"/>
      <c r="AA122" s="16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16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6"/>
      <c r="AX122" s="15"/>
      <c r="AY122" s="15"/>
      <c r="AZ122" s="15"/>
      <c r="BA122" s="16"/>
      <c r="BB122" s="16"/>
      <c r="BC122" s="16"/>
      <c r="BD122" s="16"/>
      <c r="BE122" s="16"/>
      <c r="BF122" s="16"/>
      <c r="BG122" s="16"/>
      <c r="BH122" s="16"/>
      <c r="BI122" s="16"/>
      <c r="BJ122" s="16"/>
      <c r="BK122" s="16"/>
      <c r="BL122" s="16"/>
      <c r="BM122" s="16"/>
      <c r="BN122" s="16"/>
      <c r="BO122" s="16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  <c r="CN122" s="3"/>
      <c r="CO122" s="3"/>
      <c r="CP122" s="3"/>
      <c r="CQ122" s="3"/>
      <c r="CR122" s="3"/>
    </row>
    <row r="123" spans="1:96" ht="12" customHeight="1" x14ac:dyDescent="0.25">
      <c r="A123" s="3"/>
      <c r="B123" s="14"/>
      <c r="C123" s="14"/>
      <c r="D123" s="14"/>
      <c r="E123" s="14"/>
      <c r="F123" s="26"/>
      <c r="G123" s="26"/>
      <c r="H123" s="26"/>
      <c r="I123" s="10"/>
      <c r="J123" s="10"/>
      <c r="K123" s="14"/>
      <c r="L123" s="11"/>
      <c r="M123" s="14"/>
      <c r="N123" s="14"/>
      <c r="O123" s="4"/>
      <c r="P123" s="3"/>
      <c r="Q123" s="4"/>
      <c r="R123" s="3"/>
      <c r="S123" s="3"/>
      <c r="T123" s="3"/>
      <c r="U123" s="4"/>
      <c r="V123" s="4"/>
      <c r="W123" s="4"/>
      <c r="X123" s="4"/>
      <c r="Y123" s="4"/>
      <c r="Z123" s="11"/>
      <c r="AA123" s="16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16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6"/>
      <c r="AX123" s="15"/>
      <c r="AY123" s="15"/>
      <c r="AZ123" s="15"/>
      <c r="BA123" s="16"/>
      <c r="BB123" s="16"/>
      <c r="BC123" s="16"/>
      <c r="BD123" s="16"/>
      <c r="BE123" s="16"/>
      <c r="BF123" s="16"/>
      <c r="BG123" s="16"/>
      <c r="BH123" s="16"/>
      <c r="BI123" s="16"/>
      <c r="BJ123" s="16"/>
      <c r="BK123" s="16"/>
      <c r="BL123" s="16"/>
      <c r="BM123" s="16"/>
      <c r="BN123" s="16"/>
      <c r="BO123" s="16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  <c r="CN123" s="3"/>
      <c r="CO123" s="3"/>
      <c r="CP123" s="3"/>
      <c r="CQ123" s="3"/>
      <c r="CR123" s="3"/>
    </row>
    <row r="124" spans="1:96" ht="12" customHeight="1" x14ac:dyDescent="0.25">
      <c r="A124" s="3"/>
      <c r="B124" s="14"/>
      <c r="C124" s="14"/>
      <c r="D124" s="14"/>
      <c r="E124" s="14"/>
      <c r="F124" s="26"/>
      <c r="G124" s="26"/>
      <c r="H124" s="26"/>
      <c r="I124" s="10"/>
      <c r="J124" s="10"/>
      <c r="K124" s="14"/>
      <c r="L124" s="11"/>
      <c r="M124" s="14"/>
      <c r="N124" s="14"/>
      <c r="O124" s="4"/>
      <c r="P124" s="3"/>
      <c r="Q124" s="4"/>
      <c r="R124" s="3"/>
      <c r="S124" s="3"/>
      <c r="T124" s="3"/>
      <c r="U124" s="4"/>
      <c r="V124" s="4"/>
      <c r="W124" s="4"/>
      <c r="X124" s="4"/>
      <c r="Y124" s="4"/>
      <c r="Z124" s="11"/>
      <c r="AA124" s="16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16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6"/>
      <c r="AX124" s="15"/>
      <c r="AY124" s="15"/>
      <c r="AZ124" s="15"/>
      <c r="BA124" s="16"/>
      <c r="BB124" s="16"/>
      <c r="BC124" s="16"/>
      <c r="BD124" s="16"/>
      <c r="BE124" s="16"/>
      <c r="BF124" s="16"/>
      <c r="BG124" s="16"/>
      <c r="BH124" s="16"/>
      <c r="BI124" s="16"/>
      <c r="BJ124" s="16"/>
      <c r="BK124" s="16"/>
      <c r="BL124" s="16"/>
      <c r="BM124" s="16"/>
      <c r="BN124" s="16"/>
      <c r="BO124" s="16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  <c r="CN124" s="3"/>
      <c r="CO124" s="3"/>
      <c r="CP124" s="3"/>
      <c r="CQ124" s="3"/>
      <c r="CR124" s="3"/>
    </row>
    <row r="125" spans="1:96" ht="12" customHeight="1" x14ac:dyDescent="0.25">
      <c r="A125" s="3"/>
      <c r="B125" s="14"/>
      <c r="C125" s="14"/>
      <c r="D125" s="14"/>
      <c r="E125" s="14"/>
      <c r="F125" s="26"/>
      <c r="G125" s="26"/>
      <c r="H125" s="26"/>
      <c r="I125" s="10"/>
      <c r="J125" s="10"/>
      <c r="K125" s="14"/>
      <c r="L125" s="11"/>
      <c r="M125" s="14"/>
      <c r="N125" s="14"/>
      <c r="O125" s="4"/>
      <c r="P125" s="3"/>
      <c r="Q125" s="4"/>
      <c r="R125" s="3"/>
      <c r="S125" s="3"/>
      <c r="T125" s="3"/>
      <c r="U125" s="4"/>
      <c r="V125" s="4"/>
      <c r="W125" s="4"/>
      <c r="X125" s="4"/>
      <c r="Y125" s="4"/>
      <c r="Z125" s="11"/>
      <c r="AA125" s="16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16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6"/>
      <c r="AX125" s="15"/>
      <c r="AY125" s="15"/>
      <c r="AZ125" s="15"/>
      <c r="BA125" s="16"/>
      <c r="BB125" s="16"/>
      <c r="BC125" s="16"/>
      <c r="BD125" s="16"/>
      <c r="BE125" s="16"/>
      <c r="BF125" s="16"/>
      <c r="BG125" s="16"/>
      <c r="BH125" s="16"/>
      <c r="BI125" s="16"/>
      <c r="BJ125" s="16"/>
      <c r="BK125" s="16"/>
      <c r="BL125" s="16"/>
      <c r="BM125" s="16"/>
      <c r="BN125" s="16"/>
      <c r="BO125" s="16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  <c r="CN125" s="3"/>
      <c r="CO125" s="3"/>
      <c r="CP125" s="3"/>
      <c r="CQ125" s="3"/>
      <c r="CR125" s="3"/>
    </row>
    <row r="126" spans="1:96" ht="12" customHeight="1" x14ac:dyDescent="0.25">
      <c r="A126" s="3"/>
      <c r="B126" s="14"/>
      <c r="C126" s="14"/>
      <c r="D126" s="14"/>
      <c r="E126" s="14"/>
      <c r="F126" s="26"/>
      <c r="G126" s="26"/>
      <c r="H126" s="26"/>
      <c r="I126" s="10"/>
      <c r="J126" s="10"/>
      <c r="K126" s="14"/>
      <c r="L126" s="11"/>
      <c r="M126" s="14"/>
      <c r="N126" s="14"/>
      <c r="O126" s="4"/>
      <c r="P126" s="3"/>
      <c r="Q126" s="4"/>
      <c r="R126" s="3"/>
      <c r="S126" s="3"/>
      <c r="T126" s="3"/>
      <c r="U126" s="4"/>
      <c r="V126" s="4"/>
      <c r="W126" s="4"/>
      <c r="X126" s="4"/>
      <c r="Y126" s="4"/>
      <c r="Z126" s="11"/>
      <c r="AA126" s="16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16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6"/>
      <c r="AX126" s="15"/>
      <c r="AY126" s="15"/>
      <c r="AZ126" s="15"/>
      <c r="BA126" s="16"/>
      <c r="BB126" s="16"/>
      <c r="BC126" s="16"/>
      <c r="BD126" s="16"/>
      <c r="BE126" s="16"/>
      <c r="BF126" s="16"/>
      <c r="BG126" s="16"/>
      <c r="BH126" s="16"/>
      <c r="BI126" s="16"/>
      <c r="BJ126" s="16"/>
      <c r="BK126" s="16"/>
      <c r="BL126" s="16"/>
      <c r="BM126" s="16"/>
      <c r="BN126" s="16"/>
      <c r="BO126" s="16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  <c r="CN126" s="3"/>
      <c r="CO126" s="3"/>
      <c r="CP126" s="3"/>
      <c r="CQ126" s="3"/>
      <c r="CR126" s="3"/>
    </row>
    <row r="127" spans="1:96" ht="12" customHeight="1" x14ac:dyDescent="0.25">
      <c r="A127" s="3"/>
      <c r="B127" s="14"/>
      <c r="C127" s="14"/>
      <c r="D127" s="14"/>
      <c r="E127" s="14"/>
      <c r="F127" s="26"/>
      <c r="G127" s="26"/>
      <c r="H127" s="26"/>
      <c r="I127" s="10"/>
      <c r="J127" s="10"/>
      <c r="K127" s="14"/>
      <c r="L127" s="11"/>
      <c r="M127" s="14"/>
      <c r="N127" s="14"/>
      <c r="O127" s="4"/>
      <c r="P127" s="3"/>
      <c r="Q127" s="4"/>
      <c r="R127" s="3"/>
      <c r="S127" s="3"/>
      <c r="T127" s="3"/>
      <c r="U127" s="4"/>
      <c r="V127" s="4"/>
      <c r="W127" s="4"/>
      <c r="X127" s="4"/>
      <c r="Y127" s="4"/>
      <c r="Z127" s="11"/>
      <c r="AA127" s="16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16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6"/>
      <c r="AX127" s="15"/>
      <c r="AY127" s="15"/>
      <c r="AZ127" s="15"/>
      <c r="BA127" s="16"/>
      <c r="BB127" s="16"/>
      <c r="BC127" s="16"/>
      <c r="BD127" s="16"/>
      <c r="BE127" s="16"/>
      <c r="BF127" s="16"/>
      <c r="BG127" s="16"/>
      <c r="BH127" s="16"/>
      <c r="BI127" s="16"/>
      <c r="BJ127" s="16"/>
      <c r="BK127" s="16"/>
      <c r="BL127" s="16"/>
      <c r="BM127" s="16"/>
      <c r="BN127" s="16"/>
      <c r="BO127" s="16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  <c r="CN127" s="3"/>
      <c r="CO127" s="3"/>
      <c r="CP127" s="3"/>
      <c r="CQ127" s="3"/>
      <c r="CR127" s="3"/>
    </row>
    <row r="128" spans="1:96" ht="12" customHeight="1" x14ac:dyDescent="0.25">
      <c r="A128" s="3"/>
      <c r="B128" s="14"/>
      <c r="C128" s="14"/>
      <c r="D128" s="14"/>
      <c r="E128" s="14"/>
      <c r="F128" s="26"/>
      <c r="G128" s="26"/>
      <c r="H128" s="26"/>
      <c r="I128" s="10"/>
      <c r="J128" s="10"/>
      <c r="K128" s="14"/>
      <c r="L128" s="11"/>
      <c r="M128" s="14"/>
      <c r="N128" s="14"/>
      <c r="O128" s="4"/>
      <c r="P128" s="3"/>
      <c r="Q128" s="4"/>
      <c r="R128" s="3"/>
      <c r="S128" s="3"/>
      <c r="T128" s="3"/>
      <c r="U128" s="4"/>
      <c r="V128" s="4"/>
      <c r="W128" s="4"/>
      <c r="X128" s="4"/>
      <c r="Y128" s="4"/>
      <c r="Z128" s="11"/>
      <c r="AA128" s="16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16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6"/>
      <c r="AX128" s="15"/>
      <c r="AY128" s="15"/>
      <c r="AZ128" s="15"/>
      <c r="BA128" s="16"/>
      <c r="BB128" s="16"/>
      <c r="BC128" s="16"/>
      <c r="BD128" s="16"/>
      <c r="BE128" s="16"/>
      <c r="BF128" s="16"/>
      <c r="BG128" s="16"/>
      <c r="BH128" s="16"/>
      <c r="BI128" s="16"/>
      <c r="BJ128" s="16"/>
      <c r="BK128" s="16"/>
      <c r="BL128" s="16"/>
      <c r="BM128" s="16"/>
      <c r="BN128" s="16"/>
      <c r="BO128" s="16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  <c r="CN128" s="3"/>
      <c r="CO128" s="3"/>
      <c r="CP128" s="3"/>
      <c r="CQ128" s="3"/>
      <c r="CR128" s="3"/>
    </row>
    <row r="129" spans="1:96" ht="12" customHeight="1" x14ac:dyDescent="0.25">
      <c r="A129" s="3"/>
      <c r="B129" s="14"/>
      <c r="C129" s="14"/>
      <c r="D129" s="14"/>
      <c r="E129" s="14"/>
      <c r="F129" s="26"/>
      <c r="G129" s="26"/>
      <c r="H129" s="26"/>
      <c r="I129" s="10"/>
      <c r="J129" s="10"/>
      <c r="K129" s="14"/>
      <c r="L129" s="11"/>
      <c r="M129" s="14"/>
      <c r="N129" s="14"/>
      <c r="O129" s="4"/>
      <c r="P129" s="3"/>
      <c r="Q129" s="4"/>
      <c r="R129" s="3"/>
      <c r="S129" s="3"/>
      <c r="T129" s="3"/>
      <c r="U129" s="4"/>
      <c r="V129" s="4"/>
      <c r="W129" s="4"/>
      <c r="X129" s="4"/>
      <c r="Y129" s="4"/>
      <c r="Z129" s="11"/>
      <c r="AA129" s="16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16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6"/>
      <c r="AX129" s="15"/>
      <c r="AY129" s="15"/>
      <c r="AZ129" s="15"/>
      <c r="BA129" s="16"/>
      <c r="BB129" s="16"/>
      <c r="BC129" s="16"/>
      <c r="BD129" s="16"/>
      <c r="BE129" s="16"/>
      <c r="BF129" s="16"/>
      <c r="BG129" s="16"/>
      <c r="BH129" s="16"/>
      <c r="BI129" s="16"/>
      <c r="BJ129" s="16"/>
      <c r="BK129" s="16"/>
      <c r="BL129" s="16"/>
      <c r="BM129" s="16"/>
      <c r="BN129" s="16"/>
      <c r="BO129" s="16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  <c r="CN129" s="3"/>
      <c r="CO129" s="3"/>
      <c r="CP129" s="3"/>
      <c r="CQ129" s="3"/>
      <c r="CR129" s="3"/>
    </row>
    <row r="130" spans="1:96" ht="12" customHeight="1" x14ac:dyDescent="0.25">
      <c r="A130" s="3"/>
      <c r="B130" s="14"/>
      <c r="C130" s="14"/>
      <c r="D130" s="14"/>
      <c r="E130" s="14"/>
      <c r="F130" s="26"/>
      <c r="G130" s="26"/>
      <c r="H130" s="26"/>
      <c r="I130" s="10"/>
      <c r="J130" s="10"/>
      <c r="K130" s="14"/>
      <c r="L130" s="11"/>
      <c r="M130" s="14"/>
      <c r="N130" s="14"/>
      <c r="O130" s="4"/>
      <c r="P130" s="3"/>
      <c r="Q130" s="4"/>
      <c r="R130" s="3"/>
      <c r="S130" s="3"/>
      <c r="T130" s="3"/>
      <c r="U130" s="4"/>
      <c r="V130" s="4"/>
      <c r="W130" s="4"/>
      <c r="X130" s="4"/>
      <c r="Y130" s="4"/>
      <c r="Z130" s="11"/>
      <c r="AA130" s="16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16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6"/>
      <c r="AX130" s="15"/>
      <c r="AY130" s="15"/>
      <c r="AZ130" s="15"/>
      <c r="BA130" s="16"/>
      <c r="BB130" s="16"/>
      <c r="BC130" s="16"/>
      <c r="BD130" s="16"/>
      <c r="BE130" s="16"/>
      <c r="BF130" s="16"/>
      <c r="BG130" s="16"/>
      <c r="BH130" s="16"/>
      <c r="BI130" s="16"/>
      <c r="BJ130" s="16"/>
      <c r="BK130" s="16"/>
      <c r="BL130" s="16"/>
      <c r="BM130" s="16"/>
      <c r="BN130" s="16"/>
      <c r="BO130" s="16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  <c r="CN130" s="3"/>
      <c r="CO130" s="3"/>
      <c r="CP130" s="3"/>
      <c r="CQ130" s="3"/>
      <c r="CR130" s="3"/>
    </row>
    <row r="131" spans="1:96" ht="12" customHeight="1" x14ac:dyDescent="0.25">
      <c r="A131" s="3"/>
      <c r="B131" s="14"/>
      <c r="C131" s="14"/>
      <c r="D131" s="14"/>
      <c r="E131" s="14"/>
      <c r="F131" s="26"/>
      <c r="G131" s="26"/>
      <c r="H131" s="26"/>
      <c r="I131" s="10"/>
      <c r="J131" s="10"/>
      <c r="K131" s="14"/>
      <c r="L131" s="11"/>
      <c r="M131" s="14"/>
      <c r="N131" s="14"/>
      <c r="O131" s="4"/>
      <c r="P131" s="3"/>
      <c r="Q131" s="4"/>
      <c r="R131" s="3"/>
      <c r="S131" s="3"/>
      <c r="T131" s="3"/>
      <c r="U131" s="4"/>
      <c r="V131" s="4"/>
      <c r="W131" s="4"/>
      <c r="X131" s="4"/>
      <c r="Y131" s="4"/>
      <c r="Z131" s="11"/>
      <c r="AA131" s="16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16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6"/>
      <c r="AX131" s="15"/>
      <c r="AY131" s="15"/>
      <c r="AZ131" s="15"/>
      <c r="BA131" s="16"/>
      <c r="BB131" s="16"/>
      <c r="BC131" s="16"/>
      <c r="BD131" s="16"/>
      <c r="BE131" s="16"/>
      <c r="BF131" s="16"/>
      <c r="BG131" s="16"/>
      <c r="BH131" s="16"/>
      <c r="BI131" s="16"/>
      <c r="BJ131" s="16"/>
      <c r="BK131" s="16"/>
      <c r="BL131" s="16"/>
      <c r="BM131" s="16"/>
      <c r="BN131" s="16"/>
      <c r="BO131" s="16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  <c r="CN131" s="3"/>
      <c r="CO131" s="3"/>
      <c r="CP131" s="3"/>
      <c r="CQ131" s="3"/>
      <c r="CR131" s="3"/>
    </row>
    <row r="132" spans="1:96" ht="12" customHeight="1" x14ac:dyDescent="0.25">
      <c r="A132" s="3"/>
      <c r="B132" s="14"/>
      <c r="C132" s="14"/>
      <c r="D132" s="14"/>
      <c r="E132" s="14"/>
      <c r="F132" s="26"/>
      <c r="G132" s="26"/>
      <c r="H132" s="26"/>
      <c r="I132" s="10"/>
      <c r="J132" s="10"/>
      <c r="K132" s="14"/>
      <c r="L132" s="11"/>
      <c r="M132" s="14"/>
      <c r="N132" s="14"/>
      <c r="O132" s="4"/>
      <c r="P132" s="3"/>
      <c r="Q132" s="4"/>
      <c r="R132" s="3"/>
      <c r="S132" s="3"/>
      <c r="T132" s="3"/>
      <c r="U132" s="4"/>
      <c r="V132" s="4"/>
      <c r="W132" s="4"/>
      <c r="X132" s="4"/>
      <c r="Y132" s="4"/>
      <c r="Z132" s="11"/>
      <c r="AA132" s="16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16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6"/>
      <c r="AX132" s="15"/>
      <c r="AY132" s="15"/>
      <c r="AZ132" s="15"/>
      <c r="BA132" s="16"/>
      <c r="BB132" s="16"/>
      <c r="BC132" s="16"/>
      <c r="BD132" s="16"/>
      <c r="BE132" s="16"/>
      <c r="BF132" s="16"/>
      <c r="BG132" s="16"/>
      <c r="BH132" s="16"/>
      <c r="BI132" s="16"/>
      <c r="BJ132" s="16"/>
      <c r="BK132" s="16"/>
      <c r="BL132" s="16"/>
      <c r="BM132" s="16"/>
      <c r="BN132" s="16"/>
      <c r="BO132" s="16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  <c r="CN132" s="3"/>
      <c r="CO132" s="3"/>
      <c r="CP132" s="3"/>
      <c r="CQ132" s="3"/>
      <c r="CR132" s="3"/>
    </row>
    <row r="133" spans="1:96" ht="12" customHeight="1" x14ac:dyDescent="0.25">
      <c r="A133" s="3"/>
      <c r="B133" s="14"/>
      <c r="C133" s="14"/>
      <c r="D133" s="14"/>
      <c r="E133" s="14"/>
      <c r="F133" s="26"/>
      <c r="G133" s="26"/>
      <c r="H133" s="26"/>
      <c r="I133" s="10"/>
      <c r="J133" s="10"/>
      <c r="K133" s="14"/>
      <c r="L133" s="11"/>
      <c r="M133" s="14"/>
      <c r="N133" s="14"/>
      <c r="O133" s="4"/>
      <c r="P133" s="3"/>
      <c r="Q133" s="4"/>
      <c r="R133" s="3"/>
      <c r="S133" s="3"/>
      <c r="T133" s="3"/>
      <c r="U133" s="4"/>
      <c r="V133" s="4"/>
      <c r="W133" s="4"/>
      <c r="X133" s="4"/>
      <c r="Y133" s="4"/>
      <c r="Z133" s="11"/>
      <c r="AA133" s="16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16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6"/>
      <c r="AX133" s="15"/>
      <c r="AY133" s="15"/>
      <c r="AZ133" s="15"/>
      <c r="BA133" s="16"/>
      <c r="BB133" s="16"/>
      <c r="BC133" s="16"/>
      <c r="BD133" s="16"/>
      <c r="BE133" s="16"/>
      <c r="BF133" s="16"/>
      <c r="BG133" s="16"/>
      <c r="BH133" s="16"/>
      <c r="BI133" s="16"/>
      <c r="BJ133" s="16"/>
      <c r="BK133" s="16"/>
      <c r="BL133" s="16"/>
      <c r="BM133" s="16"/>
      <c r="BN133" s="16"/>
      <c r="BO133" s="16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  <c r="CN133" s="3"/>
      <c r="CO133" s="3"/>
      <c r="CP133" s="3"/>
      <c r="CQ133" s="3"/>
      <c r="CR133" s="3"/>
    </row>
    <row r="134" spans="1:96" ht="12" customHeight="1" x14ac:dyDescent="0.25">
      <c r="A134" s="3"/>
      <c r="B134" s="14"/>
      <c r="C134" s="14"/>
      <c r="D134" s="14"/>
      <c r="E134" s="14"/>
      <c r="F134" s="26"/>
      <c r="G134" s="26"/>
      <c r="H134" s="26"/>
      <c r="I134" s="10"/>
      <c r="J134" s="10"/>
      <c r="K134" s="14"/>
      <c r="L134" s="11"/>
      <c r="M134" s="14"/>
      <c r="N134" s="14"/>
      <c r="O134" s="4"/>
      <c r="P134" s="3"/>
      <c r="Q134" s="4"/>
      <c r="R134" s="3"/>
      <c r="S134" s="3"/>
      <c r="T134" s="3"/>
      <c r="U134" s="4"/>
      <c r="V134" s="4"/>
      <c r="W134" s="4"/>
      <c r="X134" s="4"/>
      <c r="Y134" s="4"/>
      <c r="Z134" s="11"/>
      <c r="AA134" s="16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16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6"/>
      <c r="AX134" s="15"/>
      <c r="AY134" s="15"/>
      <c r="AZ134" s="15"/>
      <c r="BA134" s="16"/>
      <c r="BB134" s="16"/>
      <c r="BC134" s="16"/>
      <c r="BD134" s="16"/>
      <c r="BE134" s="16"/>
      <c r="BF134" s="16"/>
      <c r="BG134" s="16"/>
      <c r="BH134" s="16"/>
      <c r="BI134" s="16"/>
      <c r="BJ134" s="16"/>
      <c r="BK134" s="16"/>
      <c r="BL134" s="16"/>
      <c r="BM134" s="16"/>
      <c r="BN134" s="16"/>
      <c r="BO134" s="16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  <c r="CN134" s="3"/>
      <c r="CO134" s="3"/>
      <c r="CP134" s="3"/>
      <c r="CQ134" s="3"/>
      <c r="CR134" s="3"/>
    </row>
    <row r="135" spans="1:96" ht="12" customHeight="1" x14ac:dyDescent="0.25">
      <c r="A135" s="3"/>
      <c r="B135" s="14"/>
      <c r="C135" s="14"/>
      <c r="D135" s="14"/>
      <c r="E135" s="14"/>
      <c r="F135" s="26"/>
      <c r="G135" s="26"/>
      <c r="H135" s="26"/>
      <c r="I135" s="10"/>
      <c r="J135" s="10"/>
      <c r="K135" s="14"/>
      <c r="L135" s="11"/>
      <c r="M135" s="14"/>
      <c r="N135" s="14"/>
      <c r="O135" s="4"/>
      <c r="P135" s="3"/>
      <c r="Q135" s="4"/>
      <c r="R135" s="3"/>
      <c r="S135" s="3"/>
      <c r="T135" s="3"/>
      <c r="U135" s="4"/>
      <c r="V135" s="4"/>
      <c r="W135" s="4"/>
      <c r="X135" s="4"/>
      <c r="Y135" s="4"/>
      <c r="Z135" s="11"/>
      <c r="AA135" s="16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16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6"/>
      <c r="AX135" s="15"/>
      <c r="AY135" s="15"/>
      <c r="AZ135" s="15"/>
      <c r="BA135" s="16"/>
      <c r="BB135" s="16"/>
      <c r="BC135" s="16"/>
      <c r="BD135" s="16"/>
      <c r="BE135" s="16"/>
      <c r="BF135" s="16"/>
      <c r="BG135" s="16"/>
      <c r="BH135" s="16"/>
      <c r="BI135" s="16"/>
      <c r="BJ135" s="16"/>
      <c r="BK135" s="16"/>
      <c r="BL135" s="16"/>
      <c r="BM135" s="16"/>
      <c r="BN135" s="16"/>
      <c r="BO135" s="16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  <c r="CN135" s="3"/>
      <c r="CO135" s="3"/>
      <c r="CP135" s="3"/>
      <c r="CQ135" s="3"/>
      <c r="CR135" s="3"/>
    </row>
    <row r="136" spans="1:96" ht="12" customHeight="1" x14ac:dyDescent="0.25">
      <c r="A136" s="3"/>
      <c r="B136" s="14"/>
      <c r="C136" s="14"/>
      <c r="D136" s="14"/>
      <c r="E136" s="14"/>
      <c r="F136" s="26"/>
      <c r="G136" s="26"/>
      <c r="H136" s="26"/>
      <c r="I136" s="10"/>
      <c r="J136" s="10"/>
      <c r="K136" s="14"/>
      <c r="L136" s="11"/>
      <c r="M136" s="14"/>
      <c r="N136" s="14"/>
      <c r="O136" s="4"/>
      <c r="P136" s="3"/>
      <c r="Q136" s="4"/>
      <c r="R136" s="3"/>
      <c r="S136" s="3"/>
      <c r="T136" s="3"/>
      <c r="U136" s="4"/>
      <c r="V136" s="4"/>
      <c r="W136" s="4"/>
      <c r="X136" s="4"/>
      <c r="Y136" s="4"/>
      <c r="Z136" s="11"/>
      <c r="AA136" s="16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16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6"/>
      <c r="AX136" s="15"/>
      <c r="AY136" s="15"/>
      <c r="AZ136" s="15"/>
      <c r="BA136" s="16"/>
      <c r="BB136" s="16"/>
      <c r="BC136" s="16"/>
      <c r="BD136" s="16"/>
      <c r="BE136" s="16"/>
      <c r="BF136" s="16"/>
      <c r="BG136" s="16"/>
      <c r="BH136" s="16"/>
      <c r="BI136" s="16"/>
      <c r="BJ136" s="16"/>
      <c r="BK136" s="16"/>
      <c r="BL136" s="16"/>
      <c r="BM136" s="16"/>
      <c r="BN136" s="16"/>
      <c r="BO136" s="16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  <c r="CN136" s="3"/>
      <c r="CO136" s="3"/>
      <c r="CP136" s="3"/>
      <c r="CQ136" s="3"/>
      <c r="CR136" s="3"/>
    </row>
    <row r="137" spans="1:96" ht="12" customHeight="1" x14ac:dyDescent="0.25">
      <c r="A137" s="3"/>
      <c r="B137" s="14"/>
      <c r="C137" s="14"/>
      <c r="D137" s="14"/>
      <c r="E137" s="14"/>
      <c r="F137" s="26"/>
      <c r="G137" s="26"/>
      <c r="H137" s="26"/>
      <c r="I137" s="10"/>
      <c r="J137" s="10"/>
      <c r="K137" s="14"/>
      <c r="L137" s="11"/>
      <c r="M137" s="14"/>
      <c r="N137" s="14"/>
      <c r="O137" s="4"/>
      <c r="P137" s="3"/>
      <c r="Q137" s="4"/>
      <c r="R137" s="3"/>
      <c r="S137" s="3"/>
      <c r="T137" s="3"/>
      <c r="U137" s="4"/>
      <c r="V137" s="4"/>
      <c r="W137" s="4"/>
      <c r="X137" s="4"/>
      <c r="Y137" s="4"/>
      <c r="Z137" s="11"/>
      <c r="AA137" s="16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16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6"/>
      <c r="AX137" s="15"/>
      <c r="AY137" s="15"/>
      <c r="AZ137" s="15"/>
      <c r="BA137" s="16"/>
      <c r="BB137" s="16"/>
      <c r="BC137" s="16"/>
      <c r="BD137" s="16"/>
      <c r="BE137" s="16"/>
      <c r="BF137" s="16"/>
      <c r="BG137" s="16"/>
      <c r="BH137" s="16"/>
      <c r="BI137" s="16"/>
      <c r="BJ137" s="16"/>
      <c r="BK137" s="16"/>
      <c r="BL137" s="16"/>
      <c r="BM137" s="16"/>
      <c r="BN137" s="16"/>
      <c r="BO137" s="16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  <c r="CN137" s="3"/>
      <c r="CO137" s="3"/>
      <c r="CP137" s="3"/>
      <c r="CQ137" s="3"/>
      <c r="CR137" s="3"/>
    </row>
    <row r="138" spans="1:96" ht="12" customHeight="1" x14ac:dyDescent="0.25">
      <c r="A138" s="3"/>
      <c r="B138" s="14"/>
      <c r="C138" s="14"/>
      <c r="D138" s="14"/>
      <c r="E138" s="14"/>
      <c r="F138" s="26"/>
      <c r="G138" s="26"/>
      <c r="H138" s="26"/>
      <c r="I138" s="10"/>
      <c r="J138" s="10"/>
      <c r="K138" s="14"/>
      <c r="L138" s="11"/>
      <c r="M138" s="14"/>
      <c r="N138" s="14"/>
      <c r="O138" s="4"/>
      <c r="P138" s="3"/>
      <c r="Q138" s="4"/>
      <c r="R138" s="3"/>
      <c r="S138" s="3"/>
      <c r="T138" s="3"/>
      <c r="U138" s="4"/>
      <c r="V138" s="4"/>
      <c r="W138" s="4"/>
      <c r="X138" s="4"/>
      <c r="Y138" s="4"/>
      <c r="Z138" s="11"/>
      <c r="AA138" s="16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16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6"/>
      <c r="AX138" s="15"/>
      <c r="AY138" s="15"/>
      <c r="AZ138" s="15"/>
      <c r="BA138" s="16"/>
      <c r="BB138" s="16"/>
      <c r="BC138" s="16"/>
      <c r="BD138" s="16"/>
      <c r="BE138" s="16"/>
      <c r="BF138" s="16"/>
      <c r="BG138" s="16"/>
      <c r="BH138" s="16"/>
      <c r="BI138" s="16"/>
      <c r="BJ138" s="16"/>
      <c r="BK138" s="16"/>
      <c r="BL138" s="16"/>
      <c r="BM138" s="16"/>
      <c r="BN138" s="16"/>
      <c r="BO138" s="16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  <c r="CN138" s="3"/>
      <c r="CO138" s="3"/>
      <c r="CP138" s="3"/>
      <c r="CQ138" s="3"/>
      <c r="CR138" s="3"/>
    </row>
    <row r="139" spans="1:96" ht="12" customHeight="1" x14ac:dyDescent="0.25">
      <c r="A139" s="3"/>
      <c r="B139" s="14"/>
      <c r="C139" s="14"/>
      <c r="D139" s="14"/>
      <c r="E139" s="14"/>
      <c r="F139" s="26"/>
      <c r="G139" s="26"/>
      <c r="H139" s="26"/>
      <c r="I139" s="10"/>
      <c r="J139" s="10"/>
      <c r="K139" s="14"/>
      <c r="L139" s="11"/>
      <c r="M139" s="14"/>
      <c r="N139" s="14"/>
      <c r="O139" s="4"/>
      <c r="P139" s="3"/>
      <c r="Q139" s="4"/>
      <c r="R139" s="3"/>
      <c r="S139" s="3"/>
      <c r="T139" s="3"/>
      <c r="U139" s="4"/>
      <c r="V139" s="4"/>
      <c r="W139" s="4"/>
      <c r="X139" s="4"/>
      <c r="Y139" s="4"/>
      <c r="Z139" s="11"/>
      <c r="AA139" s="16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16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6"/>
      <c r="AX139" s="15"/>
      <c r="AY139" s="15"/>
      <c r="AZ139" s="15"/>
      <c r="BA139" s="16"/>
      <c r="BB139" s="16"/>
      <c r="BC139" s="16"/>
      <c r="BD139" s="16"/>
      <c r="BE139" s="16"/>
      <c r="BF139" s="16"/>
      <c r="BG139" s="16"/>
      <c r="BH139" s="16"/>
      <c r="BI139" s="16"/>
      <c r="BJ139" s="16"/>
      <c r="BK139" s="16"/>
      <c r="BL139" s="16"/>
      <c r="BM139" s="16"/>
      <c r="BN139" s="16"/>
      <c r="BO139" s="16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  <c r="CN139" s="3"/>
      <c r="CO139" s="3"/>
      <c r="CP139" s="3"/>
      <c r="CQ139" s="3"/>
      <c r="CR139" s="3"/>
    </row>
    <row r="140" spans="1:96" ht="12" customHeight="1" x14ac:dyDescent="0.25">
      <c r="A140" s="3"/>
      <c r="B140" s="14"/>
      <c r="C140" s="14"/>
      <c r="D140" s="14"/>
      <c r="E140" s="14"/>
      <c r="F140" s="26"/>
      <c r="G140" s="26"/>
      <c r="H140" s="26"/>
      <c r="I140" s="10"/>
      <c r="J140" s="10"/>
      <c r="K140" s="14"/>
      <c r="L140" s="11"/>
      <c r="M140" s="14"/>
      <c r="N140" s="14"/>
      <c r="O140" s="4"/>
      <c r="P140" s="3"/>
      <c r="Q140" s="4"/>
      <c r="R140" s="3"/>
      <c r="S140" s="3"/>
      <c r="T140" s="3"/>
      <c r="U140" s="4"/>
      <c r="V140" s="4"/>
      <c r="W140" s="4"/>
      <c r="X140" s="4"/>
      <c r="Y140" s="4"/>
      <c r="Z140" s="11"/>
      <c r="AA140" s="16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16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6"/>
      <c r="AX140" s="15"/>
      <c r="AY140" s="15"/>
      <c r="AZ140" s="15"/>
      <c r="BA140" s="16"/>
      <c r="BB140" s="16"/>
      <c r="BC140" s="16"/>
      <c r="BD140" s="16"/>
      <c r="BE140" s="16"/>
      <c r="BF140" s="16"/>
      <c r="BG140" s="16"/>
      <c r="BH140" s="16"/>
      <c r="BI140" s="16"/>
      <c r="BJ140" s="16"/>
      <c r="BK140" s="16"/>
      <c r="BL140" s="16"/>
      <c r="BM140" s="16"/>
      <c r="BN140" s="16"/>
      <c r="BO140" s="16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  <c r="CN140" s="3"/>
      <c r="CO140" s="3"/>
      <c r="CP140" s="3"/>
      <c r="CQ140" s="3"/>
      <c r="CR140" s="3"/>
    </row>
    <row r="141" spans="1:96" ht="12" customHeight="1" x14ac:dyDescent="0.25">
      <c r="A141" s="3"/>
      <c r="B141" s="14"/>
      <c r="C141" s="14"/>
      <c r="D141" s="14"/>
      <c r="E141" s="14"/>
      <c r="F141" s="26"/>
      <c r="G141" s="26"/>
      <c r="H141" s="26"/>
      <c r="I141" s="10"/>
      <c r="J141" s="10"/>
      <c r="K141" s="14"/>
      <c r="L141" s="11"/>
      <c r="M141" s="14"/>
      <c r="N141" s="14"/>
      <c r="O141" s="4"/>
      <c r="P141" s="3"/>
      <c r="Q141" s="4"/>
      <c r="R141" s="3"/>
      <c r="S141" s="3"/>
      <c r="T141" s="3"/>
      <c r="U141" s="4"/>
      <c r="V141" s="4"/>
      <c r="W141" s="4"/>
      <c r="X141" s="4"/>
      <c r="Y141" s="4"/>
      <c r="Z141" s="11"/>
      <c r="AA141" s="16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16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6"/>
      <c r="AX141" s="15"/>
      <c r="AY141" s="15"/>
      <c r="AZ141" s="15"/>
      <c r="BA141" s="16"/>
      <c r="BB141" s="16"/>
      <c r="BC141" s="16"/>
      <c r="BD141" s="16"/>
      <c r="BE141" s="16"/>
      <c r="BF141" s="16"/>
      <c r="BG141" s="16"/>
      <c r="BH141" s="16"/>
      <c r="BI141" s="16"/>
      <c r="BJ141" s="16"/>
      <c r="BK141" s="16"/>
      <c r="BL141" s="16"/>
      <c r="BM141" s="16"/>
      <c r="BN141" s="16"/>
      <c r="BO141" s="16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  <c r="CN141" s="3"/>
      <c r="CO141" s="3"/>
      <c r="CP141" s="3"/>
      <c r="CQ141" s="3"/>
      <c r="CR141" s="3"/>
    </row>
    <row r="142" spans="1:96" ht="12" customHeight="1" x14ac:dyDescent="0.25">
      <c r="A142" s="3"/>
      <c r="B142" s="14"/>
      <c r="C142" s="14"/>
      <c r="D142" s="14"/>
      <c r="E142" s="14"/>
      <c r="F142" s="26"/>
      <c r="G142" s="26"/>
      <c r="H142" s="26"/>
      <c r="I142" s="10"/>
      <c r="J142" s="10"/>
      <c r="K142" s="14"/>
      <c r="L142" s="11"/>
      <c r="M142" s="14"/>
      <c r="N142" s="14"/>
      <c r="O142" s="4"/>
      <c r="P142" s="3"/>
      <c r="Q142" s="4"/>
      <c r="R142" s="3"/>
      <c r="S142" s="3"/>
      <c r="T142" s="3"/>
      <c r="U142" s="4"/>
      <c r="V142" s="4"/>
      <c r="W142" s="4"/>
      <c r="X142" s="4"/>
      <c r="Y142" s="4"/>
      <c r="Z142" s="11"/>
      <c r="AA142" s="16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16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6"/>
      <c r="AX142" s="15"/>
      <c r="AY142" s="15"/>
      <c r="AZ142" s="15"/>
      <c r="BA142" s="16"/>
      <c r="BB142" s="16"/>
      <c r="BC142" s="16"/>
      <c r="BD142" s="16"/>
      <c r="BE142" s="16"/>
      <c r="BF142" s="16"/>
      <c r="BG142" s="16"/>
      <c r="BH142" s="16"/>
      <c r="BI142" s="16"/>
      <c r="BJ142" s="16"/>
      <c r="BK142" s="16"/>
      <c r="BL142" s="16"/>
      <c r="BM142" s="16"/>
      <c r="BN142" s="16"/>
      <c r="BO142" s="16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  <c r="CN142" s="3"/>
      <c r="CO142" s="3"/>
      <c r="CP142" s="3"/>
      <c r="CQ142" s="3"/>
      <c r="CR142" s="3"/>
    </row>
    <row r="143" spans="1:96" ht="12" customHeight="1" x14ac:dyDescent="0.25">
      <c r="A143" s="3"/>
      <c r="B143" s="14"/>
      <c r="C143" s="14"/>
      <c r="D143" s="14"/>
      <c r="E143" s="14"/>
      <c r="F143" s="26"/>
      <c r="G143" s="26"/>
      <c r="H143" s="26"/>
      <c r="I143" s="10"/>
      <c r="J143" s="10"/>
      <c r="K143" s="14"/>
      <c r="L143" s="11"/>
      <c r="M143" s="14"/>
      <c r="N143" s="14"/>
      <c r="O143" s="4"/>
      <c r="P143" s="3"/>
      <c r="Q143" s="4"/>
      <c r="R143" s="3"/>
      <c r="S143" s="3"/>
      <c r="T143" s="3"/>
      <c r="U143" s="4"/>
      <c r="V143" s="4"/>
      <c r="W143" s="4"/>
      <c r="X143" s="4"/>
      <c r="Y143" s="4"/>
      <c r="Z143" s="11"/>
      <c r="AA143" s="16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16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6"/>
      <c r="AX143" s="15"/>
      <c r="AY143" s="15"/>
      <c r="AZ143" s="15"/>
      <c r="BA143" s="16"/>
      <c r="BB143" s="16"/>
      <c r="BC143" s="16"/>
      <c r="BD143" s="16"/>
      <c r="BE143" s="16"/>
      <c r="BF143" s="16"/>
      <c r="BG143" s="16"/>
      <c r="BH143" s="16"/>
      <c r="BI143" s="16"/>
      <c r="BJ143" s="16"/>
      <c r="BK143" s="16"/>
      <c r="BL143" s="16"/>
      <c r="BM143" s="16"/>
      <c r="BN143" s="16"/>
      <c r="BO143" s="16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  <c r="CN143" s="3"/>
      <c r="CO143" s="3"/>
      <c r="CP143" s="3"/>
      <c r="CQ143" s="3"/>
      <c r="CR143" s="3"/>
    </row>
    <row r="144" spans="1:96" ht="12" customHeight="1" x14ac:dyDescent="0.25">
      <c r="A144" s="3"/>
      <c r="B144" s="14"/>
      <c r="C144" s="14"/>
      <c r="D144" s="14"/>
      <c r="E144" s="14"/>
      <c r="F144" s="26"/>
      <c r="G144" s="26"/>
      <c r="H144" s="26"/>
      <c r="I144" s="10"/>
      <c r="J144" s="10"/>
      <c r="K144" s="14"/>
      <c r="L144" s="11"/>
      <c r="M144" s="14"/>
      <c r="N144" s="14"/>
      <c r="O144" s="4"/>
      <c r="P144" s="3"/>
      <c r="Q144" s="4"/>
      <c r="R144" s="3"/>
      <c r="S144" s="3"/>
      <c r="T144" s="3"/>
      <c r="U144" s="4"/>
      <c r="V144" s="4"/>
      <c r="W144" s="4"/>
      <c r="X144" s="4"/>
      <c r="Y144" s="4"/>
      <c r="Z144" s="11"/>
      <c r="AA144" s="16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16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6"/>
      <c r="AX144" s="15"/>
      <c r="AY144" s="15"/>
      <c r="AZ144" s="15"/>
      <c r="BA144" s="16"/>
      <c r="BB144" s="16"/>
      <c r="BC144" s="16"/>
      <c r="BD144" s="16"/>
      <c r="BE144" s="16"/>
      <c r="BF144" s="16"/>
      <c r="BG144" s="16"/>
      <c r="BH144" s="16"/>
      <c r="BI144" s="16"/>
      <c r="BJ144" s="16"/>
      <c r="BK144" s="16"/>
      <c r="BL144" s="16"/>
      <c r="BM144" s="16"/>
      <c r="BN144" s="16"/>
      <c r="BO144" s="16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  <c r="CN144" s="3"/>
      <c r="CO144" s="3"/>
      <c r="CP144" s="3"/>
      <c r="CQ144" s="3"/>
      <c r="CR144" s="3"/>
    </row>
    <row r="145" spans="1:96" ht="12" customHeight="1" x14ac:dyDescent="0.25">
      <c r="A145" s="3"/>
      <c r="B145" s="14"/>
      <c r="C145" s="14"/>
      <c r="D145" s="14"/>
      <c r="E145" s="14"/>
      <c r="F145" s="26"/>
      <c r="G145" s="26"/>
      <c r="H145" s="26"/>
      <c r="I145" s="10"/>
      <c r="J145" s="10"/>
      <c r="K145" s="14"/>
      <c r="L145" s="11"/>
      <c r="M145" s="14"/>
      <c r="N145" s="14"/>
      <c r="O145" s="4"/>
      <c r="P145" s="3"/>
      <c r="Q145" s="4"/>
      <c r="R145" s="3"/>
      <c r="S145" s="3"/>
      <c r="T145" s="3"/>
      <c r="U145" s="4"/>
      <c r="V145" s="4"/>
      <c r="W145" s="4"/>
      <c r="X145" s="4"/>
      <c r="Y145" s="4"/>
      <c r="Z145" s="11"/>
      <c r="AA145" s="16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16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6"/>
      <c r="AX145" s="15"/>
      <c r="AY145" s="15"/>
      <c r="AZ145" s="15"/>
      <c r="BA145" s="16"/>
      <c r="BB145" s="16"/>
      <c r="BC145" s="16"/>
      <c r="BD145" s="16"/>
      <c r="BE145" s="16"/>
      <c r="BF145" s="16"/>
      <c r="BG145" s="16"/>
      <c r="BH145" s="16"/>
      <c r="BI145" s="16"/>
      <c r="BJ145" s="16"/>
      <c r="BK145" s="16"/>
      <c r="BL145" s="16"/>
      <c r="BM145" s="16"/>
      <c r="BN145" s="16"/>
      <c r="BO145" s="16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  <c r="CN145" s="3"/>
      <c r="CO145" s="3"/>
      <c r="CP145" s="3"/>
      <c r="CQ145" s="3"/>
      <c r="CR145" s="3"/>
    </row>
    <row r="146" spans="1:96" ht="12" customHeight="1" x14ac:dyDescent="0.25">
      <c r="A146" s="3"/>
      <c r="B146" s="14"/>
      <c r="C146" s="14"/>
      <c r="D146" s="14"/>
      <c r="E146" s="14"/>
      <c r="F146" s="26"/>
      <c r="G146" s="26"/>
      <c r="H146" s="26"/>
      <c r="I146" s="10"/>
      <c r="J146" s="10"/>
      <c r="K146" s="14"/>
      <c r="L146" s="11"/>
      <c r="M146" s="14"/>
      <c r="N146" s="14"/>
      <c r="O146" s="4"/>
      <c r="P146" s="3"/>
      <c r="Q146" s="4"/>
      <c r="R146" s="3"/>
      <c r="S146" s="3"/>
      <c r="T146" s="3"/>
      <c r="U146" s="4"/>
      <c r="V146" s="4"/>
      <c r="W146" s="4"/>
      <c r="X146" s="4"/>
      <c r="Y146" s="4"/>
      <c r="Z146" s="11"/>
      <c r="AA146" s="16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16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6"/>
      <c r="AX146" s="15"/>
      <c r="AY146" s="15"/>
      <c r="AZ146" s="15"/>
      <c r="BA146" s="16"/>
      <c r="BB146" s="16"/>
      <c r="BC146" s="16"/>
      <c r="BD146" s="16"/>
      <c r="BE146" s="16"/>
      <c r="BF146" s="16"/>
      <c r="BG146" s="16"/>
      <c r="BH146" s="16"/>
      <c r="BI146" s="16"/>
      <c r="BJ146" s="16"/>
      <c r="BK146" s="16"/>
      <c r="BL146" s="16"/>
      <c r="BM146" s="16"/>
      <c r="BN146" s="16"/>
      <c r="BO146" s="16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  <c r="CN146" s="3"/>
      <c r="CO146" s="3"/>
      <c r="CP146" s="3"/>
      <c r="CQ146" s="3"/>
      <c r="CR146" s="3"/>
    </row>
    <row r="147" spans="1:96" ht="12" customHeight="1" x14ac:dyDescent="0.25">
      <c r="A147" s="3"/>
      <c r="B147" s="14"/>
      <c r="C147" s="14"/>
      <c r="D147" s="14"/>
      <c r="E147" s="14"/>
      <c r="F147" s="26"/>
      <c r="G147" s="26"/>
      <c r="H147" s="26"/>
      <c r="I147" s="10"/>
      <c r="J147" s="10"/>
      <c r="K147" s="14"/>
      <c r="L147" s="11"/>
      <c r="M147" s="14"/>
      <c r="N147" s="14"/>
      <c r="O147" s="4"/>
      <c r="P147" s="3"/>
      <c r="Q147" s="4"/>
      <c r="R147" s="3"/>
      <c r="S147" s="3"/>
      <c r="T147" s="3"/>
      <c r="U147" s="4"/>
      <c r="V147" s="4"/>
      <c r="W147" s="4"/>
      <c r="X147" s="4"/>
      <c r="Y147" s="4"/>
      <c r="Z147" s="11"/>
      <c r="AA147" s="16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16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6"/>
      <c r="AX147" s="15"/>
      <c r="AY147" s="15"/>
      <c r="AZ147" s="15"/>
      <c r="BA147" s="16"/>
      <c r="BB147" s="16"/>
      <c r="BC147" s="16"/>
      <c r="BD147" s="16"/>
      <c r="BE147" s="16"/>
      <c r="BF147" s="16"/>
      <c r="BG147" s="16"/>
      <c r="BH147" s="16"/>
      <c r="BI147" s="16"/>
      <c r="BJ147" s="16"/>
      <c r="BK147" s="16"/>
      <c r="BL147" s="16"/>
      <c r="BM147" s="16"/>
      <c r="BN147" s="16"/>
      <c r="BO147" s="16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  <c r="CN147" s="3"/>
      <c r="CO147" s="3"/>
      <c r="CP147" s="3"/>
      <c r="CQ147" s="3"/>
      <c r="CR147" s="3"/>
    </row>
    <row r="148" spans="1:96" ht="12" customHeight="1" x14ac:dyDescent="0.25">
      <c r="A148" s="3"/>
      <c r="B148" s="14"/>
      <c r="C148" s="14"/>
      <c r="D148" s="14"/>
      <c r="E148" s="14"/>
      <c r="F148" s="26"/>
      <c r="G148" s="26"/>
      <c r="H148" s="26"/>
      <c r="I148" s="10"/>
      <c r="J148" s="10"/>
      <c r="K148" s="14"/>
      <c r="L148" s="11"/>
      <c r="M148" s="14"/>
      <c r="N148" s="14"/>
      <c r="O148" s="4"/>
      <c r="P148" s="3"/>
      <c r="Q148" s="4"/>
      <c r="R148" s="3"/>
      <c r="S148" s="3"/>
      <c r="T148" s="3"/>
      <c r="U148" s="4"/>
      <c r="V148" s="4"/>
      <c r="W148" s="4"/>
      <c r="X148" s="4"/>
      <c r="Y148" s="4"/>
      <c r="Z148" s="11"/>
      <c r="AA148" s="16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16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6"/>
      <c r="AX148" s="15"/>
      <c r="AY148" s="15"/>
      <c r="AZ148" s="15"/>
      <c r="BA148" s="16"/>
      <c r="BB148" s="16"/>
      <c r="BC148" s="16"/>
      <c r="BD148" s="16"/>
      <c r="BE148" s="16"/>
      <c r="BF148" s="16"/>
      <c r="BG148" s="16"/>
      <c r="BH148" s="16"/>
      <c r="BI148" s="16"/>
      <c r="BJ148" s="16"/>
      <c r="BK148" s="16"/>
      <c r="BL148" s="16"/>
      <c r="BM148" s="16"/>
      <c r="BN148" s="16"/>
      <c r="BO148" s="16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  <c r="CN148" s="3"/>
      <c r="CO148" s="3"/>
      <c r="CP148" s="3"/>
      <c r="CQ148" s="3"/>
      <c r="CR148" s="3"/>
    </row>
    <row r="149" spans="1:96" ht="12" customHeight="1" x14ac:dyDescent="0.25">
      <c r="A149" s="3"/>
      <c r="B149" s="14"/>
      <c r="C149" s="14"/>
      <c r="D149" s="14"/>
      <c r="E149" s="14"/>
      <c r="F149" s="26"/>
      <c r="G149" s="26"/>
      <c r="H149" s="26"/>
      <c r="I149" s="10"/>
      <c r="J149" s="10"/>
      <c r="K149" s="14"/>
      <c r="L149" s="11"/>
      <c r="M149" s="14"/>
      <c r="N149" s="14"/>
      <c r="O149" s="4"/>
      <c r="P149" s="3"/>
      <c r="Q149" s="4"/>
      <c r="R149" s="3"/>
      <c r="S149" s="3"/>
      <c r="T149" s="3"/>
      <c r="U149" s="4"/>
      <c r="V149" s="4"/>
      <c r="W149" s="4"/>
      <c r="X149" s="4"/>
      <c r="Y149" s="4"/>
      <c r="Z149" s="11"/>
      <c r="AA149" s="16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16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6"/>
      <c r="AX149" s="15"/>
      <c r="AY149" s="15"/>
      <c r="AZ149" s="15"/>
      <c r="BA149" s="16"/>
      <c r="BB149" s="16"/>
      <c r="BC149" s="16"/>
      <c r="BD149" s="16"/>
      <c r="BE149" s="16"/>
      <c r="BF149" s="16"/>
      <c r="BG149" s="16"/>
      <c r="BH149" s="16"/>
      <c r="BI149" s="16"/>
      <c r="BJ149" s="16"/>
      <c r="BK149" s="16"/>
      <c r="BL149" s="16"/>
      <c r="BM149" s="16"/>
      <c r="BN149" s="16"/>
      <c r="BO149" s="16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  <c r="CN149" s="3"/>
      <c r="CO149" s="3"/>
      <c r="CP149" s="3"/>
      <c r="CQ149" s="3"/>
      <c r="CR149" s="3"/>
    </row>
    <row r="150" spans="1:96" ht="12" customHeight="1" x14ac:dyDescent="0.25">
      <c r="A150" s="3"/>
      <c r="B150" s="14"/>
      <c r="C150" s="14"/>
      <c r="D150" s="14"/>
      <c r="E150" s="14"/>
      <c r="F150" s="26"/>
      <c r="G150" s="26"/>
      <c r="H150" s="26"/>
      <c r="I150" s="10"/>
      <c r="J150" s="10"/>
      <c r="K150" s="14"/>
      <c r="L150" s="11"/>
      <c r="M150" s="14"/>
      <c r="N150" s="14"/>
      <c r="O150" s="4"/>
      <c r="P150" s="3"/>
      <c r="Q150" s="4"/>
      <c r="R150" s="3"/>
      <c r="S150" s="3"/>
      <c r="T150" s="3"/>
      <c r="U150" s="4"/>
      <c r="V150" s="4"/>
      <c r="W150" s="4"/>
      <c r="X150" s="4"/>
      <c r="Y150" s="4"/>
      <c r="Z150" s="11"/>
      <c r="AA150" s="16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16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6"/>
      <c r="AX150" s="15"/>
      <c r="AY150" s="15"/>
      <c r="AZ150" s="15"/>
      <c r="BA150" s="16"/>
      <c r="BB150" s="16"/>
      <c r="BC150" s="16"/>
      <c r="BD150" s="16"/>
      <c r="BE150" s="16"/>
      <c r="BF150" s="16"/>
      <c r="BG150" s="16"/>
      <c r="BH150" s="16"/>
      <c r="BI150" s="16"/>
      <c r="BJ150" s="16"/>
      <c r="BK150" s="16"/>
      <c r="BL150" s="16"/>
      <c r="BM150" s="16"/>
      <c r="BN150" s="16"/>
      <c r="BO150" s="16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  <c r="CN150" s="3"/>
      <c r="CO150" s="3"/>
      <c r="CP150" s="3"/>
      <c r="CQ150" s="3"/>
      <c r="CR150" s="3"/>
    </row>
    <row r="151" spans="1:96" ht="12" customHeight="1" x14ac:dyDescent="0.25">
      <c r="A151" s="3"/>
      <c r="B151" s="14"/>
      <c r="C151" s="14"/>
      <c r="D151" s="14"/>
      <c r="E151" s="14"/>
      <c r="F151" s="26"/>
      <c r="G151" s="26"/>
      <c r="H151" s="26"/>
      <c r="I151" s="10"/>
      <c r="J151" s="10"/>
      <c r="K151" s="14"/>
      <c r="L151" s="11"/>
      <c r="M151" s="14"/>
      <c r="N151" s="14"/>
      <c r="O151" s="4"/>
      <c r="P151" s="3"/>
      <c r="Q151" s="4"/>
      <c r="R151" s="3"/>
      <c r="S151" s="3"/>
      <c r="T151" s="3"/>
      <c r="U151" s="4"/>
      <c r="V151" s="4"/>
      <c r="W151" s="4"/>
      <c r="X151" s="4"/>
      <c r="Y151" s="4"/>
      <c r="Z151" s="11"/>
      <c r="AA151" s="16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16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6"/>
      <c r="AX151" s="15"/>
      <c r="AY151" s="15"/>
      <c r="AZ151" s="15"/>
      <c r="BA151" s="16"/>
      <c r="BB151" s="16"/>
      <c r="BC151" s="16"/>
      <c r="BD151" s="16"/>
      <c r="BE151" s="16"/>
      <c r="BF151" s="16"/>
      <c r="BG151" s="16"/>
      <c r="BH151" s="16"/>
      <c r="BI151" s="16"/>
      <c r="BJ151" s="16"/>
      <c r="BK151" s="16"/>
      <c r="BL151" s="16"/>
      <c r="BM151" s="16"/>
      <c r="BN151" s="16"/>
      <c r="BO151" s="16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  <c r="CN151" s="3"/>
      <c r="CO151" s="3"/>
      <c r="CP151" s="3"/>
      <c r="CQ151" s="3"/>
      <c r="CR151" s="3"/>
    </row>
    <row r="152" spans="1:96" ht="12" customHeight="1" x14ac:dyDescent="0.25">
      <c r="A152" s="3"/>
      <c r="B152" s="14"/>
      <c r="C152" s="14"/>
      <c r="D152" s="14"/>
      <c r="E152" s="14"/>
      <c r="F152" s="26"/>
      <c r="G152" s="26"/>
      <c r="H152" s="26"/>
      <c r="I152" s="10"/>
      <c r="J152" s="10"/>
      <c r="K152" s="14"/>
      <c r="L152" s="11"/>
      <c r="M152" s="14"/>
      <c r="N152" s="14"/>
      <c r="O152" s="4"/>
      <c r="P152" s="3"/>
      <c r="Q152" s="4"/>
      <c r="R152" s="3"/>
      <c r="S152" s="3"/>
      <c r="T152" s="3"/>
      <c r="U152" s="4"/>
      <c r="V152" s="4"/>
      <c r="W152" s="4"/>
      <c r="X152" s="4"/>
      <c r="Y152" s="4"/>
      <c r="Z152" s="11"/>
      <c r="AA152" s="16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16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6"/>
      <c r="AX152" s="15"/>
      <c r="AY152" s="15"/>
      <c r="AZ152" s="15"/>
      <c r="BA152" s="16"/>
      <c r="BB152" s="16"/>
      <c r="BC152" s="16"/>
      <c r="BD152" s="16"/>
      <c r="BE152" s="16"/>
      <c r="BF152" s="16"/>
      <c r="BG152" s="16"/>
      <c r="BH152" s="16"/>
      <c r="BI152" s="16"/>
      <c r="BJ152" s="16"/>
      <c r="BK152" s="16"/>
      <c r="BL152" s="16"/>
      <c r="BM152" s="16"/>
      <c r="BN152" s="16"/>
      <c r="BO152" s="16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  <c r="CN152" s="3"/>
      <c r="CO152" s="3"/>
      <c r="CP152" s="3"/>
      <c r="CQ152" s="3"/>
      <c r="CR152" s="3"/>
    </row>
    <row r="153" spans="1:96" ht="12" customHeight="1" x14ac:dyDescent="0.25">
      <c r="A153" s="3"/>
      <c r="B153" s="14"/>
      <c r="C153" s="14"/>
      <c r="D153" s="14"/>
      <c r="E153" s="14"/>
      <c r="F153" s="26"/>
      <c r="G153" s="26"/>
      <c r="H153" s="26"/>
      <c r="I153" s="10"/>
      <c r="J153" s="10"/>
      <c r="K153" s="14"/>
      <c r="L153" s="11"/>
      <c r="M153" s="14"/>
      <c r="N153" s="14"/>
      <c r="O153" s="4"/>
      <c r="P153" s="3"/>
      <c r="Q153" s="4"/>
      <c r="R153" s="3"/>
      <c r="S153" s="3"/>
      <c r="T153" s="3"/>
      <c r="U153" s="4"/>
      <c r="V153" s="4"/>
      <c r="W153" s="4"/>
      <c r="X153" s="4"/>
      <c r="Y153" s="4"/>
      <c r="Z153" s="11"/>
      <c r="AA153" s="16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16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6"/>
      <c r="AX153" s="15"/>
      <c r="AY153" s="15"/>
      <c r="AZ153" s="15"/>
      <c r="BA153" s="16"/>
      <c r="BB153" s="16"/>
      <c r="BC153" s="16"/>
      <c r="BD153" s="16"/>
      <c r="BE153" s="16"/>
      <c r="BF153" s="16"/>
      <c r="BG153" s="16"/>
      <c r="BH153" s="16"/>
      <c r="BI153" s="16"/>
      <c r="BJ153" s="16"/>
      <c r="BK153" s="16"/>
      <c r="BL153" s="16"/>
      <c r="BM153" s="16"/>
      <c r="BN153" s="16"/>
      <c r="BO153" s="16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  <c r="CN153" s="3"/>
      <c r="CO153" s="3"/>
      <c r="CP153" s="3"/>
      <c r="CQ153" s="3"/>
      <c r="CR153" s="3"/>
    </row>
    <row r="154" spans="1:96" ht="12" customHeight="1" x14ac:dyDescent="0.25">
      <c r="A154" s="3"/>
      <c r="B154" s="14"/>
      <c r="C154" s="14"/>
      <c r="D154" s="14"/>
      <c r="E154" s="14"/>
      <c r="F154" s="26"/>
      <c r="G154" s="26"/>
      <c r="H154" s="26"/>
      <c r="I154" s="10"/>
      <c r="J154" s="10"/>
      <c r="K154" s="14"/>
      <c r="L154" s="11"/>
      <c r="M154" s="14"/>
      <c r="N154" s="14"/>
      <c r="O154" s="4"/>
      <c r="P154" s="3"/>
      <c r="Q154" s="4"/>
      <c r="R154" s="3"/>
      <c r="S154" s="3"/>
      <c r="T154" s="3"/>
      <c r="U154" s="4"/>
      <c r="V154" s="4"/>
      <c r="W154" s="4"/>
      <c r="X154" s="4"/>
      <c r="Y154" s="4"/>
      <c r="Z154" s="11"/>
      <c r="AA154" s="16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16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6"/>
      <c r="AX154" s="15"/>
      <c r="AY154" s="15"/>
      <c r="AZ154" s="15"/>
      <c r="BA154" s="16"/>
      <c r="BB154" s="16"/>
      <c r="BC154" s="16"/>
      <c r="BD154" s="16"/>
      <c r="BE154" s="16"/>
      <c r="BF154" s="16"/>
      <c r="BG154" s="16"/>
      <c r="BH154" s="16"/>
      <c r="BI154" s="16"/>
      <c r="BJ154" s="16"/>
      <c r="BK154" s="16"/>
      <c r="BL154" s="16"/>
      <c r="BM154" s="16"/>
      <c r="BN154" s="16"/>
      <c r="BO154" s="16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  <c r="CN154" s="3"/>
      <c r="CO154" s="3"/>
      <c r="CP154" s="3"/>
      <c r="CQ154" s="3"/>
      <c r="CR154" s="3"/>
    </row>
    <row r="155" spans="1:96" ht="12" customHeight="1" x14ac:dyDescent="0.25">
      <c r="A155" s="3"/>
      <c r="B155" s="14"/>
      <c r="C155" s="14"/>
      <c r="D155" s="14"/>
      <c r="E155" s="14"/>
      <c r="F155" s="26"/>
      <c r="G155" s="26"/>
      <c r="H155" s="26"/>
      <c r="I155" s="10"/>
      <c r="J155" s="10"/>
      <c r="K155" s="14"/>
      <c r="L155" s="11"/>
      <c r="M155" s="14"/>
      <c r="N155" s="14"/>
      <c r="O155" s="4"/>
      <c r="P155" s="3"/>
      <c r="Q155" s="4"/>
      <c r="R155" s="3"/>
      <c r="S155" s="3"/>
      <c r="T155" s="3"/>
      <c r="U155" s="4"/>
      <c r="V155" s="4"/>
      <c r="W155" s="4"/>
      <c r="X155" s="4"/>
      <c r="Y155" s="4"/>
      <c r="Z155" s="11"/>
      <c r="AA155" s="16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16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6"/>
      <c r="AX155" s="15"/>
      <c r="AY155" s="15"/>
      <c r="AZ155" s="15"/>
      <c r="BA155" s="16"/>
      <c r="BB155" s="16"/>
      <c r="BC155" s="16"/>
      <c r="BD155" s="16"/>
      <c r="BE155" s="16"/>
      <c r="BF155" s="16"/>
      <c r="BG155" s="16"/>
      <c r="BH155" s="16"/>
      <c r="BI155" s="16"/>
      <c r="BJ155" s="16"/>
      <c r="BK155" s="16"/>
      <c r="BL155" s="16"/>
      <c r="BM155" s="16"/>
      <c r="BN155" s="16"/>
      <c r="BO155" s="16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  <c r="CN155" s="3"/>
      <c r="CO155" s="3"/>
      <c r="CP155" s="3"/>
      <c r="CQ155" s="3"/>
      <c r="CR155" s="3"/>
    </row>
    <row r="156" spans="1:96" ht="12" customHeight="1" x14ac:dyDescent="0.25">
      <c r="A156" s="3"/>
      <c r="B156" s="14"/>
      <c r="C156" s="14"/>
      <c r="D156" s="14"/>
      <c r="E156" s="14"/>
      <c r="F156" s="26"/>
      <c r="G156" s="26"/>
      <c r="H156" s="26"/>
      <c r="I156" s="10"/>
      <c r="J156" s="10"/>
      <c r="K156" s="14"/>
      <c r="L156" s="11"/>
      <c r="M156" s="14"/>
      <c r="N156" s="14"/>
      <c r="O156" s="4"/>
      <c r="P156" s="3"/>
      <c r="Q156" s="4"/>
      <c r="R156" s="3"/>
      <c r="S156" s="3"/>
      <c r="T156" s="3"/>
      <c r="U156" s="4"/>
      <c r="V156" s="4"/>
      <c r="W156" s="4"/>
      <c r="X156" s="4"/>
      <c r="Y156" s="4"/>
      <c r="Z156" s="11"/>
      <c r="AA156" s="16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16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6"/>
      <c r="AX156" s="15"/>
      <c r="AY156" s="15"/>
      <c r="AZ156" s="15"/>
      <c r="BA156" s="16"/>
      <c r="BB156" s="16"/>
      <c r="BC156" s="16"/>
      <c r="BD156" s="16"/>
      <c r="BE156" s="16"/>
      <c r="BF156" s="16"/>
      <c r="BG156" s="16"/>
      <c r="BH156" s="16"/>
      <c r="BI156" s="16"/>
      <c r="BJ156" s="16"/>
      <c r="BK156" s="16"/>
      <c r="BL156" s="16"/>
      <c r="BM156" s="16"/>
      <c r="BN156" s="16"/>
      <c r="BO156" s="16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  <c r="CN156" s="3"/>
      <c r="CO156" s="3"/>
      <c r="CP156" s="3"/>
      <c r="CQ156" s="3"/>
      <c r="CR156" s="3"/>
    </row>
    <row r="157" spans="1:96" ht="12" customHeight="1" x14ac:dyDescent="0.25">
      <c r="A157" s="3"/>
      <c r="B157" s="14"/>
      <c r="C157" s="14"/>
      <c r="D157" s="14"/>
      <c r="E157" s="14"/>
      <c r="F157" s="26"/>
      <c r="G157" s="26"/>
      <c r="H157" s="26"/>
      <c r="I157" s="10"/>
      <c r="J157" s="10"/>
      <c r="K157" s="14"/>
      <c r="L157" s="11"/>
      <c r="M157" s="14"/>
      <c r="N157" s="14"/>
      <c r="O157" s="4"/>
      <c r="P157" s="3"/>
      <c r="Q157" s="4"/>
      <c r="R157" s="3"/>
      <c r="S157" s="3"/>
      <c r="T157" s="3"/>
      <c r="U157" s="4"/>
      <c r="V157" s="4"/>
      <c r="W157" s="4"/>
      <c r="X157" s="4"/>
      <c r="Y157" s="4"/>
      <c r="Z157" s="11"/>
      <c r="AA157" s="16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16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6"/>
      <c r="AX157" s="15"/>
      <c r="AY157" s="15"/>
      <c r="AZ157" s="15"/>
      <c r="BA157" s="16"/>
      <c r="BB157" s="16"/>
      <c r="BC157" s="16"/>
      <c r="BD157" s="16"/>
      <c r="BE157" s="16"/>
      <c r="BF157" s="16"/>
      <c r="BG157" s="16"/>
      <c r="BH157" s="16"/>
      <c r="BI157" s="16"/>
      <c r="BJ157" s="16"/>
      <c r="BK157" s="16"/>
      <c r="BL157" s="16"/>
      <c r="BM157" s="16"/>
      <c r="BN157" s="16"/>
      <c r="BO157" s="16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  <c r="CN157" s="3"/>
      <c r="CO157" s="3"/>
      <c r="CP157" s="3"/>
      <c r="CQ157" s="3"/>
      <c r="CR157" s="3"/>
    </row>
    <row r="158" spans="1:96" ht="12" customHeight="1" x14ac:dyDescent="0.25">
      <c r="A158" s="3"/>
      <c r="B158" s="14"/>
      <c r="C158" s="14"/>
      <c r="D158" s="14"/>
      <c r="E158" s="14"/>
      <c r="F158" s="26"/>
      <c r="G158" s="26"/>
      <c r="H158" s="26"/>
      <c r="I158" s="10"/>
      <c r="J158" s="10"/>
      <c r="K158" s="14"/>
      <c r="L158" s="11"/>
      <c r="M158" s="14"/>
      <c r="N158" s="14"/>
      <c r="O158" s="4"/>
      <c r="P158" s="3"/>
      <c r="Q158" s="4"/>
      <c r="R158" s="3"/>
      <c r="S158" s="3"/>
      <c r="T158" s="3"/>
      <c r="U158" s="4"/>
      <c r="V158" s="4"/>
      <c r="W158" s="4"/>
      <c r="X158" s="4"/>
      <c r="Y158" s="4"/>
      <c r="Z158" s="11"/>
      <c r="AA158" s="16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16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6"/>
      <c r="AX158" s="15"/>
      <c r="AY158" s="15"/>
      <c r="AZ158" s="15"/>
      <c r="BA158" s="16"/>
      <c r="BB158" s="16"/>
      <c r="BC158" s="16"/>
      <c r="BD158" s="16"/>
      <c r="BE158" s="16"/>
      <c r="BF158" s="16"/>
      <c r="BG158" s="16"/>
      <c r="BH158" s="16"/>
      <c r="BI158" s="16"/>
      <c r="BJ158" s="16"/>
      <c r="BK158" s="16"/>
      <c r="BL158" s="16"/>
      <c r="BM158" s="16"/>
      <c r="BN158" s="16"/>
      <c r="BO158" s="16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  <c r="CN158" s="3"/>
      <c r="CO158" s="3"/>
      <c r="CP158" s="3"/>
      <c r="CQ158" s="3"/>
      <c r="CR158" s="3"/>
    </row>
    <row r="159" spans="1:96" ht="12" customHeight="1" x14ac:dyDescent="0.25">
      <c r="A159" s="3"/>
      <c r="B159" s="14"/>
      <c r="C159" s="14"/>
      <c r="D159" s="14"/>
      <c r="E159" s="14"/>
      <c r="F159" s="26"/>
      <c r="G159" s="26"/>
      <c r="H159" s="26"/>
      <c r="I159" s="10"/>
      <c r="J159" s="10"/>
      <c r="K159" s="14"/>
      <c r="L159" s="11"/>
      <c r="M159" s="14"/>
      <c r="N159" s="14"/>
      <c r="O159" s="4"/>
      <c r="P159" s="3"/>
      <c r="Q159" s="4"/>
      <c r="R159" s="3"/>
      <c r="S159" s="3"/>
      <c r="T159" s="3"/>
      <c r="U159" s="4"/>
      <c r="V159" s="4"/>
      <c r="W159" s="4"/>
      <c r="X159" s="4"/>
      <c r="Y159" s="4"/>
      <c r="Z159" s="11"/>
      <c r="AA159" s="16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16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6"/>
      <c r="AX159" s="15"/>
      <c r="AY159" s="15"/>
      <c r="AZ159" s="15"/>
      <c r="BA159" s="16"/>
      <c r="BB159" s="16"/>
      <c r="BC159" s="16"/>
      <c r="BD159" s="16"/>
      <c r="BE159" s="16"/>
      <c r="BF159" s="16"/>
      <c r="BG159" s="16"/>
      <c r="BH159" s="16"/>
      <c r="BI159" s="16"/>
      <c r="BJ159" s="16"/>
      <c r="BK159" s="16"/>
      <c r="BL159" s="16"/>
      <c r="BM159" s="16"/>
      <c r="BN159" s="16"/>
      <c r="BO159" s="16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  <c r="CN159" s="3"/>
      <c r="CO159" s="3"/>
      <c r="CP159" s="3"/>
      <c r="CQ159" s="3"/>
      <c r="CR159" s="3"/>
    </row>
    <row r="160" spans="1:96" ht="12" customHeight="1" x14ac:dyDescent="0.25">
      <c r="A160" s="3"/>
      <c r="B160" s="14"/>
      <c r="C160" s="14"/>
      <c r="D160" s="14"/>
      <c r="E160" s="14"/>
      <c r="F160" s="26"/>
      <c r="G160" s="26"/>
      <c r="H160" s="26"/>
      <c r="I160" s="10"/>
      <c r="J160" s="10"/>
      <c r="K160" s="14"/>
      <c r="L160" s="11"/>
      <c r="M160" s="14"/>
      <c r="N160" s="14"/>
      <c r="O160" s="4"/>
      <c r="P160" s="3"/>
      <c r="Q160" s="4"/>
      <c r="R160" s="3"/>
      <c r="S160" s="3"/>
      <c r="T160" s="3"/>
      <c r="U160" s="4"/>
      <c r="V160" s="4"/>
      <c r="W160" s="4"/>
      <c r="X160" s="4"/>
      <c r="Y160" s="4"/>
      <c r="Z160" s="11"/>
      <c r="AA160" s="16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16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6"/>
      <c r="AX160" s="15"/>
      <c r="AY160" s="15"/>
      <c r="AZ160" s="15"/>
      <c r="BA160" s="16"/>
      <c r="BB160" s="16"/>
      <c r="BC160" s="16"/>
      <c r="BD160" s="16"/>
      <c r="BE160" s="16"/>
      <c r="BF160" s="16"/>
      <c r="BG160" s="16"/>
      <c r="BH160" s="16"/>
      <c r="BI160" s="16"/>
      <c r="BJ160" s="16"/>
      <c r="BK160" s="16"/>
      <c r="BL160" s="16"/>
      <c r="BM160" s="16"/>
      <c r="BN160" s="16"/>
      <c r="BO160" s="16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  <c r="CN160" s="3"/>
      <c r="CO160" s="3"/>
      <c r="CP160" s="3"/>
      <c r="CQ160" s="3"/>
      <c r="CR160" s="3"/>
    </row>
    <row r="161" spans="1:96" ht="12" customHeight="1" x14ac:dyDescent="0.25">
      <c r="A161" s="3"/>
      <c r="B161" s="14"/>
      <c r="C161" s="14"/>
      <c r="D161" s="14"/>
      <c r="E161" s="14"/>
      <c r="F161" s="26"/>
      <c r="G161" s="26"/>
      <c r="H161" s="26"/>
      <c r="I161" s="10"/>
      <c r="J161" s="10"/>
      <c r="K161" s="14"/>
      <c r="L161" s="11"/>
      <c r="M161" s="14"/>
      <c r="N161" s="14"/>
      <c r="O161" s="4"/>
      <c r="P161" s="3"/>
      <c r="Q161" s="4"/>
      <c r="R161" s="3"/>
      <c r="S161" s="3"/>
      <c r="T161" s="3"/>
      <c r="U161" s="4"/>
      <c r="V161" s="4"/>
      <c r="W161" s="4"/>
      <c r="X161" s="4"/>
      <c r="Y161" s="4"/>
      <c r="Z161" s="11"/>
      <c r="AA161" s="16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16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6"/>
      <c r="AX161" s="15"/>
      <c r="AY161" s="15"/>
      <c r="AZ161" s="15"/>
      <c r="BA161" s="16"/>
      <c r="BB161" s="16"/>
      <c r="BC161" s="16"/>
      <c r="BD161" s="16"/>
      <c r="BE161" s="16"/>
      <c r="BF161" s="16"/>
      <c r="BG161" s="16"/>
      <c r="BH161" s="16"/>
      <c r="BI161" s="16"/>
      <c r="BJ161" s="16"/>
      <c r="BK161" s="16"/>
      <c r="BL161" s="16"/>
      <c r="BM161" s="16"/>
      <c r="BN161" s="16"/>
      <c r="BO161" s="16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  <c r="CN161" s="3"/>
      <c r="CO161" s="3"/>
      <c r="CP161" s="3"/>
      <c r="CQ161" s="3"/>
      <c r="CR161" s="3"/>
    </row>
    <row r="162" spans="1:96" ht="12" customHeight="1" x14ac:dyDescent="0.25">
      <c r="A162" s="3"/>
      <c r="B162" s="14"/>
      <c r="C162" s="14"/>
      <c r="D162" s="14"/>
      <c r="E162" s="14"/>
      <c r="F162" s="26"/>
      <c r="G162" s="26"/>
      <c r="H162" s="26"/>
      <c r="I162" s="10"/>
      <c r="J162" s="10"/>
      <c r="K162" s="14"/>
      <c r="L162" s="11"/>
      <c r="M162" s="14"/>
      <c r="N162" s="14"/>
      <c r="O162" s="4"/>
      <c r="P162" s="3"/>
      <c r="Q162" s="4"/>
      <c r="R162" s="3"/>
      <c r="S162" s="3"/>
      <c r="T162" s="3"/>
      <c r="U162" s="4"/>
      <c r="V162" s="4"/>
      <c r="W162" s="4"/>
      <c r="X162" s="4"/>
      <c r="Y162" s="4"/>
      <c r="Z162" s="11"/>
      <c r="AA162" s="16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16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6"/>
      <c r="AX162" s="15"/>
      <c r="AY162" s="15"/>
      <c r="AZ162" s="15"/>
      <c r="BA162" s="16"/>
      <c r="BB162" s="16"/>
      <c r="BC162" s="16"/>
      <c r="BD162" s="16"/>
      <c r="BE162" s="16"/>
      <c r="BF162" s="16"/>
      <c r="BG162" s="16"/>
      <c r="BH162" s="16"/>
      <c r="BI162" s="16"/>
      <c r="BJ162" s="16"/>
      <c r="BK162" s="16"/>
      <c r="BL162" s="16"/>
      <c r="BM162" s="16"/>
      <c r="BN162" s="16"/>
      <c r="BO162" s="16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  <c r="CN162" s="3"/>
      <c r="CO162" s="3"/>
      <c r="CP162" s="3"/>
      <c r="CQ162" s="3"/>
      <c r="CR162" s="3"/>
    </row>
    <row r="163" spans="1:96" ht="12" customHeight="1" x14ac:dyDescent="0.25">
      <c r="A163" s="3"/>
      <c r="B163" s="14"/>
      <c r="C163" s="14"/>
      <c r="D163" s="14"/>
      <c r="E163" s="14"/>
      <c r="F163" s="26"/>
      <c r="G163" s="26"/>
      <c r="H163" s="26"/>
      <c r="I163" s="10"/>
      <c r="J163" s="10"/>
      <c r="K163" s="14"/>
      <c r="L163" s="11"/>
      <c r="M163" s="14"/>
      <c r="N163" s="14"/>
      <c r="O163" s="4"/>
      <c r="P163" s="3"/>
      <c r="Q163" s="4"/>
      <c r="R163" s="3"/>
      <c r="S163" s="3"/>
      <c r="T163" s="3"/>
      <c r="U163" s="4"/>
      <c r="V163" s="4"/>
      <c r="W163" s="4"/>
      <c r="X163" s="4"/>
      <c r="Y163" s="4"/>
      <c r="Z163" s="11"/>
      <c r="AA163" s="16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16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6"/>
      <c r="AX163" s="15"/>
      <c r="AY163" s="15"/>
      <c r="AZ163" s="15"/>
      <c r="BA163" s="16"/>
      <c r="BB163" s="16"/>
      <c r="BC163" s="16"/>
      <c r="BD163" s="16"/>
      <c r="BE163" s="16"/>
      <c r="BF163" s="16"/>
      <c r="BG163" s="16"/>
      <c r="BH163" s="16"/>
      <c r="BI163" s="16"/>
      <c r="BJ163" s="16"/>
      <c r="BK163" s="16"/>
      <c r="BL163" s="16"/>
      <c r="BM163" s="16"/>
      <c r="BN163" s="16"/>
      <c r="BO163" s="16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  <c r="CN163" s="3"/>
      <c r="CO163" s="3"/>
      <c r="CP163" s="3"/>
      <c r="CQ163" s="3"/>
      <c r="CR163" s="3"/>
    </row>
    <row r="164" spans="1:96" ht="12" customHeight="1" x14ac:dyDescent="0.25">
      <c r="A164" s="3"/>
      <c r="B164" s="14"/>
      <c r="C164" s="14"/>
      <c r="D164" s="14"/>
      <c r="E164" s="14"/>
      <c r="F164" s="9"/>
      <c r="G164" s="9"/>
      <c r="H164" s="9"/>
      <c r="I164" s="10"/>
      <c r="J164" s="10"/>
      <c r="K164" s="14"/>
      <c r="L164" s="11"/>
      <c r="M164" s="14"/>
      <c r="N164" s="14"/>
      <c r="O164" s="4"/>
      <c r="P164" s="3"/>
      <c r="Q164" s="4"/>
      <c r="R164" s="3"/>
      <c r="S164" s="3"/>
      <c r="T164" s="3"/>
      <c r="U164" s="4"/>
      <c r="V164" s="4"/>
      <c r="W164" s="4"/>
      <c r="X164" s="4"/>
      <c r="Y164" s="4"/>
      <c r="Z164" s="11"/>
      <c r="AA164" s="16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16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6"/>
      <c r="AX164" s="15"/>
      <c r="AY164" s="15"/>
      <c r="AZ164" s="15"/>
      <c r="BA164" s="16"/>
      <c r="BB164" s="16"/>
      <c r="BC164" s="16"/>
      <c r="BD164" s="16"/>
      <c r="BE164" s="16"/>
      <c r="BF164" s="16"/>
      <c r="BG164" s="16"/>
      <c r="BH164" s="16"/>
      <c r="BI164" s="16"/>
      <c r="BJ164" s="16"/>
      <c r="BK164" s="16"/>
      <c r="BL164" s="16"/>
      <c r="BM164" s="16"/>
      <c r="BN164" s="16"/>
      <c r="BO164" s="16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  <c r="CN164" s="3"/>
      <c r="CO164" s="3"/>
      <c r="CP164" s="3"/>
      <c r="CQ164" s="3"/>
      <c r="CR164" s="3"/>
    </row>
    <row r="165" spans="1:96" ht="12" customHeight="1" x14ac:dyDescent="0.25">
      <c r="A165" s="3"/>
      <c r="B165" s="14"/>
      <c r="C165" s="14"/>
      <c r="D165" s="14"/>
      <c r="E165" s="14"/>
      <c r="F165" s="9"/>
      <c r="G165" s="9"/>
      <c r="H165" s="9"/>
      <c r="I165" s="10"/>
      <c r="J165" s="10"/>
      <c r="K165" s="14"/>
      <c r="L165" s="11"/>
      <c r="M165" s="14"/>
      <c r="N165" s="14"/>
      <c r="O165" s="4"/>
      <c r="P165" s="3"/>
      <c r="Q165" s="4"/>
      <c r="R165" s="3"/>
      <c r="S165" s="3"/>
      <c r="T165" s="3"/>
      <c r="U165" s="4"/>
      <c r="V165" s="4"/>
      <c r="W165" s="4"/>
      <c r="X165" s="4"/>
      <c r="Y165" s="4"/>
      <c r="Z165" s="11"/>
      <c r="AA165" s="16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16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6"/>
      <c r="AX165" s="15"/>
      <c r="AY165" s="15"/>
      <c r="AZ165" s="15"/>
      <c r="BA165" s="16"/>
      <c r="BB165" s="16"/>
      <c r="BC165" s="16"/>
      <c r="BD165" s="16"/>
      <c r="BE165" s="16"/>
      <c r="BF165" s="16"/>
      <c r="BG165" s="16"/>
      <c r="BH165" s="16"/>
      <c r="BI165" s="16"/>
      <c r="BJ165" s="16"/>
      <c r="BK165" s="16"/>
      <c r="BL165" s="16"/>
      <c r="BM165" s="16"/>
      <c r="BN165" s="16"/>
      <c r="BO165" s="16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  <c r="CN165" s="3"/>
      <c r="CO165" s="3"/>
      <c r="CP165" s="3"/>
      <c r="CQ165" s="3"/>
      <c r="CR165" s="3"/>
    </row>
    <row r="166" spans="1:96" ht="12" customHeight="1" x14ac:dyDescent="0.25">
      <c r="A166" s="3"/>
      <c r="B166" s="14"/>
      <c r="C166" s="14"/>
      <c r="D166" s="14"/>
      <c r="E166" s="14"/>
      <c r="F166" s="9"/>
      <c r="G166" s="9"/>
      <c r="H166" s="9"/>
      <c r="I166" s="10"/>
      <c r="J166" s="10"/>
      <c r="K166" s="14"/>
      <c r="L166" s="11"/>
      <c r="M166" s="14"/>
      <c r="N166" s="14"/>
      <c r="O166" s="4"/>
      <c r="P166" s="3"/>
      <c r="Q166" s="4"/>
      <c r="R166" s="3"/>
      <c r="S166" s="3"/>
      <c r="T166" s="3"/>
      <c r="U166" s="4"/>
      <c r="V166" s="4"/>
      <c r="W166" s="4"/>
      <c r="X166" s="4"/>
      <c r="Y166" s="4"/>
      <c r="Z166" s="11"/>
      <c r="AA166" s="16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16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6"/>
      <c r="AX166" s="15"/>
      <c r="AY166" s="15"/>
      <c r="AZ166" s="15"/>
      <c r="BA166" s="16"/>
      <c r="BB166" s="16"/>
      <c r="BC166" s="16"/>
      <c r="BD166" s="16"/>
      <c r="BE166" s="16"/>
      <c r="BF166" s="16"/>
      <c r="BG166" s="16"/>
      <c r="BH166" s="16"/>
      <c r="BI166" s="16"/>
      <c r="BJ166" s="16"/>
      <c r="BK166" s="16"/>
      <c r="BL166" s="16"/>
      <c r="BM166" s="16"/>
      <c r="BN166" s="16"/>
      <c r="BO166" s="16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  <c r="CN166" s="3"/>
      <c r="CO166" s="3"/>
      <c r="CP166" s="3"/>
      <c r="CQ166" s="3"/>
      <c r="CR166" s="3"/>
    </row>
    <row r="167" spans="1:96" ht="12" customHeight="1" x14ac:dyDescent="0.25">
      <c r="A167" s="3"/>
      <c r="B167" s="14"/>
      <c r="C167" s="14"/>
      <c r="D167" s="14"/>
      <c r="E167" s="14"/>
      <c r="F167" s="9"/>
      <c r="G167" s="9"/>
      <c r="H167" s="9"/>
      <c r="I167" s="10"/>
      <c r="J167" s="10"/>
      <c r="K167" s="14"/>
      <c r="L167" s="11"/>
      <c r="M167" s="14"/>
      <c r="N167" s="14"/>
      <c r="O167" s="4"/>
      <c r="P167" s="3"/>
      <c r="Q167" s="4"/>
      <c r="R167" s="3"/>
      <c r="S167" s="3"/>
      <c r="T167" s="3"/>
      <c r="U167" s="4"/>
      <c r="V167" s="4"/>
      <c r="W167" s="4"/>
      <c r="X167" s="4"/>
      <c r="Y167" s="4"/>
      <c r="Z167" s="11"/>
      <c r="AA167" s="16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16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6"/>
      <c r="AX167" s="15"/>
      <c r="AY167" s="15"/>
      <c r="AZ167" s="15"/>
      <c r="BA167" s="16"/>
      <c r="BB167" s="16"/>
      <c r="BC167" s="16"/>
      <c r="BD167" s="16"/>
      <c r="BE167" s="16"/>
      <c r="BF167" s="16"/>
      <c r="BG167" s="16"/>
      <c r="BH167" s="16"/>
      <c r="BI167" s="16"/>
      <c r="BJ167" s="16"/>
      <c r="BK167" s="16"/>
      <c r="BL167" s="16"/>
      <c r="BM167" s="16"/>
      <c r="BN167" s="16"/>
      <c r="BO167" s="16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  <c r="CN167" s="3"/>
      <c r="CO167" s="3"/>
      <c r="CP167" s="3"/>
      <c r="CQ167" s="3"/>
      <c r="CR167" s="3"/>
    </row>
    <row r="168" spans="1:96" ht="12" customHeight="1" x14ac:dyDescent="0.25">
      <c r="A168" s="3"/>
      <c r="B168" s="14"/>
      <c r="C168" s="14"/>
      <c r="D168" s="14"/>
      <c r="E168" s="14"/>
      <c r="F168" s="9"/>
      <c r="G168" s="9"/>
      <c r="H168" s="9"/>
      <c r="I168" s="10"/>
      <c r="J168" s="10"/>
      <c r="K168" s="14"/>
      <c r="L168" s="11"/>
      <c r="M168" s="14"/>
      <c r="N168" s="14"/>
      <c r="O168" s="4"/>
      <c r="P168" s="3"/>
      <c r="Q168" s="4"/>
      <c r="R168" s="3"/>
      <c r="S168" s="3"/>
      <c r="T168" s="3"/>
      <c r="U168" s="4"/>
      <c r="V168" s="4"/>
      <c r="W168" s="4"/>
      <c r="X168" s="4"/>
      <c r="Y168" s="4"/>
      <c r="Z168" s="11"/>
      <c r="AA168" s="16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16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6"/>
      <c r="AX168" s="15"/>
      <c r="AY168" s="15"/>
      <c r="AZ168" s="15"/>
      <c r="BA168" s="16"/>
      <c r="BB168" s="16"/>
      <c r="BC168" s="16"/>
      <c r="BD168" s="16"/>
      <c r="BE168" s="16"/>
      <c r="BF168" s="16"/>
      <c r="BG168" s="16"/>
      <c r="BH168" s="16"/>
      <c r="BI168" s="16"/>
      <c r="BJ168" s="16"/>
      <c r="BK168" s="16"/>
      <c r="BL168" s="16"/>
      <c r="BM168" s="16"/>
      <c r="BN168" s="16"/>
      <c r="BO168" s="16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  <c r="CN168" s="3"/>
      <c r="CO168" s="3"/>
      <c r="CP168" s="3"/>
      <c r="CQ168" s="3"/>
      <c r="CR168" s="3"/>
    </row>
    <row r="169" spans="1:96" ht="12" customHeight="1" x14ac:dyDescent="0.25">
      <c r="A169" s="3"/>
      <c r="B169" s="14"/>
      <c r="C169" s="14"/>
      <c r="D169" s="14"/>
      <c r="E169" s="14"/>
      <c r="F169" s="9"/>
      <c r="G169" s="9"/>
      <c r="H169" s="9"/>
      <c r="I169" s="10"/>
      <c r="J169" s="10"/>
      <c r="K169" s="14"/>
      <c r="L169" s="11"/>
      <c r="M169" s="14"/>
      <c r="N169" s="14"/>
      <c r="O169" s="4"/>
      <c r="P169" s="3"/>
      <c r="Q169" s="4"/>
      <c r="R169" s="3"/>
      <c r="S169" s="3"/>
      <c r="T169" s="3"/>
      <c r="U169" s="4"/>
      <c r="V169" s="4"/>
      <c r="W169" s="4"/>
      <c r="X169" s="4"/>
      <c r="Y169" s="4"/>
      <c r="Z169" s="11"/>
      <c r="AA169" s="16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16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6"/>
      <c r="AX169" s="15"/>
      <c r="AY169" s="15"/>
      <c r="AZ169" s="15"/>
      <c r="BA169" s="16"/>
      <c r="BB169" s="16"/>
      <c r="BC169" s="16"/>
      <c r="BD169" s="16"/>
      <c r="BE169" s="16"/>
      <c r="BF169" s="16"/>
      <c r="BG169" s="16"/>
      <c r="BH169" s="16"/>
      <c r="BI169" s="16"/>
      <c r="BJ169" s="16"/>
      <c r="BK169" s="16"/>
      <c r="BL169" s="16"/>
      <c r="BM169" s="16"/>
      <c r="BN169" s="16"/>
      <c r="BO169" s="16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  <c r="CN169" s="3"/>
      <c r="CO169" s="3"/>
      <c r="CP169" s="3"/>
      <c r="CQ169" s="3"/>
      <c r="CR169" s="3"/>
    </row>
    <row r="170" spans="1:96" ht="12" customHeight="1" x14ac:dyDescent="0.25">
      <c r="A170" s="3"/>
      <c r="B170" s="14"/>
      <c r="C170" s="14"/>
      <c r="D170" s="14"/>
      <c r="E170" s="14"/>
      <c r="F170" s="9"/>
      <c r="G170" s="9"/>
      <c r="H170" s="9"/>
      <c r="I170" s="10"/>
      <c r="J170" s="10"/>
      <c r="K170" s="14"/>
      <c r="L170" s="11"/>
      <c r="M170" s="14"/>
      <c r="N170" s="14"/>
      <c r="O170" s="4"/>
      <c r="P170" s="3"/>
      <c r="Q170" s="4"/>
      <c r="R170" s="3"/>
      <c r="S170" s="3"/>
      <c r="T170" s="3"/>
      <c r="U170" s="4"/>
      <c r="V170" s="4"/>
      <c r="W170" s="4"/>
      <c r="X170" s="4"/>
      <c r="Y170" s="4"/>
      <c r="Z170" s="11"/>
      <c r="AA170" s="16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16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6"/>
      <c r="AX170" s="15"/>
      <c r="AY170" s="15"/>
      <c r="AZ170" s="15"/>
      <c r="BA170" s="16"/>
      <c r="BB170" s="16"/>
      <c r="BC170" s="16"/>
      <c r="BD170" s="16"/>
      <c r="BE170" s="16"/>
      <c r="BF170" s="16"/>
      <c r="BG170" s="16"/>
      <c r="BH170" s="16"/>
      <c r="BI170" s="16"/>
      <c r="BJ170" s="16"/>
      <c r="BK170" s="16"/>
      <c r="BL170" s="16"/>
      <c r="BM170" s="16"/>
      <c r="BN170" s="16"/>
      <c r="BO170" s="16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  <c r="CN170" s="3"/>
      <c r="CO170" s="3"/>
      <c r="CP170" s="3"/>
      <c r="CQ170" s="3"/>
      <c r="CR170" s="3"/>
    </row>
    <row r="171" spans="1:96" ht="12" customHeight="1" x14ac:dyDescent="0.25">
      <c r="A171" s="3"/>
      <c r="B171" s="14"/>
      <c r="C171" s="14"/>
      <c r="D171" s="14"/>
      <c r="E171" s="14"/>
      <c r="F171" s="9"/>
      <c r="G171" s="9"/>
      <c r="H171" s="9"/>
      <c r="I171" s="10"/>
      <c r="J171" s="10"/>
      <c r="K171" s="14"/>
      <c r="L171" s="11"/>
      <c r="M171" s="14"/>
      <c r="N171" s="14"/>
      <c r="O171" s="4"/>
      <c r="P171" s="3"/>
      <c r="Q171" s="4"/>
      <c r="R171" s="3"/>
      <c r="S171" s="3"/>
      <c r="T171" s="3"/>
      <c r="U171" s="4"/>
      <c r="V171" s="4"/>
      <c r="W171" s="4"/>
      <c r="X171" s="4"/>
      <c r="Y171" s="4"/>
      <c r="Z171" s="11"/>
      <c r="AA171" s="16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16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6"/>
      <c r="AX171" s="15"/>
      <c r="AY171" s="15"/>
      <c r="AZ171" s="15"/>
      <c r="BA171" s="16"/>
      <c r="BB171" s="16"/>
      <c r="BC171" s="16"/>
      <c r="BD171" s="16"/>
      <c r="BE171" s="16"/>
      <c r="BF171" s="16"/>
      <c r="BG171" s="16"/>
      <c r="BH171" s="16"/>
      <c r="BI171" s="16"/>
      <c r="BJ171" s="16"/>
      <c r="BK171" s="16"/>
      <c r="BL171" s="16"/>
      <c r="BM171" s="16"/>
      <c r="BN171" s="16"/>
      <c r="BO171" s="16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  <c r="CN171" s="3"/>
      <c r="CO171" s="3"/>
      <c r="CP171" s="3"/>
      <c r="CQ171" s="3"/>
      <c r="CR171" s="3"/>
    </row>
    <row r="172" spans="1:96" ht="12" customHeight="1" x14ac:dyDescent="0.25">
      <c r="A172" s="3"/>
      <c r="B172" s="14"/>
      <c r="C172" s="14"/>
      <c r="D172" s="14"/>
      <c r="E172" s="14"/>
      <c r="F172" s="9"/>
      <c r="G172" s="9"/>
      <c r="H172" s="9"/>
      <c r="I172" s="10"/>
      <c r="J172" s="10"/>
      <c r="K172" s="14"/>
      <c r="L172" s="11"/>
      <c r="M172" s="14"/>
      <c r="N172" s="14"/>
      <c r="O172" s="4"/>
      <c r="P172" s="3"/>
      <c r="Q172" s="4"/>
      <c r="R172" s="3"/>
      <c r="S172" s="3"/>
      <c r="T172" s="3"/>
      <c r="U172" s="4"/>
      <c r="V172" s="4"/>
      <c r="W172" s="4"/>
      <c r="X172" s="4"/>
      <c r="Y172" s="4"/>
      <c r="Z172" s="11"/>
      <c r="AA172" s="16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16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6"/>
      <c r="AX172" s="15"/>
      <c r="AY172" s="15"/>
      <c r="AZ172" s="15"/>
      <c r="BA172" s="16"/>
      <c r="BB172" s="16"/>
      <c r="BC172" s="16"/>
      <c r="BD172" s="16"/>
      <c r="BE172" s="16"/>
      <c r="BF172" s="16"/>
      <c r="BG172" s="16"/>
      <c r="BH172" s="16"/>
      <c r="BI172" s="16"/>
      <c r="BJ172" s="16"/>
      <c r="BK172" s="16"/>
      <c r="BL172" s="16"/>
      <c r="BM172" s="16"/>
      <c r="BN172" s="16"/>
      <c r="BO172" s="16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  <c r="CN172" s="3"/>
      <c r="CO172" s="3"/>
      <c r="CP172" s="3"/>
      <c r="CQ172" s="3"/>
      <c r="CR172" s="3"/>
    </row>
    <row r="173" spans="1:96" ht="12" customHeight="1" x14ac:dyDescent="0.25">
      <c r="A173" s="3"/>
      <c r="B173" s="14"/>
      <c r="C173" s="14"/>
      <c r="D173" s="14"/>
      <c r="E173" s="14"/>
      <c r="F173" s="9"/>
      <c r="G173" s="9"/>
      <c r="H173" s="9"/>
      <c r="I173" s="10"/>
      <c r="J173" s="10"/>
      <c r="K173" s="14"/>
      <c r="L173" s="11"/>
      <c r="M173" s="14"/>
      <c r="N173" s="14"/>
      <c r="O173" s="4"/>
      <c r="P173" s="3"/>
      <c r="Q173" s="4"/>
      <c r="R173" s="3"/>
      <c r="S173" s="3"/>
      <c r="T173" s="3"/>
      <c r="U173" s="4"/>
      <c r="V173" s="4"/>
      <c r="W173" s="4"/>
      <c r="X173" s="4"/>
      <c r="Y173" s="4"/>
      <c r="Z173" s="11"/>
      <c r="AA173" s="16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16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6"/>
      <c r="AX173" s="15"/>
      <c r="AY173" s="15"/>
      <c r="AZ173" s="15"/>
      <c r="BA173" s="16"/>
      <c r="BB173" s="16"/>
      <c r="BC173" s="16"/>
      <c r="BD173" s="16"/>
      <c r="BE173" s="16"/>
      <c r="BF173" s="16"/>
      <c r="BG173" s="16"/>
      <c r="BH173" s="16"/>
      <c r="BI173" s="16"/>
      <c r="BJ173" s="16"/>
      <c r="BK173" s="16"/>
      <c r="BL173" s="16"/>
      <c r="BM173" s="16"/>
      <c r="BN173" s="16"/>
      <c r="BO173" s="16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  <c r="CN173" s="3"/>
      <c r="CO173" s="3"/>
      <c r="CP173" s="3"/>
      <c r="CQ173" s="3"/>
      <c r="CR173" s="3"/>
    </row>
    <row r="174" spans="1:96" ht="12" customHeight="1" x14ac:dyDescent="0.25">
      <c r="A174" s="3"/>
      <c r="B174" s="14"/>
      <c r="C174" s="14"/>
      <c r="D174" s="14"/>
      <c r="E174" s="14"/>
      <c r="F174" s="9"/>
      <c r="G174" s="9"/>
      <c r="H174" s="9"/>
      <c r="I174" s="10"/>
      <c r="J174" s="10"/>
      <c r="K174" s="14"/>
      <c r="L174" s="11"/>
      <c r="M174" s="14"/>
      <c r="N174" s="14"/>
      <c r="O174" s="4"/>
      <c r="P174" s="3"/>
      <c r="Q174" s="4"/>
      <c r="R174" s="3"/>
      <c r="S174" s="3"/>
      <c r="T174" s="3"/>
      <c r="U174" s="4"/>
      <c r="V174" s="4"/>
      <c r="W174" s="4"/>
      <c r="X174" s="4"/>
      <c r="Y174" s="4"/>
      <c r="Z174" s="11"/>
      <c r="AA174" s="16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16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6"/>
      <c r="AX174" s="15"/>
      <c r="AY174" s="15"/>
      <c r="AZ174" s="15"/>
      <c r="BA174" s="16"/>
      <c r="BB174" s="16"/>
      <c r="BC174" s="16"/>
      <c r="BD174" s="16"/>
      <c r="BE174" s="16"/>
      <c r="BF174" s="16"/>
      <c r="BG174" s="16"/>
      <c r="BH174" s="16"/>
      <c r="BI174" s="16"/>
      <c r="BJ174" s="16"/>
      <c r="BK174" s="16"/>
      <c r="BL174" s="16"/>
      <c r="BM174" s="16"/>
      <c r="BN174" s="16"/>
      <c r="BO174" s="16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  <c r="CN174" s="3"/>
      <c r="CO174" s="3"/>
      <c r="CP174" s="3"/>
      <c r="CQ174" s="3"/>
      <c r="CR174" s="3"/>
    </row>
    <row r="175" spans="1:96" ht="12" customHeight="1" x14ac:dyDescent="0.25">
      <c r="A175" s="3"/>
      <c r="B175" s="14"/>
      <c r="C175" s="14"/>
      <c r="D175" s="14"/>
      <c r="E175" s="14"/>
      <c r="F175" s="9"/>
      <c r="G175" s="9"/>
      <c r="H175" s="9"/>
      <c r="I175" s="10"/>
      <c r="J175" s="10"/>
      <c r="K175" s="14"/>
      <c r="L175" s="11"/>
      <c r="M175" s="14"/>
      <c r="N175" s="14"/>
      <c r="O175" s="4"/>
      <c r="P175" s="3"/>
      <c r="Q175" s="4"/>
      <c r="R175" s="3"/>
      <c r="S175" s="3"/>
      <c r="T175" s="3"/>
      <c r="U175" s="4"/>
      <c r="V175" s="4"/>
      <c r="W175" s="4"/>
      <c r="X175" s="4"/>
      <c r="Y175" s="4"/>
      <c r="Z175" s="11"/>
      <c r="AA175" s="16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16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6"/>
      <c r="AX175" s="15"/>
      <c r="AY175" s="15"/>
      <c r="AZ175" s="15"/>
      <c r="BA175" s="16"/>
      <c r="BB175" s="16"/>
      <c r="BC175" s="16"/>
      <c r="BD175" s="16"/>
      <c r="BE175" s="16"/>
      <c r="BF175" s="16"/>
      <c r="BG175" s="16"/>
      <c r="BH175" s="16"/>
      <c r="BI175" s="16"/>
      <c r="BJ175" s="16"/>
      <c r="BK175" s="16"/>
      <c r="BL175" s="16"/>
      <c r="BM175" s="16"/>
      <c r="BN175" s="16"/>
      <c r="BO175" s="16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  <c r="CN175" s="3"/>
      <c r="CO175" s="3"/>
      <c r="CP175" s="3"/>
      <c r="CQ175" s="3"/>
      <c r="CR175" s="3"/>
    </row>
    <row r="176" spans="1:96" ht="12" customHeight="1" x14ac:dyDescent="0.25">
      <c r="A176" s="3"/>
      <c r="B176" s="14"/>
      <c r="C176" s="14"/>
      <c r="D176" s="14"/>
      <c r="E176" s="14"/>
      <c r="F176" s="9"/>
      <c r="G176" s="9"/>
      <c r="H176" s="9"/>
      <c r="I176" s="10"/>
      <c r="J176" s="10"/>
      <c r="K176" s="14"/>
      <c r="L176" s="11"/>
      <c r="M176" s="14"/>
      <c r="N176" s="14"/>
      <c r="O176" s="4"/>
      <c r="P176" s="3"/>
      <c r="Q176" s="4"/>
      <c r="R176" s="3"/>
      <c r="S176" s="3"/>
      <c r="T176" s="3"/>
      <c r="U176" s="4"/>
      <c r="V176" s="4"/>
      <c r="W176" s="4"/>
      <c r="X176" s="4"/>
      <c r="Y176" s="4"/>
      <c r="Z176" s="11"/>
      <c r="AA176" s="16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16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6"/>
      <c r="AX176" s="15"/>
      <c r="AY176" s="15"/>
      <c r="AZ176" s="15"/>
      <c r="BA176" s="16"/>
      <c r="BB176" s="16"/>
      <c r="BC176" s="16"/>
      <c r="BD176" s="16"/>
      <c r="BE176" s="16"/>
      <c r="BF176" s="16"/>
      <c r="BG176" s="16"/>
      <c r="BH176" s="16"/>
      <c r="BI176" s="16"/>
      <c r="BJ176" s="16"/>
      <c r="BK176" s="16"/>
      <c r="BL176" s="16"/>
      <c r="BM176" s="16"/>
      <c r="BN176" s="16"/>
      <c r="BO176" s="16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  <c r="CN176" s="3"/>
      <c r="CO176" s="3"/>
      <c r="CP176" s="3"/>
      <c r="CQ176" s="3"/>
      <c r="CR176" s="3"/>
    </row>
    <row r="177" spans="1:96" ht="12" customHeight="1" x14ac:dyDescent="0.25">
      <c r="A177" s="3"/>
      <c r="B177" s="14"/>
      <c r="C177" s="14"/>
      <c r="D177" s="14"/>
      <c r="E177" s="14"/>
      <c r="F177" s="9"/>
      <c r="G177" s="9"/>
      <c r="H177" s="9"/>
      <c r="I177" s="10"/>
      <c r="J177" s="10"/>
      <c r="K177" s="14"/>
      <c r="L177" s="11"/>
      <c r="M177" s="14"/>
      <c r="N177" s="14"/>
      <c r="O177" s="4"/>
      <c r="P177" s="3"/>
      <c r="Q177" s="4"/>
      <c r="R177" s="3"/>
      <c r="S177" s="3"/>
      <c r="T177" s="3"/>
      <c r="U177" s="4"/>
      <c r="V177" s="4"/>
      <c r="W177" s="4"/>
      <c r="X177" s="4"/>
      <c r="Y177" s="4"/>
      <c r="Z177" s="11"/>
      <c r="AA177" s="16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16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6"/>
      <c r="AX177" s="15"/>
      <c r="AY177" s="15"/>
      <c r="AZ177" s="15"/>
      <c r="BA177" s="16"/>
      <c r="BB177" s="16"/>
      <c r="BC177" s="16"/>
      <c r="BD177" s="16"/>
      <c r="BE177" s="16"/>
      <c r="BF177" s="16"/>
      <c r="BG177" s="16"/>
      <c r="BH177" s="16"/>
      <c r="BI177" s="16"/>
      <c r="BJ177" s="16"/>
      <c r="BK177" s="16"/>
      <c r="BL177" s="16"/>
      <c r="BM177" s="16"/>
      <c r="BN177" s="16"/>
      <c r="BO177" s="16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  <c r="CN177" s="3"/>
      <c r="CO177" s="3"/>
      <c r="CP177" s="3"/>
      <c r="CQ177" s="3"/>
      <c r="CR177" s="3"/>
    </row>
    <row r="178" spans="1:96" ht="12" customHeight="1" x14ac:dyDescent="0.25">
      <c r="A178" s="3"/>
      <c r="B178" s="14"/>
      <c r="C178" s="14"/>
      <c r="D178" s="14"/>
      <c r="E178" s="14"/>
      <c r="F178" s="9"/>
      <c r="G178" s="9"/>
      <c r="H178" s="9"/>
      <c r="I178" s="10"/>
      <c r="J178" s="10"/>
      <c r="K178" s="14"/>
      <c r="L178" s="11"/>
      <c r="M178" s="14"/>
      <c r="N178" s="14"/>
      <c r="O178" s="4"/>
      <c r="P178" s="3"/>
      <c r="Q178" s="4"/>
      <c r="R178" s="3"/>
      <c r="S178" s="3"/>
      <c r="T178" s="3"/>
      <c r="U178" s="4"/>
      <c r="V178" s="4"/>
      <c r="W178" s="4"/>
      <c r="X178" s="4"/>
      <c r="Y178" s="4"/>
      <c r="Z178" s="11"/>
      <c r="AA178" s="16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16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6"/>
      <c r="AX178" s="15"/>
      <c r="AY178" s="15"/>
      <c r="AZ178" s="15"/>
      <c r="BA178" s="16"/>
      <c r="BB178" s="16"/>
      <c r="BC178" s="16"/>
      <c r="BD178" s="16"/>
      <c r="BE178" s="16"/>
      <c r="BF178" s="16"/>
      <c r="BG178" s="16"/>
      <c r="BH178" s="16"/>
      <c r="BI178" s="16"/>
      <c r="BJ178" s="16"/>
      <c r="BK178" s="16"/>
      <c r="BL178" s="16"/>
      <c r="BM178" s="16"/>
      <c r="BN178" s="16"/>
      <c r="BO178" s="16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  <c r="CN178" s="3"/>
      <c r="CO178" s="3"/>
      <c r="CP178" s="3"/>
      <c r="CQ178" s="3"/>
      <c r="CR178" s="3"/>
    </row>
    <row r="179" spans="1:96" ht="12" customHeight="1" x14ac:dyDescent="0.25">
      <c r="A179" s="3"/>
      <c r="B179" s="14"/>
      <c r="C179" s="14"/>
      <c r="D179" s="14"/>
      <c r="E179" s="14"/>
      <c r="F179" s="9"/>
      <c r="G179" s="9"/>
      <c r="H179" s="9"/>
      <c r="I179" s="10"/>
      <c r="J179" s="10"/>
      <c r="K179" s="14"/>
      <c r="L179" s="11"/>
      <c r="M179" s="14"/>
      <c r="N179" s="14"/>
      <c r="O179" s="4"/>
      <c r="P179" s="3"/>
      <c r="Q179" s="4"/>
      <c r="R179" s="3"/>
      <c r="S179" s="3"/>
      <c r="T179" s="3"/>
      <c r="U179" s="4"/>
      <c r="V179" s="4"/>
      <c r="W179" s="4"/>
      <c r="X179" s="4"/>
      <c r="Y179" s="4"/>
      <c r="Z179" s="11"/>
      <c r="AA179" s="16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16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6"/>
      <c r="AX179" s="15"/>
      <c r="AY179" s="15"/>
      <c r="AZ179" s="15"/>
      <c r="BA179" s="16"/>
      <c r="BB179" s="16"/>
      <c r="BC179" s="16"/>
      <c r="BD179" s="16"/>
      <c r="BE179" s="16"/>
      <c r="BF179" s="16"/>
      <c r="BG179" s="16"/>
      <c r="BH179" s="16"/>
      <c r="BI179" s="16"/>
      <c r="BJ179" s="16"/>
      <c r="BK179" s="16"/>
      <c r="BL179" s="16"/>
      <c r="BM179" s="16"/>
      <c r="BN179" s="16"/>
      <c r="BO179" s="16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  <c r="CN179" s="3"/>
      <c r="CO179" s="3"/>
      <c r="CP179" s="3"/>
      <c r="CQ179" s="3"/>
      <c r="CR179" s="3"/>
    </row>
    <row r="180" spans="1:96" ht="12" customHeight="1" x14ac:dyDescent="0.25">
      <c r="A180" s="3"/>
      <c r="B180" s="14"/>
      <c r="C180" s="14"/>
      <c r="D180" s="14"/>
      <c r="E180" s="14"/>
      <c r="F180" s="9"/>
      <c r="G180" s="9"/>
      <c r="H180" s="9"/>
      <c r="I180" s="10"/>
      <c r="J180" s="10"/>
      <c r="K180" s="14"/>
      <c r="L180" s="11"/>
      <c r="M180" s="14"/>
      <c r="N180" s="14"/>
      <c r="O180" s="4"/>
      <c r="P180" s="3"/>
      <c r="Q180" s="4"/>
      <c r="R180" s="3"/>
      <c r="S180" s="3"/>
      <c r="T180" s="3"/>
      <c r="U180" s="4"/>
      <c r="V180" s="4"/>
      <c r="W180" s="4"/>
      <c r="X180" s="4"/>
      <c r="Y180" s="4"/>
      <c r="Z180" s="11"/>
      <c r="AA180" s="16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16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6"/>
      <c r="AX180" s="15"/>
      <c r="AY180" s="15"/>
      <c r="AZ180" s="15"/>
      <c r="BA180" s="16"/>
      <c r="BB180" s="16"/>
      <c r="BC180" s="16"/>
      <c r="BD180" s="16"/>
      <c r="BE180" s="16"/>
      <c r="BF180" s="16"/>
      <c r="BG180" s="16"/>
      <c r="BH180" s="16"/>
      <c r="BI180" s="16"/>
      <c r="BJ180" s="16"/>
      <c r="BK180" s="16"/>
      <c r="BL180" s="16"/>
      <c r="BM180" s="16"/>
      <c r="BN180" s="16"/>
      <c r="BO180" s="16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  <c r="CN180" s="3"/>
      <c r="CO180" s="3"/>
      <c r="CP180" s="3"/>
      <c r="CQ180" s="3"/>
      <c r="CR180" s="3"/>
    </row>
    <row r="181" spans="1:96" ht="12" customHeight="1" x14ac:dyDescent="0.25">
      <c r="A181" s="3"/>
      <c r="B181" s="14"/>
      <c r="C181" s="14"/>
      <c r="D181" s="14"/>
      <c r="E181" s="14"/>
      <c r="F181" s="9"/>
      <c r="G181" s="9"/>
      <c r="H181" s="9"/>
      <c r="I181" s="10"/>
      <c r="J181" s="10"/>
      <c r="K181" s="14"/>
      <c r="L181" s="11"/>
      <c r="M181" s="14"/>
      <c r="N181" s="14"/>
      <c r="O181" s="4"/>
      <c r="P181" s="3"/>
      <c r="Q181" s="4"/>
      <c r="R181" s="3"/>
      <c r="S181" s="3"/>
      <c r="T181" s="3"/>
      <c r="U181" s="4"/>
      <c r="V181" s="4"/>
      <c r="W181" s="4"/>
      <c r="X181" s="4"/>
      <c r="Y181" s="4"/>
      <c r="Z181" s="11"/>
      <c r="AA181" s="16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16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6"/>
      <c r="AX181" s="15"/>
      <c r="AY181" s="15"/>
      <c r="AZ181" s="15"/>
      <c r="BA181" s="16"/>
      <c r="BB181" s="16"/>
      <c r="BC181" s="16"/>
      <c r="BD181" s="16"/>
      <c r="BE181" s="16"/>
      <c r="BF181" s="16"/>
      <c r="BG181" s="16"/>
      <c r="BH181" s="16"/>
      <c r="BI181" s="16"/>
      <c r="BJ181" s="16"/>
      <c r="BK181" s="16"/>
      <c r="BL181" s="16"/>
      <c r="BM181" s="16"/>
      <c r="BN181" s="16"/>
      <c r="BO181" s="16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  <c r="CN181" s="3"/>
      <c r="CO181" s="3"/>
      <c r="CP181" s="3"/>
      <c r="CQ181" s="3"/>
      <c r="CR181" s="3"/>
    </row>
    <row r="182" spans="1:96" ht="12" customHeight="1" x14ac:dyDescent="0.25">
      <c r="A182" s="3"/>
      <c r="B182" s="14"/>
      <c r="C182" s="14"/>
      <c r="D182" s="14"/>
      <c r="E182" s="14"/>
      <c r="F182" s="9"/>
      <c r="G182" s="9"/>
      <c r="H182" s="9"/>
      <c r="I182" s="10"/>
      <c r="J182" s="10"/>
      <c r="K182" s="14"/>
      <c r="L182" s="11"/>
      <c r="M182" s="14"/>
      <c r="N182" s="14"/>
      <c r="O182" s="4"/>
      <c r="P182" s="3"/>
      <c r="Q182" s="4"/>
      <c r="R182" s="3"/>
      <c r="S182" s="3"/>
      <c r="T182" s="3"/>
      <c r="U182" s="4"/>
      <c r="V182" s="4"/>
      <c r="W182" s="4"/>
      <c r="X182" s="4"/>
      <c r="Y182" s="4"/>
      <c r="Z182" s="11"/>
      <c r="AA182" s="16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16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6"/>
      <c r="AX182" s="15"/>
      <c r="AY182" s="15"/>
      <c r="AZ182" s="15"/>
      <c r="BA182" s="16"/>
      <c r="BB182" s="16"/>
      <c r="BC182" s="16"/>
      <c r="BD182" s="16"/>
      <c r="BE182" s="16"/>
      <c r="BF182" s="16"/>
      <c r="BG182" s="16"/>
      <c r="BH182" s="16"/>
      <c r="BI182" s="16"/>
      <c r="BJ182" s="16"/>
      <c r="BK182" s="16"/>
      <c r="BL182" s="16"/>
      <c r="BM182" s="16"/>
      <c r="BN182" s="16"/>
      <c r="BO182" s="16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  <c r="CN182" s="3"/>
      <c r="CO182" s="3"/>
      <c r="CP182" s="3"/>
      <c r="CQ182" s="3"/>
      <c r="CR182" s="3"/>
    </row>
    <row r="183" spans="1:96" ht="12" customHeight="1" x14ac:dyDescent="0.25">
      <c r="A183" s="3"/>
      <c r="B183" s="14"/>
      <c r="C183" s="14"/>
      <c r="D183" s="14"/>
      <c r="E183" s="14"/>
      <c r="F183" s="9"/>
      <c r="G183" s="9"/>
      <c r="H183" s="9"/>
      <c r="I183" s="10"/>
      <c r="J183" s="10"/>
      <c r="K183" s="14"/>
      <c r="L183" s="11"/>
      <c r="M183" s="14"/>
      <c r="N183" s="14"/>
      <c r="O183" s="4"/>
      <c r="P183" s="3"/>
      <c r="Q183" s="4"/>
      <c r="R183" s="3"/>
      <c r="S183" s="3"/>
      <c r="T183" s="3"/>
      <c r="U183" s="4"/>
      <c r="V183" s="4"/>
      <c r="W183" s="4"/>
      <c r="X183" s="4"/>
      <c r="Y183" s="4"/>
      <c r="Z183" s="11"/>
      <c r="AA183" s="16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16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6"/>
      <c r="AX183" s="15"/>
      <c r="AY183" s="15"/>
      <c r="AZ183" s="15"/>
      <c r="BA183" s="16"/>
      <c r="BB183" s="16"/>
      <c r="BC183" s="16"/>
      <c r="BD183" s="16"/>
      <c r="BE183" s="16"/>
      <c r="BF183" s="16"/>
      <c r="BG183" s="16"/>
      <c r="BH183" s="16"/>
      <c r="BI183" s="16"/>
      <c r="BJ183" s="16"/>
      <c r="BK183" s="16"/>
      <c r="BL183" s="16"/>
      <c r="BM183" s="16"/>
      <c r="BN183" s="16"/>
      <c r="BO183" s="16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  <c r="CN183" s="3"/>
      <c r="CO183" s="3"/>
      <c r="CP183" s="3"/>
      <c r="CQ183" s="3"/>
      <c r="CR183" s="3"/>
    </row>
    <row r="184" spans="1:96" ht="12" customHeight="1" x14ac:dyDescent="0.25">
      <c r="A184" s="3"/>
      <c r="B184" s="14"/>
      <c r="C184" s="14"/>
      <c r="D184" s="14"/>
      <c r="E184" s="14"/>
      <c r="F184" s="9"/>
      <c r="G184" s="9"/>
      <c r="H184" s="9"/>
      <c r="I184" s="10"/>
      <c r="J184" s="10"/>
      <c r="K184" s="14"/>
      <c r="L184" s="11"/>
      <c r="M184" s="14"/>
      <c r="N184" s="14"/>
      <c r="O184" s="4"/>
      <c r="P184" s="3"/>
      <c r="Q184" s="4"/>
      <c r="R184" s="3"/>
      <c r="S184" s="3"/>
      <c r="T184" s="3"/>
      <c r="U184" s="4"/>
      <c r="V184" s="4"/>
      <c r="W184" s="4"/>
      <c r="X184" s="4"/>
      <c r="Y184" s="4"/>
      <c r="Z184" s="11"/>
      <c r="AA184" s="16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16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6"/>
      <c r="AX184" s="15"/>
      <c r="AY184" s="15"/>
      <c r="AZ184" s="15"/>
      <c r="BA184" s="16"/>
      <c r="BB184" s="16"/>
      <c r="BC184" s="16"/>
      <c r="BD184" s="16"/>
      <c r="BE184" s="16"/>
      <c r="BF184" s="16"/>
      <c r="BG184" s="16"/>
      <c r="BH184" s="16"/>
      <c r="BI184" s="16"/>
      <c r="BJ184" s="16"/>
      <c r="BK184" s="16"/>
      <c r="BL184" s="16"/>
      <c r="BM184" s="16"/>
      <c r="BN184" s="16"/>
      <c r="BO184" s="16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  <c r="CN184" s="3"/>
      <c r="CO184" s="3"/>
      <c r="CP184" s="3"/>
      <c r="CQ184" s="3"/>
      <c r="CR184" s="3"/>
    </row>
    <row r="185" spans="1:96" ht="12" customHeight="1" x14ac:dyDescent="0.25">
      <c r="A185" s="3"/>
      <c r="B185" s="14"/>
      <c r="C185" s="14"/>
      <c r="D185" s="14"/>
      <c r="E185" s="14"/>
      <c r="F185" s="9"/>
      <c r="G185" s="9"/>
      <c r="H185" s="9"/>
      <c r="I185" s="10"/>
      <c r="J185" s="10"/>
      <c r="K185" s="14"/>
      <c r="L185" s="11"/>
      <c r="M185" s="14"/>
      <c r="N185" s="14"/>
      <c r="O185" s="4"/>
      <c r="P185" s="3"/>
      <c r="Q185" s="4"/>
      <c r="R185" s="3"/>
      <c r="S185" s="3"/>
      <c r="T185" s="3"/>
      <c r="U185" s="4"/>
      <c r="V185" s="4"/>
      <c r="W185" s="4"/>
      <c r="X185" s="4"/>
      <c r="Y185" s="4"/>
      <c r="Z185" s="11"/>
      <c r="AA185" s="16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16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6"/>
      <c r="AX185" s="15"/>
      <c r="AY185" s="15"/>
      <c r="AZ185" s="15"/>
      <c r="BA185" s="16"/>
      <c r="BB185" s="16"/>
      <c r="BC185" s="16"/>
      <c r="BD185" s="16"/>
      <c r="BE185" s="16"/>
      <c r="BF185" s="16"/>
      <c r="BG185" s="16"/>
      <c r="BH185" s="16"/>
      <c r="BI185" s="16"/>
      <c r="BJ185" s="16"/>
      <c r="BK185" s="16"/>
      <c r="BL185" s="16"/>
      <c r="BM185" s="16"/>
      <c r="BN185" s="16"/>
      <c r="BO185" s="16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  <c r="CN185" s="3"/>
      <c r="CO185" s="3"/>
      <c r="CP185" s="3"/>
      <c r="CQ185" s="3"/>
      <c r="CR185" s="3"/>
    </row>
    <row r="186" spans="1:96" ht="12" customHeight="1" x14ac:dyDescent="0.25">
      <c r="A186" s="3"/>
      <c r="B186" s="14"/>
      <c r="C186" s="14"/>
      <c r="D186" s="14"/>
      <c r="E186" s="14"/>
      <c r="F186" s="9"/>
      <c r="G186" s="9"/>
      <c r="H186" s="9"/>
      <c r="I186" s="10"/>
      <c r="J186" s="10"/>
      <c r="K186" s="14"/>
      <c r="L186" s="11"/>
      <c r="M186" s="14"/>
      <c r="N186" s="14"/>
      <c r="O186" s="4"/>
      <c r="P186" s="3"/>
      <c r="Q186" s="4"/>
      <c r="R186" s="3"/>
      <c r="S186" s="3"/>
      <c r="T186" s="3"/>
      <c r="U186" s="4"/>
      <c r="V186" s="4"/>
      <c r="W186" s="4"/>
      <c r="X186" s="4"/>
      <c r="Y186" s="4"/>
      <c r="Z186" s="11"/>
      <c r="AA186" s="16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16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6"/>
      <c r="AX186" s="15"/>
      <c r="AY186" s="15"/>
      <c r="AZ186" s="15"/>
      <c r="BA186" s="16"/>
      <c r="BB186" s="16"/>
      <c r="BC186" s="16"/>
      <c r="BD186" s="16"/>
      <c r="BE186" s="16"/>
      <c r="BF186" s="16"/>
      <c r="BG186" s="16"/>
      <c r="BH186" s="16"/>
      <c r="BI186" s="16"/>
      <c r="BJ186" s="16"/>
      <c r="BK186" s="16"/>
      <c r="BL186" s="16"/>
      <c r="BM186" s="16"/>
      <c r="BN186" s="16"/>
      <c r="BO186" s="16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  <c r="CN186" s="3"/>
      <c r="CO186" s="3"/>
      <c r="CP186" s="3"/>
      <c r="CQ186" s="3"/>
      <c r="CR186" s="3"/>
    </row>
    <row r="187" spans="1:96" ht="12" customHeight="1" x14ac:dyDescent="0.25">
      <c r="A187" s="3"/>
      <c r="B187" s="14"/>
      <c r="C187" s="14"/>
      <c r="D187" s="14"/>
      <c r="E187" s="14"/>
      <c r="F187" s="9"/>
      <c r="G187" s="9"/>
      <c r="H187" s="9"/>
      <c r="I187" s="10"/>
      <c r="J187" s="10"/>
      <c r="K187" s="14"/>
      <c r="L187" s="11"/>
      <c r="M187" s="14"/>
      <c r="N187" s="14"/>
      <c r="O187" s="4"/>
      <c r="P187" s="3"/>
      <c r="Q187" s="4"/>
      <c r="R187" s="3"/>
      <c r="S187" s="3"/>
      <c r="T187" s="3"/>
      <c r="U187" s="4"/>
      <c r="V187" s="4"/>
      <c r="W187" s="4"/>
      <c r="X187" s="4"/>
      <c r="Y187" s="4"/>
      <c r="Z187" s="11"/>
      <c r="AA187" s="16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16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6"/>
      <c r="AX187" s="15"/>
      <c r="AY187" s="15"/>
      <c r="AZ187" s="15"/>
      <c r="BA187" s="16"/>
      <c r="BB187" s="16"/>
      <c r="BC187" s="16"/>
      <c r="BD187" s="16"/>
      <c r="BE187" s="16"/>
      <c r="BF187" s="16"/>
      <c r="BG187" s="16"/>
      <c r="BH187" s="16"/>
      <c r="BI187" s="16"/>
      <c r="BJ187" s="16"/>
      <c r="BK187" s="16"/>
      <c r="BL187" s="16"/>
      <c r="BM187" s="16"/>
      <c r="BN187" s="16"/>
      <c r="BO187" s="16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  <c r="CN187" s="3"/>
      <c r="CO187" s="3"/>
      <c r="CP187" s="3"/>
      <c r="CQ187" s="3"/>
      <c r="CR187" s="3"/>
    </row>
    <row r="188" spans="1:96" ht="12" customHeight="1" x14ac:dyDescent="0.25">
      <c r="A188" s="3"/>
      <c r="B188" s="14"/>
      <c r="C188" s="14"/>
      <c r="D188" s="14"/>
      <c r="E188" s="14"/>
      <c r="F188" s="9"/>
      <c r="G188" s="9"/>
      <c r="H188" s="9"/>
      <c r="I188" s="10"/>
      <c r="J188" s="10"/>
      <c r="K188" s="14"/>
      <c r="L188" s="11"/>
      <c r="M188" s="14"/>
      <c r="N188" s="14"/>
      <c r="O188" s="4"/>
      <c r="P188" s="3"/>
      <c r="Q188" s="4"/>
      <c r="R188" s="3"/>
      <c r="S188" s="3"/>
      <c r="T188" s="3"/>
      <c r="U188" s="4"/>
      <c r="V188" s="4"/>
      <c r="W188" s="4"/>
      <c r="X188" s="4"/>
      <c r="Y188" s="4"/>
      <c r="Z188" s="11"/>
      <c r="AA188" s="16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16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6"/>
      <c r="AX188" s="15"/>
      <c r="AY188" s="15"/>
      <c r="AZ188" s="15"/>
      <c r="BA188" s="16"/>
      <c r="BB188" s="16"/>
      <c r="BC188" s="16"/>
      <c r="BD188" s="16"/>
      <c r="BE188" s="16"/>
      <c r="BF188" s="16"/>
      <c r="BG188" s="16"/>
      <c r="BH188" s="16"/>
      <c r="BI188" s="16"/>
      <c r="BJ188" s="16"/>
      <c r="BK188" s="16"/>
      <c r="BL188" s="16"/>
      <c r="BM188" s="16"/>
      <c r="BN188" s="16"/>
      <c r="BO188" s="16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  <c r="CN188" s="3"/>
      <c r="CO188" s="3"/>
      <c r="CP188" s="3"/>
      <c r="CQ188" s="3"/>
      <c r="CR188" s="3"/>
    </row>
    <row r="189" spans="1:96" ht="12" customHeight="1" x14ac:dyDescent="0.25">
      <c r="A189" s="3"/>
      <c r="B189" s="14"/>
      <c r="C189" s="14"/>
      <c r="D189" s="14"/>
      <c r="E189" s="14"/>
      <c r="F189" s="9"/>
      <c r="G189" s="9"/>
      <c r="H189" s="9"/>
      <c r="I189" s="10"/>
      <c r="J189" s="10"/>
      <c r="K189" s="14"/>
      <c r="L189" s="11"/>
      <c r="M189" s="14"/>
      <c r="N189" s="14"/>
      <c r="O189" s="4"/>
      <c r="P189" s="3"/>
      <c r="Q189" s="4"/>
      <c r="R189" s="3"/>
      <c r="S189" s="3"/>
      <c r="T189" s="3"/>
      <c r="U189" s="4"/>
      <c r="V189" s="4"/>
      <c r="W189" s="4"/>
      <c r="X189" s="4"/>
      <c r="Y189" s="4"/>
      <c r="Z189" s="11"/>
      <c r="AA189" s="16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16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6"/>
      <c r="AX189" s="15"/>
      <c r="AY189" s="15"/>
      <c r="AZ189" s="15"/>
      <c r="BA189" s="16"/>
      <c r="BB189" s="16"/>
      <c r="BC189" s="16"/>
      <c r="BD189" s="16"/>
      <c r="BE189" s="16"/>
      <c r="BF189" s="16"/>
      <c r="BG189" s="16"/>
      <c r="BH189" s="16"/>
      <c r="BI189" s="16"/>
      <c r="BJ189" s="16"/>
      <c r="BK189" s="16"/>
      <c r="BL189" s="16"/>
      <c r="BM189" s="16"/>
      <c r="BN189" s="16"/>
      <c r="BO189" s="16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  <c r="CN189" s="3"/>
      <c r="CO189" s="3"/>
      <c r="CP189" s="3"/>
      <c r="CQ189" s="3"/>
      <c r="CR189" s="3"/>
    </row>
    <row r="190" spans="1:96" ht="12" customHeight="1" x14ac:dyDescent="0.25">
      <c r="A190" s="3"/>
      <c r="B190" s="14"/>
      <c r="C190" s="14"/>
      <c r="D190" s="14"/>
      <c r="E190" s="14"/>
      <c r="F190" s="9"/>
      <c r="G190" s="9"/>
      <c r="H190" s="9"/>
      <c r="I190" s="10"/>
      <c r="J190" s="10"/>
      <c r="K190" s="14"/>
      <c r="L190" s="11"/>
      <c r="M190" s="14"/>
      <c r="N190" s="14"/>
      <c r="O190" s="4"/>
      <c r="P190" s="3"/>
      <c r="Q190" s="4"/>
      <c r="R190" s="3"/>
      <c r="S190" s="3"/>
      <c r="T190" s="3"/>
      <c r="U190" s="4"/>
      <c r="V190" s="4"/>
      <c r="W190" s="4"/>
      <c r="X190" s="4"/>
      <c r="Y190" s="4"/>
      <c r="Z190" s="11"/>
      <c r="AA190" s="16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16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6"/>
      <c r="AX190" s="15"/>
      <c r="AY190" s="15"/>
      <c r="AZ190" s="15"/>
      <c r="BA190" s="16"/>
      <c r="BB190" s="16"/>
      <c r="BC190" s="16"/>
      <c r="BD190" s="16"/>
      <c r="BE190" s="16"/>
      <c r="BF190" s="16"/>
      <c r="BG190" s="16"/>
      <c r="BH190" s="16"/>
      <c r="BI190" s="16"/>
      <c r="BJ190" s="16"/>
      <c r="BK190" s="16"/>
      <c r="BL190" s="16"/>
      <c r="BM190" s="16"/>
      <c r="BN190" s="16"/>
      <c r="BO190" s="16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  <c r="CN190" s="3"/>
      <c r="CO190" s="3"/>
      <c r="CP190" s="3"/>
      <c r="CQ190" s="3"/>
      <c r="CR190" s="3"/>
    </row>
    <row r="191" spans="1:96" ht="12" customHeight="1" x14ac:dyDescent="0.25">
      <c r="A191" s="3"/>
      <c r="B191" s="14"/>
      <c r="C191" s="14"/>
      <c r="D191" s="14"/>
      <c r="E191" s="14"/>
      <c r="F191" s="9"/>
      <c r="G191" s="9"/>
      <c r="H191" s="9"/>
      <c r="I191" s="10"/>
      <c r="J191" s="10"/>
      <c r="K191" s="14"/>
      <c r="L191" s="11"/>
      <c r="M191" s="14"/>
      <c r="N191" s="14"/>
      <c r="O191" s="4"/>
      <c r="P191" s="3"/>
      <c r="Q191" s="4"/>
      <c r="R191" s="3"/>
      <c r="S191" s="3"/>
      <c r="T191" s="3"/>
      <c r="U191" s="4"/>
      <c r="V191" s="4"/>
      <c r="W191" s="4"/>
      <c r="X191" s="4"/>
      <c r="Y191" s="4"/>
      <c r="Z191" s="11"/>
      <c r="AA191" s="16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16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6"/>
      <c r="AX191" s="15"/>
      <c r="AY191" s="15"/>
      <c r="AZ191" s="15"/>
      <c r="BA191" s="16"/>
      <c r="BB191" s="16"/>
      <c r="BC191" s="16"/>
      <c r="BD191" s="16"/>
      <c r="BE191" s="16"/>
      <c r="BF191" s="16"/>
      <c r="BG191" s="16"/>
      <c r="BH191" s="16"/>
      <c r="BI191" s="16"/>
      <c r="BJ191" s="16"/>
      <c r="BK191" s="16"/>
      <c r="BL191" s="16"/>
      <c r="BM191" s="16"/>
      <c r="BN191" s="16"/>
      <c r="BO191" s="16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  <c r="CN191" s="3"/>
      <c r="CO191" s="3"/>
      <c r="CP191" s="3"/>
      <c r="CQ191" s="3"/>
      <c r="CR191" s="3"/>
    </row>
    <row r="192" spans="1:96" ht="12" customHeight="1" x14ac:dyDescent="0.25">
      <c r="A192" s="3"/>
      <c r="B192" s="14"/>
      <c r="C192" s="14"/>
      <c r="D192" s="14"/>
      <c r="E192" s="14"/>
      <c r="F192" s="9"/>
      <c r="G192" s="9"/>
      <c r="H192" s="9"/>
      <c r="I192" s="10"/>
      <c r="J192" s="10"/>
      <c r="K192" s="14"/>
      <c r="L192" s="11"/>
      <c r="M192" s="14"/>
      <c r="N192" s="14"/>
      <c r="O192" s="4"/>
      <c r="P192" s="3"/>
      <c r="Q192" s="4"/>
      <c r="R192" s="3"/>
      <c r="S192" s="3"/>
      <c r="T192" s="3"/>
      <c r="U192" s="4"/>
      <c r="V192" s="4"/>
      <c r="W192" s="4"/>
      <c r="X192" s="4"/>
      <c r="Y192" s="4"/>
      <c r="Z192" s="11"/>
      <c r="AA192" s="16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16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6"/>
      <c r="AX192" s="15"/>
      <c r="AY192" s="15"/>
      <c r="AZ192" s="15"/>
      <c r="BA192" s="16"/>
      <c r="BB192" s="16"/>
      <c r="BC192" s="16"/>
      <c r="BD192" s="16"/>
      <c r="BE192" s="16"/>
      <c r="BF192" s="16"/>
      <c r="BG192" s="16"/>
      <c r="BH192" s="16"/>
      <c r="BI192" s="16"/>
      <c r="BJ192" s="16"/>
      <c r="BK192" s="16"/>
      <c r="BL192" s="16"/>
      <c r="BM192" s="16"/>
      <c r="BN192" s="16"/>
      <c r="BO192" s="16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  <c r="CN192" s="3"/>
      <c r="CO192" s="3"/>
      <c r="CP192" s="3"/>
      <c r="CQ192" s="3"/>
      <c r="CR192" s="3"/>
    </row>
    <row r="193" spans="1:96" ht="12" customHeight="1" x14ac:dyDescent="0.25">
      <c r="A193" s="3"/>
      <c r="B193" s="14"/>
      <c r="C193" s="14"/>
      <c r="D193" s="14"/>
      <c r="E193" s="14"/>
      <c r="F193" s="9"/>
      <c r="G193" s="9"/>
      <c r="H193" s="9"/>
      <c r="I193" s="10"/>
      <c r="J193" s="10"/>
      <c r="K193" s="14"/>
      <c r="L193" s="11"/>
      <c r="M193" s="14"/>
      <c r="N193" s="14"/>
      <c r="O193" s="4"/>
      <c r="P193" s="3"/>
      <c r="Q193" s="4"/>
      <c r="R193" s="3"/>
      <c r="S193" s="3"/>
      <c r="T193" s="3"/>
      <c r="U193" s="4"/>
      <c r="V193" s="4"/>
      <c r="W193" s="4"/>
      <c r="X193" s="4"/>
      <c r="Y193" s="4"/>
      <c r="Z193" s="11"/>
      <c r="AA193" s="16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16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6"/>
      <c r="AX193" s="15"/>
      <c r="AY193" s="15"/>
      <c r="AZ193" s="15"/>
      <c r="BA193" s="16"/>
      <c r="BB193" s="16"/>
      <c r="BC193" s="16"/>
      <c r="BD193" s="16"/>
      <c r="BE193" s="16"/>
      <c r="BF193" s="16"/>
      <c r="BG193" s="16"/>
      <c r="BH193" s="16"/>
      <c r="BI193" s="16"/>
      <c r="BJ193" s="16"/>
      <c r="BK193" s="16"/>
      <c r="BL193" s="16"/>
      <c r="BM193" s="16"/>
      <c r="BN193" s="16"/>
      <c r="BO193" s="16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  <c r="CN193" s="3"/>
      <c r="CO193" s="3"/>
      <c r="CP193" s="3"/>
      <c r="CQ193" s="3"/>
      <c r="CR193" s="3"/>
    </row>
    <row r="194" spans="1:96" ht="12" customHeight="1" x14ac:dyDescent="0.25">
      <c r="A194" s="3"/>
      <c r="B194" s="14"/>
      <c r="C194" s="14"/>
      <c r="D194" s="14"/>
      <c r="E194" s="14"/>
      <c r="F194" s="9"/>
      <c r="G194" s="9"/>
      <c r="H194" s="9"/>
      <c r="I194" s="10"/>
      <c r="J194" s="10"/>
      <c r="K194" s="14"/>
      <c r="L194" s="11"/>
      <c r="M194" s="14"/>
      <c r="N194" s="14"/>
      <c r="O194" s="4"/>
      <c r="P194" s="3"/>
      <c r="Q194" s="4"/>
      <c r="R194" s="3"/>
      <c r="S194" s="3"/>
      <c r="T194" s="3"/>
      <c r="U194" s="4"/>
      <c r="V194" s="4"/>
      <c r="W194" s="4"/>
      <c r="X194" s="4"/>
      <c r="Y194" s="4"/>
      <c r="Z194" s="11"/>
      <c r="AA194" s="16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16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6"/>
      <c r="AX194" s="15"/>
      <c r="AY194" s="15"/>
      <c r="AZ194" s="15"/>
      <c r="BA194" s="16"/>
      <c r="BB194" s="16"/>
      <c r="BC194" s="16"/>
      <c r="BD194" s="16"/>
      <c r="BE194" s="16"/>
      <c r="BF194" s="16"/>
      <c r="BG194" s="16"/>
      <c r="BH194" s="16"/>
      <c r="BI194" s="16"/>
      <c r="BJ194" s="16"/>
      <c r="BK194" s="16"/>
      <c r="BL194" s="16"/>
      <c r="BM194" s="16"/>
      <c r="BN194" s="16"/>
      <c r="BO194" s="16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  <c r="CN194" s="3"/>
      <c r="CO194" s="3"/>
      <c r="CP194" s="3"/>
      <c r="CQ194" s="3"/>
      <c r="CR194" s="3"/>
    </row>
    <row r="195" spans="1:96" ht="12" customHeight="1" x14ac:dyDescent="0.25">
      <c r="A195" s="3"/>
      <c r="B195" s="14"/>
      <c r="C195" s="14"/>
      <c r="D195" s="14"/>
      <c r="E195" s="14"/>
      <c r="F195" s="9"/>
      <c r="G195" s="9"/>
      <c r="H195" s="9"/>
      <c r="I195" s="10"/>
      <c r="J195" s="10"/>
      <c r="K195" s="14"/>
      <c r="L195" s="11"/>
      <c r="M195" s="14"/>
      <c r="N195" s="14"/>
      <c r="O195" s="4"/>
      <c r="P195" s="3"/>
      <c r="Q195" s="4"/>
      <c r="R195" s="3"/>
      <c r="S195" s="3"/>
      <c r="T195" s="3"/>
      <c r="U195" s="4"/>
      <c r="V195" s="4"/>
      <c r="W195" s="4"/>
      <c r="X195" s="4"/>
      <c r="Y195" s="4"/>
      <c r="Z195" s="11"/>
      <c r="AA195" s="16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16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6"/>
      <c r="AX195" s="15"/>
      <c r="AY195" s="15"/>
      <c r="AZ195" s="15"/>
      <c r="BA195" s="16"/>
      <c r="BB195" s="16"/>
      <c r="BC195" s="16"/>
      <c r="BD195" s="16"/>
      <c r="BE195" s="16"/>
      <c r="BF195" s="16"/>
      <c r="BG195" s="16"/>
      <c r="BH195" s="16"/>
      <c r="BI195" s="16"/>
      <c r="BJ195" s="16"/>
      <c r="BK195" s="16"/>
      <c r="BL195" s="16"/>
      <c r="BM195" s="16"/>
      <c r="BN195" s="16"/>
      <c r="BO195" s="16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  <c r="CN195" s="3"/>
      <c r="CO195" s="3"/>
      <c r="CP195" s="3"/>
      <c r="CQ195" s="3"/>
      <c r="CR195" s="3"/>
    </row>
    <row r="196" spans="1:96" ht="12" customHeight="1" x14ac:dyDescent="0.25">
      <c r="A196" s="3"/>
      <c r="B196" s="14"/>
      <c r="C196" s="14"/>
      <c r="D196" s="14"/>
      <c r="E196" s="14"/>
      <c r="F196" s="9"/>
      <c r="G196" s="9"/>
      <c r="H196" s="9"/>
      <c r="I196" s="10"/>
      <c r="J196" s="10"/>
      <c r="K196" s="14"/>
      <c r="L196" s="11"/>
      <c r="M196" s="14"/>
      <c r="N196" s="14"/>
      <c r="O196" s="4"/>
      <c r="P196" s="3"/>
      <c r="Q196" s="4"/>
      <c r="R196" s="3"/>
      <c r="S196" s="3"/>
      <c r="T196" s="3"/>
      <c r="U196" s="4"/>
      <c r="V196" s="4"/>
      <c r="W196" s="4"/>
      <c r="X196" s="4"/>
      <c r="Y196" s="4"/>
      <c r="Z196" s="11"/>
      <c r="AA196" s="16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16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6"/>
      <c r="AX196" s="15"/>
      <c r="AY196" s="15"/>
      <c r="AZ196" s="15"/>
      <c r="BA196" s="16"/>
      <c r="BB196" s="16"/>
      <c r="BC196" s="16"/>
      <c r="BD196" s="16"/>
      <c r="BE196" s="16"/>
      <c r="BF196" s="16"/>
      <c r="BG196" s="16"/>
      <c r="BH196" s="16"/>
      <c r="BI196" s="16"/>
      <c r="BJ196" s="16"/>
      <c r="BK196" s="16"/>
      <c r="BL196" s="16"/>
      <c r="BM196" s="16"/>
      <c r="BN196" s="16"/>
      <c r="BO196" s="16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  <c r="CN196" s="3"/>
      <c r="CO196" s="3"/>
      <c r="CP196" s="3"/>
      <c r="CQ196" s="3"/>
      <c r="CR196" s="3"/>
    </row>
    <row r="197" spans="1:96" ht="12" customHeight="1" x14ac:dyDescent="0.25">
      <c r="A197" s="3"/>
      <c r="B197" s="14"/>
      <c r="C197" s="14"/>
      <c r="D197" s="14"/>
      <c r="E197" s="14"/>
      <c r="F197" s="9"/>
      <c r="G197" s="9"/>
      <c r="H197" s="9"/>
      <c r="I197" s="10"/>
      <c r="J197" s="10"/>
      <c r="K197" s="14"/>
      <c r="L197" s="11"/>
      <c r="M197" s="14"/>
      <c r="N197" s="14"/>
      <c r="O197" s="4"/>
      <c r="P197" s="3"/>
      <c r="Q197" s="4"/>
      <c r="R197" s="3"/>
      <c r="S197" s="3"/>
      <c r="T197" s="3"/>
      <c r="U197" s="4"/>
      <c r="V197" s="4"/>
      <c r="W197" s="4"/>
      <c r="X197" s="4"/>
      <c r="Y197" s="4"/>
      <c r="Z197" s="11"/>
      <c r="AA197" s="16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16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6"/>
      <c r="AX197" s="15"/>
      <c r="AY197" s="15"/>
      <c r="AZ197" s="15"/>
      <c r="BA197" s="16"/>
      <c r="BB197" s="16"/>
      <c r="BC197" s="16"/>
      <c r="BD197" s="16"/>
      <c r="BE197" s="16"/>
      <c r="BF197" s="16"/>
      <c r="BG197" s="16"/>
      <c r="BH197" s="16"/>
      <c r="BI197" s="16"/>
      <c r="BJ197" s="16"/>
      <c r="BK197" s="16"/>
      <c r="BL197" s="16"/>
      <c r="BM197" s="16"/>
      <c r="BN197" s="16"/>
      <c r="BO197" s="16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  <c r="CN197" s="3"/>
      <c r="CO197" s="3"/>
      <c r="CP197" s="3"/>
      <c r="CQ197" s="3"/>
      <c r="CR197" s="3"/>
    </row>
    <row r="198" spans="1:96" ht="12" customHeight="1" x14ac:dyDescent="0.25">
      <c r="A198" s="3"/>
      <c r="B198" s="14"/>
      <c r="C198" s="14"/>
      <c r="D198" s="14"/>
      <c r="E198" s="14"/>
      <c r="F198" s="9"/>
      <c r="G198" s="9"/>
      <c r="H198" s="9"/>
      <c r="I198" s="10"/>
      <c r="J198" s="10"/>
      <c r="K198" s="14"/>
      <c r="L198" s="11"/>
      <c r="M198" s="14"/>
      <c r="N198" s="14"/>
      <c r="O198" s="4"/>
      <c r="P198" s="3"/>
      <c r="Q198" s="4"/>
      <c r="R198" s="3"/>
      <c r="S198" s="3"/>
      <c r="T198" s="3"/>
      <c r="U198" s="4"/>
      <c r="V198" s="4"/>
      <c r="W198" s="4"/>
      <c r="X198" s="4"/>
      <c r="Y198" s="4"/>
      <c r="Z198" s="11"/>
      <c r="AA198" s="16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16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6"/>
      <c r="AX198" s="15"/>
      <c r="AY198" s="15"/>
      <c r="AZ198" s="15"/>
      <c r="BA198" s="16"/>
      <c r="BB198" s="16"/>
      <c r="BC198" s="16"/>
      <c r="BD198" s="16"/>
      <c r="BE198" s="16"/>
      <c r="BF198" s="16"/>
      <c r="BG198" s="16"/>
      <c r="BH198" s="16"/>
      <c r="BI198" s="16"/>
      <c r="BJ198" s="16"/>
      <c r="BK198" s="16"/>
      <c r="BL198" s="16"/>
      <c r="BM198" s="16"/>
      <c r="BN198" s="16"/>
      <c r="BO198" s="16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  <c r="CN198" s="3"/>
      <c r="CO198" s="3"/>
      <c r="CP198" s="3"/>
      <c r="CQ198" s="3"/>
      <c r="CR198" s="3"/>
    </row>
    <row r="199" spans="1:96" ht="12" customHeight="1" x14ac:dyDescent="0.25">
      <c r="A199" s="3"/>
      <c r="B199" s="14"/>
      <c r="C199" s="14"/>
      <c r="D199" s="14"/>
      <c r="E199" s="14"/>
      <c r="F199" s="9"/>
      <c r="G199" s="9"/>
      <c r="H199" s="9"/>
      <c r="I199" s="10"/>
      <c r="J199" s="10"/>
      <c r="K199" s="14"/>
      <c r="L199" s="11"/>
      <c r="M199" s="14"/>
      <c r="N199" s="14"/>
      <c r="O199" s="4"/>
      <c r="P199" s="3"/>
      <c r="Q199" s="4"/>
      <c r="R199" s="3"/>
      <c r="S199" s="3"/>
      <c r="T199" s="3"/>
      <c r="U199" s="4"/>
      <c r="V199" s="4"/>
      <c r="W199" s="4"/>
      <c r="X199" s="4"/>
      <c r="Y199" s="4"/>
      <c r="Z199" s="11"/>
      <c r="AA199" s="16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16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6"/>
      <c r="AX199" s="15"/>
      <c r="AY199" s="15"/>
      <c r="AZ199" s="15"/>
      <c r="BA199" s="16"/>
      <c r="BB199" s="16"/>
      <c r="BC199" s="16"/>
      <c r="BD199" s="16"/>
      <c r="BE199" s="16"/>
      <c r="BF199" s="16"/>
      <c r="BG199" s="16"/>
      <c r="BH199" s="16"/>
      <c r="BI199" s="16"/>
      <c r="BJ199" s="16"/>
      <c r="BK199" s="16"/>
      <c r="BL199" s="16"/>
      <c r="BM199" s="16"/>
      <c r="BN199" s="16"/>
      <c r="BO199" s="16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  <c r="CN199" s="3"/>
      <c r="CO199" s="3"/>
      <c r="CP199" s="3"/>
      <c r="CQ199" s="3"/>
      <c r="CR199" s="3"/>
    </row>
    <row r="200" spans="1:96" ht="12" customHeight="1" x14ac:dyDescent="0.25">
      <c r="A200" s="3"/>
      <c r="B200" s="14"/>
      <c r="C200" s="14"/>
      <c r="D200" s="14"/>
      <c r="E200" s="14"/>
      <c r="F200" s="9"/>
      <c r="G200" s="9"/>
      <c r="H200" s="9"/>
      <c r="I200" s="10"/>
      <c r="J200" s="10"/>
      <c r="K200" s="14"/>
      <c r="L200" s="11"/>
      <c r="M200" s="14"/>
      <c r="N200" s="14"/>
      <c r="O200" s="4"/>
      <c r="P200" s="3"/>
      <c r="Q200" s="4"/>
      <c r="R200" s="3"/>
      <c r="S200" s="3"/>
      <c r="T200" s="3"/>
      <c r="U200" s="4"/>
      <c r="V200" s="4"/>
      <c r="W200" s="4"/>
      <c r="X200" s="4"/>
      <c r="Y200" s="4"/>
      <c r="Z200" s="11"/>
      <c r="AA200" s="16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16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6"/>
      <c r="AX200" s="15"/>
      <c r="AY200" s="15"/>
      <c r="AZ200" s="15"/>
      <c r="BA200" s="16"/>
      <c r="BB200" s="16"/>
      <c r="BC200" s="16"/>
      <c r="BD200" s="16"/>
      <c r="BE200" s="16"/>
      <c r="BF200" s="16"/>
      <c r="BG200" s="16"/>
      <c r="BH200" s="16"/>
      <c r="BI200" s="16"/>
      <c r="BJ200" s="16"/>
      <c r="BK200" s="16"/>
      <c r="BL200" s="16"/>
      <c r="BM200" s="16"/>
      <c r="BN200" s="16"/>
      <c r="BO200" s="16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  <c r="CN200" s="3"/>
      <c r="CO200" s="3"/>
      <c r="CP200" s="3"/>
      <c r="CQ200" s="3"/>
      <c r="CR200" s="3"/>
    </row>
    <row r="201" spans="1:96" ht="12" customHeight="1" x14ac:dyDescent="0.25">
      <c r="A201" s="3"/>
      <c r="B201" s="14"/>
      <c r="C201" s="14"/>
      <c r="D201" s="14"/>
      <c r="E201" s="14"/>
      <c r="F201" s="9"/>
      <c r="G201" s="9"/>
      <c r="H201" s="9"/>
      <c r="I201" s="10"/>
      <c r="J201" s="10"/>
      <c r="K201" s="14"/>
      <c r="L201" s="11"/>
      <c r="M201" s="14"/>
      <c r="N201" s="14"/>
      <c r="O201" s="4"/>
      <c r="P201" s="3"/>
      <c r="Q201" s="4"/>
      <c r="R201" s="3"/>
      <c r="S201" s="3"/>
      <c r="T201" s="3"/>
      <c r="U201" s="4"/>
      <c r="V201" s="4"/>
      <c r="W201" s="4"/>
      <c r="X201" s="4"/>
      <c r="Y201" s="4"/>
      <c r="Z201" s="11"/>
      <c r="AA201" s="16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16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6"/>
      <c r="AX201" s="15"/>
      <c r="AY201" s="15"/>
      <c r="AZ201" s="15"/>
      <c r="BA201" s="16"/>
      <c r="BB201" s="16"/>
      <c r="BC201" s="16"/>
      <c r="BD201" s="16"/>
      <c r="BE201" s="16"/>
      <c r="BF201" s="16"/>
      <c r="BG201" s="16"/>
      <c r="BH201" s="16"/>
      <c r="BI201" s="16"/>
      <c r="BJ201" s="16"/>
      <c r="BK201" s="16"/>
      <c r="BL201" s="16"/>
      <c r="BM201" s="16"/>
      <c r="BN201" s="16"/>
      <c r="BO201" s="16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  <c r="CN201" s="3"/>
      <c r="CO201" s="3"/>
      <c r="CP201" s="3"/>
      <c r="CQ201" s="3"/>
      <c r="CR201" s="3"/>
    </row>
    <row r="202" spans="1:96" ht="12" customHeight="1" x14ac:dyDescent="0.25">
      <c r="A202" s="3"/>
      <c r="B202" s="14"/>
      <c r="C202" s="14"/>
      <c r="D202" s="14"/>
      <c r="E202" s="14"/>
      <c r="F202" s="9"/>
      <c r="G202" s="9"/>
      <c r="H202" s="9"/>
      <c r="I202" s="10"/>
      <c r="J202" s="10"/>
      <c r="K202" s="14"/>
      <c r="L202" s="11"/>
      <c r="M202" s="14"/>
      <c r="N202" s="14"/>
      <c r="O202" s="4"/>
      <c r="P202" s="3"/>
      <c r="Q202" s="4"/>
      <c r="R202" s="3"/>
      <c r="S202" s="3"/>
      <c r="T202" s="3"/>
      <c r="U202" s="4"/>
      <c r="V202" s="4"/>
      <c r="W202" s="4"/>
      <c r="X202" s="4"/>
      <c r="Y202" s="4"/>
      <c r="Z202" s="11"/>
      <c r="AA202" s="16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16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6"/>
      <c r="AX202" s="15"/>
      <c r="AY202" s="15"/>
      <c r="AZ202" s="15"/>
      <c r="BA202" s="16"/>
      <c r="BB202" s="16"/>
      <c r="BC202" s="16"/>
      <c r="BD202" s="16"/>
      <c r="BE202" s="16"/>
      <c r="BF202" s="16"/>
      <c r="BG202" s="16"/>
      <c r="BH202" s="16"/>
      <c r="BI202" s="16"/>
      <c r="BJ202" s="16"/>
      <c r="BK202" s="16"/>
      <c r="BL202" s="16"/>
      <c r="BM202" s="16"/>
      <c r="BN202" s="16"/>
      <c r="BO202" s="16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  <c r="CN202" s="3"/>
      <c r="CO202" s="3"/>
      <c r="CP202" s="3"/>
      <c r="CQ202" s="3"/>
      <c r="CR202" s="3"/>
    </row>
    <row r="203" spans="1:96" ht="12" customHeight="1" x14ac:dyDescent="0.25">
      <c r="A203" s="3"/>
      <c r="B203" s="14"/>
      <c r="C203" s="14"/>
      <c r="D203" s="14"/>
      <c r="E203" s="14"/>
      <c r="F203" s="9"/>
      <c r="G203" s="9"/>
      <c r="H203" s="9"/>
      <c r="I203" s="10"/>
      <c r="J203" s="10"/>
      <c r="K203" s="14"/>
      <c r="L203" s="11"/>
      <c r="M203" s="14"/>
      <c r="N203" s="14"/>
      <c r="O203" s="4"/>
      <c r="P203" s="3"/>
      <c r="Q203" s="4"/>
      <c r="R203" s="3"/>
      <c r="S203" s="3"/>
      <c r="T203" s="3"/>
      <c r="U203" s="4"/>
      <c r="V203" s="4"/>
      <c r="W203" s="4"/>
      <c r="X203" s="4"/>
      <c r="Y203" s="4"/>
      <c r="Z203" s="11"/>
      <c r="AA203" s="16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16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6"/>
      <c r="AX203" s="15"/>
      <c r="AY203" s="15"/>
      <c r="AZ203" s="15"/>
      <c r="BA203" s="16"/>
      <c r="BB203" s="16"/>
      <c r="BC203" s="16"/>
      <c r="BD203" s="16"/>
      <c r="BE203" s="16"/>
      <c r="BF203" s="16"/>
      <c r="BG203" s="16"/>
      <c r="BH203" s="16"/>
      <c r="BI203" s="16"/>
      <c r="BJ203" s="16"/>
      <c r="BK203" s="16"/>
      <c r="BL203" s="16"/>
      <c r="BM203" s="16"/>
      <c r="BN203" s="16"/>
      <c r="BO203" s="16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  <c r="CN203" s="3"/>
      <c r="CO203" s="3"/>
      <c r="CP203" s="3"/>
      <c r="CQ203" s="3"/>
      <c r="CR203" s="3"/>
    </row>
    <row r="204" spans="1:96" ht="12" customHeight="1" x14ac:dyDescent="0.25">
      <c r="A204" s="3"/>
      <c r="B204" s="14"/>
      <c r="C204" s="14"/>
      <c r="D204" s="14"/>
      <c r="E204" s="14"/>
      <c r="F204" s="9"/>
      <c r="G204" s="9"/>
      <c r="H204" s="9"/>
      <c r="I204" s="10"/>
      <c r="J204" s="10"/>
      <c r="K204" s="14"/>
      <c r="L204" s="11"/>
      <c r="M204" s="14"/>
      <c r="N204" s="14"/>
      <c r="O204" s="4"/>
      <c r="P204" s="3"/>
      <c r="Q204" s="4"/>
      <c r="R204" s="3"/>
      <c r="S204" s="3"/>
      <c r="T204" s="3"/>
      <c r="U204" s="4"/>
      <c r="V204" s="4"/>
      <c r="W204" s="4"/>
      <c r="X204" s="4"/>
      <c r="Y204" s="4"/>
      <c r="Z204" s="11"/>
      <c r="AA204" s="16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16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6"/>
      <c r="AX204" s="15"/>
      <c r="AY204" s="15"/>
      <c r="AZ204" s="15"/>
      <c r="BA204" s="16"/>
      <c r="BB204" s="16"/>
      <c r="BC204" s="16"/>
      <c r="BD204" s="16"/>
      <c r="BE204" s="16"/>
      <c r="BF204" s="16"/>
      <c r="BG204" s="16"/>
      <c r="BH204" s="16"/>
      <c r="BI204" s="16"/>
      <c r="BJ204" s="16"/>
      <c r="BK204" s="16"/>
      <c r="BL204" s="16"/>
      <c r="BM204" s="16"/>
      <c r="BN204" s="16"/>
      <c r="BO204" s="16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  <c r="CN204" s="3"/>
      <c r="CO204" s="3"/>
      <c r="CP204" s="3"/>
      <c r="CQ204" s="3"/>
      <c r="CR204" s="3"/>
    </row>
    <row r="205" spans="1:96" ht="12" customHeight="1" x14ac:dyDescent="0.25">
      <c r="A205" s="3"/>
      <c r="B205" s="14"/>
      <c r="C205" s="14"/>
      <c r="D205" s="14"/>
      <c r="E205" s="14"/>
      <c r="F205" s="9"/>
      <c r="G205" s="9"/>
      <c r="H205" s="9"/>
      <c r="I205" s="10"/>
      <c r="J205" s="10"/>
      <c r="K205" s="14"/>
      <c r="L205" s="11"/>
      <c r="M205" s="14"/>
      <c r="N205" s="14"/>
      <c r="O205" s="4"/>
      <c r="P205" s="3"/>
      <c r="Q205" s="4"/>
      <c r="R205" s="3"/>
      <c r="S205" s="3"/>
      <c r="T205" s="3"/>
      <c r="U205" s="4"/>
      <c r="V205" s="4"/>
      <c r="W205" s="4"/>
      <c r="X205" s="4"/>
      <c r="Y205" s="4"/>
      <c r="Z205" s="11"/>
      <c r="AA205" s="16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16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6"/>
      <c r="AX205" s="15"/>
      <c r="AY205" s="15"/>
      <c r="AZ205" s="15"/>
      <c r="BA205" s="16"/>
      <c r="BB205" s="16"/>
      <c r="BC205" s="16"/>
      <c r="BD205" s="16"/>
      <c r="BE205" s="16"/>
      <c r="BF205" s="16"/>
      <c r="BG205" s="16"/>
      <c r="BH205" s="16"/>
      <c r="BI205" s="16"/>
      <c r="BJ205" s="16"/>
      <c r="BK205" s="16"/>
      <c r="BL205" s="16"/>
      <c r="BM205" s="16"/>
      <c r="BN205" s="16"/>
      <c r="BO205" s="16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  <c r="CN205" s="3"/>
      <c r="CO205" s="3"/>
      <c r="CP205" s="3"/>
      <c r="CQ205" s="3"/>
      <c r="CR205" s="3"/>
    </row>
    <row r="206" spans="1:96" ht="12" customHeight="1" x14ac:dyDescent="0.25">
      <c r="A206" s="3"/>
      <c r="B206" s="14"/>
      <c r="C206" s="14"/>
      <c r="D206" s="14"/>
      <c r="E206" s="14"/>
      <c r="F206" s="9"/>
      <c r="G206" s="9"/>
      <c r="H206" s="9"/>
      <c r="I206" s="10"/>
      <c r="J206" s="10"/>
      <c r="K206" s="14"/>
      <c r="L206" s="11"/>
      <c r="M206" s="14"/>
      <c r="N206" s="14"/>
      <c r="O206" s="4"/>
      <c r="P206" s="3"/>
      <c r="Q206" s="4"/>
      <c r="R206" s="3"/>
      <c r="S206" s="3"/>
      <c r="T206" s="3"/>
      <c r="U206" s="4"/>
      <c r="V206" s="4"/>
      <c r="W206" s="4"/>
      <c r="X206" s="4"/>
      <c r="Y206" s="4"/>
      <c r="Z206" s="11"/>
      <c r="AA206" s="16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16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6"/>
      <c r="AX206" s="15"/>
      <c r="AY206" s="15"/>
      <c r="AZ206" s="15"/>
      <c r="BA206" s="16"/>
      <c r="BB206" s="16"/>
      <c r="BC206" s="16"/>
      <c r="BD206" s="16"/>
      <c r="BE206" s="16"/>
      <c r="BF206" s="16"/>
      <c r="BG206" s="16"/>
      <c r="BH206" s="16"/>
      <c r="BI206" s="16"/>
      <c r="BJ206" s="16"/>
      <c r="BK206" s="16"/>
      <c r="BL206" s="16"/>
      <c r="BM206" s="16"/>
      <c r="BN206" s="16"/>
      <c r="BO206" s="16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  <c r="CN206" s="3"/>
      <c r="CO206" s="3"/>
      <c r="CP206" s="3"/>
      <c r="CQ206" s="3"/>
      <c r="CR206" s="3"/>
    </row>
    <row r="207" spans="1:96" ht="12" customHeight="1" x14ac:dyDescent="0.25">
      <c r="A207" s="3"/>
      <c r="B207" s="14"/>
      <c r="C207" s="14"/>
      <c r="D207" s="14"/>
      <c r="E207" s="14"/>
      <c r="F207" s="9"/>
      <c r="G207" s="9"/>
      <c r="H207" s="9"/>
      <c r="I207" s="10"/>
      <c r="J207" s="10"/>
      <c r="K207" s="14"/>
      <c r="L207" s="11"/>
      <c r="M207" s="14"/>
      <c r="N207" s="14"/>
      <c r="O207" s="4"/>
      <c r="P207" s="3"/>
      <c r="Q207" s="4"/>
      <c r="R207" s="3"/>
      <c r="S207" s="3"/>
      <c r="T207" s="3"/>
      <c r="U207" s="4"/>
      <c r="V207" s="4"/>
      <c r="W207" s="4"/>
      <c r="X207" s="4"/>
      <c r="Y207" s="4"/>
      <c r="Z207" s="11"/>
      <c r="AA207" s="16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16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6"/>
      <c r="AX207" s="15"/>
      <c r="AY207" s="15"/>
      <c r="AZ207" s="15"/>
      <c r="BA207" s="16"/>
      <c r="BB207" s="16"/>
      <c r="BC207" s="16"/>
      <c r="BD207" s="16"/>
      <c r="BE207" s="16"/>
      <c r="BF207" s="16"/>
      <c r="BG207" s="16"/>
      <c r="BH207" s="16"/>
      <c r="BI207" s="16"/>
      <c r="BJ207" s="16"/>
      <c r="BK207" s="16"/>
      <c r="BL207" s="16"/>
      <c r="BM207" s="16"/>
      <c r="BN207" s="16"/>
      <c r="BO207" s="16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  <c r="CN207" s="3"/>
      <c r="CO207" s="3"/>
      <c r="CP207" s="3"/>
      <c r="CQ207" s="3"/>
      <c r="CR207" s="3"/>
    </row>
    <row r="208" spans="1:96" ht="12" customHeight="1" x14ac:dyDescent="0.25">
      <c r="A208" s="3"/>
      <c r="B208" s="14"/>
      <c r="C208" s="14"/>
      <c r="D208" s="14"/>
      <c r="E208" s="14"/>
      <c r="F208" s="9"/>
      <c r="G208" s="9"/>
      <c r="H208" s="9"/>
      <c r="I208" s="10"/>
      <c r="J208" s="10"/>
      <c r="K208" s="14"/>
      <c r="L208" s="11"/>
      <c r="M208" s="14"/>
      <c r="N208" s="14"/>
      <c r="O208" s="4"/>
      <c r="P208" s="3"/>
      <c r="Q208" s="4"/>
      <c r="R208" s="3"/>
      <c r="S208" s="3"/>
      <c r="T208" s="3"/>
      <c r="U208" s="4"/>
      <c r="V208" s="4"/>
      <c r="W208" s="4"/>
      <c r="X208" s="4"/>
      <c r="Y208" s="4"/>
      <c r="Z208" s="11"/>
      <c r="AA208" s="16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16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6"/>
      <c r="AX208" s="15"/>
      <c r="AY208" s="15"/>
      <c r="AZ208" s="15"/>
      <c r="BA208" s="16"/>
      <c r="BB208" s="16"/>
      <c r="BC208" s="16"/>
      <c r="BD208" s="16"/>
      <c r="BE208" s="16"/>
      <c r="BF208" s="16"/>
      <c r="BG208" s="16"/>
      <c r="BH208" s="16"/>
      <c r="BI208" s="16"/>
      <c r="BJ208" s="16"/>
      <c r="BK208" s="16"/>
      <c r="BL208" s="16"/>
      <c r="BM208" s="16"/>
      <c r="BN208" s="16"/>
      <c r="BO208" s="16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  <c r="CN208" s="3"/>
      <c r="CO208" s="3"/>
      <c r="CP208" s="3"/>
      <c r="CQ208" s="3"/>
      <c r="CR208" s="3"/>
    </row>
    <row r="209" spans="1:96" ht="12" customHeight="1" x14ac:dyDescent="0.25">
      <c r="A209" s="3"/>
      <c r="B209" s="14"/>
      <c r="C209" s="14"/>
      <c r="D209" s="14"/>
      <c r="E209" s="14"/>
      <c r="F209" s="9"/>
      <c r="G209" s="9"/>
      <c r="H209" s="9"/>
      <c r="I209" s="10"/>
      <c r="J209" s="10"/>
      <c r="K209" s="14"/>
      <c r="L209" s="11"/>
      <c r="M209" s="14"/>
      <c r="N209" s="14"/>
      <c r="O209" s="4"/>
      <c r="P209" s="3"/>
      <c r="Q209" s="4"/>
      <c r="R209" s="3"/>
      <c r="S209" s="3"/>
      <c r="T209" s="3"/>
      <c r="U209" s="4"/>
      <c r="V209" s="4"/>
      <c r="W209" s="4"/>
      <c r="X209" s="4"/>
      <c r="Y209" s="4"/>
      <c r="Z209" s="11"/>
      <c r="AA209" s="16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16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6"/>
      <c r="AX209" s="15"/>
      <c r="AY209" s="15"/>
      <c r="AZ209" s="15"/>
      <c r="BA209" s="16"/>
      <c r="BB209" s="16"/>
      <c r="BC209" s="16"/>
      <c r="BD209" s="16"/>
      <c r="BE209" s="16"/>
      <c r="BF209" s="16"/>
      <c r="BG209" s="16"/>
      <c r="BH209" s="16"/>
      <c r="BI209" s="16"/>
      <c r="BJ209" s="16"/>
      <c r="BK209" s="16"/>
      <c r="BL209" s="16"/>
      <c r="BM209" s="16"/>
      <c r="BN209" s="16"/>
      <c r="BO209" s="16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  <c r="CN209" s="3"/>
      <c r="CO209" s="3"/>
      <c r="CP209" s="3"/>
      <c r="CQ209" s="3"/>
      <c r="CR209" s="3"/>
    </row>
    <row r="210" spans="1:96" ht="12" customHeight="1" x14ac:dyDescent="0.25">
      <c r="A210" s="3"/>
      <c r="B210" s="14"/>
      <c r="C210" s="14"/>
      <c r="D210" s="14"/>
      <c r="E210" s="14"/>
      <c r="F210" s="9"/>
      <c r="G210" s="9"/>
      <c r="H210" s="9"/>
      <c r="I210" s="10"/>
      <c r="J210" s="10"/>
      <c r="K210" s="14"/>
      <c r="L210" s="11"/>
      <c r="M210" s="14"/>
      <c r="N210" s="14"/>
      <c r="O210" s="4"/>
      <c r="P210" s="3"/>
      <c r="Q210" s="4"/>
      <c r="R210" s="3"/>
      <c r="S210" s="3"/>
      <c r="T210" s="3"/>
      <c r="U210" s="4"/>
      <c r="V210" s="4"/>
      <c r="W210" s="4"/>
      <c r="X210" s="4"/>
      <c r="Y210" s="4"/>
      <c r="Z210" s="11"/>
      <c r="AA210" s="16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16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6"/>
      <c r="AX210" s="15"/>
      <c r="AY210" s="15"/>
      <c r="AZ210" s="15"/>
      <c r="BA210" s="16"/>
      <c r="BB210" s="16"/>
      <c r="BC210" s="16"/>
      <c r="BD210" s="16"/>
      <c r="BE210" s="16"/>
      <c r="BF210" s="16"/>
      <c r="BG210" s="16"/>
      <c r="BH210" s="16"/>
      <c r="BI210" s="16"/>
      <c r="BJ210" s="16"/>
      <c r="BK210" s="16"/>
      <c r="BL210" s="16"/>
      <c r="BM210" s="16"/>
      <c r="BN210" s="16"/>
      <c r="BO210" s="16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  <c r="CN210" s="3"/>
      <c r="CO210" s="3"/>
      <c r="CP210" s="3"/>
      <c r="CQ210" s="3"/>
      <c r="CR210" s="3"/>
    </row>
    <row r="211" spans="1:96" ht="12" customHeight="1" x14ac:dyDescent="0.25">
      <c r="A211" s="3"/>
      <c r="B211" s="14"/>
      <c r="C211" s="14"/>
      <c r="D211" s="14"/>
      <c r="E211" s="14"/>
      <c r="F211" s="9"/>
      <c r="G211" s="9"/>
      <c r="H211" s="9"/>
      <c r="I211" s="10"/>
      <c r="J211" s="10"/>
      <c r="K211" s="14"/>
      <c r="L211" s="11"/>
      <c r="M211" s="14"/>
      <c r="N211" s="14"/>
      <c r="O211" s="4"/>
      <c r="P211" s="3"/>
      <c r="Q211" s="4"/>
      <c r="R211" s="3"/>
      <c r="S211" s="3"/>
      <c r="T211" s="3"/>
      <c r="U211" s="4"/>
      <c r="V211" s="4"/>
      <c r="W211" s="4"/>
      <c r="X211" s="4"/>
      <c r="Y211" s="4"/>
      <c r="Z211" s="11"/>
      <c r="AA211" s="16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16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6"/>
      <c r="AX211" s="15"/>
      <c r="AY211" s="15"/>
      <c r="AZ211" s="15"/>
      <c r="BA211" s="16"/>
      <c r="BB211" s="16"/>
      <c r="BC211" s="16"/>
      <c r="BD211" s="16"/>
      <c r="BE211" s="16"/>
      <c r="BF211" s="16"/>
      <c r="BG211" s="16"/>
      <c r="BH211" s="16"/>
      <c r="BI211" s="16"/>
      <c r="BJ211" s="16"/>
      <c r="BK211" s="16"/>
      <c r="BL211" s="16"/>
      <c r="BM211" s="16"/>
      <c r="BN211" s="16"/>
      <c r="BO211" s="16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  <c r="CN211" s="3"/>
      <c r="CO211" s="3"/>
      <c r="CP211" s="3"/>
      <c r="CQ211" s="3"/>
      <c r="CR211" s="3"/>
    </row>
    <row r="212" spans="1:96" ht="12" customHeight="1" x14ac:dyDescent="0.25">
      <c r="A212" s="3"/>
      <c r="B212" s="14"/>
      <c r="C212" s="14"/>
      <c r="D212" s="14"/>
      <c r="E212" s="14"/>
      <c r="F212" s="9"/>
      <c r="G212" s="9"/>
      <c r="H212" s="9"/>
      <c r="I212" s="10"/>
      <c r="J212" s="10"/>
      <c r="K212" s="14"/>
      <c r="L212" s="11"/>
      <c r="M212" s="14"/>
      <c r="N212" s="14"/>
      <c r="O212" s="4"/>
      <c r="P212" s="3"/>
      <c r="Q212" s="4"/>
      <c r="R212" s="3"/>
      <c r="S212" s="3"/>
      <c r="T212" s="3"/>
      <c r="U212" s="4"/>
      <c r="V212" s="4"/>
      <c r="W212" s="4"/>
      <c r="X212" s="4"/>
      <c r="Y212" s="4"/>
      <c r="Z212" s="11"/>
      <c r="AA212" s="16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16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6"/>
      <c r="AX212" s="15"/>
      <c r="AY212" s="15"/>
      <c r="AZ212" s="15"/>
      <c r="BA212" s="16"/>
      <c r="BB212" s="16"/>
      <c r="BC212" s="16"/>
      <c r="BD212" s="16"/>
      <c r="BE212" s="16"/>
      <c r="BF212" s="16"/>
      <c r="BG212" s="16"/>
      <c r="BH212" s="16"/>
      <c r="BI212" s="16"/>
      <c r="BJ212" s="16"/>
      <c r="BK212" s="16"/>
      <c r="BL212" s="16"/>
      <c r="BM212" s="16"/>
      <c r="BN212" s="16"/>
      <c r="BO212" s="16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  <c r="CN212" s="3"/>
      <c r="CO212" s="3"/>
      <c r="CP212" s="3"/>
      <c r="CQ212" s="3"/>
      <c r="CR212" s="3"/>
    </row>
    <row r="213" spans="1:96" ht="12" customHeight="1" x14ac:dyDescent="0.25">
      <c r="A213" s="3"/>
      <c r="B213" s="14"/>
      <c r="C213" s="14"/>
      <c r="D213" s="14"/>
      <c r="E213" s="14"/>
      <c r="F213" s="9"/>
      <c r="G213" s="9"/>
      <c r="H213" s="9"/>
      <c r="I213" s="10"/>
      <c r="J213" s="10"/>
      <c r="K213" s="14"/>
      <c r="L213" s="11"/>
      <c r="M213" s="14"/>
      <c r="N213" s="14"/>
      <c r="O213" s="4"/>
      <c r="P213" s="3"/>
      <c r="Q213" s="4"/>
      <c r="R213" s="3"/>
      <c r="S213" s="3"/>
      <c r="T213" s="3"/>
      <c r="U213" s="4"/>
      <c r="V213" s="4"/>
      <c r="W213" s="4"/>
      <c r="X213" s="4"/>
      <c r="Y213" s="4"/>
      <c r="Z213" s="11"/>
      <c r="AA213" s="16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16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6"/>
      <c r="AX213" s="15"/>
      <c r="AY213" s="15"/>
      <c r="AZ213" s="15"/>
      <c r="BA213" s="16"/>
      <c r="BB213" s="16"/>
      <c r="BC213" s="16"/>
      <c r="BD213" s="16"/>
      <c r="BE213" s="16"/>
      <c r="BF213" s="16"/>
      <c r="BG213" s="16"/>
      <c r="BH213" s="16"/>
      <c r="BI213" s="16"/>
      <c r="BJ213" s="16"/>
      <c r="BK213" s="16"/>
      <c r="BL213" s="16"/>
      <c r="BM213" s="16"/>
      <c r="BN213" s="16"/>
      <c r="BO213" s="16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  <c r="CN213" s="3"/>
      <c r="CO213" s="3"/>
      <c r="CP213" s="3"/>
      <c r="CQ213" s="3"/>
      <c r="CR213" s="3"/>
    </row>
    <row r="214" spans="1:96" ht="12" customHeight="1" x14ac:dyDescent="0.25">
      <c r="A214" s="3"/>
      <c r="B214" s="14"/>
      <c r="C214" s="14"/>
      <c r="D214" s="14"/>
      <c r="E214" s="14"/>
      <c r="F214" s="9"/>
      <c r="G214" s="9"/>
      <c r="H214" s="9"/>
      <c r="I214" s="10"/>
      <c r="J214" s="10"/>
      <c r="K214" s="14"/>
      <c r="L214" s="11"/>
      <c r="M214" s="14"/>
      <c r="N214" s="14"/>
      <c r="O214" s="4"/>
      <c r="P214" s="3"/>
      <c r="Q214" s="4"/>
      <c r="R214" s="3"/>
      <c r="S214" s="3"/>
      <c r="T214" s="3"/>
      <c r="U214" s="4"/>
      <c r="V214" s="4"/>
      <c r="W214" s="4"/>
      <c r="X214" s="4"/>
      <c r="Y214" s="4"/>
      <c r="Z214" s="11"/>
      <c r="AA214" s="16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16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6"/>
      <c r="AX214" s="15"/>
      <c r="AY214" s="15"/>
      <c r="AZ214" s="15"/>
      <c r="BA214" s="16"/>
      <c r="BB214" s="16"/>
      <c r="BC214" s="16"/>
      <c r="BD214" s="16"/>
      <c r="BE214" s="16"/>
      <c r="BF214" s="16"/>
      <c r="BG214" s="16"/>
      <c r="BH214" s="16"/>
      <c r="BI214" s="16"/>
      <c r="BJ214" s="16"/>
      <c r="BK214" s="16"/>
      <c r="BL214" s="16"/>
      <c r="BM214" s="16"/>
      <c r="BN214" s="16"/>
      <c r="BO214" s="16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  <c r="CN214" s="3"/>
      <c r="CO214" s="3"/>
      <c r="CP214" s="3"/>
      <c r="CQ214" s="3"/>
      <c r="CR214" s="3"/>
    </row>
    <row r="215" spans="1:96" ht="12" customHeight="1" x14ac:dyDescent="0.25">
      <c r="A215" s="3"/>
      <c r="B215" s="14"/>
      <c r="C215" s="14"/>
      <c r="D215" s="14"/>
      <c r="E215" s="14"/>
      <c r="F215" s="9"/>
      <c r="G215" s="9"/>
      <c r="H215" s="9"/>
      <c r="I215" s="10"/>
      <c r="J215" s="10"/>
      <c r="K215" s="14"/>
      <c r="L215" s="11"/>
      <c r="M215" s="14"/>
      <c r="N215" s="14"/>
      <c r="O215" s="4"/>
      <c r="P215" s="3"/>
      <c r="Q215" s="4"/>
      <c r="R215" s="3"/>
      <c r="S215" s="3"/>
      <c r="T215" s="3"/>
      <c r="U215" s="4"/>
      <c r="V215" s="4"/>
      <c r="W215" s="4"/>
      <c r="X215" s="4"/>
      <c r="Y215" s="4"/>
      <c r="Z215" s="11"/>
      <c r="AA215" s="16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16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6"/>
      <c r="AX215" s="15"/>
      <c r="AY215" s="15"/>
      <c r="AZ215" s="15"/>
      <c r="BA215" s="16"/>
      <c r="BB215" s="16"/>
      <c r="BC215" s="16"/>
      <c r="BD215" s="16"/>
      <c r="BE215" s="16"/>
      <c r="BF215" s="16"/>
      <c r="BG215" s="16"/>
      <c r="BH215" s="16"/>
      <c r="BI215" s="16"/>
      <c r="BJ215" s="16"/>
      <c r="BK215" s="16"/>
      <c r="BL215" s="16"/>
      <c r="BM215" s="16"/>
      <c r="BN215" s="16"/>
      <c r="BO215" s="16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  <c r="CN215" s="3"/>
      <c r="CO215" s="3"/>
      <c r="CP215" s="3"/>
      <c r="CQ215" s="3"/>
      <c r="CR215" s="3"/>
    </row>
    <row r="216" spans="1:96" ht="12" customHeight="1" x14ac:dyDescent="0.25">
      <c r="A216" s="3"/>
      <c r="B216" s="14"/>
      <c r="C216" s="14"/>
      <c r="D216" s="14"/>
      <c r="E216" s="14"/>
      <c r="F216" s="9"/>
      <c r="G216" s="9"/>
      <c r="H216" s="9"/>
      <c r="I216" s="10"/>
      <c r="J216" s="10"/>
      <c r="K216" s="14"/>
      <c r="L216" s="11"/>
      <c r="M216" s="14"/>
      <c r="N216" s="14"/>
      <c r="O216" s="4"/>
      <c r="P216" s="3"/>
      <c r="Q216" s="4"/>
      <c r="R216" s="3"/>
      <c r="S216" s="3"/>
      <c r="T216" s="3"/>
      <c r="U216" s="4"/>
      <c r="V216" s="4"/>
      <c r="W216" s="4"/>
      <c r="X216" s="4"/>
      <c r="Y216" s="4"/>
      <c r="Z216" s="11"/>
      <c r="AA216" s="16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16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6"/>
      <c r="AX216" s="15"/>
      <c r="AY216" s="15"/>
      <c r="AZ216" s="15"/>
      <c r="BA216" s="16"/>
      <c r="BB216" s="16"/>
      <c r="BC216" s="16"/>
      <c r="BD216" s="16"/>
      <c r="BE216" s="16"/>
      <c r="BF216" s="16"/>
      <c r="BG216" s="16"/>
      <c r="BH216" s="16"/>
      <c r="BI216" s="16"/>
      <c r="BJ216" s="16"/>
      <c r="BK216" s="16"/>
      <c r="BL216" s="16"/>
      <c r="BM216" s="16"/>
      <c r="BN216" s="16"/>
      <c r="BO216" s="16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  <c r="CN216" s="3"/>
      <c r="CO216" s="3"/>
      <c r="CP216" s="3"/>
      <c r="CQ216" s="3"/>
      <c r="CR216" s="3"/>
    </row>
    <row r="217" spans="1:96" ht="12" customHeight="1" x14ac:dyDescent="0.25">
      <c r="A217" s="3"/>
      <c r="B217" s="14"/>
      <c r="C217" s="14"/>
      <c r="D217" s="14"/>
      <c r="E217" s="14"/>
      <c r="F217" s="9"/>
      <c r="G217" s="9"/>
      <c r="H217" s="9"/>
      <c r="I217" s="10"/>
      <c r="J217" s="10"/>
      <c r="K217" s="14"/>
      <c r="L217" s="11"/>
      <c r="M217" s="14"/>
      <c r="N217" s="14"/>
      <c r="O217" s="4"/>
      <c r="P217" s="3"/>
      <c r="Q217" s="4"/>
      <c r="R217" s="3"/>
      <c r="S217" s="3"/>
      <c r="T217" s="3"/>
      <c r="U217" s="4"/>
      <c r="V217" s="4"/>
      <c r="W217" s="4"/>
      <c r="X217" s="4"/>
      <c r="Y217" s="4"/>
      <c r="Z217" s="11"/>
      <c r="AA217" s="16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16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6"/>
      <c r="AX217" s="15"/>
      <c r="AY217" s="15"/>
      <c r="AZ217" s="15"/>
      <c r="BA217" s="16"/>
      <c r="BB217" s="16"/>
      <c r="BC217" s="16"/>
      <c r="BD217" s="16"/>
      <c r="BE217" s="16"/>
      <c r="BF217" s="16"/>
      <c r="BG217" s="16"/>
      <c r="BH217" s="16"/>
      <c r="BI217" s="16"/>
      <c r="BJ217" s="16"/>
      <c r="BK217" s="16"/>
      <c r="BL217" s="16"/>
      <c r="BM217" s="16"/>
      <c r="BN217" s="16"/>
      <c r="BO217" s="16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  <c r="CN217" s="3"/>
      <c r="CO217" s="3"/>
      <c r="CP217" s="3"/>
      <c r="CQ217" s="3"/>
      <c r="CR217" s="3"/>
    </row>
    <row r="218" spans="1:96" ht="12" customHeight="1" x14ac:dyDescent="0.25">
      <c r="A218" s="3"/>
      <c r="B218" s="14"/>
      <c r="C218" s="14"/>
      <c r="D218" s="14"/>
      <c r="E218" s="14"/>
      <c r="F218" s="9"/>
      <c r="G218" s="9"/>
      <c r="H218" s="9"/>
      <c r="I218" s="10"/>
      <c r="J218" s="10"/>
      <c r="K218" s="14"/>
      <c r="L218" s="11"/>
      <c r="M218" s="14"/>
      <c r="N218" s="14"/>
      <c r="O218" s="4"/>
      <c r="P218" s="3"/>
      <c r="Q218" s="4"/>
      <c r="R218" s="3"/>
      <c r="S218" s="3"/>
      <c r="T218" s="3"/>
      <c r="U218" s="4"/>
      <c r="V218" s="4"/>
      <c r="W218" s="4"/>
      <c r="X218" s="4"/>
      <c r="Y218" s="4"/>
      <c r="Z218" s="11"/>
      <c r="AA218" s="16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16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6"/>
      <c r="AX218" s="15"/>
      <c r="AY218" s="15"/>
      <c r="AZ218" s="15"/>
      <c r="BA218" s="16"/>
      <c r="BB218" s="16"/>
      <c r="BC218" s="16"/>
      <c r="BD218" s="16"/>
      <c r="BE218" s="16"/>
      <c r="BF218" s="16"/>
      <c r="BG218" s="16"/>
      <c r="BH218" s="16"/>
      <c r="BI218" s="16"/>
      <c r="BJ218" s="16"/>
      <c r="BK218" s="16"/>
      <c r="BL218" s="16"/>
      <c r="BM218" s="16"/>
      <c r="BN218" s="16"/>
      <c r="BO218" s="16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  <c r="CN218" s="3"/>
      <c r="CO218" s="3"/>
      <c r="CP218" s="3"/>
      <c r="CQ218" s="3"/>
      <c r="CR218" s="3"/>
    </row>
    <row r="219" spans="1:96" ht="12" customHeight="1" x14ac:dyDescent="0.25">
      <c r="A219" s="3"/>
      <c r="B219" s="14"/>
      <c r="C219" s="14"/>
      <c r="D219" s="14"/>
      <c r="E219" s="14"/>
      <c r="F219" s="9"/>
      <c r="G219" s="9"/>
      <c r="H219" s="9"/>
      <c r="I219" s="10"/>
      <c r="J219" s="10"/>
      <c r="K219" s="14"/>
      <c r="L219" s="11"/>
      <c r="M219" s="14"/>
      <c r="N219" s="14"/>
      <c r="O219" s="4"/>
      <c r="P219" s="3"/>
      <c r="Q219" s="4"/>
      <c r="R219" s="3"/>
      <c r="S219" s="3"/>
      <c r="T219" s="3"/>
      <c r="U219" s="4"/>
      <c r="V219" s="4"/>
      <c r="W219" s="4"/>
      <c r="X219" s="4"/>
      <c r="Y219" s="4"/>
      <c r="Z219" s="11"/>
      <c r="AA219" s="16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16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6"/>
      <c r="AX219" s="15"/>
      <c r="AY219" s="15"/>
      <c r="AZ219" s="15"/>
      <c r="BA219" s="16"/>
      <c r="BB219" s="16"/>
      <c r="BC219" s="16"/>
      <c r="BD219" s="16"/>
      <c r="BE219" s="16"/>
      <c r="BF219" s="16"/>
      <c r="BG219" s="16"/>
      <c r="BH219" s="16"/>
      <c r="BI219" s="16"/>
      <c r="BJ219" s="16"/>
      <c r="BK219" s="16"/>
      <c r="BL219" s="16"/>
      <c r="BM219" s="16"/>
      <c r="BN219" s="16"/>
      <c r="BO219" s="16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  <c r="CN219" s="3"/>
      <c r="CO219" s="3"/>
      <c r="CP219" s="3"/>
      <c r="CQ219" s="3"/>
      <c r="CR219" s="3"/>
    </row>
    <row r="220" spans="1:96" ht="12" customHeight="1" x14ac:dyDescent="0.25">
      <c r="A220" s="3"/>
      <c r="B220" s="14"/>
      <c r="C220" s="14"/>
      <c r="D220" s="14"/>
      <c r="E220" s="14"/>
      <c r="F220" s="9"/>
      <c r="G220" s="9"/>
      <c r="H220" s="9"/>
      <c r="I220" s="10"/>
      <c r="J220" s="10"/>
      <c r="K220" s="14"/>
      <c r="L220" s="11"/>
      <c r="M220" s="14"/>
      <c r="N220" s="14"/>
      <c r="O220" s="4"/>
      <c r="P220" s="3"/>
      <c r="Q220" s="4"/>
      <c r="R220" s="3"/>
      <c r="S220" s="3"/>
      <c r="T220" s="3"/>
      <c r="U220" s="4"/>
      <c r="V220" s="4"/>
      <c r="W220" s="4"/>
      <c r="X220" s="4"/>
      <c r="Y220" s="4"/>
      <c r="Z220" s="11"/>
      <c r="AA220" s="16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16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6"/>
      <c r="AX220" s="15"/>
      <c r="AY220" s="15"/>
      <c r="AZ220" s="15"/>
      <c r="BA220" s="16"/>
      <c r="BB220" s="16"/>
      <c r="BC220" s="16"/>
      <c r="BD220" s="16"/>
      <c r="BE220" s="16"/>
      <c r="BF220" s="16"/>
      <c r="BG220" s="16"/>
      <c r="BH220" s="16"/>
      <c r="BI220" s="16"/>
      <c r="BJ220" s="16"/>
      <c r="BK220" s="16"/>
      <c r="BL220" s="16"/>
      <c r="BM220" s="16"/>
      <c r="BN220" s="16"/>
      <c r="BO220" s="16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  <c r="CN220" s="3"/>
      <c r="CO220" s="3"/>
      <c r="CP220" s="3"/>
      <c r="CQ220" s="3"/>
      <c r="CR220" s="3"/>
    </row>
    <row r="221" spans="1:96" ht="12" customHeight="1" x14ac:dyDescent="0.25">
      <c r="A221" s="3"/>
      <c r="B221" s="14"/>
      <c r="C221" s="14"/>
      <c r="D221" s="14"/>
      <c r="E221" s="14"/>
      <c r="F221" s="9"/>
      <c r="G221" s="9"/>
      <c r="H221" s="9"/>
      <c r="I221" s="10"/>
      <c r="J221" s="10"/>
      <c r="K221" s="14"/>
      <c r="L221" s="11"/>
      <c r="M221" s="14"/>
      <c r="N221" s="14"/>
      <c r="O221" s="4"/>
      <c r="P221" s="3"/>
      <c r="Q221" s="4"/>
      <c r="R221" s="3"/>
      <c r="S221" s="3"/>
      <c r="T221" s="3"/>
      <c r="U221" s="4"/>
      <c r="V221" s="4"/>
      <c r="W221" s="4"/>
      <c r="X221" s="4"/>
      <c r="Y221" s="4"/>
      <c r="Z221" s="11"/>
      <c r="AA221" s="16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16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6"/>
      <c r="AX221" s="15"/>
      <c r="AY221" s="15"/>
      <c r="AZ221" s="15"/>
      <c r="BA221" s="16"/>
      <c r="BB221" s="16"/>
      <c r="BC221" s="16"/>
      <c r="BD221" s="16"/>
      <c r="BE221" s="16"/>
      <c r="BF221" s="16"/>
      <c r="BG221" s="16"/>
      <c r="BH221" s="16"/>
      <c r="BI221" s="16"/>
      <c r="BJ221" s="16"/>
      <c r="BK221" s="16"/>
      <c r="BL221" s="16"/>
      <c r="BM221" s="16"/>
      <c r="BN221" s="16"/>
      <c r="BO221" s="16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  <c r="CN221" s="3"/>
      <c r="CO221" s="3"/>
      <c r="CP221" s="3"/>
      <c r="CQ221" s="3"/>
      <c r="CR221" s="3"/>
    </row>
    <row r="222" spans="1:96" ht="12" customHeight="1" x14ac:dyDescent="0.25">
      <c r="A222" s="3"/>
      <c r="B222" s="14"/>
      <c r="C222" s="14"/>
      <c r="D222" s="14"/>
      <c r="E222" s="14"/>
      <c r="F222" s="9"/>
      <c r="G222" s="9"/>
      <c r="H222" s="9"/>
      <c r="I222" s="10"/>
      <c r="J222" s="10"/>
      <c r="K222" s="14"/>
      <c r="L222" s="11"/>
      <c r="M222" s="14"/>
      <c r="N222" s="14"/>
      <c r="O222" s="4"/>
      <c r="P222" s="3"/>
      <c r="Q222" s="4"/>
      <c r="R222" s="3"/>
      <c r="S222" s="3"/>
      <c r="T222" s="3"/>
      <c r="U222" s="4"/>
      <c r="V222" s="4"/>
      <c r="W222" s="4"/>
      <c r="X222" s="4"/>
      <c r="Y222" s="4"/>
      <c r="Z222" s="11"/>
      <c r="AA222" s="16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16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6"/>
      <c r="AX222" s="15"/>
      <c r="AY222" s="15"/>
      <c r="AZ222" s="15"/>
      <c r="BA222" s="16"/>
      <c r="BB222" s="16"/>
      <c r="BC222" s="16"/>
      <c r="BD222" s="16"/>
      <c r="BE222" s="16"/>
      <c r="BF222" s="16"/>
      <c r="BG222" s="16"/>
      <c r="BH222" s="16"/>
      <c r="BI222" s="16"/>
      <c r="BJ222" s="16"/>
      <c r="BK222" s="16"/>
      <c r="BL222" s="16"/>
      <c r="BM222" s="16"/>
      <c r="BN222" s="16"/>
      <c r="BO222" s="16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  <c r="CN222" s="3"/>
      <c r="CO222" s="3"/>
      <c r="CP222" s="3"/>
      <c r="CQ222" s="3"/>
      <c r="CR222" s="3"/>
    </row>
    <row r="223" spans="1:96" ht="12" customHeight="1" x14ac:dyDescent="0.25">
      <c r="A223" s="3"/>
      <c r="B223" s="14"/>
      <c r="C223" s="14"/>
      <c r="D223" s="14"/>
      <c r="E223" s="14"/>
      <c r="F223" s="9"/>
      <c r="G223" s="9"/>
      <c r="H223" s="9"/>
      <c r="I223" s="10"/>
      <c r="J223" s="10"/>
      <c r="K223" s="14"/>
      <c r="L223" s="11"/>
      <c r="M223" s="14"/>
      <c r="N223" s="14"/>
      <c r="O223" s="4"/>
      <c r="P223" s="3"/>
      <c r="Q223" s="4"/>
      <c r="R223" s="3"/>
      <c r="S223" s="3"/>
      <c r="T223" s="3"/>
      <c r="U223" s="4"/>
      <c r="V223" s="4"/>
      <c r="W223" s="4"/>
      <c r="X223" s="4"/>
      <c r="Y223" s="4"/>
      <c r="Z223" s="11"/>
      <c r="AA223" s="16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16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6"/>
      <c r="AX223" s="15"/>
      <c r="AY223" s="15"/>
      <c r="AZ223" s="15"/>
      <c r="BA223" s="16"/>
      <c r="BB223" s="16"/>
      <c r="BC223" s="16"/>
      <c r="BD223" s="16"/>
      <c r="BE223" s="16"/>
      <c r="BF223" s="16"/>
      <c r="BG223" s="16"/>
      <c r="BH223" s="16"/>
      <c r="BI223" s="16"/>
      <c r="BJ223" s="16"/>
      <c r="BK223" s="16"/>
      <c r="BL223" s="16"/>
      <c r="BM223" s="16"/>
      <c r="BN223" s="16"/>
      <c r="BO223" s="16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  <c r="CN223" s="3"/>
      <c r="CO223" s="3"/>
      <c r="CP223" s="3"/>
      <c r="CQ223" s="3"/>
      <c r="CR223" s="3"/>
    </row>
    <row r="224" spans="1:96" ht="12" customHeight="1" x14ac:dyDescent="0.25">
      <c r="A224" s="3"/>
      <c r="B224" s="14"/>
      <c r="C224" s="14"/>
      <c r="D224" s="14"/>
      <c r="E224" s="14"/>
      <c r="F224" s="9"/>
      <c r="G224" s="9"/>
      <c r="H224" s="9"/>
      <c r="I224" s="10"/>
      <c r="J224" s="10"/>
      <c r="K224" s="14"/>
      <c r="L224" s="11"/>
      <c r="M224" s="14"/>
      <c r="N224" s="14"/>
      <c r="O224" s="4"/>
      <c r="P224" s="3"/>
      <c r="Q224" s="4"/>
      <c r="R224" s="3"/>
      <c r="S224" s="3"/>
      <c r="T224" s="3"/>
      <c r="U224" s="4"/>
      <c r="V224" s="4"/>
      <c r="W224" s="4"/>
      <c r="X224" s="4"/>
      <c r="Y224" s="4"/>
      <c r="Z224" s="11"/>
      <c r="AA224" s="16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16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6"/>
      <c r="AX224" s="15"/>
      <c r="AY224" s="15"/>
      <c r="AZ224" s="15"/>
      <c r="BA224" s="16"/>
      <c r="BB224" s="16"/>
      <c r="BC224" s="16"/>
      <c r="BD224" s="16"/>
      <c r="BE224" s="16"/>
      <c r="BF224" s="16"/>
      <c r="BG224" s="16"/>
      <c r="BH224" s="16"/>
      <c r="BI224" s="16"/>
      <c r="BJ224" s="16"/>
      <c r="BK224" s="16"/>
      <c r="BL224" s="16"/>
      <c r="BM224" s="16"/>
      <c r="BN224" s="16"/>
      <c r="BO224" s="16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  <c r="CN224" s="3"/>
      <c r="CO224" s="3"/>
      <c r="CP224" s="3"/>
      <c r="CQ224" s="3"/>
      <c r="CR224" s="3"/>
    </row>
    <row r="225" spans="1:96" ht="12" customHeight="1" x14ac:dyDescent="0.25">
      <c r="A225" s="3"/>
      <c r="B225" s="14"/>
      <c r="C225" s="14"/>
      <c r="D225" s="14"/>
      <c r="E225" s="14"/>
      <c r="F225" s="9"/>
      <c r="G225" s="9"/>
      <c r="H225" s="9"/>
      <c r="I225" s="10"/>
      <c r="J225" s="10"/>
      <c r="K225" s="14"/>
      <c r="L225" s="11"/>
      <c r="M225" s="14"/>
      <c r="N225" s="14"/>
      <c r="O225" s="4"/>
      <c r="P225" s="3"/>
      <c r="Q225" s="4"/>
      <c r="R225" s="3"/>
      <c r="S225" s="3"/>
      <c r="T225" s="3"/>
      <c r="U225" s="4"/>
      <c r="V225" s="4"/>
      <c r="W225" s="4"/>
      <c r="X225" s="4"/>
      <c r="Y225" s="4"/>
      <c r="Z225" s="11"/>
      <c r="AA225" s="16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16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6"/>
      <c r="AX225" s="15"/>
      <c r="AY225" s="15"/>
      <c r="AZ225" s="15"/>
      <c r="BA225" s="16"/>
      <c r="BB225" s="16"/>
      <c r="BC225" s="16"/>
      <c r="BD225" s="16"/>
      <c r="BE225" s="16"/>
      <c r="BF225" s="16"/>
      <c r="BG225" s="16"/>
      <c r="BH225" s="16"/>
      <c r="BI225" s="16"/>
      <c r="BJ225" s="16"/>
      <c r="BK225" s="16"/>
      <c r="BL225" s="16"/>
      <c r="BM225" s="16"/>
      <c r="BN225" s="16"/>
      <c r="BO225" s="16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  <c r="CN225" s="3"/>
      <c r="CO225" s="3"/>
      <c r="CP225" s="3"/>
      <c r="CQ225" s="3"/>
      <c r="CR225" s="3"/>
    </row>
    <row r="226" spans="1:96" ht="12" customHeight="1" x14ac:dyDescent="0.25">
      <c r="A226" s="3"/>
      <c r="B226" s="14"/>
      <c r="C226" s="14"/>
      <c r="D226" s="14"/>
      <c r="E226" s="14"/>
      <c r="F226" s="9"/>
      <c r="G226" s="9"/>
      <c r="H226" s="9"/>
      <c r="I226" s="10"/>
      <c r="J226" s="10"/>
      <c r="K226" s="14"/>
      <c r="L226" s="11"/>
      <c r="M226" s="14"/>
      <c r="N226" s="14"/>
      <c r="O226" s="4"/>
      <c r="P226" s="3"/>
      <c r="Q226" s="4"/>
      <c r="R226" s="3"/>
      <c r="S226" s="3"/>
      <c r="T226" s="3"/>
      <c r="U226" s="4"/>
      <c r="V226" s="4"/>
      <c r="W226" s="4"/>
      <c r="X226" s="4"/>
      <c r="Y226" s="4"/>
      <c r="Z226" s="11"/>
      <c r="AA226" s="16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16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6"/>
      <c r="AX226" s="15"/>
      <c r="AY226" s="15"/>
      <c r="AZ226" s="15"/>
      <c r="BA226" s="16"/>
      <c r="BB226" s="16"/>
      <c r="BC226" s="16"/>
      <c r="BD226" s="16"/>
      <c r="BE226" s="16"/>
      <c r="BF226" s="16"/>
      <c r="BG226" s="16"/>
      <c r="BH226" s="16"/>
      <c r="BI226" s="16"/>
      <c r="BJ226" s="16"/>
      <c r="BK226" s="16"/>
      <c r="BL226" s="16"/>
      <c r="BM226" s="16"/>
      <c r="BN226" s="16"/>
      <c r="BO226" s="16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  <c r="CN226" s="3"/>
      <c r="CO226" s="3"/>
      <c r="CP226" s="3"/>
      <c r="CQ226" s="3"/>
      <c r="CR226" s="3"/>
    </row>
    <row r="227" spans="1:96" ht="12" customHeight="1" x14ac:dyDescent="0.25">
      <c r="A227" s="3"/>
      <c r="B227" s="14"/>
      <c r="C227" s="14"/>
      <c r="D227" s="14"/>
      <c r="E227" s="14"/>
      <c r="F227" s="9"/>
      <c r="G227" s="9"/>
      <c r="H227" s="9"/>
      <c r="I227" s="10"/>
      <c r="J227" s="10"/>
      <c r="K227" s="14"/>
      <c r="L227" s="11"/>
      <c r="M227" s="14"/>
      <c r="N227" s="14"/>
      <c r="O227" s="4"/>
      <c r="P227" s="3"/>
      <c r="Q227" s="4"/>
      <c r="R227" s="3"/>
      <c r="S227" s="3"/>
      <c r="T227" s="3"/>
      <c r="U227" s="4"/>
      <c r="V227" s="4"/>
      <c r="W227" s="4"/>
      <c r="X227" s="4"/>
      <c r="Y227" s="4"/>
      <c r="Z227" s="11"/>
      <c r="AA227" s="16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16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6"/>
      <c r="AX227" s="15"/>
      <c r="AY227" s="15"/>
      <c r="AZ227" s="15"/>
      <c r="BA227" s="16"/>
      <c r="BB227" s="16"/>
      <c r="BC227" s="16"/>
      <c r="BD227" s="16"/>
      <c r="BE227" s="16"/>
      <c r="BF227" s="16"/>
      <c r="BG227" s="16"/>
      <c r="BH227" s="16"/>
      <c r="BI227" s="16"/>
      <c r="BJ227" s="16"/>
      <c r="BK227" s="16"/>
      <c r="BL227" s="16"/>
      <c r="BM227" s="16"/>
      <c r="BN227" s="16"/>
      <c r="BO227" s="16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  <c r="CN227" s="3"/>
      <c r="CO227" s="3"/>
      <c r="CP227" s="3"/>
      <c r="CQ227" s="3"/>
      <c r="CR227" s="3"/>
    </row>
    <row r="228" spans="1:96" ht="12" customHeight="1" x14ac:dyDescent="0.25">
      <c r="A228" s="3"/>
      <c r="B228" s="14"/>
      <c r="C228" s="14"/>
      <c r="D228" s="14"/>
      <c r="E228" s="14"/>
      <c r="F228" s="9"/>
      <c r="G228" s="9"/>
      <c r="H228" s="9"/>
      <c r="I228" s="10"/>
      <c r="J228" s="10"/>
      <c r="K228" s="14"/>
      <c r="L228" s="11"/>
      <c r="M228" s="14"/>
      <c r="N228" s="14"/>
      <c r="O228" s="4"/>
      <c r="P228" s="3"/>
      <c r="Q228" s="4"/>
      <c r="R228" s="3"/>
      <c r="S228" s="3"/>
      <c r="T228" s="3"/>
      <c r="U228" s="4"/>
      <c r="V228" s="4"/>
      <c r="W228" s="4"/>
      <c r="X228" s="4"/>
      <c r="Y228" s="4"/>
      <c r="Z228" s="11"/>
      <c r="AA228" s="16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16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6"/>
      <c r="AX228" s="15"/>
      <c r="AY228" s="15"/>
      <c r="AZ228" s="15"/>
      <c r="BA228" s="16"/>
      <c r="BB228" s="16"/>
      <c r="BC228" s="16"/>
      <c r="BD228" s="16"/>
      <c r="BE228" s="16"/>
      <c r="BF228" s="16"/>
      <c r="BG228" s="16"/>
      <c r="BH228" s="16"/>
      <c r="BI228" s="16"/>
      <c r="BJ228" s="16"/>
      <c r="BK228" s="16"/>
      <c r="BL228" s="16"/>
      <c r="BM228" s="16"/>
      <c r="BN228" s="16"/>
      <c r="BO228" s="16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  <c r="CN228" s="3"/>
      <c r="CO228" s="3"/>
      <c r="CP228" s="3"/>
      <c r="CQ228" s="3"/>
      <c r="CR228" s="3"/>
    </row>
    <row r="229" spans="1:96" ht="12" customHeight="1" x14ac:dyDescent="0.25">
      <c r="A229" s="3"/>
      <c r="B229" s="14"/>
      <c r="C229" s="14"/>
      <c r="D229" s="14"/>
      <c r="E229" s="14"/>
      <c r="F229" s="9"/>
      <c r="G229" s="9"/>
      <c r="H229" s="9"/>
      <c r="I229" s="10"/>
      <c r="J229" s="10"/>
      <c r="K229" s="14"/>
      <c r="L229" s="11"/>
      <c r="M229" s="14"/>
      <c r="N229" s="14"/>
      <c r="O229" s="4"/>
      <c r="P229" s="3"/>
      <c r="Q229" s="4"/>
      <c r="R229" s="3"/>
      <c r="S229" s="3"/>
      <c r="T229" s="3"/>
      <c r="U229" s="4"/>
      <c r="V229" s="4"/>
      <c r="W229" s="4"/>
      <c r="X229" s="4"/>
      <c r="Y229" s="4"/>
      <c r="Z229" s="11"/>
      <c r="AA229" s="16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16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6"/>
      <c r="AX229" s="15"/>
      <c r="AY229" s="15"/>
      <c r="AZ229" s="15"/>
      <c r="BA229" s="16"/>
      <c r="BB229" s="16"/>
      <c r="BC229" s="16"/>
      <c r="BD229" s="16"/>
      <c r="BE229" s="16"/>
      <c r="BF229" s="16"/>
      <c r="BG229" s="16"/>
      <c r="BH229" s="16"/>
      <c r="BI229" s="16"/>
      <c r="BJ229" s="16"/>
      <c r="BK229" s="16"/>
      <c r="BL229" s="16"/>
      <c r="BM229" s="16"/>
      <c r="BN229" s="16"/>
      <c r="BO229" s="16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  <c r="CN229" s="3"/>
      <c r="CO229" s="3"/>
      <c r="CP229" s="3"/>
      <c r="CQ229" s="3"/>
      <c r="CR229" s="3"/>
    </row>
    <row r="230" spans="1:96" ht="12" customHeight="1" x14ac:dyDescent="0.25">
      <c r="A230" s="3"/>
      <c r="B230" s="14"/>
      <c r="C230" s="14"/>
      <c r="D230" s="14"/>
      <c r="E230" s="14"/>
      <c r="F230" s="9"/>
      <c r="G230" s="9"/>
      <c r="H230" s="9"/>
      <c r="I230" s="10"/>
      <c r="J230" s="10"/>
      <c r="K230" s="14"/>
      <c r="L230" s="11"/>
      <c r="M230" s="14"/>
      <c r="N230" s="14"/>
      <c r="O230" s="4"/>
      <c r="P230" s="3"/>
      <c r="Q230" s="4"/>
      <c r="R230" s="3"/>
      <c r="S230" s="3"/>
      <c r="T230" s="3"/>
      <c r="U230" s="4"/>
      <c r="V230" s="4"/>
      <c r="W230" s="4"/>
      <c r="X230" s="4"/>
      <c r="Y230" s="4"/>
      <c r="Z230" s="11"/>
      <c r="AA230" s="16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16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6"/>
      <c r="AX230" s="15"/>
      <c r="AY230" s="15"/>
      <c r="AZ230" s="15"/>
      <c r="BA230" s="16"/>
      <c r="BB230" s="16"/>
      <c r="BC230" s="16"/>
      <c r="BD230" s="16"/>
      <c r="BE230" s="16"/>
      <c r="BF230" s="16"/>
      <c r="BG230" s="16"/>
      <c r="BH230" s="16"/>
      <c r="BI230" s="16"/>
      <c r="BJ230" s="16"/>
      <c r="BK230" s="16"/>
      <c r="BL230" s="16"/>
      <c r="BM230" s="16"/>
      <c r="BN230" s="16"/>
      <c r="BO230" s="16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  <c r="CN230" s="3"/>
      <c r="CO230" s="3"/>
      <c r="CP230" s="3"/>
      <c r="CQ230" s="3"/>
      <c r="CR230" s="3"/>
    </row>
    <row r="231" spans="1:96" ht="12" customHeight="1" x14ac:dyDescent="0.25">
      <c r="A231" s="3"/>
      <c r="B231" s="14"/>
      <c r="C231" s="14"/>
      <c r="D231" s="14"/>
      <c r="E231" s="14"/>
      <c r="F231" s="9"/>
      <c r="G231" s="9"/>
      <c r="H231" s="9"/>
      <c r="I231" s="10"/>
      <c r="J231" s="10"/>
      <c r="K231" s="14"/>
      <c r="L231" s="11"/>
      <c r="M231" s="14"/>
      <c r="N231" s="14"/>
      <c r="O231" s="4"/>
      <c r="P231" s="3"/>
      <c r="Q231" s="4"/>
      <c r="R231" s="3"/>
      <c r="S231" s="3"/>
      <c r="T231" s="3"/>
      <c r="U231" s="4"/>
      <c r="V231" s="4"/>
      <c r="W231" s="4"/>
      <c r="X231" s="4"/>
      <c r="Y231" s="4"/>
      <c r="Z231" s="11"/>
      <c r="AA231" s="16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16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6"/>
      <c r="AX231" s="15"/>
      <c r="AY231" s="15"/>
      <c r="AZ231" s="15"/>
      <c r="BA231" s="16"/>
      <c r="BB231" s="16"/>
      <c r="BC231" s="16"/>
      <c r="BD231" s="16"/>
      <c r="BE231" s="16"/>
      <c r="BF231" s="16"/>
      <c r="BG231" s="16"/>
      <c r="BH231" s="16"/>
      <c r="BI231" s="16"/>
      <c r="BJ231" s="16"/>
      <c r="BK231" s="16"/>
      <c r="BL231" s="16"/>
      <c r="BM231" s="16"/>
      <c r="BN231" s="16"/>
      <c r="BO231" s="16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  <c r="CN231" s="3"/>
      <c r="CO231" s="3"/>
      <c r="CP231" s="3"/>
      <c r="CQ231" s="3"/>
      <c r="CR231" s="3"/>
    </row>
    <row r="232" spans="1:96" ht="12" customHeight="1" x14ac:dyDescent="0.25">
      <c r="A232" s="3"/>
      <c r="B232" s="14"/>
      <c r="C232" s="14"/>
      <c r="D232" s="14"/>
      <c r="E232" s="14"/>
      <c r="F232" s="9"/>
      <c r="G232" s="9"/>
      <c r="H232" s="9"/>
      <c r="I232" s="10"/>
      <c r="J232" s="10"/>
      <c r="K232" s="14"/>
      <c r="L232" s="11"/>
      <c r="M232" s="14"/>
      <c r="N232" s="14"/>
      <c r="O232" s="4"/>
      <c r="P232" s="3"/>
      <c r="Q232" s="4"/>
      <c r="R232" s="3"/>
      <c r="S232" s="3"/>
      <c r="T232" s="3"/>
      <c r="U232" s="4"/>
      <c r="V232" s="4"/>
      <c r="W232" s="4"/>
      <c r="X232" s="4"/>
      <c r="Y232" s="4"/>
      <c r="Z232" s="11"/>
      <c r="AA232" s="16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16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6"/>
      <c r="AX232" s="15"/>
      <c r="AY232" s="15"/>
      <c r="AZ232" s="15"/>
      <c r="BA232" s="16"/>
      <c r="BB232" s="16"/>
      <c r="BC232" s="16"/>
      <c r="BD232" s="16"/>
      <c r="BE232" s="16"/>
      <c r="BF232" s="16"/>
      <c r="BG232" s="16"/>
      <c r="BH232" s="16"/>
      <c r="BI232" s="16"/>
      <c r="BJ232" s="16"/>
      <c r="BK232" s="16"/>
      <c r="BL232" s="16"/>
      <c r="BM232" s="16"/>
      <c r="BN232" s="16"/>
      <c r="BO232" s="16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  <c r="CN232" s="3"/>
      <c r="CO232" s="3"/>
      <c r="CP232" s="3"/>
      <c r="CQ232" s="3"/>
      <c r="CR232" s="3"/>
    </row>
    <row r="233" spans="1:96" ht="12" customHeight="1" x14ac:dyDescent="0.25">
      <c r="A233" s="3"/>
      <c r="B233" s="14"/>
      <c r="C233" s="14"/>
      <c r="D233" s="14"/>
      <c r="E233" s="14"/>
      <c r="F233" s="9"/>
      <c r="G233" s="9"/>
      <c r="H233" s="9"/>
      <c r="I233" s="10"/>
      <c r="J233" s="10"/>
      <c r="K233" s="14"/>
      <c r="L233" s="11"/>
      <c r="M233" s="14"/>
      <c r="N233" s="14"/>
      <c r="O233" s="4"/>
      <c r="P233" s="3"/>
      <c r="Q233" s="4"/>
      <c r="R233" s="3"/>
      <c r="S233" s="3"/>
      <c r="T233" s="3"/>
      <c r="U233" s="4"/>
      <c r="V233" s="4"/>
      <c r="W233" s="4"/>
      <c r="X233" s="4"/>
      <c r="Y233" s="4"/>
      <c r="Z233" s="11"/>
      <c r="AA233" s="16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16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6"/>
      <c r="AX233" s="15"/>
      <c r="AY233" s="15"/>
      <c r="AZ233" s="15"/>
      <c r="BA233" s="16"/>
      <c r="BB233" s="16"/>
      <c r="BC233" s="16"/>
      <c r="BD233" s="16"/>
      <c r="BE233" s="16"/>
      <c r="BF233" s="16"/>
      <c r="BG233" s="16"/>
      <c r="BH233" s="16"/>
      <c r="BI233" s="16"/>
      <c r="BJ233" s="16"/>
      <c r="BK233" s="16"/>
      <c r="BL233" s="16"/>
      <c r="BM233" s="16"/>
      <c r="BN233" s="16"/>
      <c r="BO233" s="16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  <c r="CN233" s="3"/>
      <c r="CO233" s="3"/>
      <c r="CP233" s="3"/>
      <c r="CQ233" s="3"/>
      <c r="CR233" s="3"/>
    </row>
    <row r="234" spans="1:96" ht="12" customHeight="1" x14ac:dyDescent="0.25">
      <c r="A234" s="3"/>
      <c r="B234" s="14"/>
      <c r="C234" s="14"/>
      <c r="D234" s="14"/>
      <c r="E234" s="14"/>
      <c r="F234" s="9"/>
      <c r="G234" s="9"/>
      <c r="H234" s="9"/>
      <c r="I234" s="10"/>
      <c r="J234" s="10"/>
      <c r="K234" s="14"/>
      <c r="L234" s="11"/>
      <c r="M234" s="14"/>
      <c r="N234" s="14"/>
      <c r="O234" s="4"/>
      <c r="P234" s="3"/>
      <c r="Q234" s="4"/>
      <c r="R234" s="3"/>
      <c r="S234" s="3"/>
      <c r="T234" s="3"/>
      <c r="U234" s="4"/>
      <c r="V234" s="4"/>
      <c r="W234" s="4"/>
      <c r="X234" s="4"/>
      <c r="Y234" s="4"/>
      <c r="Z234" s="11"/>
      <c r="AA234" s="16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16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6"/>
      <c r="AX234" s="15"/>
      <c r="AY234" s="15"/>
      <c r="AZ234" s="15"/>
      <c r="BA234" s="16"/>
      <c r="BB234" s="16"/>
      <c r="BC234" s="16"/>
      <c r="BD234" s="16"/>
      <c r="BE234" s="16"/>
      <c r="BF234" s="16"/>
      <c r="BG234" s="16"/>
      <c r="BH234" s="16"/>
      <c r="BI234" s="16"/>
      <c r="BJ234" s="16"/>
      <c r="BK234" s="16"/>
      <c r="BL234" s="16"/>
      <c r="BM234" s="16"/>
      <c r="BN234" s="16"/>
      <c r="BO234" s="16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  <c r="CN234" s="3"/>
      <c r="CO234" s="3"/>
      <c r="CP234" s="3"/>
      <c r="CQ234" s="3"/>
      <c r="CR234" s="3"/>
    </row>
    <row r="235" spans="1:96" ht="12" customHeight="1" x14ac:dyDescent="0.25">
      <c r="A235" s="3"/>
      <c r="B235" s="14"/>
      <c r="C235" s="14"/>
      <c r="D235" s="14"/>
      <c r="E235" s="14"/>
      <c r="F235" s="9"/>
      <c r="G235" s="9"/>
      <c r="H235" s="9"/>
      <c r="I235" s="10"/>
      <c r="J235" s="10"/>
      <c r="K235" s="14"/>
      <c r="L235" s="11"/>
      <c r="M235" s="14"/>
      <c r="N235" s="14"/>
      <c r="O235" s="4"/>
      <c r="P235" s="3"/>
      <c r="Q235" s="4"/>
      <c r="R235" s="3"/>
      <c r="S235" s="3"/>
      <c r="T235" s="3"/>
      <c r="U235" s="4"/>
      <c r="V235" s="4"/>
      <c r="W235" s="4"/>
      <c r="X235" s="4"/>
      <c r="Y235" s="4"/>
      <c r="Z235" s="11"/>
      <c r="AA235" s="16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16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6"/>
      <c r="AX235" s="15"/>
      <c r="AY235" s="15"/>
      <c r="AZ235" s="15"/>
      <c r="BA235" s="16"/>
      <c r="BB235" s="16"/>
      <c r="BC235" s="16"/>
      <c r="BD235" s="16"/>
      <c r="BE235" s="16"/>
      <c r="BF235" s="16"/>
      <c r="BG235" s="16"/>
      <c r="BH235" s="16"/>
      <c r="BI235" s="16"/>
      <c r="BJ235" s="16"/>
      <c r="BK235" s="16"/>
      <c r="BL235" s="16"/>
      <c r="BM235" s="16"/>
      <c r="BN235" s="16"/>
      <c r="BO235" s="16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  <c r="CN235" s="3"/>
      <c r="CO235" s="3"/>
      <c r="CP235" s="3"/>
      <c r="CQ235" s="3"/>
      <c r="CR235" s="3"/>
    </row>
    <row r="236" spans="1:96" ht="12" customHeight="1" x14ac:dyDescent="0.25">
      <c r="A236" s="3"/>
      <c r="B236" s="14"/>
      <c r="C236" s="14"/>
      <c r="D236" s="14"/>
      <c r="E236" s="14"/>
      <c r="F236" s="9"/>
      <c r="G236" s="9"/>
      <c r="H236" s="9"/>
      <c r="I236" s="10"/>
      <c r="J236" s="10"/>
      <c r="K236" s="14"/>
      <c r="L236" s="11"/>
      <c r="M236" s="14"/>
      <c r="N236" s="14"/>
      <c r="O236" s="4"/>
      <c r="P236" s="3"/>
      <c r="Q236" s="4"/>
      <c r="R236" s="3"/>
      <c r="S236" s="3"/>
      <c r="T236" s="3"/>
      <c r="U236" s="4"/>
      <c r="V236" s="4"/>
      <c r="W236" s="4"/>
      <c r="X236" s="4"/>
      <c r="Y236" s="4"/>
      <c r="Z236" s="11"/>
      <c r="AA236" s="16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16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6"/>
      <c r="AX236" s="15"/>
      <c r="AY236" s="15"/>
      <c r="AZ236" s="15"/>
      <c r="BA236" s="16"/>
      <c r="BB236" s="16"/>
      <c r="BC236" s="16"/>
      <c r="BD236" s="16"/>
      <c r="BE236" s="16"/>
      <c r="BF236" s="16"/>
      <c r="BG236" s="16"/>
      <c r="BH236" s="16"/>
      <c r="BI236" s="16"/>
      <c r="BJ236" s="16"/>
      <c r="BK236" s="16"/>
      <c r="BL236" s="16"/>
      <c r="BM236" s="16"/>
      <c r="BN236" s="16"/>
      <c r="BO236" s="16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  <c r="CN236" s="3"/>
      <c r="CO236" s="3"/>
      <c r="CP236" s="3"/>
      <c r="CQ236" s="3"/>
      <c r="CR236" s="3"/>
    </row>
    <row r="237" spans="1:96" ht="12" customHeight="1" x14ac:dyDescent="0.25">
      <c r="A237" s="3"/>
      <c r="B237" s="14"/>
      <c r="C237" s="14"/>
      <c r="D237" s="14"/>
      <c r="E237" s="14"/>
      <c r="F237" s="9"/>
      <c r="G237" s="9"/>
      <c r="H237" s="9"/>
      <c r="I237" s="10"/>
      <c r="J237" s="10"/>
      <c r="K237" s="14"/>
      <c r="L237" s="11"/>
      <c r="M237" s="14"/>
      <c r="N237" s="14"/>
      <c r="O237" s="4"/>
      <c r="P237" s="3"/>
      <c r="Q237" s="4"/>
      <c r="R237" s="3"/>
      <c r="S237" s="3"/>
      <c r="T237" s="3"/>
      <c r="U237" s="4"/>
      <c r="V237" s="4"/>
      <c r="W237" s="4"/>
      <c r="X237" s="4"/>
      <c r="Y237" s="4"/>
      <c r="Z237" s="11"/>
      <c r="AA237" s="16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16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6"/>
      <c r="AX237" s="15"/>
      <c r="AY237" s="15"/>
      <c r="AZ237" s="15"/>
      <c r="BA237" s="16"/>
      <c r="BB237" s="16"/>
      <c r="BC237" s="16"/>
      <c r="BD237" s="16"/>
      <c r="BE237" s="16"/>
      <c r="BF237" s="16"/>
      <c r="BG237" s="16"/>
      <c r="BH237" s="16"/>
      <c r="BI237" s="16"/>
      <c r="BJ237" s="16"/>
      <c r="BK237" s="16"/>
      <c r="BL237" s="16"/>
      <c r="BM237" s="16"/>
      <c r="BN237" s="16"/>
      <c r="BO237" s="16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  <c r="CN237" s="3"/>
      <c r="CO237" s="3"/>
      <c r="CP237" s="3"/>
      <c r="CQ237" s="3"/>
      <c r="CR237" s="3"/>
    </row>
    <row r="238" spans="1:96" ht="12" customHeight="1" x14ac:dyDescent="0.25">
      <c r="A238" s="3"/>
      <c r="B238" s="14"/>
      <c r="C238" s="14"/>
      <c r="D238" s="14"/>
      <c r="E238" s="14"/>
      <c r="F238" s="9"/>
      <c r="G238" s="9"/>
      <c r="H238" s="9"/>
      <c r="I238" s="10"/>
      <c r="J238" s="10"/>
      <c r="K238" s="14"/>
      <c r="L238" s="11"/>
      <c r="M238" s="14"/>
      <c r="N238" s="14"/>
      <c r="O238" s="4"/>
      <c r="P238" s="3"/>
      <c r="Q238" s="4"/>
      <c r="R238" s="3"/>
      <c r="S238" s="3"/>
      <c r="T238" s="3"/>
      <c r="U238" s="4"/>
      <c r="V238" s="4"/>
      <c r="W238" s="4"/>
      <c r="X238" s="4"/>
      <c r="Y238" s="4"/>
      <c r="Z238" s="11"/>
      <c r="AA238" s="16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16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6"/>
      <c r="AX238" s="15"/>
      <c r="AY238" s="15"/>
      <c r="AZ238" s="15"/>
      <c r="BA238" s="16"/>
      <c r="BB238" s="16"/>
      <c r="BC238" s="16"/>
      <c r="BD238" s="16"/>
      <c r="BE238" s="16"/>
      <c r="BF238" s="16"/>
      <c r="BG238" s="16"/>
      <c r="BH238" s="16"/>
      <c r="BI238" s="16"/>
      <c r="BJ238" s="16"/>
      <c r="BK238" s="16"/>
      <c r="BL238" s="16"/>
      <c r="BM238" s="16"/>
      <c r="BN238" s="16"/>
      <c r="BO238" s="16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  <c r="CN238" s="3"/>
      <c r="CO238" s="3"/>
      <c r="CP238" s="3"/>
      <c r="CQ238" s="3"/>
      <c r="CR238" s="3"/>
    </row>
    <row r="239" spans="1:96" ht="12" customHeight="1" x14ac:dyDescent="0.25">
      <c r="A239" s="3"/>
      <c r="B239" s="14"/>
      <c r="C239" s="14"/>
      <c r="D239" s="14"/>
      <c r="E239" s="14"/>
      <c r="F239" s="9"/>
      <c r="G239" s="9"/>
      <c r="H239" s="9"/>
      <c r="I239" s="10"/>
      <c r="J239" s="10"/>
      <c r="K239" s="14"/>
      <c r="L239" s="11"/>
      <c r="M239" s="14"/>
      <c r="N239" s="14"/>
      <c r="O239" s="4"/>
      <c r="P239" s="3"/>
      <c r="Q239" s="4"/>
      <c r="R239" s="3"/>
      <c r="S239" s="3"/>
      <c r="T239" s="3"/>
      <c r="U239" s="4"/>
      <c r="V239" s="4"/>
      <c r="W239" s="4"/>
      <c r="X239" s="4"/>
      <c r="Y239" s="4"/>
      <c r="Z239" s="11"/>
      <c r="AA239" s="16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16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6"/>
      <c r="AX239" s="15"/>
      <c r="AY239" s="15"/>
      <c r="AZ239" s="15"/>
      <c r="BA239" s="16"/>
      <c r="BB239" s="16"/>
      <c r="BC239" s="16"/>
      <c r="BD239" s="16"/>
      <c r="BE239" s="16"/>
      <c r="BF239" s="16"/>
      <c r="BG239" s="16"/>
      <c r="BH239" s="16"/>
      <c r="BI239" s="16"/>
      <c r="BJ239" s="16"/>
      <c r="BK239" s="16"/>
      <c r="BL239" s="16"/>
      <c r="BM239" s="16"/>
      <c r="BN239" s="16"/>
      <c r="BO239" s="16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  <c r="CN239" s="3"/>
      <c r="CO239" s="3"/>
      <c r="CP239" s="3"/>
      <c r="CQ239" s="3"/>
      <c r="CR239" s="3"/>
    </row>
    <row r="240" spans="1:96" ht="12" customHeight="1" x14ac:dyDescent="0.25">
      <c r="A240" s="3"/>
      <c r="B240" s="14"/>
      <c r="C240" s="14"/>
      <c r="D240" s="14"/>
      <c r="E240" s="14"/>
      <c r="F240" s="9"/>
      <c r="G240" s="9"/>
      <c r="H240" s="9"/>
      <c r="I240" s="10"/>
      <c r="J240" s="10"/>
      <c r="K240" s="14"/>
      <c r="L240" s="11"/>
      <c r="M240" s="14"/>
      <c r="N240" s="14"/>
      <c r="O240" s="4"/>
      <c r="P240" s="3"/>
      <c r="Q240" s="4"/>
      <c r="R240" s="3"/>
      <c r="S240" s="3"/>
      <c r="T240" s="3"/>
      <c r="U240" s="4"/>
      <c r="V240" s="4"/>
      <c r="W240" s="4"/>
      <c r="X240" s="4"/>
      <c r="Y240" s="4"/>
      <c r="Z240" s="11"/>
      <c r="AA240" s="16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16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6"/>
      <c r="AX240" s="15"/>
      <c r="AY240" s="15"/>
      <c r="AZ240" s="15"/>
      <c r="BA240" s="16"/>
      <c r="BB240" s="16"/>
      <c r="BC240" s="16"/>
      <c r="BD240" s="16"/>
      <c r="BE240" s="16"/>
      <c r="BF240" s="16"/>
      <c r="BG240" s="16"/>
      <c r="BH240" s="16"/>
      <c r="BI240" s="16"/>
      <c r="BJ240" s="16"/>
      <c r="BK240" s="16"/>
      <c r="BL240" s="16"/>
      <c r="BM240" s="16"/>
      <c r="BN240" s="16"/>
      <c r="BO240" s="16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  <c r="CN240" s="3"/>
      <c r="CO240" s="3"/>
      <c r="CP240" s="3"/>
      <c r="CQ240" s="3"/>
      <c r="CR240" s="3"/>
    </row>
    <row r="241" spans="1:96" ht="12" customHeight="1" x14ac:dyDescent="0.25">
      <c r="A241" s="3"/>
      <c r="B241" s="14"/>
      <c r="C241" s="14"/>
      <c r="D241" s="14"/>
      <c r="E241" s="14"/>
      <c r="F241" s="9"/>
      <c r="G241" s="9"/>
      <c r="H241" s="9"/>
      <c r="I241" s="10"/>
      <c r="J241" s="10"/>
      <c r="K241" s="14"/>
      <c r="L241" s="11"/>
      <c r="M241" s="14"/>
      <c r="N241" s="14"/>
      <c r="O241" s="4"/>
      <c r="P241" s="3"/>
      <c r="Q241" s="4"/>
      <c r="R241" s="3"/>
      <c r="S241" s="3"/>
      <c r="T241" s="3"/>
      <c r="U241" s="4"/>
      <c r="V241" s="4"/>
      <c r="W241" s="4"/>
      <c r="X241" s="4"/>
      <c r="Y241" s="4"/>
      <c r="Z241" s="11"/>
      <c r="AA241" s="16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16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6"/>
      <c r="AX241" s="15"/>
      <c r="AY241" s="15"/>
      <c r="AZ241" s="15"/>
      <c r="BA241" s="16"/>
      <c r="BB241" s="16"/>
      <c r="BC241" s="16"/>
      <c r="BD241" s="16"/>
      <c r="BE241" s="16"/>
      <c r="BF241" s="16"/>
      <c r="BG241" s="16"/>
      <c r="BH241" s="16"/>
      <c r="BI241" s="16"/>
      <c r="BJ241" s="16"/>
      <c r="BK241" s="16"/>
      <c r="BL241" s="16"/>
      <c r="BM241" s="16"/>
      <c r="BN241" s="16"/>
      <c r="BO241" s="16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  <c r="CN241" s="3"/>
      <c r="CO241" s="3"/>
      <c r="CP241" s="3"/>
      <c r="CQ241" s="3"/>
      <c r="CR241" s="3"/>
    </row>
    <row r="242" spans="1:96" ht="12" customHeight="1" x14ac:dyDescent="0.25">
      <c r="A242" s="3"/>
      <c r="B242" s="14"/>
      <c r="C242" s="14"/>
      <c r="D242" s="14"/>
      <c r="E242" s="14"/>
      <c r="F242" s="9"/>
      <c r="G242" s="9"/>
      <c r="H242" s="9"/>
      <c r="I242" s="10"/>
      <c r="J242" s="10"/>
      <c r="K242" s="14"/>
      <c r="L242" s="11"/>
      <c r="M242" s="14"/>
      <c r="N242" s="14"/>
      <c r="O242" s="4"/>
      <c r="P242" s="3"/>
      <c r="Q242" s="4"/>
      <c r="R242" s="3"/>
      <c r="S242" s="3"/>
      <c r="T242" s="3"/>
      <c r="U242" s="4"/>
      <c r="V242" s="4"/>
      <c r="W242" s="4"/>
      <c r="X242" s="4"/>
      <c r="Y242" s="4"/>
      <c r="Z242" s="11"/>
      <c r="AA242" s="16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16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6"/>
      <c r="AX242" s="15"/>
      <c r="AY242" s="15"/>
      <c r="AZ242" s="15"/>
      <c r="BA242" s="16"/>
      <c r="BB242" s="16"/>
      <c r="BC242" s="16"/>
      <c r="BD242" s="16"/>
      <c r="BE242" s="16"/>
      <c r="BF242" s="16"/>
      <c r="BG242" s="16"/>
      <c r="BH242" s="16"/>
      <c r="BI242" s="16"/>
      <c r="BJ242" s="16"/>
      <c r="BK242" s="16"/>
      <c r="BL242" s="16"/>
      <c r="BM242" s="16"/>
      <c r="BN242" s="16"/>
      <c r="BO242" s="16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  <c r="CN242" s="3"/>
      <c r="CO242" s="3"/>
      <c r="CP242" s="3"/>
      <c r="CQ242" s="3"/>
      <c r="CR242" s="3"/>
    </row>
    <row r="243" spans="1:96" ht="12" customHeight="1" x14ac:dyDescent="0.25">
      <c r="A243" s="3"/>
      <c r="B243" s="14"/>
      <c r="C243" s="14"/>
      <c r="D243" s="14"/>
      <c r="E243" s="14"/>
      <c r="F243" s="9"/>
      <c r="G243" s="9"/>
      <c r="H243" s="9"/>
      <c r="I243" s="10"/>
      <c r="J243" s="10"/>
      <c r="K243" s="14"/>
      <c r="L243" s="11"/>
      <c r="M243" s="14"/>
      <c r="N243" s="14"/>
      <c r="O243" s="4"/>
      <c r="P243" s="3"/>
      <c r="Q243" s="4"/>
      <c r="R243" s="3"/>
      <c r="S243" s="3"/>
      <c r="T243" s="3"/>
      <c r="U243" s="4"/>
      <c r="V243" s="4"/>
      <c r="W243" s="4"/>
      <c r="X243" s="4"/>
      <c r="Y243" s="4"/>
      <c r="Z243" s="11"/>
      <c r="AA243" s="16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16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6"/>
      <c r="AX243" s="15"/>
      <c r="AY243" s="15"/>
      <c r="AZ243" s="15"/>
      <c r="BA243" s="16"/>
      <c r="BB243" s="16"/>
      <c r="BC243" s="16"/>
      <c r="BD243" s="16"/>
      <c r="BE243" s="16"/>
      <c r="BF243" s="16"/>
      <c r="BG243" s="16"/>
      <c r="BH243" s="16"/>
      <c r="BI243" s="16"/>
      <c r="BJ243" s="16"/>
      <c r="BK243" s="16"/>
      <c r="BL243" s="16"/>
      <c r="BM243" s="16"/>
      <c r="BN243" s="16"/>
      <c r="BO243" s="16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  <c r="CN243" s="3"/>
      <c r="CO243" s="3"/>
      <c r="CP243" s="3"/>
      <c r="CQ243" s="3"/>
      <c r="CR243" s="3"/>
    </row>
    <row r="244" spans="1:96" ht="12" customHeight="1" x14ac:dyDescent="0.25">
      <c r="A244" s="3"/>
      <c r="B244" s="14"/>
      <c r="C244" s="14"/>
      <c r="D244" s="14"/>
      <c r="E244" s="14"/>
      <c r="F244" s="9"/>
      <c r="G244" s="9"/>
      <c r="H244" s="9"/>
      <c r="I244" s="10"/>
      <c r="J244" s="10"/>
      <c r="K244" s="14"/>
      <c r="L244" s="11"/>
      <c r="M244" s="14"/>
      <c r="N244" s="14"/>
      <c r="O244" s="4"/>
      <c r="P244" s="3"/>
      <c r="Q244" s="4"/>
      <c r="R244" s="3"/>
      <c r="S244" s="3"/>
      <c r="T244" s="3"/>
      <c r="U244" s="4"/>
      <c r="V244" s="4"/>
      <c r="W244" s="4"/>
      <c r="X244" s="4"/>
      <c r="Y244" s="4"/>
      <c r="Z244" s="11"/>
      <c r="AA244" s="16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16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6"/>
      <c r="AX244" s="15"/>
      <c r="AY244" s="15"/>
      <c r="AZ244" s="15"/>
      <c r="BA244" s="16"/>
      <c r="BB244" s="16"/>
      <c r="BC244" s="16"/>
      <c r="BD244" s="16"/>
      <c r="BE244" s="16"/>
      <c r="BF244" s="16"/>
      <c r="BG244" s="16"/>
      <c r="BH244" s="16"/>
      <c r="BI244" s="16"/>
      <c r="BJ244" s="16"/>
      <c r="BK244" s="16"/>
      <c r="BL244" s="16"/>
      <c r="BM244" s="16"/>
      <c r="BN244" s="16"/>
      <c r="BO244" s="16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  <c r="CN244" s="3"/>
      <c r="CO244" s="3"/>
      <c r="CP244" s="3"/>
      <c r="CQ244" s="3"/>
      <c r="CR244" s="3"/>
    </row>
    <row r="245" spans="1:96" ht="12" customHeight="1" x14ac:dyDescent="0.25">
      <c r="A245" s="3"/>
      <c r="B245" s="14"/>
      <c r="C245" s="14"/>
      <c r="D245" s="14"/>
      <c r="E245" s="14"/>
      <c r="F245" s="9"/>
      <c r="G245" s="9"/>
      <c r="H245" s="9"/>
      <c r="I245" s="10"/>
      <c r="J245" s="10"/>
      <c r="K245" s="14"/>
      <c r="L245" s="11"/>
      <c r="M245" s="14"/>
      <c r="N245" s="14"/>
      <c r="O245" s="4"/>
      <c r="P245" s="3"/>
      <c r="Q245" s="4"/>
      <c r="R245" s="3"/>
      <c r="S245" s="3"/>
      <c r="T245" s="3"/>
      <c r="U245" s="4"/>
      <c r="V245" s="4"/>
      <c r="W245" s="4"/>
      <c r="X245" s="4"/>
      <c r="Y245" s="4"/>
      <c r="Z245" s="11"/>
      <c r="AA245" s="16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16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6"/>
      <c r="AX245" s="15"/>
      <c r="AY245" s="15"/>
      <c r="AZ245" s="15"/>
      <c r="BA245" s="16"/>
      <c r="BB245" s="16"/>
      <c r="BC245" s="16"/>
      <c r="BD245" s="16"/>
      <c r="BE245" s="16"/>
      <c r="BF245" s="16"/>
      <c r="BG245" s="16"/>
      <c r="BH245" s="16"/>
      <c r="BI245" s="16"/>
      <c r="BJ245" s="16"/>
      <c r="BK245" s="16"/>
      <c r="BL245" s="16"/>
      <c r="BM245" s="16"/>
      <c r="BN245" s="16"/>
      <c r="BO245" s="16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  <c r="CN245" s="3"/>
      <c r="CO245" s="3"/>
      <c r="CP245" s="3"/>
      <c r="CQ245" s="3"/>
      <c r="CR245" s="3"/>
    </row>
    <row r="246" spans="1:96" ht="12" customHeight="1" x14ac:dyDescent="0.25">
      <c r="A246" s="3"/>
      <c r="B246" s="14"/>
      <c r="C246" s="14"/>
      <c r="D246" s="14"/>
      <c r="E246" s="14"/>
      <c r="F246" s="9"/>
      <c r="G246" s="9"/>
      <c r="H246" s="9"/>
      <c r="I246" s="10"/>
      <c r="J246" s="10"/>
      <c r="K246" s="14"/>
      <c r="L246" s="11"/>
      <c r="M246" s="14"/>
      <c r="N246" s="14"/>
      <c r="O246" s="4"/>
      <c r="P246" s="3"/>
      <c r="Q246" s="4"/>
      <c r="R246" s="3"/>
      <c r="S246" s="3"/>
      <c r="T246" s="3"/>
      <c r="U246" s="4"/>
      <c r="V246" s="4"/>
      <c r="W246" s="4"/>
      <c r="X246" s="4"/>
      <c r="Y246" s="4"/>
      <c r="Z246" s="11"/>
      <c r="AA246" s="16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16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6"/>
      <c r="AX246" s="15"/>
      <c r="AY246" s="15"/>
      <c r="AZ246" s="15"/>
      <c r="BA246" s="16"/>
      <c r="BB246" s="16"/>
      <c r="BC246" s="16"/>
      <c r="BD246" s="16"/>
      <c r="BE246" s="16"/>
      <c r="BF246" s="16"/>
      <c r="BG246" s="16"/>
      <c r="BH246" s="16"/>
      <c r="BI246" s="16"/>
      <c r="BJ246" s="16"/>
      <c r="BK246" s="16"/>
      <c r="BL246" s="16"/>
      <c r="BM246" s="16"/>
      <c r="BN246" s="16"/>
      <c r="BO246" s="16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  <c r="CN246" s="3"/>
      <c r="CO246" s="3"/>
      <c r="CP246" s="3"/>
      <c r="CQ246" s="3"/>
      <c r="CR246" s="3"/>
    </row>
    <row r="247" spans="1:96" ht="12" customHeight="1" x14ac:dyDescent="0.25">
      <c r="A247" s="3"/>
      <c r="B247" s="14"/>
      <c r="C247" s="14"/>
      <c r="D247" s="14"/>
      <c r="E247" s="14"/>
      <c r="F247" s="9"/>
      <c r="G247" s="9"/>
      <c r="H247" s="9"/>
      <c r="I247" s="10"/>
      <c r="J247" s="10"/>
      <c r="K247" s="14"/>
      <c r="L247" s="11"/>
      <c r="M247" s="14"/>
      <c r="N247" s="14"/>
      <c r="O247" s="4"/>
      <c r="P247" s="3"/>
      <c r="Q247" s="4"/>
      <c r="R247" s="3"/>
      <c r="S247" s="3"/>
      <c r="T247" s="3"/>
      <c r="U247" s="4"/>
      <c r="V247" s="4"/>
      <c r="W247" s="4"/>
      <c r="X247" s="4"/>
      <c r="Y247" s="4"/>
      <c r="Z247" s="11"/>
      <c r="AA247" s="16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16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6"/>
      <c r="AX247" s="15"/>
      <c r="AY247" s="15"/>
      <c r="AZ247" s="15"/>
      <c r="BA247" s="16"/>
      <c r="BB247" s="16"/>
      <c r="BC247" s="16"/>
      <c r="BD247" s="16"/>
      <c r="BE247" s="16"/>
      <c r="BF247" s="16"/>
      <c r="BG247" s="16"/>
      <c r="BH247" s="16"/>
      <c r="BI247" s="16"/>
      <c r="BJ247" s="16"/>
      <c r="BK247" s="16"/>
      <c r="BL247" s="16"/>
      <c r="BM247" s="16"/>
      <c r="BN247" s="16"/>
      <c r="BO247" s="16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  <c r="CN247" s="3"/>
      <c r="CO247" s="3"/>
      <c r="CP247" s="3"/>
      <c r="CQ247" s="3"/>
      <c r="CR247" s="3"/>
    </row>
    <row r="248" spans="1:96" ht="12" customHeight="1" x14ac:dyDescent="0.25">
      <c r="A248" s="3"/>
      <c r="B248" s="14"/>
      <c r="C248" s="14"/>
      <c r="D248" s="14"/>
      <c r="E248" s="14"/>
      <c r="F248" s="9"/>
      <c r="G248" s="9"/>
      <c r="H248" s="9"/>
      <c r="I248" s="10"/>
      <c r="J248" s="10"/>
      <c r="K248" s="14"/>
      <c r="L248" s="11"/>
      <c r="M248" s="14"/>
      <c r="N248" s="14"/>
      <c r="O248" s="4"/>
      <c r="P248" s="3"/>
      <c r="Q248" s="4"/>
      <c r="R248" s="3"/>
      <c r="S248" s="3"/>
      <c r="T248" s="3"/>
      <c r="U248" s="4"/>
      <c r="V248" s="4"/>
      <c r="W248" s="4"/>
      <c r="X248" s="4"/>
      <c r="Y248" s="4"/>
      <c r="Z248" s="11"/>
      <c r="AA248" s="16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16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6"/>
      <c r="AX248" s="15"/>
      <c r="AY248" s="15"/>
      <c r="AZ248" s="15"/>
      <c r="BA248" s="16"/>
      <c r="BB248" s="16"/>
      <c r="BC248" s="16"/>
      <c r="BD248" s="16"/>
      <c r="BE248" s="16"/>
      <c r="BF248" s="16"/>
      <c r="BG248" s="16"/>
      <c r="BH248" s="16"/>
      <c r="BI248" s="16"/>
      <c r="BJ248" s="16"/>
      <c r="BK248" s="16"/>
      <c r="BL248" s="16"/>
      <c r="BM248" s="16"/>
      <c r="BN248" s="16"/>
      <c r="BO248" s="16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  <c r="CN248" s="3"/>
      <c r="CO248" s="3"/>
      <c r="CP248" s="3"/>
      <c r="CQ248" s="3"/>
      <c r="CR248" s="3"/>
    </row>
    <row r="249" spans="1:96" ht="12" customHeight="1" x14ac:dyDescent="0.25">
      <c r="A249" s="3"/>
      <c r="B249" s="14"/>
      <c r="C249" s="14"/>
      <c r="D249" s="14"/>
      <c r="E249" s="14"/>
      <c r="F249" s="9"/>
      <c r="G249" s="9"/>
      <c r="H249" s="9"/>
      <c r="I249" s="10"/>
      <c r="J249" s="10"/>
      <c r="K249" s="14"/>
      <c r="L249" s="11"/>
      <c r="M249" s="14"/>
      <c r="N249" s="14"/>
      <c r="O249" s="4"/>
      <c r="P249" s="3"/>
      <c r="Q249" s="4"/>
      <c r="R249" s="3"/>
      <c r="S249" s="3"/>
      <c r="T249" s="3"/>
      <c r="U249" s="4"/>
      <c r="V249" s="4"/>
      <c r="W249" s="4"/>
      <c r="X249" s="4"/>
      <c r="Y249" s="4"/>
      <c r="Z249" s="11"/>
      <c r="AA249" s="16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16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6"/>
      <c r="AX249" s="15"/>
      <c r="AY249" s="15"/>
      <c r="AZ249" s="15"/>
      <c r="BA249" s="16"/>
      <c r="BB249" s="16"/>
      <c r="BC249" s="16"/>
      <c r="BD249" s="16"/>
      <c r="BE249" s="16"/>
      <c r="BF249" s="16"/>
      <c r="BG249" s="16"/>
      <c r="BH249" s="16"/>
      <c r="BI249" s="16"/>
      <c r="BJ249" s="16"/>
      <c r="BK249" s="16"/>
      <c r="BL249" s="16"/>
      <c r="BM249" s="16"/>
      <c r="BN249" s="16"/>
      <c r="BO249" s="16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  <c r="CN249" s="3"/>
      <c r="CO249" s="3"/>
      <c r="CP249" s="3"/>
      <c r="CQ249" s="3"/>
      <c r="CR249" s="3"/>
    </row>
    <row r="250" spans="1:96" ht="12" customHeight="1" x14ac:dyDescent="0.25">
      <c r="A250" s="3"/>
      <c r="B250" s="14"/>
      <c r="C250" s="14"/>
      <c r="D250" s="14"/>
      <c r="E250" s="14"/>
      <c r="F250" s="9"/>
      <c r="G250" s="9"/>
      <c r="H250" s="9"/>
      <c r="I250" s="10"/>
      <c r="J250" s="10"/>
      <c r="K250" s="14"/>
      <c r="L250" s="11"/>
      <c r="M250" s="14"/>
      <c r="N250" s="14"/>
      <c r="O250" s="4"/>
      <c r="P250" s="3"/>
      <c r="Q250" s="4"/>
      <c r="R250" s="3"/>
      <c r="S250" s="3"/>
      <c r="T250" s="3"/>
      <c r="U250" s="4"/>
      <c r="V250" s="4"/>
      <c r="W250" s="4"/>
      <c r="X250" s="4"/>
      <c r="Y250" s="4"/>
      <c r="Z250" s="11"/>
      <c r="AA250" s="16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16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6"/>
      <c r="AX250" s="15"/>
      <c r="AY250" s="15"/>
      <c r="AZ250" s="15"/>
      <c r="BA250" s="16"/>
      <c r="BB250" s="16"/>
      <c r="BC250" s="16"/>
      <c r="BD250" s="16"/>
      <c r="BE250" s="16"/>
      <c r="BF250" s="16"/>
      <c r="BG250" s="16"/>
      <c r="BH250" s="16"/>
      <c r="BI250" s="16"/>
      <c r="BJ250" s="16"/>
      <c r="BK250" s="16"/>
      <c r="BL250" s="16"/>
      <c r="BM250" s="16"/>
      <c r="BN250" s="16"/>
      <c r="BO250" s="16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  <c r="CN250" s="3"/>
      <c r="CO250" s="3"/>
      <c r="CP250" s="3"/>
      <c r="CQ250" s="3"/>
      <c r="CR250" s="3"/>
    </row>
    <row r="251" spans="1:96" ht="12" customHeight="1" x14ac:dyDescent="0.25">
      <c r="A251" s="3"/>
      <c r="B251" s="14"/>
      <c r="C251" s="14"/>
      <c r="D251" s="14"/>
      <c r="E251" s="14"/>
      <c r="F251" s="9"/>
      <c r="G251" s="9"/>
      <c r="H251" s="9"/>
      <c r="I251" s="10"/>
      <c r="J251" s="10"/>
      <c r="K251" s="14"/>
      <c r="L251" s="11"/>
      <c r="M251" s="14"/>
      <c r="N251" s="14"/>
      <c r="O251" s="4"/>
      <c r="P251" s="3"/>
      <c r="Q251" s="4"/>
      <c r="R251" s="3"/>
      <c r="S251" s="3"/>
      <c r="T251" s="3"/>
      <c r="U251" s="4"/>
      <c r="V251" s="4"/>
      <c r="W251" s="4"/>
      <c r="X251" s="4"/>
      <c r="Y251" s="4"/>
      <c r="Z251" s="11"/>
      <c r="AA251" s="16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16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6"/>
      <c r="AX251" s="15"/>
      <c r="AY251" s="15"/>
      <c r="AZ251" s="15"/>
      <c r="BA251" s="16"/>
      <c r="BB251" s="16"/>
      <c r="BC251" s="16"/>
      <c r="BD251" s="16"/>
      <c r="BE251" s="16"/>
      <c r="BF251" s="16"/>
      <c r="BG251" s="16"/>
      <c r="BH251" s="16"/>
      <c r="BI251" s="16"/>
      <c r="BJ251" s="16"/>
      <c r="BK251" s="16"/>
      <c r="BL251" s="16"/>
      <c r="BM251" s="16"/>
      <c r="BN251" s="16"/>
      <c r="BO251" s="16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  <c r="CN251" s="3"/>
      <c r="CO251" s="3"/>
      <c r="CP251" s="3"/>
      <c r="CQ251" s="3"/>
      <c r="CR251" s="3"/>
    </row>
    <row r="252" spans="1:96" ht="12" customHeight="1" x14ac:dyDescent="0.25">
      <c r="A252" s="3"/>
      <c r="B252" s="14"/>
      <c r="C252" s="14"/>
      <c r="D252" s="14"/>
      <c r="E252" s="14"/>
      <c r="F252" s="9"/>
      <c r="G252" s="9"/>
      <c r="H252" s="9"/>
      <c r="I252" s="10"/>
      <c r="J252" s="10"/>
      <c r="K252" s="14"/>
      <c r="L252" s="11"/>
      <c r="M252" s="14"/>
      <c r="N252" s="14"/>
      <c r="O252" s="4"/>
      <c r="P252" s="3"/>
      <c r="Q252" s="4"/>
      <c r="R252" s="3"/>
      <c r="S252" s="3"/>
      <c r="T252" s="3"/>
      <c r="U252" s="4"/>
      <c r="V252" s="4"/>
      <c r="W252" s="4"/>
      <c r="X252" s="4"/>
      <c r="Y252" s="4"/>
      <c r="Z252" s="11"/>
      <c r="AA252" s="16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16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6"/>
      <c r="AX252" s="15"/>
      <c r="AY252" s="15"/>
      <c r="AZ252" s="15"/>
      <c r="BA252" s="16"/>
      <c r="BB252" s="16"/>
      <c r="BC252" s="16"/>
      <c r="BD252" s="16"/>
      <c r="BE252" s="16"/>
      <c r="BF252" s="16"/>
      <c r="BG252" s="16"/>
      <c r="BH252" s="16"/>
      <c r="BI252" s="16"/>
      <c r="BJ252" s="16"/>
      <c r="BK252" s="16"/>
      <c r="BL252" s="16"/>
      <c r="BM252" s="16"/>
      <c r="BN252" s="16"/>
      <c r="BO252" s="16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  <c r="CN252" s="3"/>
      <c r="CO252" s="3"/>
      <c r="CP252" s="3"/>
      <c r="CQ252" s="3"/>
      <c r="CR252" s="3"/>
    </row>
    <row r="253" spans="1:96" ht="12" customHeight="1" x14ac:dyDescent="0.25">
      <c r="A253" s="3"/>
      <c r="B253" s="14"/>
      <c r="C253" s="14"/>
      <c r="D253" s="14"/>
      <c r="E253" s="14"/>
      <c r="F253" s="9"/>
      <c r="G253" s="9"/>
      <c r="H253" s="9"/>
      <c r="I253" s="10"/>
      <c r="J253" s="10"/>
      <c r="K253" s="14"/>
      <c r="L253" s="11"/>
      <c r="M253" s="14"/>
      <c r="N253" s="14"/>
      <c r="O253" s="4"/>
      <c r="P253" s="3"/>
      <c r="Q253" s="4"/>
      <c r="R253" s="3"/>
      <c r="S253" s="3"/>
      <c r="T253" s="3"/>
      <c r="U253" s="4"/>
      <c r="V253" s="4"/>
      <c r="W253" s="4"/>
      <c r="X253" s="4"/>
      <c r="Y253" s="4"/>
      <c r="Z253" s="11"/>
      <c r="AA253" s="16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16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6"/>
      <c r="AX253" s="15"/>
      <c r="AY253" s="15"/>
      <c r="AZ253" s="15"/>
      <c r="BA253" s="16"/>
      <c r="BB253" s="16"/>
      <c r="BC253" s="16"/>
      <c r="BD253" s="16"/>
      <c r="BE253" s="16"/>
      <c r="BF253" s="16"/>
      <c r="BG253" s="16"/>
      <c r="BH253" s="16"/>
      <c r="BI253" s="16"/>
      <c r="BJ253" s="16"/>
      <c r="BK253" s="16"/>
      <c r="BL253" s="16"/>
      <c r="BM253" s="16"/>
      <c r="BN253" s="16"/>
      <c r="BO253" s="16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  <c r="CN253" s="3"/>
      <c r="CO253" s="3"/>
      <c r="CP253" s="3"/>
      <c r="CQ253" s="3"/>
      <c r="CR253" s="3"/>
    </row>
    <row r="254" spans="1:96" ht="12" customHeight="1" x14ac:dyDescent="0.25">
      <c r="A254" s="3"/>
      <c r="B254" s="14"/>
      <c r="C254" s="14"/>
      <c r="D254" s="14"/>
      <c r="E254" s="14"/>
      <c r="F254" s="9"/>
      <c r="G254" s="9"/>
      <c r="H254" s="9"/>
      <c r="I254" s="10"/>
      <c r="J254" s="10"/>
      <c r="K254" s="14"/>
      <c r="L254" s="11"/>
      <c r="M254" s="14"/>
      <c r="N254" s="14"/>
      <c r="O254" s="4"/>
      <c r="P254" s="3"/>
      <c r="Q254" s="4"/>
      <c r="R254" s="3"/>
      <c r="S254" s="3"/>
      <c r="T254" s="3"/>
      <c r="U254" s="4"/>
      <c r="V254" s="4"/>
      <c r="W254" s="4"/>
      <c r="X254" s="4"/>
      <c r="Y254" s="4"/>
      <c r="Z254" s="11"/>
      <c r="AA254" s="16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16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6"/>
      <c r="AX254" s="15"/>
      <c r="AY254" s="15"/>
      <c r="AZ254" s="15"/>
      <c r="BA254" s="16"/>
      <c r="BB254" s="16"/>
      <c r="BC254" s="16"/>
      <c r="BD254" s="16"/>
      <c r="BE254" s="16"/>
      <c r="BF254" s="16"/>
      <c r="BG254" s="16"/>
      <c r="BH254" s="16"/>
      <c r="BI254" s="16"/>
      <c r="BJ254" s="16"/>
      <c r="BK254" s="16"/>
      <c r="BL254" s="16"/>
      <c r="BM254" s="16"/>
      <c r="BN254" s="16"/>
      <c r="BO254" s="16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  <c r="CN254" s="3"/>
      <c r="CO254" s="3"/>
      <c r="CP254" s="3"/>
      <c r="CQ254" s="3"/>
      <c r="CR254" s="3"/>
    </row>
    <row r="255" spans="1:96" ht="12" customHeight="1" x14ac:dyDescent="0.25">
      <c r="A255" s="3"/>
      <c r="B255" s="14"/>
      <c r="C255" s="14"/>
      <c r="D255" s="14"/>
      <c r="E255" s="14"/>
      <c r="F255" s="9"/>
      <c r="G255" s="9"/>
      <c r="H255" s="9"/>
      <c r="I255" s="10"/>
      <c r="J255" s="10"/>
      <c r="K255" s="14"/>
      <c r="L255" s="11"/>
      <c r="M255" s="14"/>
      <c r="N255" s="14"/>
      <c r="O255" s="4"/>
      <c r="P255" s="3"/>
      <c r="Q255" s="4"/>
      <c r="R255" s="3"/>
      <c r="S255" s="3"/>
      <c r="T255" s="3"/>
      <c r="U255" s="4"/>
      <c r="V255" s="4"/>
      <c r="W255" s="4"/>
      <c r="X255" s="4"/>
      <c r="Y255" s="4"/>
      <c r="Z255" s="11"/>
      <c r="AA255" s="16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16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6"/>
      <c r="AX255" s="15"/>
      <c r="AY255" s="15"/>
      <c r="AZ255" s="15"/>
      <c r="BA255" s="16"/>
      <c r="BB255" s="16"/>
      <c r="BC255" s="16"/>
      <c r="BD255" s="16"/>
      <c r="BE255" s="16"/>
      <c r="BF255" s="16"/>
      <c r="BG255" s="16"/>
      <c r="BH255" s="16"/>
      <c r="BI255" s="16"/>
      <c r="BJ255" s="16"/>
      <c r="BK255" s="16"/>
      <c r="BL255" s="16"/>
      <c r="BM255" s="16"/>
      <c r="BN255" s="16"/>
      <c r="BO255" s="16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  <c r="CN255" s="3"/>
      <c r="CO255" s="3"/>
      <c r="CP255" s="3"/>
      <c r="CQ255" s="3"/>
      <c r="CR255" s="3"/>
    </row>
    <row r="256" spans="1:96" ht="12" customHeight="1" x14ac:dyDescent="0.25">
      <c r="A256" s="3"/>
      <c r="B256" s="14"/>
      <c r="C256" s="14"/>
      <c r="D256" s="14"/>
      <c r="E256" s="14"/>
      <c r="F256" s="9"/>
      <c r="G256" s="9"/>
      <c r="H256" s="9"/>
      <c r="I256" s="10"/>
      <c r="J256" s="10"/>
      <c r="K256" s="14"/>
      <c r="L256" s="11"/>
      <c r="M256" s="14"/>
      <c r="N256" s="14"/>
      <c r="O256" s="4"/>
      <c r="P256" s="3"/>
      <c r="Q256" s="4"/>
      <c r="R256" s="3"/>
      <c r="S256" s="3"/>
      <c r="T256" s="3"/>
      <c r="U256" s="4"/>
      <c r="V256" s="4"/>
      <c r="W256" s="4"/>
      <c r="X256" s="4"/>
      <c r="Y256" s="4"/>
      <c r="Z256" s="11"/>
      <c r="AA256" s="16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16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6"/>
      <c r="AX256" s="15"/>
      <c r="AY256" s="15"/>
      <c r="AZ256" s="15"/>
      <c r="BA256" s="16"/>
      <c r="BB256" s="16"/>
      <c r="BC256" s="16"/>
      <c r="BD256" s="16"/>
      <c r="BE256" s="16"/>
      <c r="BF256" s="16"/>
      <c r="BG256" s="16"/>
      <c r="BH256" s="16"/>
      <c r="BI256" s="16"/>
      <c r="BJ256" s="16"/>
      <c r="BK256" s="16"/>
      <c r="BL256" s="16"/>
      <c r="BM256" s="16"/>
      <c r="BN256" s="16"/>
      <c r="BO256" s="16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  <c r="CN256" s="3"/>
      <c r="CO256" s="3"/>
      <c r="CP256" s="3"/>
      <c r="CQ256" s="3"/>
      <c r="CR256" s="3"/>
    </row>
    <row r="257" spans="1:96" ht="12" customHeight="1" x14ac:dyDescent="0.25">
      <c r="A257" s="3"/>
      <c r="B257" s="14"/>
      <c r="C257" s="14"/>
      <c r="D257" s="14"/>
      <c r="E257" s="14"/>
      <c r="F257" s="9"/>
      <c r="G257" s="9"/>
      <c r="H257" s="9"/>
      <c r="I257" s="10"/>
      <c r="J257" s="10"/>
      <c r="K257" s="14"/>
      <c r="L257" s="11"/>
      <c r="M257" s="14"/>
      <c r="N257" s="14"/>
      <c r="O257" s="4"/>
      <c r="P257" s="3"/>
      <c r="Q257" s="4"/>
      <c r="R257" s="3"/>
      <c r="S257" s="3"/>
      <c r="T257" s="3"/>
      <c r="U257" s="4"/>
      <c r="V257" s="4"/>
      <c r="W257" s="4"/>
      <c r="X257" s="4"/>
      <c r="Y257" s="4"/>
      <c r="Z257" s="11"/>
      <c r="AA257" s="16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16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6"/>
      <c r="AX257" s="15"/>
      <c r="AY257" s="15"/>
      <c r="AZ257" s="15"/>
      <c r="BA257" s="16"/>
      <c r="BB257" s="16"/>
      <c r="BC257" s="16"/>
      <c r="BD257" s="16"/>
      <c r="BE257" s="16"/>
      <c r="BF257" s="16"/>
      <c r="BG257" s="16"/>
      <c r="BH257" s="16"/>
      <c r="BI257" s="16"/>
      <c r="BJ257" s="16"/>
      <c r="BK257" s="16"/>
      <c r="BL257" s="16"/>
      <c r="BM257" s="16"/>
      <c r="BN257" s="16"/>
      <c r="BO257" s="16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  <c r="CN257" s="3"/>
      <c r="CO257" s="3"/>
      <c r="CP257" s="3"/>
      <c r="CQ257" s="3"/>
      <c r="CR257" s="3"/>
    </row>
    <row r="258" spans="1:96" ht="12" customHeight="1" x14ac:dyDescent="0.25">
      <c r="A258" s="3"/>
      <c r="B258" s="14"/>
      <c r="C258" s="14"/>
      <c r="D258" s="14"/>
      <c r="E258" s="14"/>
      <c r="F258" s="9"/>
      <c r="G258" s="9"/>
      <c r="H258" s="9"/>
      <c r="I258" s="10"/>
      <c r="J258" s="10"/>
      <c r="K258" s="14"/>
      <c r="L258" s="11"/>
      <c r="M258" s="14"/>
      <c r="N258" s="14"/>
      <c r="O258" s="4"/>
      <c r="P258" s="3"/>
      <c r="Q258" s="4"/>
      <c r="R258" s="3"/>
      <c r="S258" s="3"/>
      <c r="T258" s="3"/>
      <c r="U258" s="4"/>
      <c r="V258" s="4"/>
      <c r="W258" s="4"/>
      <c r="X258" s="4"/>
      <c r="Y258" s="4"/>
      <c r="Z258" s="11"/>
      <c r="AA258" s="16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16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6"/>
      <c r="AX258" s="15"/>
      <c r="AY258" s="15"/>
      <c r="AZ258" s="15"/>
      <c r="BA258" s="16"/>
      <c r="BB258" s="16"/>
      <c r="BC258" s="16"/>
      <c r="BD258" s="16"/>
      <c r="BE258" s="16"/>
      <c r="BF258" s="16"/>
      <c r="BG258" s="16"/>
      <c r="BH258" s="16"/>
      <c r="BI258" s="16"/>
      <c r="BJ258" s="16"/>
      <c r="BK258" s="16"/>
      <c r="BL258" s="16"/>
      <c r="BM258" s="16"/>
      <c r="BN258" s="16"/>
      <c r="BO258" s="16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  <c r="CN258" s="3"/>
      <c r="CO258" s="3"/>
      <c r="CP258" s="3"/>
      <c r="CQ258" s="3"/>
      <c r="CR258" s="3"/>
    </row>
    <row r="259" spans="1:96" ht="12" customHeight="1" x14ac:dyDescent="0.25">
      <c r="A259" s="3"/>
      <c r="B259" s="14"/>
      <c r="C259" s="14"/>
      <c r="D259" s="14"/>
      <c r="E259" s="14"/>
      <c r="F259" s="9"/>
      <c r="G259" s="9"/>
      <c r="H259" s="9"/>
      <c r="I259" s="10"/>
      <c r="J259" s="10"/>
      <c r="K259" s="14"/>
      <c r="L259" s="11"/>
      <c r="M259" s="14"/>
      <c r="N259" s="14"/>
      <c r="O259" s="4"/>
      <c r="P259" s="3"/>
      <c r="Q259" s="4"/>
      <c r="R259" s="3"/>
      <c r="S259" s="3"/>
      <c r="T259" s="3"/>
      <c r="U259" s="4"/>
      <c r="V259" s="4"/>
      <c r="W259" s="4"/>
      <c r="X259" s="4"/>
      <c r="Y259" s="4"/>
      <c r="Z259" s="11"/>
      <c r="AA259" s="16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16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6"/>
      <c r="AX259" s="15"/>
      <c r="AY259" s="15"/>
      <c r="AZ259" s="15"/>
      <c r="BA259" s="16"/>
      <c r="BB259" s="16"/>
      <c r="BC259" s="16"/>
      <c r="BD259" s="16"/>
      <c r="BE259" s="16"/>
      <c r="BF259" s="16"/>
      <c r="BG259" s="16"/>
      <c r="BH259" s="16"/>
      <c r="BI259" s="16"/>
      <c r="BJ259" s="16"/>
      <c r="BK259" s="16"/>
      <c r="BL259" s="16"/>
      <c r="BM259" s="16"/>
      <c r="BN259" s="16"/>
      <c r="BO259" s="16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  <c r="CN259" s="3"/>
      <c r="CO259" s="3"/>
      <c r="CP259" s="3"/>
      <c r="CQ259" s="3"/>
      <c r="CR259" s="3"/>
    </row>
    <row r="260" spans="1:96" ht="12" customHeight="1" x14ac:dyDescent="0.25">
      <c r="A260" s="3"/>
      <c r="B260" s="14"/>
      <c r="C260" s="14"/>
      <c r="D260" s="14"/>
      <c r="E260" s="14"/>
      <c r="F260" s="9"/>
      <c r="G260" s="9"/>
      <c r="H260" s="9"/>
      <c r="I260" s="10"/>
      <c r="J260" s="10"/>
      <c r="K260" s="14"/>
      <c r="L260" s="11"/>
      <c r="M260" s="14"/>
      <c r="N260" s="14"/>
      <c r="O260" s="4"/>
      <c r="P260" s="3"/>
      <c r="Q260" s="4"/>
      <c r="R260" s="3"/>
      <c r="S260" s="3"/>
      <c r="T260" s="3"/>
      <c r="U260" s="4"/>
      <c r="V260" s="4"/>
      <c r="W260" s="4"/>
      <c r="X260" s="4"/>
      <c r="Y260" s="4"/>
      <c r="Z260" s="11"/>
      <c r="AA260" s="16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16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6"/>
      <c r="AX260" s="15"/>
      <c r="AY260" s="15"/>
      <c r="AZ260" s="15"/>
      <c r="BA260" s="16"/>
      <c r="BB260" s="16"/>
      <c r="BC260" s="16"/>
      <c r="BD260" s="16"/>
      <c r="BE260" s="16"/>
      <c r="BF260" s="16"/>
      <c r="BG260" s="16"/>
      <c r="BH260" s="16"/>
      <c r="BI260" s="16"/>
      <c r="BJ260" s="16"/>
      <c r="BK260" s="16"/>
      <c r="BL260" s="16"/>
      <c r="BM260" s="16"/>
      <c r="BN260" s="16"/>
      <c r="BO260" s="16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  <c r="CN260" s="3"/>
      <c r="CO260" s="3"/>
      <c r="CP260" s="3"/>
      <c r="CQ260" s="3"/>
      <c r="CR260" s="3"/>
    </row>
    <row r="261" spans="1:96" ht="12" customHeight="1" x14ac:dyDescent="0.25">
      <c r="A261" s="3"/>
      <c r="B261" s="14"/>
      <c r="C261" s="14"/>
      <c r="D261" s="14"/>
      <c r="E261" s="14"/>
      <c r="F261" s="9"/>
      <c r="G261" s="9"/>
      <c r="H261" s="9"/>
      <c r="I261" s="10"/>
      <c r="J261" s="10"/>
      <c r="K261" s="14"/>
      <c r="L261" s="11"/>
      <c r="M261" s="14"/>
      <c r="N261" s="14"/>
      <c r="O261" s="4"/>
      <c r="P261" s="3"/>
      <c r="Q261" s="4"/>
      <c r="R261" s="3"/>
      <c r="S261" s="3"/>
      <c r="T261" s="3"/>
      <c r="U261" s="4"/>
      <c r="V261" s="4"/>
      <c r="W261" s="4"/>
      <c r="X261" s="4"/>
      <c r="Y261" s="4"/>
      <c r="Z261" s="11"/>
      <c r="AA261" s="16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16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6"/>
      <c r="AX261" s="15"/>
      <c r="AY261" s="15"/>
      <c r="AZ261" s="15"/>
      <c r="BA261" s="16"/>
      <c r="BB261" s="16"/>
      <c r="BC261" s="16"/>
      <c r="BD261" s="16"/>
      <c r="BE261" s="16"/>
      <c r="BF261" s="16"/>
      <c r="BG261" s="16"/>
      <c r="BH261" s="16"/>
      <c r="BI261" s="16"/>
      <c r="BJ261" s="16"/>
      <c r="BK261" s="16"/>
      <c r="BL261" s="16"/>
      <c r="BM261" s="16"/>
      <c r="BN261" s="16"/>
      <c r="BO261" s="16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  <c r="CN261" s="3"/>
      <c r="CO261" s="3"/>
      <c r="CP261" s="3"/>
      <c r="CQ261" s="3"/>
      <c r="CR261" s="3"/>
    </row>
    <row r="262" spans="1:96" ht="12" customHeight="1" x14ac:dyDescent="0.25">
      <c r="A262" s="3"/>
      <c r="B262" s="14"/>
      <c r="C262" s="14"/>
      <c r="D262" s="14"/>
      <c r="E262" s="14"/>
      <c r="F262" s="9"/>
      <c r="G262" s="9"/>
      <c r="H262" s="9"/>
      <c r="I262" s="10"/>
      <c r="J262" s="10"/>
      <c r="K262" s="14"/>
      <c r="L262" s="11"/>
      <c r="M262" s="14"/>
      <c r="N262" s="14"/>
      <c r="O262" s="4"/>
      <c r="P262" s="3"/>
      <c r="Q262" s="4"/>
      <c r="R262" s="3"/>
      <c r="S262" s="3"/>
      <c r="T262" s="3"/>
      <c r="U262" s="4"/>
      <c r="V262" s="4"/>
      <c r="W262" s="4"/>
      <c r="X262" s="4"/>
      <c r="Y262" s="4"/>
      <c r="Z262" s="11"/>
      <c r="AA262" s="16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16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6"/>
      <c r="AX262" s="15"/>
      <c r="AY262" s="15"/>
      <c r="AZ262" s="15"/>
      <c r="BA262" s="16"/>
      <c r="BB262" s="16"/>
      <c r="BC262" s="16"/>
      <c r="BD262" s="16"/>
      <c r="BE262" s="16"/>
      <c r="BF262" s="16"/>
      <c r="BG262" s="16"/>
      <c r="BH262" s="16"/>
      <c r="BI262" s="16"/>
      <c r="BJ262" s="16"/>
      <c r="BK262" s="16"/>
      <c r="BL262" s="16"/>
      <c r="BM262" s="16"/>
      <c r="BN262" s="16"/>
      <c r="BO262" s="16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  <c r="CN262" s="3"/>
      <c r="CO262" s="3"/>
      <c r="CP262" s="3"/>
      <c r="CQ262" s="3"/>
      <c r="CR262" s="3"/>
    </row>
    <row r="263" spans="1:96" ht="12" customHeight="1" x14ac:dyDescent="0.25">
      <c r="A263" s="3"/>
      <c r="B263" s="14"/>
      <c r="C263" s="14"/>
      <c r="D263" s="14"/>
      <c r="E263" s="14"/>
      <c r="F263" s="9"/>
      <c r="G263" s="9"/>
      <c r="H263" s="9"/>
      <c r="I263" s="10"/>
      <c r="J263" s="10"/>
      <c r="K263" s="14"/>
      <c r="L263" s="11"/>
      <c r="M263" s="14"/>
      <c r="N263" s="14"/>
      <c r="O263" s="4"/>
      <c r="P263" s="3"/>
      <c r="Q263" s="4"/>
      <c r="R263" s="3"/>
      <c r="S263" s="3"/>
      <c r="T263" s="3"/>
      <c r="U263" s="4"/>
      <c r="V263" s="4"/>
      <c r="W263" s="4"/>
      <c r="X263" s="4"/>
      <c r="Y263" s="4"/>
      <c r="Z263" s="11"/>
      <c r="AA263" s="16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16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6"/>
      <c r="AX263" s="15"/>
      <c r="AY263" s="15"/>
      <c r="AZ263" s="15"/>
      <c r="BA263" s="16"/>
      <c r="BB263" s="16"/>
      <c r="BC263" s="16"/>
      <c r="BD263" s="16"/>
      <c r="BE263" s="16"/>
      <c r="BF263" s="16"/>
      <c r="BG263" s="16"/>
      <c r="BH263" s="16"/>
      <c r="BI263" s="16"/>
      <c r="BJ263" s="16"/>
      <c r="BK263" s="16"/>
      <c r="BL263" s="16"/>
      <c r="BM263" s="16"/>
      <c r="BN263" s="16"/>
      <c r="BO263" s="16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  <c r="CN263" s="3"/>
      <c r="CO263" s="3"/>
      <c r="CP263" s="3"/>
      <c r="CQ263" s="3"/>
      <c r="CR263" s="3"/>
    </row>
    <row r="264" spans="1:96" ht="12" customHeight="1" x14ac:dyDescent="0.25">
      <c r="A264" s="3"/>
      <c r="B264" s="14"/>
      <c r="C264" s="14"/>
      <c r="D264" s="14"/>
      <c r="E264" s="14"/>
      <c r="F264" s="9"/>
      <c r="G264" s="9"/>
      <c r="H264" s="9"/>
      <c r="I264" s="10"/>
      <c r="J264" s="10"/>
      <c r="K264" s="14"/>
      <c r="L264" s="11"/>
      <c r="M264" s="14"/>
      <c r="N264" s="14"/>
      <c r="O264" s="4"/>
      <c r="P264" s="3"/>
      <c r="Q264" s="4"/>
      <c r="R264" s="3"/>
      <c r="S264" s="3"/>
      <c r="T264" s="3"/>
      <c r="U264" s="4"/>
      <c r="V264" s="4"/>
      <c r="W264" s="4"/>
      <c r="X264" s="4"/>
      <c r="Y264" s="4"/>
      <c r="Z264" s="11"/>
      <c r="AA264" s="16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16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6"/>
      <c r="AX264" s="15"/>
      <c r="AY264" s="15"/>
      <c r="AZ264" s="15"/>
      <c r="BA264" s="16"/>
      <c r="BB264" s="16"/>
      <c r="BC264" s="16"/>
      <c r="BD264" s="16"/>
      <c r="BE264" s="16"/>
      <c r="BF264" s="16"/>
      <c r="BG264" s="16"/>
      <c r="BH264" s="16"/>
      <c r="BI264" s="16"/>
      <c r="BJ264" s="16"/>
      <c r="BK264" s="16"/>
      <c r="BL264" s="16"/>
      <c r="BM264" s="16"/>
      <c r="BN264" s="16"/>
      <c r="BO264" s="16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  <c r="CN264" s="3"/>
      <c r="CO264" s="3"/>
      <c r="CP264" s="3"/>
      <c r="CQ264" s="3"/>
      <c r="CR264" s="3"/>
    </row>
    <row r="265" spans="1:96" ht="12" customHeight="1" x14ac:dyDescent="0.25">
      <c r="A265" s="3"/>
      <c r="B265" s="14"/>
      <c r="C265" s="14"/>
      <c r="D265" s="14"/>
      <c r="E265" s="14"/>
      <c r="F265" s="9"/>
      <c r="G265" s="9"/>
      <c r="H265" s="9"/>
      <c r="I265" s="10"/>
      <c r="J265" s="10"/>
      <c r="K265" s="14"/>
      <c r="L265" s="11"/>
      <c r="M265" s="14"/>
      <c r="N265" s="14"/>
      <c r="O265" s="4"/>
      <c r="P265" s="3"/>
      <c r="Q265" s="4"/>
      <c r="R265" s="3"/>
      <c r="S265" s="3"/>
      <c r="T265" s="3"/>
      <c r="U265" s="4"/>
      <c r="V265" s="4"/>
      <c r="W265" s="4"/>
      <c r="X265" s="4"/>
      <c r="Y265" s="4"/>
      <c r="Z265" s="11"/>
      <c r="AA265" s="16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16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6"/>
      <c r="AX265" s="15"/>
      <c r="AY265" s="15"/>
      <c r="AZ265" s="15"/>
      <c r="BA265" s="16"/>
      <c r="BB265" s="16"/>
      <c r="BC265" s="16"/>
      <c r="BD265" s="16"/>
      <c r="BE265" s="16"/>
      <c r="BF265" s="16"/>
      <c r="BG265" s="16"/>
      <c r="BH265" s="16"/>
      <c r="BI265" s="16"/>
      <c r="BJ265" s="16"/>
      <c r="BK265" s="16"/>
      <c r="BL265" s="16"/>
      <c r="BM265" s="16"/>
      <c r="BN265" s="16"/>
      <c r="BO265" s="16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  <c r="CN265" s="3"/>
      <c r="CO265" s="3"/>
      <c r="CP265" s="3"/>
      <c r="CQ265" s="3"/>
      <c r="CR265" s="3"/>
    </row>
    <row r="266" spans="1:96" ht="12" customHeight="1" x14ac:dyDescent="0.25">
      <c r="A266" s="3"/>
      <c r="B266" s="14"/>
      <c r="C266" s="14"/>
      <c r="D266" s="14"/>
      <c r="E266" s="14"/>
      <c r="F266" s="9"/>
      <c r="G266" s="9"/>
      <c r="H266" s="9"/>
      <c r="I266" s="10"/>
      <c r="J266" s="10"/>
      <c r="K266" s="14"/>
      <c r="L266" s="11"/>
      <c r="M266" s="14"/>
      <c r="N266" s="14"/>
      <c r="O266" s="4"/>
      <c r="P266" s="3"/>
      <c r="Q266" s="4"/>
      <c r="R266" s="3"/>
      <c r="S266" s="3"/>
      <c r="T266" s="3"/>
      <c r="U266" s="4"/>
      <c r="V266" s="4"/>
      <c r="W266" s="4"/>
      <c r="X266" s="4"/>
      <c r="Y266" s="4"/>
      <c r="Z266" s="11"/>
      <c r="AA266" s="16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16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6"/>
      <c r="AX266" s="15"/>
      <c r="AY266" s="15"/>
      <c r="AZ266" s="15"/>
      <c r="BA266" s="16"/>
      <c r="BB266" s="16"/>
      <c r="BC266" s="16"/>
      <c r="BD266" s="16"/>
      <c r="BE266" s="16"/>
      <c r="BF266" s="16"/>
      <c r="BG266" s="16"/>
      <c r="BH266" s="16"/>
      <c r="BI266" s="16"/>
      <c r="BJ266" s="16"/>
      <c r="BK266" s="16"/>
      <c r="BL266" s="16"/>
      <c r="BM266" s="16"/>
      <c r="BN266" s="16"/>
      <c r="BO266" s="16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  <c r="CN266" s="3"/>
      <c r="CO266" s="3"/>
      <c r="CP266" s="3"/>
      <c r="CQ266" s="3"/>
      <c r="CR266" s="3"/>
    </row>
    <row r="267" spans="1:96" ht="12" customHeight="1" x14ac:dyDescent="0.25">
      <c r="A267" s="3"/>
      <c r="B267" s="14"/>
      <c r="C267" s="14"/>
      <c r="D267" s="14"/>
      <c r="E267" s="14"/>
      <c r="F267" s="9"/>
      <c r="G267" s="9"/>
      <c r="H267" s="9"/>
      <c r="I267" s="10"/>
      <c r="J267" s="10"/>
      <c r="K267" s="14"/>
      <c r="L267" s="11"/>
      <c r="M267" s="14"/>
      <c r="N267" s="14"/>
      <c r="O267" s="4"/>
      <c r="P267" s="3"/>
      <c r="Q267" s="4"/>
      <c r="R267" s="3"/>
      <c r="S267" s="3"/>
      <c r="T267" s="3"/>
      <c r="U267" s="4"/>
      <c r="V267" s="4"/>
      <c r="W267" s="4"/>
      <c r="X267" s="4"/>
      <c r="Y267" s="4"/>
      <c r="Z267" s="11"/>
      <c r="AA267" s="16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16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6"/>
      <c r="AX267" s="15"/>
      <c r="AY267" s="15"/>
      <c r="AZ267" s="15"/>
      <c r="BA267" s="16"/>
      <c r="BB267" s="16"/>
      <c r="BC267" s="16"/>
      <c r="BD267" s="16"/>
      <c r="BE267" s="16"/>
      <c r="BF267" s="16"/>
      <c r="BG267" s="16"/>
      <c r="BH267" s="16"/>
      <c r="BI267" s="16"/>
      <c r="BJ267" s="16"/>
      <c r="BK267" s="16"/>
      <c r="BL267" s="16"/>
      <c r="BM267" s="16"/>
      <c r="BN267" s="16"/>
      <c r="BO267" s="16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  <c r="CN267" s="3"/>
      <c r="CO267" s="3"/>
      <c r="CP267" s="3"/>
      <c r="CQ267" s="3"/>
      <c r="CR267" s="3"/>
    </row>
    <row r="268" spans="1:96" ht="12" customHeight="1" x14ac:dyDescent="0.25">
      <c r="A268" s="3"/>
      <c r="B268" s="14"/>
      <c r="C268" s="14"/>
      <c r="D268" s="14"/>
      <c r="E268" s="14"/>
      <c r="F268" s="9"/>
      <c r="G268" s="9"/>
      <c r="H268" s="9"/>
      <c r="I268" s="10"/>
      <c r="J268" s="10"/>
      <c r="K268" s="14"/>
      <c r="L268" s="11"/>
      <c r="M268" s="14"/>
      <c r="N268" s="14"/>
      <c r="O268" s="4"/>
      <c r="P268" s="3"/>
      <c r="Q268" s="4"/>
      <c r="R268" s="3"/>
      <c r="S268" s="3"/>
      <c r="T268" s="3"/>
      <c r="U268" s="4"/>
      <c r="V268" s="4"/>
      <c r="W268" s="4"/>
      <c r="X268" s="4"/>
      <c r="Y268" s="4"/>
      <c r="Z268" s="11"/>
      <c r="AA268" s="16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16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6"/>
      <c r="AX268" s="15"/>
      <c r="AY268" s="15"/>
      <c r="AZ268" s="15"/>
      <c r="BA268" s="16"/>
      <c r="BB268" s="16"/>
      <c r="BC268" s="16"/>
      <c r="BD268" s="16"/>
      <c r="BE268" s="16"/>
      <c r="BF268" s="16"/>
      <c r="BG268" s="16"/>
      <c r="BH268" s="16"/>
      <c r="BI268" s="16"/>
      <c r="BJ268" s="16"/>
      <c r="BK268" s="16"/>
      <c r="BL268" s="16"/>
      <c r="BM268" s="16"/>
      <c r="BN268" s="16"/>
      <c r="BO268" s="16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  <c r="CN268" s="3"/>
      <c r="CO268" s="3"/>
      <c r="CP268" s="3"/>
      <c r="CQ268" s="3"/>
      <c r="CR268" s="3"/>
    </row>
    <row r="269" spans="1:96" ht="12" customHeight="1" x14ac:dyDescent="0.25">
      <c r="A269" s="3"/>
      <c r="B269" s="14"/>
      <c r="C269" s="14"/>
      <c r="D269" s="14"/>
      <c r="E269" s="14"/>
      <c r="F269" s="9"/>
      <c r="G269" s="9"/>
      <c r="H269" s="9"/>
      <c r="I269" s="10"/>
      <c r="J269" s="10"/>
      <c r="K269" s="14"/>
      <c r="L269" s="11"/>
      <c r="M269" s="14"/>
      <c r="N269" s="14"/>
      <c r="O269" s="4"/>
      <c r="P269" s="3"/>
      <c r="Q269" s="4"/>
      <c r="R269" s="3"/>
      <c r="S269" s="3"/>
      <c r="T269" s="3"/>
      <c r="U269" s="4"/>
      <c r="V269" s="4"/>
      <c r="W269" s="4"/>
      <c r="X269" s="4"/>
      <c r="Y269" s="4"/>
      <c r="Z269" s="11"/>
      <c r="AA269" s="16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16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6"/>
      <c r="AX269" s="15"/>
      <c r="AY269" s="15"/>
      <c r="AZ269" s="15"/>
      <c r="BA269" s="16"/>
      <c r="BB269" s="16"/>
      <c r="BC269" s="16"/>
      <c r="BD269" s="16"/>
      <c r="BE269" s="16"/>
      <c r="BF269" s="16"/>
      <c r="BG269" s="16"/>
      <c r="BH269" s="16"/>
      <c r="BI269" s="16"/>
      <c r="BJ269" s="16"/>
      <c r="BK269" s="16"/>
      <c r="BL269" s="16"/>
      <c r="BM269" s="16"/>
      <c r="BN269" s="16"/>
      <c r="BO269" s="16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  <c r="CN269" s="3"/>
      <c r="CO269" s="3"/>
      <c r="CP269" s="3"/>
      <c r="CQ269" s="3"/>
      <c r="CR269" s="3"/>
    </row>
    <row r="270" spans="1:96" ht="12" customHeight="1" x14ac:dyDescent="0.25">
      <c r="A270" s="3"/>
      <c r="B270" s="14"/>
      <c r="C270" s="14"/>
      <c r="D270" s="14"/>
      <c r="E270" s="14"/>
      <c r="F270" s="9"/>
      <c r="G270" s="9"/>
      <c r="H270" s="9"/>
      <c r="I270" s="10"/>
      <c r="J270" s="10"/>
      <c r="K270" s="14"/>
      <c r="L270" s="11"/>
      <c r="M270" s="14"/>
      <c r="N270" s="14"/>
      <c r="O270" s="4"/>
      <c r="P270" s="3"/>
      <c r="Q270" s="4"/>
      <c r="R270" s="3"/>
      <c r="S270" s="3"/>
      <c r="T270" s="3"/>
      <c r="U270" s="4"/>
      <c r="V270" s="4"/>
      <c r="W270" s="4"/>
      <c r="X270" s="4"/>
      <c r="Y270" s="4"/>
      <c r="Z270" s="11"/>
      <c r="AA270" s="16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16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6"/>
      <c r="AX270" s="15"/>
      <c r="AY270" s="15"/>
      <c r="AZ270" s="15"/>
      <c r="BA270" s="16"/>
      <c r="BB270" s="16"/>
      <c r="BC270" s="16"/>
      <c r="BD270" s="16"/>
      <c r="BE270" s="16"/>
      <c r="BF270" s="16"/>
      <c r="BG270" s="16"/>
      <c r="BH270" s="16"/>
      <c r="BI270" s="16"/>
      <c r="BJ270" s="16"/>
      <c r="BK270" s="16"/>
      <c r="BL270" s="16"/>
      <c r="BM270" s="16"/>
      <c r="BN270" s="16"/>
      <c r="BO270" s="16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  <c r="CN270" s="3"/>
      <c r="CO270" s="3"/>
      <c r="CP270" s="3"/>
      <c r="CQ270" s="3"/>
      <c r="CR270" s="3"/>
    </row>
    <row r="271" spans="1:96" ht="12" customHeight="1" x14ac:dyDescent="0.25">
      <c r="A271" s="3"/>
      <c r="B271" s="14"/>
      <c r="C271" s="14"/>
      <c r="D271" s="14"/>
      <c r="E271" s="14"/>
      <c r="F271" s="9"/>
      <c r="G271" s="9"/>
      <c r="H271" s="9"/>
      <c r="I271" s="10"/>
      <c r="J271" s="10"/>
      <c r="K271" s="14"/>
      <c r="M271" s="14"/>
      <c r="N271" s="14"/>
      <c r="O271" s="4"/>
      <c r="P271" s="3"/>
      <c r="Q271" s="4"/>
      <c r="R271" s="3"/>
      <c r="S271" s="3"/>
      <c r="T271" s="3"/>
      <c r="U271" s="4"/>
      <c r="V271" s="4"/>
      <c r="W271" s="4"/>
      <c r="X271" s="4"/>
      <c r="Y271" s="4"/>
      <c r="Z271" s="11"/>
      <c r="AA271" s="16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16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6"/>
      <c r="AX271" s="15"/>
      <c r="AY271" s="15"/>
      <c r="AZ271" s="15"/>
      <c r="BA271" s="16"/>
      <c r="BB271" s="16"/>
      <c r="BC271" s="16"/>
      <c r="BD271" s="16"/>
      <c r="BE271" s="16"/>
      <c r="BF271" s="16"/>
      <c r="BG271" s="16"/>
      <c r="BH271" s="16"/>
      <c r="BI271" s="16"/>
      <c r="BJ271" s="16"/>
      <c r="BK271" s="16"/>
      <c r="BL271" s="16"/>
      <c r="BM271" s="16"/>
      <c r="BN271" s="16"/>
      <c r="BO271" s="16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  <c r="CN271" s="3"/>
      <c r="CO271" s="3"/>
      <c r="CP271" s="3"/>
      <c r="CQ271" s="3"/>
      <c r="CR271" s="3"/>
    </row>
    <row r="272" spans="1:96" ht="12" customHeight="1" x14ac:dyDescent="0.25">
      <c r="A272" s="3"/>
      <c r="B272" s="14"/>
      <c r="C272" s="14"/>
      <c r="D272" s="14"/>
      <c r="E272" s="14"/>
      <c r="K272" s="14"/>
      <c r="M272" s="14"/>
      <c r="N272" s="14"/>
      <c r="P272" s="3"/>
      <c r="Q272" s="4"/>
      <c r="R272" s="3"/>
      <c r="S272" s="3"/>
      <c r="T272" s="3"/>
      <c r="U272" s="4"/>
      <c r="V272" s="4"/>
      <c r="Z272" s="11"/>
      <c r="AA272" s="16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16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6"/>
      <c r="AX272" s="15"/>
      <c r="AY272" s="15"/>
      <c r="AZ272" s="15"/>
      <c r="BA272" s="16"/>
      <c r="BB272" s="16"/>
      <c r="BC272" s="16"/>
      <c r="BD272" s="16"/>
      <c r="BE272" s="16"/>
      <c r="BF272" s="16"/>
      <c r="BG272" s="16"/>
      <c r="BH272" s="16"/>
      <c r="BI272" s="16"/>
      <c r="BJ272" s="16"/>
      <c r="BK272" s="16"/>
      <c r="BL272" s="16"/>
      <c r="BM272" s="16"/>
      <c r="BN272" s="16"/>
      <c r="BO272" s="16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  <c r="CN272" s="3"/>
      <c r="CO272" s="3"/>
      <c r="CP272" s="3"/>
      <c r="CQ272" s="3"/>
      <c r="CR272" s="3"/>
    </row>
    <row r="273" spans="1:96" ht="12" customHeight="1" x14ac:dyDescent="0.25">
      <c r="A273" s="3"/>
      <c r="B273" s="14"/>
      <c r="C273" s="14"/>
      <c r="D273" s="14"/>
      <c r="E273" s="14"/>
      <c r="K273" s="14"/>
      <c r="M273" s="14"/>
      <c r="N273" s="14"/>
      <c r="P273" s="3"/>
      <c r="Q273" s="4"/>
      <c r="R273" s="3"/>
      <c r="S273" s="3"/>
      <c r="T273" s="3"/>
      <c r="U273" s="4"/>
      <c r="V273" s="4"/>
      <c r="Z273" s="11"/>
      <c r="AA273" s="16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16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6"/>
      <c r="AX273" s="15"/>
      <c r="AY273" s="15"/>
      <c r="AZ273" s="15"/>
      <c r="BA273" s="16"/>
      <c r="BB273" s="16"/>
      <c r="BC273" s="16"/>
      <c r="BD273" s="16"/>
      <c r="BE273" s="16"/>
      <c r="BF273" s="16"/>
      <c r="BG273" s="16"/>
      <c r="BH273" s="16"/>
      <c r="BI273" s="16"/>
      <c r="BJ273" s="16"/>
      <c r="BK273" s="16"/>
      <c r="BL273" s="16"/>
      <c r="BM273" s="16"/>
      <c r="BN273" s="16"/>
      <c r="BO273" s="16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  <c r="CN273" s="3"/>
      <c r="CO273" s="3"/>
      <c r="CP273" s="3"/>
      <c r="CQ273" s="3"/>
      <c r="CR273" s="3"/>
    </row>
    <row r="274" spans="1:96" ht="12" customHeight="1" x14ac:dyDescent="0.25">
      <c r="A274" s="3"/>
      <c r="B274" s="14"/>
      <c r="C274" s="14"/>
      <c r="D274" s="14"/>
      <c r="E274" s="14"/>
      <c r="K274" s="14"/>
      <c r="M274" s="14"/>
      <c r="N274" s="14"/>
      <c r="P274" s="3"/>
      <c r="Q274" s="4"/>
      <c r="R274" s="3"/>
      <c r="S274" s="3"/>
      <c r="T274" s="3"/>
      <c r="U274" s="4"/>
      <c r="V274" s="4"/>
      <c r="Z274" s="11"/>
      <c r="AA274" s="16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16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6"/>
      <c r="AX274" s="15"/>
      <c r="AY274" s="15"/>
      <c r="AZ274" s="15"/>
      <c r="BA274" s="16"/>
      <c r="BB274" s="16"/>
      <c r="BC274" s="16"/>
      <c r="BD274" s="16"/>
      <c r="BE274" s="16"/>
      <c r="BF274" s="16"/>
      <c r="BG274" s="16"/>
      <c r="BH274" s="16"/>
      <c r="BI274" s="16"/>
      <c r="BJ274" s="16"/>
      <c r="BK274" s="16"/>
      <c r="BL274" s="16"/>
      <c r="BM274" s="16"/>
      <c r="BN274" s="16"/>
      <c r="BO274" s="16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  <c r="CN274" s="3"/>
      <c r="CO274" s="3"/>
      <c r="CP274" s="3"/>
      <c r="CQ274" s="3"/>
      <c r="CR274" s="3"/>
    </row>
    <row r="275" spans="1:96" ht="12" customHeight="1" x14ac:dyDescent="0.25">
      <c r="A275" s="3"/>
      <c r="B275" s="14"/>
      <c r="C275" s="14"/>
      <c r="D275" s="14"/>
      <c r="E275" s="14"/>
      <c r="K275" s="14"/>
      <c r="M275" s="14"/>
      <c r="N275" s="14"/>
      <c r="P275" s="3"/>
      <c r="Q275" s="4"/>
      <c r="R275" s="3"/>
      <c r="S275" s="3"/>
      <c r="T275" s="3"/>
      <c r="U275" s="4"/>
      <c r="V275" s="4"/>
      <c r="Z275" s="11"/>
      <c r="AA275" s="16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16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6"/>
      <c r="AX275" s="15"/>
      <c r="AY275" s="15"/>
      <c r="AZ275" s="15"/>
      <c r="BA275" s="16"/>
      <c r="BB275" s="16"/>
      <c r="BC275" s="16"/>
      <c r="BD275" s="16"/>
      <c r="BE275" s="16"/>
      <c r="BF275" s="16"/>
      <c r="BG275" s="16"/>
      <c r="BH275" s="16"/>
      <c r="BI275" s="16"/>
      <c r="BJ275" s="16"/>
      <c r="BK275" s="16"/>
      <c r="BL275" s="16"/>
      <c r="BM275" s="16"/>
      <c r="BN275" s="16"/>
      <c r="BO275" s="16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  <c r="CN275" s="3"/>
      <c r="CO275" s="3"/>
      <c r="CP275" s="3"/>
      <c r="CQ275" s="3"/>
      <c r="CR275" s="3"/>
    </row>
    <row r="276" spans="1:96" ht="12" customHeight="1" x14ac:dyDescent="0.25">
      <c r="A276" s="3"/>
      <c r="B276" s="14"/>
      <c r="C276" s="14"/>
      <c r="D276" s="14"/>
      <c r="E276" s="14"/>
      <c r="K276" s="14"/>
      <c r="M276" s="14"/>
      <c r="N276" s="14"/>
      <c r="P276" s="3"/>
      <c r="Q276" s="4"/>
      <c r="R276" s="3"/>
      <c r="S276" s="3"/>
      <c r="T276" s="3"/>
      <c r="U276" s="4"/>
      <c r="V276" s="4"/>
      <c r="Z276" s="11"/>
      <c r="AA276" s="16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16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6"/>
      <c r="AX276" s="15"/>
      <c r="AY276" s="15"/>
      <c r="AZ276" s="15"/>
      <c r="BA276" s="16"/>
      <c r="BB276" s="16"/>
      <c r="BC276" s="16"/>
      <c r="BD276" s="16"/>
      <c r="BE276" s="16"/>
      <c r="BF276" s="16"/>
      <c r="BG276" s="16"/>
      <c r="BH276" s="16"/>
      <c r="BI276" s="16"/>
      <c r="BJ276" s="16"/>
      <c r="BK276" s="16"/>
      <c r="BL276" s="16"/>
      <c r="BM276" s="16"/>
      <c r="BN276" s="16"/>
      <c r="BO276" s="16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  <c r="CN276" s="3"/>
      <c r="CO276" s="3"/>
      <c r="CP276" s="3"/>
      <c r="CQ276" s="3"/>
      <c r="CR276" s="3"/>
    </row>
    <row r="277" spans="1:96" ht="12" customHeight="1" x14ac:dyDescent="0.25">
      <c r="A277" s="3"/>
      <c r="B277" s="14"/>
      <c r="C277" s="14"/>
      <c r="D277" s="14"/>
      <c r="E277" s="14"/>
      <c r="K277" s="14"/>
      <c r="M277" s="14"/>
      <c r="N277" s="14"/>
      <c r="P277" s="3"/>
      <c r="Q277" s="4"/>
      <c r="R277" s="3"/>
      <c r="S277" s="3"/>
      <c r="T277" s="3"/>
      <c r="U277" s="4"/>
      <c r="V277" s="4"/>
      <c r="Z277" s="11"/>
      <c r="AA277" s="16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16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6"/>
      <c r="AX277" s="15"/>
      <c r="AY277" s="15"/>
      <c r="AZ277" s="15"/>
      <c r="BA277" s="16"/>
      <c r="BB277" s="16"/>
      <c r="BC277" s="16"/>
      <c r="BD277" s="16"/>
      <c r="BE277" s="16"/>
      <c r="BF277" s="16"/>
      <c r="BG277" s="16"/>
      <c r="BH277" s="16"/>
      <c r="BI277" s="16"/>
      <c r="BJ277" s="16"/>
      <c r="BK277" s="16"/>
      <c r="BL277" s="16"/>
      <c r="BM277" s="16"/>
      <c r="BN277" s="16"/>
      <c r="BO277" s="16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  <c r="CN277" s="3"/>
      <c r="CO277" s="3"/>
      <c r="CP277" s="3"/>
      <c r="CQ277" s="3"/>
      <c r="CR277" s="3"/>
    </row>
    <row r="278" spans="1:96" ht="12" customHeight="1" x14ac:dyDescent="0.25">
      <c r="A278" s="3"/>
      <c r="B278" s="14"/>
      <c r="C278" s="14"/>
      <c r="D278" s="14"/>
      <c r="E278" s="14"/>
      <c r="K278" s="14"/>
      <c r="M278" s="14"/>
      <c r="N278" s="14"/>
      <c r="P278" s="3"/>
      <c r="Q278" s="4"/>
      <c r="R278" s="3"/>
      <c r="S278" s="3"/>
      <c r="T278" s="3"/>
      <c r="U278" s="4"/>
      <c r="V278" s="4"/>
      <c r="Z278" s="11"/>
      <c r="AA278" s="16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16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6"/>
      <c r="AX278" s="15"/>
      <c r="AY278" s="15"/>
      <c r="AZ278" s="15"/>
      <c r="BA278" s="16"/>
      <c r="BB278" s="16"/>
      <c r="BC278" s="16"/>
      <c r="BD278" s="16"/>
      <c r="BE278" s="16"/>
      <c r="BF278" s="16"/>
      <c r="BG278" s="16"/>
      <c r="BH278" s="16"/>
      <c r="BI278" s="16"/>
      <c r="BJ278" s="16"/>
      <c r="BK278" s="16"/>
      <c r="BL278" s="16"/>
      <c r="BM278" s="16"/>
      <c r="BN278" s="16"/>
      <c r="BO278" s="16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  <c r="CN278" s="3"/>
      <c r="CO278" s="3"/>
      <c r="CP278" s="3"/>
      <c r="CQ278" s="3"/>
      <c r="CR278" s="3"/>
    </row>
    <row r="279" spans="1:96" ht="12" customHeight="1" x14ac:dyDescent="0.25">
      <c r="A279" s="3"/>
      <c r="B279" s="14"/>
      <c r="C279" s="14"/>
      <c r="D279" s="14"/>
      <c r="E279" s="14"/>
      <c r="K279" s="14"/>
      <c r="M279" s="14"/>
      <c r="N279" s="14"/>
      <c r="P279" s="3"/>
      <c r="Q279" s="4"/>
      <c r="R279" s="3"/>
      <c r="S279" s="3"/>
      <c r="T279" s="3"/>
      <c r="U279" s="4"/>
      <c r="V279" s="4"/>
      <c r="Z279" s="11"/>
      <c r="AA279" s="16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16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6"/>
      <c r="AX279" s="15"/>
      <c r="AY279" s="15"/>
      <c r="AZ279" s="15"/>
      <c r="BA279" s="16"/>
      <c r="BB279" s="16"/>
      <c r="BC279" s="16"/>
      <c r="BD279" s="16"/>
      <c r="BE279" s="16"/>
      <c r="BF279" s="16"/>
      <c r="BG279" s="16"/>
      <c r="BH279" s="16"/>
      <c r="BI279" s="16"/>
      <c r="BJ279" s="16"/>
      <c r="BK279" s="16"/>
      <c r="BL279" s="16"/>
      <c r="BM279" s="16"/>
      <c r="BN279" s="16"/>
      <c r="BO279" s="16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  <c r="CN279" s="3"/>
      <c r="CO279" s="3"/>
      <c r="CP279" s="3"/>
      <c r="CQ279" s="3"/>
      <c r="CR279" s="3"/>
    </row>
    <row r="280" spans="1:96" ht="12" customHeight="1" x14ac:dyDescent="0.25">
      <c r="A280" s="3"/>
      <c r="B280" s="14"/>
      <c r="C280" s="14"/>
      <c r="D280" s="14"/>
      <c r="E280" s="14"/>
      <c r="K280" s="14"/>
      <c r="M280" s="14"/>
      <c r="N280" s="14"/>
      <c r="P280" s="3"/>
      <c r="Q280" s="4"/>
      <c r="R280" s="3"/>
      <c r="S280" s="3"/>
      <c r="T280" s="3"/>
      <c r="U280" s="4"/>
      <c r="V280" s="4"/>
      <c r="Z280" s="11"/>
      <c r="AA280" s="16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16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6"/>
      <c r="AX280" s="15"/>
      <c r="AY280" s="15"/>
      <c r="AZ280" s="15"/>
      <c r="BA280" s="16"/>
      <c r="BB280" s="16"/>
      <c r="BC280" s="16"/>
      <c r="BD280" s="16"/>
      <c r="BE280" s="16"/>
      <c r="BF280" s="16"/>
      <c r="BG280" s="16"/>
      <c r="BH280" s="16"/>
      <c r="BI280" s="16"/>
      <c r="BJ280" s="16"/>
      <c r="BK280" s="16"/>
      <c r="BL280" s="16"/>
      <c r="BM280" s="16"/>
      <c r="BN280" s="16"/>
      <c r="BO280" s="16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  <c r="CN280" s="3"/>
      <c r="CO280" s="3"/>
      <c r="CP280" s="3"/>
      <c r="CQ280" s="3"/>
      <c r="CR280" s="3"/>
    </row>
    <row r="281" spans="1:96" ht="12" customHeight="1" x14ac:dyDescent="0.25">
      <c r="A281" s="3"/>
      <c r="B281" s="14"/>
      <c r="C281" s="14"/>
      <c r="D281" s="14"/>
      <c r="E281" s="14"/>
      <c r="K281" s="14"/>
      <c r="M281" s="14"/>
      <c r="N281" s="14"/>
      <c r="P281" s="3"/>
      <c r="Q281" s="4"/>
      <c r="R281" s="3"/>
      <c r="S281" s="3"/>
      <c r="T281" s="3"/>
      <c r="U281" s="4"/>
      <c r="V281" s="4"/>
      <c r="Z281" s="11"/>
      <c r="AA281" s="16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16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6"/>
      <c r="AX281" s="15"/>
      <c r="AY281" s="15"/>
      <c r="AZ281" s="15"/>
      <c r="BA281" s="16"/>
      <c r="BB281" s="16"/>
      <c r="BC281" s="16"/>
      <c r="BD281" s="16"/>
      <c r="BE281" s="16"/>
      <c r="BF281" s="16"/>
      <c r="BG281" s="16"/>
      <c r="BH281" s="16"/>
      <c r="BI281" s="16"/>
      <c r="BJ281" s="16"/>
      <c r="BK281" s="16"/>
      <c r="BL281" s="16"/>
      <c r="BM281" s="16"/>
      <c r="BN281" s="16"/>
      <c r="BO281" s="16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  <c r="CN281" s="3"/>
      <c r="CO281" s="3"/>
      <c r="CP281" s="3"/>
      <c r="CQ281" s="3"/>
      <c r="CR281" s="3"/>
    </row>
    <row r="282" spans="1:96" ht="12" customHeight="1" x14ac:dyDescent="0.25">
      <c r="A282" s="3"/>
      <c r="B282" s="14"/>
      <c r="C282" s="14"/>
      <c r="D282" s="14"/>
      <c r="E282" s="14"/>
      <c r="K282" s="14"/>
      <c r="M282" s="14"/>
      <c r="N282" s="14"/>
      <c r="P282" s="3"/>
      <c r="Q282" s="4"/>
      <c r="R282" s="3"/>
      <c r="S282" s="3"/>
      <c r="T282" s="3"/>
      <c r="U282" s="4"/>
      <c r="V282" s="4"/>
      <c r="Z282" s="11"/>
      <c r="AA282" s="16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16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6"/>
      <c r="AX282" s="15"/>
      <c r="AY282" s="15"/>
      <c r="AZ282" s="15"/>
      <c r="BA282" s="16"/>
      <c r="BB282" s="16"/>
      <c r="BC282" s="16"/>
      <c r="BD282" s="16"/>
      <c r="BE282" s="16"/>
      <c r="BF282" s="16"/>
      <c r="BG282" s="16"/>
      <c r="BH282" s="16"/>
      <c r="BI282" s="16"/>
      <c r="BJ282" s="16"/>
      <c r="BK282" s="16"/>
      <c r="BL282" s="16"/>
      <c r="BM282" s="16"/>
      <c r="BN282" s="16"/>
      <c r="BO282" s="16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  <c r="CN282" s="3"/>
      <c r="CO282" s="3"/>
      <c r="CP282" s="3"/>
      <c r="CQ282" s="3"/>
      <c r="CR282" s="3"/>
    </row>
    <row r="283" spans="1:96" ht="12" customHeight="1" x14ac:dyDescent="0.25">
      <c r="A283" s="3"/>
      <c r="B283" s="14"/>
      <c r="C283" s="14"/>
      <c r="D283" s="14"/>
      <c r="E283" s="14"/>
      <c r="K283" s="14"/>
      <c r="M283" s="14"/>
      <c r="N283" s="14"/>
      <c r="P283" s="3"/>
      <c r="Q283" s="4"/>
      <c r="R283" s="3"/>
      <c r="S283" s="3"/>
      <c r="T283" s="3"/>
      <c r="U283" s="4"/>
      <c r="V283" s="4"/>
      <c r="Z283" s="11"/>
      <c r="AA283" s="16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16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6"/>
      <c r="AX283" s="15"/>
      <c r="AY283" s="15"/>
      <c r="AZ283" s="15"/>
      <c r="BA283" s="16"/>
      <c r="BB283" s="16"/>
      <c r="BC283" s="16"/>
      <c r="BD283" s="16"/>
      <c r="BE283" s="16"/>
      <c r="BF283" s="16"/>
      <c r="BG283" s="16"/>
      <c r="BH283" s="16"/>
      <c r="BI283" s="16"/>
      <c r="BJ283" s="16"/>
      <c r="BK283" s="16"/>
      <c r="BL283" s="16"/>
      <c r="BM283" s="16"/>
      <c r="BN283" s="16"/>
      <c r="BO283" s="16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  <c r="CN283" s="3"/>
      <c r="CO283" s="3"/>
      <c r="CP283" s="3"/>
      <c r="CQ283" s="3"/>
      <c r="CR283" s="3"/>
    </row>
    <row r="284" spans="1:96" ht="12" customHeight="1" x14ac:dyDescent="0.25">
      <c r="A284" s="3"/>
      <c r="B284" s="14"/>
      <c r="C284" s="14"/>
      <c r="D284" s="14"/>
      <c r="E284" s="14"/>
      <c r="K284" s="14"/>
      <c r="M284" s="14"/>
      <c r="N284" s="14"/>
      <c r="P284" s="3"/>
      <c r="Q284" s="4"/>
      <c r="R284" s="3"/>
      <c r="S284" s="3"/>
      <c r="T284" s="3"/>
      <c r="U284" s="4"/>
      <c r="V284" s="4"/>
      <c r="Z284" s="11"/>
      <c r="AA284" s="16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16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6"/>
      <c r="AX284" s="15"/>
      <c r="AY284" s="15"/>
      <c r="AZ284" s="15"/>
      <c r="BA284" s="16"/>
      <c r="BB284" s="16"/>
      <c r="BC284" s="16"/>
      <c r="BD284" s="16"/>
      <c r="BE284" s="16"/>
      <c r="BF284" s="16"/>
      <c r="BG284" s="16"/>
      <c r="BH284" s="16"/>
      <c r="BI284" s="16"/>
      <c r="BJ284" s="16"/>
      <c r="BK284" s="16"/>
      <c r="BL284" s="16"/>
      <c r="BM284" s="16"/>
      <c r="BN284" s="16"/>
      <c r="BO284" s="16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  <c r="CN284" s="3"/>
      <c r="CO284" s="3"/>
      <c r="CP284" s="3"/>
      <c r="CQ284" s="3"/>
      <c r="CR284" s="3"/>
    </row>
    <row r="285" spans="1:96" ht="12" customHeight="1" x14ac:dyDescent="0.25">
      <c r="A285" s="3"/>
      <c r="B285" s="14"/>
      <c r="C285" s="14"/>
      <c r="D285" s="14"/>
      <c r="E285" s="14"/>
      <c r="K285" s="14"/>
      <c r="M285" s="14"/>
      <c r="N285" s="14"/>
      <c r="P285" s="3"/>
      <c r="Q285" s="4"/>
      <c r="R285" s="3"/>
      <c r="S285" s="3"/>
      <c r="T285" s="3"/>
      <c r="U285" s="4"/>
      <c r="V285" s="4"/>
      <c r="Z285" s="11"/>
      <c r="AA285" s="16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16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6"/>
      <c r="AX285" s="15"/>
      <c r="AY285" s="15"/>
      <c r="AZ285" s="15"/>
      <c r="BA285" s="16"/>
      <c r="BB285" s="16"/>
      <c r="BC285" s="16"/>
      <c r="BD285" s="16"/>
      <c r="BE285" s="16"/>
      <c r="BF285" s="16"/>
      <c r="BG285" s="16"/>
      <c r="BH285" s="16"/>
      <c r="BI285" s="16"/>
      <c r="BJ285" s="16"/>
      <c r="BK285" s="16"/>
      <c r="BL285" s="16"/>
      <c r="BM285" s="16"/>
      <c r="BN285" s="16"/>
      <c r="BO285" s="16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  <c r="CN285" s="3"/>
      <c r="CO285" s="3"/>
      <c r="CP285" s="3"/>
      <c r="CQ285" s="3"/>
      <c r="CR285" s="3"/>
    </row>
    <row r="286" spans="1:96" ht="12" customHeight="1" x14ac:dyDescent="0.25">
      <c r="A286" s="3"/>
      <c r="B286" s="14"/>
      <c r="C286" s="14"/>
      <c r="D286" s="14"/>
      <c r="E286" s="14"/>
      <c r="K286" s="14"/>
      <c r="M286" s="14"/>
      <c r="N286" s="14"/>
      <c r="P286" s="3"/>
      <c r="Q286" s="4"/>
      <c r="R286" s="3"/>
      <c r="S286" s="3"/>
      <c r="T286" s="3"/>
      <c r="U286" s="4"/>
      <c r="V286" s="4"/>
      <c r="Z286" s="11"/>
      <c r="AA286" s="16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16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6"/>
      <c r="AX286" s="15"/>
      <c r="AY286" s="15"/>
      <c r="AZ286" s="15"/>
      <c r="BA286" s="16"/>
      <c r="BB286" s="16"/>
      <c r="BC286" s="16"/>
      <c r="BD286" s="16"/>
      <c r="BE286" s="16"/>
      <c r="BF286" s="16"/>
      <c r="BG286" s="16"/>
      <c r="BH286" s="16"/>
      <c r="BI286" s="16"/>
      <c r="BJ286" s="16"/>
      <c r="BK286" s="16"/>
      <c r="BL286" s="16"/>
      <c r="BM286" s="16"/>
      <c r="BN286" s="16"/>
      <c r="BO286" s="16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  <c r="CN286" s="3"/>
      <c r="CO286" s="3"/>
      <c r="CP286" s="3"/>
      <c r="CQ286" s="3"/>
      <c r="CR286" s="3"/>
    </row>
    <row r="287" spans="1:96" ht="12" customHeight="1" x14ac:dyDescent="0.25">
      <c r="A287" s="3"/>
      <c r="B287" s="14"/>
      <c r="C287" s="14"/>
      <c r="D287" s="14"/>
      <c r="E287" s="14"/>
      <c r="K287" s="14"/>
      <c r="M287" s="14"/>
      <c r="N287" s="14"/>
      <c r="P287" s="3"/>
      <c r="Q287" s="4"/>
      <c r="R287" s="3"/>
      <c r="S287" s="3"/>
      <c r="T287" s="3"/>
      <c r="U287" s="4"/>
      <c r="V287" s="4"/>
      <c r="Z287" s="11"/>
      <c r="AA287" s="16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16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6"/>
      <c r="AX287" s="15"/>
      <c r="AY287" s="15"/>
      <c r="AZ287" s="15"/>
      <c r="BA287" s="16"/>
      <c r="BB287" s="16"/>
      <c r="BC287" s="16"/>
      <c r="BD287" s="16"/>
      <c r="BE287" s="16"/>
      <c r="BF287" s="16"/>
      <c r="BG287" s="16"/>
      <c r="BH287" s="16"/>
      <c r="BI287" s="16"/>
      <c r="BJ287" s="16"/>
      <c r="BK287" s="16"/>
      <c r="BL287" s="16"/>
      <c r="BM287" s="16"/>
      <c r="BN287" s="16"/>
      <c r="BO287" s="16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  <c r="CN287" s="3"/>
      <c r="CO287" s="3"/>
      <c r="CP287" s="3"/>
      <c r="CQ287" s="3"/>
      <c r="CR287" s="3"/>
    </row>
    <row r="288" spans="1:96" ht="12" customHeight="1" x14ac:dyDescent="0.25">
      <c r="A288" s="3"/>
      <c r="B288" s="14"/>
      <c r="C288" s="14"/>
      <c r="D288" s="14"/>
      <c r="E288" s="14"/>
      <c r="K288" s="14"/>
      <c r="M288" s="14"/>
      <c r="N288" s="14"/>
      <c r="P288" s="3"/>
      <c r="Q288" s="4"/>
      <c r="R288" s="3"/>
      <c r="S288" s="3"/>
      <c r="T288" s="3"/>
      <c r="U288" s="4"/>
      <c r="V288" s="4"/>
      <c r="Z288" s="11"/>
      <c r="AA288" s="16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16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6"/>
      <c r="AX288" s="15"/>
      <c r="AY288" s="15"/>
      <c r="AZ288" s="15"/>
      <c r="BA288" s="16"/>
      <c r="BB288" s="16"/>
      <c r="BC288" s="16"/>
      <c r="BD288" s="16"/>
      <c r="BE288" s="16"/>
      <c r="BF288" s="16"/>
      <c r="BG288" s="16"/>
      <c r="BH288" s="16"/>
      <c r="BI288" s="16"/>
      <c r="BJ288" s="16"/>
      <c r="BK288" s="16"/>
      <c r="BL288" s="16"/>
      <c r="BM288" s="16"/>
      <c r="BN288" s="16"/>
      <c r="BO288" s="16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  <c r="CN288" s="3"/>
      <c r="CO288" s="3"/>
      <c r="CP288" s="3"/>
      <c r="CQ288" s="3"/>
      <c r="CR288" s="3"/>
    </row>
    <row r="289" spans="1:96" ht="12" customHeight="1" x14ac:dyDescent="0.25">
      <c r="A289" s="3"/>
      <c r="B289" s="14"/>
      <c r="C289" s="14"/>
      <c r="D289" s="14"/>
      <c r="E289" s="14"/>
      <c r="K289" s="14"/>
      <c r="M289" s="14"/>
      <c r="N289" s="14"/>
      <c r="P289" s="3"/>
      <c r="Q289" s="4"/>
      <c r="R289" s="3"/>
      <c r="S289" s="3"/>
      <c r="T289" s="3"/>
      <c r="U289" s="4"/>
      <c r="V289" s="4"/>
      <c r="Z289" s="11"/>
      <c r="AA289" s="16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16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6"/>
      <c r="AX289" s="15"/>
      <c r="AY289" s="15"/>
      <c r="AZ289" s="15"/>
      <c r="BA289" s="16"/>
      <c r="BB289" s="16"/>
      <c r="BC289" s="16"/>
      <c r="BD289" s="16"/>
      <c r="BE289" s="16"/>
      <c r="BF289" s="16"/>
      <c r="BG289" s="16"/>
      <c r="BH289" s="16"/>
      <c r="BI289" s="16"/>
      <c r="BJ289" s="16"/>
      <c r="BK289" s="16"/>
      <c r="BL289" s="16"/>
      <c r="BM289" s="16"/>
      <c r="BN289" s="16"/>
      <c r="BO289" s="16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  <c r="CN289" s="3"/>
      <c r="CO289" s="3"/>
      <c r="CP289" s="3"/>
      <c r="CQ289" s="3"/>
      <c r="CR289" s="3"/>
    </row>
    <row r="290" spans="1:96" ht="12" customHeight="1" x14ac:dyDescent="0.25">
      <c r="A290" s="3"/>
      <c r="B290" s="14"/>
      <c r="C290" s="14"/>
      <c r="D290" s="14"/>
      <c r="E290" s="14"/>
      <c r="K290" s="14"/>
      <c r="M290" s="14"/>
      <c r="N290" s="14"/>
      <c r="P290" s="3"/>
      <c r="Q290" s="4"/>
      <c r="R290" s="3"/>
      <c r="S290" s="3"/>
      <c r="T290" s="3"/>
      <c r="U290" s="4"/>
      <c r="V290" s="4"/>
      <c r="Z290" s="11"/>
      <c r="AA290" s="16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16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6"/>
      <c r="AX290" s="15"/>
      <c r="AY290" s="15"/>
      <c r="AZ290" s="15"/>
      <c r="BA290" s="16"/>
      <c r="BB290" s="16"/>
      <c r="BC290" s="16"/>
      <c r="BD290" s="16"/>
      <c r="BE290" s="16"/>
      <c r="BF290" s="16"/>
      <c r="BG290" s="16"/>
      <c r="BH290" s="16"/>
      <c r="BI290" s="16"/>
      <c r="BJ290" s="16"/>
      <c r="BK290" s="16"/>
      <c r="BL290" s="16"/>
      <c r="BM290" s="16"/>
      <c r="BN290" s="16"/>
      <c r="BO290" s="16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  <c r="CN290" s="3"/>
      <c r="CO290" s="3"/>
      <c r="CP290" s="3"/>
      <c r="CQ290" s="3"/>
      <c r="CR290" s="3"/>
    </row>
    <row r="291" spans="1:96" ht="12" customHeight="1" x14ac:dyDescent="0.25">
      <c r="A291" s="3"/>
      <c r="B291" s="14"/>
      <c r="C291" s="14"/>
      <c r="D291" s="14"/>
      <c r="E291" s="14"/>
      <c r="K291" s="14"/>
      <c r="M291" s="14"/>
      <c r="N291" s="14"/>
      <c r="P291" s="3"/>
      <c r="Q291" s="4"/>
      <c r="R291" s="3"/>
      <c r="S291" s="3"/>
      <c r="T291" s="3"/>
      <c r="U291" s="4"/>
      <c r="V291" s="4"/>
      <c r="Z291" s="11"/>
      <c r="AA291" s="16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16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6"/>
      <c r="AX291" s="15"/>
      <c r="AY291" s="15"/>
      <c r="AZ291" s="15"/>
      <c r="BA291" s="16"/>
      <c r="BB291" s="16"/>
      <c r="BC291" s="16"/>
      <c r="BD291" s="16"/>
      <c r="BE291" s="16"/>
      <c r="BF291" s="16"/>
      <c r="BG291" s="16"/>
      <c r="BH291" s="16"/>
      <c r="BI291" s="16"/>
      <c r="BJ291" s="16"/>
      <c r="BK291" s="16"/>
      <c r="BL291" s="16"/>
      <c r="BM291" s="16"/>
      <c r="BN291" s="16"/>
      <c r="BO291" s="16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  <c r="CN291" s="3"/>
      <c r="CO291" s="3"/>
      <c r="CP291" s="3"/>
      <c r="CQ291" s="3"/>
      <c r="CR291" s="3"/>
    </row>
    <row r="292" spans="1:96" ht="12" customHeight="1" x14ac:dyDescent="0.25">
      <c r="A292" s="3"/>
      <c r="B292" s="14"/>
      <c r="C292" s="14"/>
      <c r="D292" s="14"/>
      <c r="E292" s="14"/>
      <c r="K292" s="14"/>
      <c r="M292" s="14"/>
      <c r="N292" s="14"/>
      <c r="P292" s="3"/>
      <c r="Q292" s="4"/>
      <c r="R292" s="3"/>
      <c r="S292" s="3"/>
      <c r="T292" s="3"/>
      <c r="U292" s="4"/>
      <c r="V292" s="4"/>
      <c r="Z292" s="11"/>
      <c r="AA292" s="16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16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6"/>
      <c r="AX292" s="15"/>
      <c r="AY292" s="15"/>
      <c r="AZ292" s="15"/>
      <c r="BA292" s="16"/>
      <c r="BB292" s="16"/>
      <c r="BC292" s="16"/>
      <c r="BD292" s="16"/>
      <c r="BE292" s="16"/>
      <c r="BF292" s="16"/>
      <c r="BG292" s="16"/>
      <c r="BH292" s="16"/>
      <c r="BI292" s="16"/>
      <c r="BJ292" s="16"/>
      <c r="BK292" s="16"/>
      <c r="BL292" s="16"/>
      <c r="BM292" s="16"/>
      <c r="BN292" s="16"/>
      <c r="BO292" s="16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  <c r="CN292" s="3"/>
      <c r="CO292" s="3"/>
      <c r="CP292" s="3"/>
      <c r="CQ292" s="3"/>
      <c r="CR292" s="3"/>
    </row>
    <row r="293" spans="1:96" ht="12" customHeight="1" x14ac:dyDescent="0.25">
      <c r="A293" s="3"/>
      <c r="B293" s="14"/>
      <c r="C293" s="14"/>
      <c r="D293" s="14"/>
      <c r="E293" s="14"/>
      <c r="K293" s="14"/>
      <c r="M293" s="14"/>
      <c r="N293" s="14"/>
      <c r="P293" s="3"/>
      <c r="Q293" s="4"/>
      <c r="R293" s="3"/>
      <c r="S293" s="3"/>
      <c r="T293" s="3"/>
      <c r="U293" s="4"/>
      <c r="V293" s="4"/>
      <c r="Z293" s="11"/>
      <c r="AA293" s="16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16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6"/>
      <c r="AX293" s="15"/>
      <c r="AY293" s="15"/>
      <c r="AZ293" s="15"/>
      <c r="BA293" s="16"/>
      <c r="BB293" s="16"/>
      <c r="BC293" s="16"/>
      <c r="BD293" s="16"/>
      <c r="BE293" s="16"/>
      <c r="BF293" s="16"/>
      <c r="BG293" s="16"/>
      <c r="BH293" s="16"/>
      <c r="BI293" s="16"/>
      <c r="BJ293" s="16"/>
      <c r="BK293" s="16"/>
      <c r="BL293" s="16"/>
      <c r="BM293" s="16"/>
      <c r="BN293" s="16"/>
      <c r="BO293" s="16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  <c r="CN293" s="3"/>
      <c r="CO293" s="3"/>
      <c r="CP293" s="3"/>
      <c r="CQ293" s="3"/>
      <c r="CR293" s="3"/>
    </row>
    <row r="294" spans="1:96" ht="12" customHeight="1" x14ac:dyDescent="0.25">
      <c r="A294" s="3"/>
      <c r="B294" s="14"/>
      <c r="C294" s="14"/>
      <c r="D294" s="14"/>
      <c r="E294" s="14"/>
      <c r="K294" s="14"/>
      <c r="M294" s="14"/>
      <c r="N294" s="14"/>
      <c r="P294" s="3"/>
      <c r="Q294" s="4"/>
      <c r="R294" s="3"/>
      <c r="S294" s="3"/>
      <c r="T294" s="3"/>
      <c r="U294" s="4"/>
      <c r="V294" s="4"/>
      <c r="Z294" s="11"/>
      <c r="AA294" s="16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16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6"/>
      <c r="AX294" s="15"/>
      <c r="AY294" s="15"/>
      <c r="AZ294" s="15"/>
      <c r="BA294" s="16"/>
      <c r="BB294" s="16"/>
      <c r="BC294" s="16"/>
      <c r="BD294" s="16"/>
      <c r="BE294" s="16"/>
      <c r="BF294" s="16"/>
      <c r="BG294" s="16"/>
      <c r="BH294" s="16"/>
      <c r="BI294" s="16"/>
      <c r="BJ294" s="16"/>
      <c r="BK294" s="16"/>
      <c r="BL294" s="16"/>
      <c r="BM294" s="16"/>
      <c r="BN294" s="16"/>
      <c r="BO294" s="16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  <c r="CN294" s="3"/>
      <c r="CO294" s="3"/>
      <c r="CP294" s="3"/>
      <c r="CQ294" s="3"/>
      <c r="CR294" s="3"/>
    </row>
    <row r="295" spans="1:96" ht="12" customHeight="1" x14ac:dyDescent="0.25">
      <c r="A295" s="3"/>
      <c r="B295" s="14"/>
      <c r="C295" s="14"/>
      <c r="D295" s="14"/>
      <c r="E295" s="14"/>
      <c r="K295" s="14"/>
      <c r="M295" s="14"/>
      <c r="N295" s="14"/>
      <c r="P295" s="3"/>
      <c r="Q295" s="4"/>
      <c r="R295" s="3"/>
      <c r="S295" s="3"/>
      <c r="T295" s="3"/>
      <c r="U295" s="4"/>
      <c r="V295" s="4"/>
      <c r="Z295" s="11"/>
      <c r="AA295" s="16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16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6"/>
      <c r="AX295" s="15"/>
      <c r="AY295" s="15"/>
      <c r="AZ295" s="15"/>
      <c r="BA295" s="16"/>
      <c r="BB295" s="16"/>
      <c r="BC295" s="16"/>
      <c r="BD295" s="16"/>
      <c r="BE295" s="16"/>
      <c r="BF295" s="16"/>
      <c r="BG295" s="16"/>
      <c r="BH295" s="16"/>
      <c r="BI295" s="16"/>
      <c r="BJ295" s="16"/>
      <c r="BK295" s="16"/>
      <c r="BL295" s="16"/>
      <c r="BM295" s="16"/>
      <c r="BN295" s="16"/>
      <c r="BO295" s="16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  <c r="CN295" s="3"/>
      <c r="CO295" s="3"/>
      <c r="CP295" s="3"/>
      <c r="CQ295" s="3"/>
      <c r="CR295" s="3"/>
    </row>
    <row r="296" spans="1:96" ht="12" customHeight="1" x14ac:dyDescent="0.25">
      <c r="A296" s="3"/>
      <c r="B296" s="14"/>
      <c r="C296" s="14"/>
      <c r="D296" s="14"/>
      <c r="E296" s="14"/>
      <c r="K296" s="14"/>
      <c r="M296" s="14"/>
      <c r="N296" s="14"/>
      <c r="P296" s="3"/>
      <c r="Q296" s="4"/>
      <c r="R296" s="3"/>
      <c r="S296" s="3"/>
      <c r="T296" s="3"/>
      <c r="U296" s="4"/>
      <c r="V296" s="4"/>
      <c r="Z296" s="11"/>
      <c r="AA296" s="16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16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6"/>
      <c r="AX296" s="15"/>
      <c r="AY296" s="15"/>
      <c r="AZ296" s="15"/>
      <c r="BA296" s="16"/>
      <c r="BB296" s="16"/>
      <c r="BC296" s="16"/>
      <c r="BD296" s="16"/>
      <c r="BE296" s="16"/>
      <c r="BF296" s="16"/>
      <c r="BG296" s="16"/>
      <c r="BH296" s="16"/>
      <c r="BI296" s="16"/>
      <c r="BJ296" s="16"/>
      <c r="BK296" s="16"/>
      <c r="BL296" s="16"/>
      <c r="BM296" s="16"/>
      <c r="BN296" s="16"/>
      <c r="BO296" s="16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  <c r="CN296" s="3"/>
      <c r="CO296" s="3"/>
      <c r="CP296" s="3"/>
      <c r="CQ296" s="3"/>
      <c r="CR296" s="3"/>
    </row>
    <row r="297" spans="1:96" ht="12" customHeight="1" x14ac:dyDescent="0.25">
      <c r="A297" s="3"/>
      <c r="B297" s="14"/>
      <c r="C297" s="14"/>
      <c r="D297" s="14"/>
      <c r="E297" s="14"/>
      <c r="K297" s="14"/>
      <c r="M297" s="14"/>
      <c r="N297" s="14"/>
      <c r="P297" s="3"/>
      <c r="Q297" s="4"/>
      <c r="R297" s="3"/>
      <c r="S297" s="3"/>
      <c r="T297" s="3"/>
      <c r="U297" s="4"/>
      <c r="V297" s="4"/>
      <c r="Z297" s="11"/>
      <c r="AA297" s="16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16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6"/>
      <c r="AX297" s="15"/>
      <c r="AY297" s="15"/>
      <c r="AZ297" s="15"/>
      <c r="BA297" s="16"/>
      <c r="BB297" s="16"/>
      <c r="BC297" s="16"/>
      <c r="BD297" s="16"/>
      <c r="BE297" s="16"/>
      <c r="BF297" s="16"/>
      <c r="BG297" s="16"/>
      <c r="BH297" s="16"/>
      <c r="BI297" s="16"/>
      <c r="BJ297" s="16"/>
      <c r="BK297" s="16"/>
      <c r="BL297" s="16"/>
      <c r="BM297" s="16"/>
      <c r="BN297" s="16"/>
      <c r="BO297" s="16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  <c r="CN297" s="3"/>
      <c r="CO297" s="3"/>
      <c r="CP297" s="3"/>
      <c r="CQ297" s="3"/>
      <c r="CR297" s="3"/>
    </row>
    <row r="298" spans="1:96" ht="12" customHeight="1" x14ac:dyDescent="0.25">
      <c r="A298" s="3"/>
      <c r="B298" s="14"/>
      <c r="C298" s="14"/>
      <c r="D298" s="14"/>
      <c r="E298" s="14"/>
      <c r="K298" s="14"/>
      <c r="M298" s="14"/>
      <c r="N298" s="14"/>
      <c r="P298" s="3"/>
      <c r="Q298" s="4"/>
      <c r="R298" s="3"/>
      <c r="S298" s="3"/>
      <c r="T298" s="3"/>
      <c r="U298" s="4"/>
      <c r="V298" s="4"/>
      <c r="Z298" s="11"/>
      <c r="AA298" s="16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16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6"/>
      <c r="AX298" s="15"/>
      <c r="AY298" s="15"/>
      <c r="AZ298" s="15"/>
      <c r="BA298" s="16"/>
      <c r="BB298" s="16"/>
      <c r="BC298" s="16"/>
      <c r="BD298" s="16"/>
      <c r="BE298" s="16"/>
      <c r="BF298" s="16"/>
      <c r="BG298" s="16"/>
      <c r="BH298" s="16"/>
      <c r="BI298" s="16"/>
      <c r="BJ298" s="16"/>
      <c r="BK298" s="16"/>
      <c r="BL298" s="16"/>
      <c r="BM298" s="16"/>
      <c r="BN298" s="16"/>
      <c r="BO298" s="16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  <c r="CN298" s="3"/>
      <c r="CO298" s="3"/>
      <c r="CP298" s="3"/>
      <c r="CQ298" s="3"/>
      <c r="CR298" s="3"/>
    </row>
    <row r="299" spans="1:96" ht="12" customHeight="1" x14ac:dyDescent="0.25">
      <c r="A299" s="3"/>
      <c r="B299" s="14"/>
      <c r="C299" s="14"/>
      <c r="D299" s="14"/>
      <c r="E299" s="14"/>
      <c r="K299" s="14"/>
      <c r="M299" s="14"/>
      <c r="N299" s="14"/>
      <c r="P299" s="3"/>
      <c r="Q299" s="4"/>
      <c r="R299" s="3"/>
      <c r="S299" s="3"/>
      <c r="T299" s="3"/>
      <c r="U299" s="4"/>
      <c r="V299" s="4"/>
      <c r="Z299" s="11"/>
      <c r="AA299" s="16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16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6"/>
      <c r="AX299" s="15"/>
      <c r="AY299" s="15"/>
      <c r="AZ299" s="15"/>
      <c r="BA299" s="16"/>
      <c r="BB299" s="16"/>
      <c r="BC299" s="16"/>
      <c r="BD299" s="16"/>
      <c r="BE299" s="16"/>
      <c r="BF299" s="16"/>
      <c r="BG299" s="16"/>
      <c r="BH299" s="16"/>
      <c r="BI299" s="16"/>
      <c r="BJ299" s="16"/>
      <c r="BK299" s="16"/>
      <c r="BL299" s="16"/>
      <c r="BM299" s="16"/>
      <c r="BN299" s="16"/>
      <c r="BO299" s="16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  <c r="CN299" s="3"/>
      <c r="CO299" s="3"/>
      <c r="CP299" s="3"/>
      <c r="CQ299" s="3"/>
      <c r="CR299" s="3"/>
    </row>
    <row r="300" spans="1:96" ht="12" customHeight="1" x14ac:dyDescent="0.25">
      <c r="A300" s="3"/>
      <c r="B300" s="14"/>
      <c r="C300" s="14"/>
      <c r="D300" s="14"/>
      <c r="E300" s="14"/>
      <c r="K300" s="14"/>
      <c r="M300" s="14"/>
      <c r="N300" s="14"/>
      <c r="P300" s="3"/>
      <c r="Q300" s="4"/>
      <c r="R300" s="3"/>
      <c r="S300" s="3"/>
      <c r="T300" s="3"/>
      <c r="U300" s="4"/>
      <c r="V300" s="4"/>
      <c r="Z300" s="11"/>
      <c r="AA300" s="16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16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6"/>
      <c r="AX300" s="15"/>
      <c r="AY300" s="15"/>
      <c r="AZ300" s="15"/>
      <c r="BA300" s="16"/>
      <c r="BB300" s="16"/>
      <c r="BC300" s="16"/>
      <c r="BD300" s="16"/>
      <c r="BE300" s="16"/>
      <c r="BF300" s="16"/>
      <c r="BG300" s="16"/>
      <c r="BH300" s="16"/>
      <c r="BI300" s="16"/>
      <c r="BJ300" s="16"/>
      <c r="BK300" s="16"/>
      <c r="BL300" s="16"/>
      <c r="BM300" s="16"/>
      <c r="BN300" s="16"/>
      <c r="BO300" s="16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  <c r="CN300" s="3"/>
      <c r="CO300" s="3"/>
      <c r="CP300" s="3"/>
      <c r="CQ300" s="3"/>
      <c r="CR300" s="3"/>
    </row>
    <row r="301" spans="1:96" ht="12" customHeight="1" x14ac:dyDescent="0.25">
      <c r="A301" s="3"/>
      <c r="B301" s="14"/>
      <c r="C301" s="14"/>
      <c r="D301" s="14"/>
      <c r="E301" s="14"/>
      <c r="K301" s="14"/>
      <c r="M301" s="14"/>
      <c r="N301" s="14"/>
      <c r="P301" s="3"/>
      <c r="Q301" s="4"/>
      <c r="R301" s="3"/>
      <c r="S301" s="3"/>
      <c r="T301" s="3"/>
      <c r="U301" s="4"/>
      <c r="V301" s="4"/>
      <c r="Z301" s="11"/>
      <c r="AA301" s="16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16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6"/>
      <c r="AX301" s="15"/>
      <c r="AY301" s="15"/>
      <c r="AZ301" s="15"/>
      <c r="BA301" s="16"/>
      <c r="BB301" s="16"/>
      <c r="BC301" s="16"/>
      <c r="BD301" s="16"/>
      <c r="BE301" s="16"/>
      <c r="BF301" s="16"/>
      <c r="BG301" s="16"/>
      <c r="BH301" s="16"/>
      <c r="BI301" s="16"/>
      <c r="BJ301" s="16"/>
      <c r="BK301" s="16"/>
      <c r="BL301" s="16"/>
      <c r="BM301" s="16"/>
      <c r="BN301" s="16"/>
      <c r="BO301" s="16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  <c r="CN301" s="3"/>
      <c r="CO301" s="3"/>
      <c r="CP301" s="3"/>
      <c r="CQ301" s="3"/>
      <c r="CR301" s="3"/>
    </row>
    <row r="302" spans="1:96" ht="12" customHeight="1" x14ac:dyDescent="0.25">
      <c r="A302" s="3"/>
      <c r="B302" s="14"/>
      <c r="C302" s="14"/>
      <c r="D302" s="14"/>
      <c r="E302" s="14"/>
      <c r="K302" s="14"/>
      <c r="M302" s="14"/>
      <c r="N302" s="14"/>
      <c r="P302" s="3"/>
      <c r="Q302" s="4"/>
      <c r="R302" s="3"/>
      <c r="S302" s="3"/>
      <c r="T302" s="3"/>
      <c r="U302" s="4"/>
      <c r="V302" s="4"/>
      <c r="Z302" s="11"/>
      <c r="AA302" s="16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16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6"/>
      <c r="AX302" s="15"/>
      <c r="AY302" s="15"/>
      <c r="AZ302" s="15"/>
      <c r="BA302" s="16"/>
      <c r="BB302" s="16"/>
      <c r="BC302" s="16"/>
      <c r="BD302" s="16"/>
      <c r="BE302" s="16"/>
      <c r="BF302" s="16"/>
      <c r="BG302" s="16"/>
      <c r="BH302" s="16"/>
      <c r="BI302" s="16"/>
      <c r="BJ302" s="16"/>
      <c r="BK302" s="16"/>
      <c r="BL302" s="16"/>
      <c r="BM302" s="16"/>
      <c r="BN302" s="16"/>
      <c r="BO302" s="16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  <c r="CN302" s="3"/>
      <c r="CO302" s="3"/>
      <c r="CP302" s="3"/>
      <c r="CQ302" s="3"/>
      <c r="CR302" s="3"/>
    </row>
    <row r="303" spans="1:96" ht="12" customHeight="1" x14ac:dyDescent="0.25">
      <c r="A303" s="3"/>
      <c r="B303" s="14"/>
      <c r="C303" s="14"/>
      <c r="D303" s="14"/>
      <c r="E303" s="14"/>
      <c r="K303" s="14"/>
      <c r="M303" s="14"/>
      <c r="N303" s="14"/>
      <c r="P303" s="3"/>
      <c r="Q303" s="4"/>
      <c r="R303" s="3"/>
      <c r="S303" s="3"/>
      <c r="T303" s="3"/>
      <c r="U303" s="4"/>
      <c r="V303" s="4"/>
      <c r="Z303" s="11"/>
      <c r="AA303" s="16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16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6"/>
      <c r="AX303" s="15"/>
      <c r="AY303" s="15"/>
      <c r="AZ303" s="15"/>
      <c r="BA303" s="16"/>
      <c r="BB303" s="16"/>
      <c r="BC303" s="16"/>
      <c r="BD303" s="16"/>
      <c r="BE303" s="16"/>
      <c r="BF303" s="16"/>
      <c r="BG303" s="16"/>
      <c r="BH303" s="16"/>
      <c r="BI303" s="16"/>
      <c r="BJ303" s="16"/>
      <c r="BK303" s="16"/>
      <c r="BL303" s="16"/>
      <c r="BM303" s="16"/>
      <c r="BN303" s="16"/>
      <c r="BO303" s="16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  <c r="CN303" s="3"/>
      <c r="CO303" s="3"/>
      <c r="CP303" s="3"/>
      <c r="CQ303" s="3"/>
      <c r="CR303" s="3"/>
    </row>
    <row r="304" spans="1:96" ht="12" customHeight="1" x14ac:dyDescent="0.25">
      <c r="A304" s="3"/>
      <c r="B304" s="14"/>
      <c r="C304" s="14"/>
      <c r="D304" s="14"/>
      <c r="E304" s="14"/>
      <c r="K304" s="14"/>
      <c r="M304" s="14"/>
      <c r="N304" s="14"/>
      <c r="P304" s="3"/>
      <c r="Q304" s="4"/>
      <c r="R304" s="3"/>
      <c r="S304" s="3"/>
      <c r="T304" s="3"/>
      <c r="U304" s="4"/>
      <c r="V304" s="4"/>
      <c r="Z304" s="11"/>
      <c r="AA304" s="16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16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6"/>
      <c r="AX304" s="15"/>
      <c r="AY304" s="15"/>
      <c r="AZ304" s="15"/>
      <c r="BA304" s="16"/>
      <c r="BB304" s="16"/>
      <c r="BC304" s="16"/>
      <c r="BD304" s="16"/>
      <c r="BE304" s="16"/>
      <c r="BF304" s="16"/>
      <c r="BG304" s="16"/>
      <c r="BH304" s="16"/>
      <c r="BI304" s="16"/>
      <c r="BJ304" s="16"/>
      <c r="BK304" s="16"/>
      <c r="BL304" s="16"/>
      <c r="BM304" s="16"/>
      <c r="BN304" s="16"/>
      <c r="BO304" s="16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  <c r="CN304" s="3"/>
      <c r="CO304" s="3"/>
      <c r="CP304" s="3"/>
      <c r="CQ304" s="3"/>
      <c r="CR304" s="3"/>
    </row>
    <row r="305" spans="1:96" ht="12" customHeight="1" x14ac:dyDescent="0.25">
      <c r="A305" s="3"/>
      <c r="B305" s="14"/>
      <c r="C305" s="14"/>
      <c r="D305" s="14"/>
      <c r="E305" s="14"/>
      <c r="K305" s="14"/>
      <c r="M305" s="14"/>
      <c r="N305" s="14"/>
      <c r="P305" s="3"/>
      <c r="Q305" s="4"/>
      <c r="R305" s="3"/>
      <c r="S305" s="3"/>
      <c r="T305" s="3"/>
      <c r="U305" s="4"/>
      <c r="V305" s="4"/>
      <c r="Z305" s="11"/>
      <c r="AA305" s="16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16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6"/>
      <c r="AX305" s="15"/>
      <c r="AY305" s="15"/>
      <c r="AZ305" s="15"/>
      <c r="BA305" s="16"/>
      <c r="BB305" s="16"/>
      <c r="BC305" s="16"/>
      <c r="BD305" s="16"/>
      <c r="BE305" s="16"/>
      <c r="BF305" s="16"/>
      <c r="BG305" s="16"/>
      <c r="BH305" s="16"/>
      <c r="BI305" s="16"/>
      <c r="BJ305" s="16"/>
      <c r="BK305" s="16"/>
      <c r="BL305" s="16"/>
      <c r="BM305" s="16"/>
      <c r="BN305" s="16"/>
      <c r="BO305" s="16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  <c r="CN305" s="3"/>
      <c r="CO305" s="3"/>
      <c r="CP305" s="3"/>
      <c r="CQ305" s="3"/>
      <c r="CR305" s="3"/>
    </row>
    <row r="306" spans="1:96" ht="12" customHeight="1" x14ac:dyDescent="0.25">
      <c r="A306" s="3"/>
      <c r="B306" s="14"/>
      <c r="C306" s="14"/>
      <c r="D306" s="14"/>
      <c r="E306" s="14"/>
      <c r="K306" s="14"/>
      <c r="M306" s="14"/>
      <c r="N306" s="14"/>
      <c r="P306" s="3"/>
      <c r="Q306" s="4"/>
      <c r="R306" s="3"/>
      <c r="S306" s="3"/>
      <c r="T306" s="3"/>
      <c r="U306" s="4"/>
      <c r="V306" s="4"/>
      <c r="Z306" s="11"/>
      <c r="AA306" s="16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16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6"/>
      <c r="AX306" s="15"/>
      <c r="AY306" s="15"/>
      <c r="AZ306" s="15"/>
      <c r="BA306" s="16"/>
      <c r="BB306" s="16"/>
      <c r="BC306" s="16"/>
      <c r="BD306" s="16"/>
      <c r="BE306" s="16"/>
      <c r="BF306" s="16"/>
      <c r="BG306" s="16"/>
      <c r="BH306" s="16"/>
      <c r="BI306" s="16"/>
      <c r="BJ306" s="16"/>
      <c r="BK306" s="16"/>
      <c r="BL306" s="16"/>
      <c r="BM306" s="16"/>
      <c r="BN306" s="16"/>
      <c r="BO306" s="16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  <c r="CN306" s="3"/>
      <c r="CO306" s="3"/>
      <c r="CP306" s="3"/>
      <c r="CQ306" s="3"/>
      <c r="CR306" s="3"/>
    </row>
    <row r="307" spans="1:96" ht="12" customHeight="1" x14ac:dyDescent="0.25">
      <c r="A307" s="3"/>
      <c r="B307" s="14"/>
      <c r="C307" s="14"/>
      <c r="D307" s="14"/>
      <c r="E307" s="14"/>
      <c r="K307" s="14"/>
      <c r="M307" s="14"/>
      <c r="N307" s="14"/>
      <c r="P307" s="3"/>
      <c r="Q307" s="4"/>
      <c r="R307" s="3"/>
      <c r="S307" s="3"/>
      <c r="T307" s="3"/>
      <c r="U307" s="4"/>
      <c r="V307" s="4"/>
      <c r="Z307" s="11"/>
      <c r="AA307" s="16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16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6"/>
      <c r="AX307" s="15"/>
      <c r="AY307" s="15"/>
      <c r="AZ307" s="15"/>
      <c r="BA307" s="16"/>
      <c r="BB307" s="16"/>
      <c r="BC307" s="16"/>
      <c r="BD307" s="16"/>
      <c r="BE307" s="16"/>
      <c r="BF307" s="16"/>
      <c r="BG307" s="16"/>
      <c r="BH307" s="16"/>
      <c r="BI307" s="16"/>
      <c r="BJ307" s="16"/>
      <c r="BK307" s="16"/>
      <c r="BL307" s="16"/>
      <c r="BM307" s="16"/>
      <c r="BN307" s="16"/>
      <c r="BO307" s="16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  <c r="CN307" s="3"/>
      <c r="CO307" s="3"/>
      <c r="CP307" s="3"/>
      <c r="CQ307" s="3"/>
      <c r="CR307" s="3"/>
    </row>
    <row r="308" spans="1:96" ht="12" customHeight="1" x14ac:dyDescent="0.25">
      <c r="A308" s="3"/>
      <c r="B308" s="14"/>
      <c r="C308" s="14"/>
      <c r="D308" s="14"/>
      <c r="E308" s="14"/>
      <c r="K308" s="14"/>
      <c r="M308" s="14"/>
      <c r="N308" s="14"/>
      <c r="P308" s="3"/>
      <c r="Q308" s="4"/>
      <c r="R308" s="3"/>
      <c r="S308" s="3"/>
      <c r="T308" s="3"/>
      <c r="U308" s="4"/>
      <c r="V308" s="4"/>
      <c r="Z308" s="11"/>
      <c r="AA308" s="16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16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6"/>
      <c r="AX308" s="15"/>
      <c r="AY308" s="15"/>
      <c r="AZ308" s="15"/>
      <c r="BA308" s="16"/>
      <c r="BB308" s="16"/>
      <c r="BC308" s="16"/>
      <c r="BD308" s="16"/>
      <c r="BE308" s="16"/>
      <c r="BF308" s="16"/>
      <c r="BG308" s="16"/>
      <c r="BH308" s="16"/>
      <c r="BI308" s="16"/>
      <c r="BJ308" s="16"/>
      <c r="BK308" s="16"/>
      <c r="BL308" s="16"/>
      <c r="BM308" s="16"/>
      <c r="BN308" s="16"/>
      <c r="BO308" s="16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  <c r="CN308" s="3"/>
      <c r="CO308" s="3"/>
      <c r="CP308" s="3"/>
      <c r="CQ308" s="3"/>
      <c r="CR308" s="3"/>
    </row>
    <row r="309" spans="1:96" ht="12" customHeight="1" x14ac:dyDescent="0.25">
      <c r="A309" s="3"/>
      <c r="B309" s="14"/>
      <c r="C309" s="14"/>
      <c r="D309" s="14"/>
      <c r="E309" s="14"/>
      <c r="K309" s="14"/>
      <c r="M309" s="14"/>
      <c r="N309" s="14"/>
      <c r="Z309" s="11"/>
      <c r="AA309" s="16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16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6"/>
      <c r="AX309" s="15"/>
      <c r="AY309" s="15"/>
      <c r="AZ309" s="15"/>
      <c r="BA309" s="16"/>
      <c r="BB309" s="16"/>
      <c r="BC309" s="16"/>
      <c r="BD309" s="16"/>
      <c r="BE309" s="16"/>
      <c r="BF309" s="16"/>
      <c r="BG309" s="16"/>
      <c r="BH309" s="16"/>
      <c r="BI309" s="16"/>
      <c r="BJ309" s="16"/>
      <c r="BK309" s="16"/>
      <c r="BL309" s="16"/>
      <c r="BM309" s="16"/>
      <c r="BN309" s="16"/>
      <c r="BO309" s="16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  <c r="CN309" s="3"/>
      <c r="CO309" s="3"/>
      <c r="CP309" s="3"/>
      <c r="CQ309" s="3"/>
      <c r="CR309" s="3"/>
    </row>
    <row r="310" spans="1:96" ht="12" customHeight="1" x14ac:dyDescent="0.25">
      <c r="A310" s="3"/>
      <c r="B310" s="14"/>
      <c r="C310" s="14"/>
      <c r="D310" s="14"/>
      <c r="E310" s="14"/>
      <c r="K310" s="14"/>
      <c r="M310" s="14"/>
      <c r="N310" s="14"/>
      <c r="Z310" s="11"/>
      <c r="AA310" s="16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16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6"/>
      <c r="AX310" s="15"/>
      <c r="AY310" s="15"/>
      <c r="AZ310" s="15"/>
      <c r="BA310" s="16"/>
      <c r="BB310" s="16"/>
      <c r="BC310" s="16"/>
      <c r="BD310" s="16"/>
      <c r="BE310" s="16"/>
      <c r="BF310" s="16"/>
      <c r="BG310" s="16"/>
      <c r="BH310" s="16"/>
      <c r="BI310" s="16"/>
      <c r="BJ310" s="16"/>
      <c r="BK310" s="16"/>
      <c r="BL310" s="16"/>
      <c r="BM310" s="16"/>
      <c r="BN310" s="16"/>
      <c r="BO310" s="16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  <c r="CN310" s="3"/>
      <c r="CO310" s="3"/>
      <c r="CP310" s="3"/>
      <c r="CQ310" s="3"/>
      <c r="CR310" s="3"/>
    </row>
    <row r="311" spans="1:96" ht="12" customHeight="1" x14ac:dyDescent="0.25">
      <c r="A311" s="3"/>
      <c r="B311" s="14"/>
      <c r="C311" s="14"/>
      <c r="D311" s="14"/>
      <c r="E311" s="14"/>
      <c r="K311" s="14"/>
      <c r="M311" s="14"/>
      <c r="N311" s="14"/>
      <c r="Z311" s="11"/>
      <c r="AA311" s="16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16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6"/>
      <c r="AX311" s="15"/>
      <c r="AY311" s="15"/>
      <c r="AZ311" s="15"/>
      <c r="BA311" s="16"/>
      <c r="BB311" s="16"/>
      <c r="BC311" s="16"/>
      <c r="BD311" s="16"/>
      <c r="BE311" s="16"/>
      <c r="BF311" s="16"/>
      <c r="BG311" s="16"/>
      <c r="BH311" s="16"/>
      <c r="BI311" s="16"/>
      <c r="BJ311" s="16"/>
      <c r="BK311" s="16"/>
      <c r="BL311" s="16"/>
      <c r="BM311" s="16"/>
      <c r="BN311" s="16"/>
      <c r="BO311" s="16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  <c r="CN311" s="3"/>
      <c r="CO311" s="3"/>
      <c r="CP311" s="3"/>
      <c r="CQ311" s="3"/>
      <c r="CR311" s="3"/>
    </row>
    <row r="312" spans="1:96" ht="12" customHeight="1" x14ac:dyDescent="0.25">
      <c r="A312" s="3"/>
      <c r="B312" s="14"/>
      <c r="C312" s="14"/>
      <c r="D312" s="14"/>
      <c r="E312" s="14"/>
      <c r="K312" s="14"/>
      <c r="M312" s="14"/>
      <c r="N312" s="14"/>
      <c r="Z312" s="11"/>
      <c r="AA312" s="16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16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6"/>
      <c r="AX312" s="15"/>
      <c r="AY312" s="15"/>
      <c r="AZ312" s="15"/>
      <c r="BA312" s="16"/>
      <c r="BB312" s="16"/>
      <c r="BC312" s="16"/>
      <c r="BD312" s="16"/>
      <c r="BE312" s="16"/>
      <c r="BF312" s="16"/>
      <c r="BG312" s="16"/>
      <c r="BH312" s="16"/>
      <c r="BI312" s="16"/>
      <c r="BJ312" s="16"/>
      <c r="BK312" s="16"/>
      <c r="BL312" s="16"/>
      <c r="BM312" s="16"/>
      <c r="BN312" s="16"/>
      <c r="BO312" s="16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  <c r="CN312" s="3"/>
      <c r="CO312" s="3"/>
      <c r="CP312" s="3"/>
      <c r="CQ312" s="3"/>
      <c r="CR312" s="3"/>
    </row>
    <row r="313" spans="1:96" ht="12" customHeight="1" x14ac:dyDescent="0.25">
      <c r="A313" s="3"/>
      <c r="B313" s="14"/>
      <c r="C313" s="14"/>
      <c r="D313" s="14"/>
      <c r="E313" s="14"/>
      <c r="K313" s="14"/>
      <c r="M313" s="14"/>
      <c r="N313" s="14"/>
      <c r="Z313" s="11"/>
      <c r="AA313" s="16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16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6"/>
      <c r="AX313" s="15"/>
      <c r="AY313" s="15"/>
      <c r="AZ313" s="15"/>
      <c r="BA313" s="16"/>
      <c r="BB313" s="16"/>
      <c r="BC313" s="16"/>
      <c r="BD313" s="16"/>
      <c r="BE313" s="16"/>
      <c r="BF313" s="16"/>
      <c r="BG313" s="16"/>
      <c r="BH313" s="16"/>
      <c r="BI313" s="16"/>
      <c r="BJ313" s="16"/>
      <c r="BK313" s="16"/>
      <c r="BL313" s="16"/>
      <c r="BM313" s="16"/>
      <c r="BN313" s="16"/>
      <c r="BO313" s="16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  <c r="CN313" s="3"/>
      <c r="CO313" s="3"/>
      <c r="CP313" s="3"/>
      <c r="CQ313" s="3"/>
      <c r="CR313" s="3"/>
    </row>
    <row r="314" spans="1:96" ht="12" customHeight="1" x14ac:dyDescent="0.25">
      <c r="A314" s="3"/>
      <c r="B314" s="14"/>
      <c r="C314" s="14"/>
      <c r="D314" s="14"/>
      <c r="E314" s="14"/>
      <c r="K314" s="14"/>
      <c r="M314" s="14"/>
      <c r="N314" s="14"/>
      <c r="Z314" s="11"/>
      <c r="AA314" s="16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16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6"/>
      <c r="AX314" s="15"/>
      <c r="AY314" s="15"/>
      <c r="AZ314" s="15"/>
      <c r="BA314" s="16"/>
      <c r="BB314" s="16"/>
      <c r="BC314" s="16"/>
      <c r="BD314" s="16"/>
      <c r="BE314" s="16"/>
      <c r="BF314" s="16"/>
      <c r="BG314" s="16"/>
      <c r="BH314" s="16"/>
      <c r="BI314" s="16"/>
      <c r="BJ314" s="16"/>
      <c r="BK314" s="16"/>
      <c r="BL314" s="16"/>
      <c r="BM314" s="16"/>
      <c r="BN314" s="16"/>
      <c r="BO314" s="16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  <c r="CN314" s="3"/>
      <c r="CO314" s="3"/>
      <c r="CP314" s="3"/>
      <c r="CQ314" s="3"/>
      <c r="CR314" s="3"/>
    </row>
    <row r="315" spans="1:96" ht="12" customHeight="1" x14ac:dyDescent="0.25">
      <c r="A315" s="3"/>
      <c r="B315" s="14"/>
      <c r="C315" s="14"/>
      <c r="D315" s="14"/>
      <c r="E315" s="14"/>
      <c r="K315" s="14"/>
      <c r="M315" s="14"/>
      <c r="N315" s="14"/>
      <c r="Z315" s="11"/>
      <c r="AA315" s="16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16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6"/>
      <c r="AX315" s="15"/>
      <c r="AY315" s="15"/>
      <c r="AZ315" s="15"/>
      <c r="BA315" s="16"/>
      <c r="BB315" s="16"/>
      <c r="BC315" s="16"/>
      <c r="BD315" s="16"/>
      <c r="BE315" s="16"/>
      <c r="BF315" s="16"/>
      <c r="BG315" s="16"/>
      <c r="BH315" s="16"/>
      <c r="BI315" s="16"/>
      <c r="BJ315" s="16"/>
      <c r="BK315" s="16"/>
      <c r="BL315" s="16"/>
      <c r="BM315" s="16"/>
      <c r="BN315" s="16"/>
      <c r="BO315" s="16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  <c r="CN315" s="3"/>
      <c r="CO315" s="3"/>
      <c r="CP315" s="3"/>
      <c r="CQ315" s="3"/>
      <c r="CR315" s="3"/>
    </row>
    <row r="316" spans="1:96" ht="12" customHeight="1" x14ac:dyDescent="0.25">
      <c r="A316" s="3"/>
      <c r="B316" s="14"/>
      <c r="C316" s="14"/>
      <c r="D316" s="14"/>
      <c r="E316" s="14"/>
      <c r="K316" s="14"/>
      <c r="M316" s="14"/>
      <c r="N316" s="14"/>
      <c r="Z316" s="11"/>
      <c r="AA316" s="16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16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6"/>
      <c r="AX316" s="15"/>
      <c r="AY316" s="15"/>
      <c r="AZ316" s="15"/>
      <c r="BA316" s="16"/>
      <c r="BB316" s="16"/>
      <c r="BC316" s="16"/>
      <c r="BD316" s="16"/>
      <c r="BE316" s="16"/>
      <c r="BF316" s="16"/>
      <c r="BG316" s="16"/>
      <c r="BH316" s="16"/>
      <c r="BI316" s="16"/>
      <c r="BJ316" s="16"/>
      <c r="BK316" s="16"/>
      <c r="BL316" s="16"/>
      <c r="BM316" s="16"/>
      <c r="BN316" s="16"/>
      <c r="BO316" s="16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  <c r="CN316" s="3"/>
      <c r="CO316" s="3"/>
      <c r="CP316" s="3"/>
      <c r="CQ316" s="3"/>
      <c r="CR316" s="3"/>
    </row>
    <row r="317" spans="1:96" ht="12" customHeight="1" x14ac:dyDescent="0.25">
      <c r="A317" s="3"/>
      <c r="B317" s="14"/>
      <c r="C317" s="14"/>
      <c r="D317" s="14"/>
      <c r="E317" s="14"/>
      <c r="K317" s="14"/>
      <c r="M317" s="14"/>
      <c r="N317" s="14"/>
      <c r="Z317" s="11"/>
      <c r="AA317" s="16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16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6"/>
      <c r="AX317" s="15"/>
      <c r="AY317" s="15"/>
      <c r="AZ317" s="15"/>
      <c r="BA317" s="16"/>
      <c r="BB317" s="16"/>
      <c r="BC317" s="16"/>
      <c r="BD317" s="16"/>
      <c r="BE317" s="16"/>
      <c r="BF317" s="16"/>
      <c r="BG317" s="16"/>
      <c r="BH317" s="16"/>
      <c r="BI317" s="16"/>
      <c r="BJ317" s="16"/>
      <c r="BK317" s="16"/>
      <c r="BL317" s="16"/>
      <c r="BM317" s="16"/>
      <c r="BN317" s="16"/>
      <c r="BO317" s="16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  <c r="CN317" s="3"/>
      <c r="CO317" s="3"/>
      <c r="CP317" s="3"/>
      <c r="CQ317" s="3"/>
      <c r="CR317" s="3"/>
    </row>
    <row r="318" spans="1:96" ht="12" customHeight="1" x14ac:dyDescent="0.25">
      <c r="A318" s="3"/>
      <c r="B318" s="14"/>
      <c r="C318" s="14"/>
      <c r="D318" s="14"/>
      <c r="E318" s="14"/>
      <c r="K318" s="14"/>
      <c r="M318" s="14"/>
      <c r="N318" s="14"/>
      <c r="Z318" s="11"/>
      <c r="AA318" s="16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16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6"/>
      <c r="AX318" s="15"/>
      <c r="AY318" s="15"/>
      <c r="AZ318" s="15"/>
      <c r="BA318" s="16"/>
      <c r="BB318" s="16"/>
      <c r="BC318" s="16"/>
      <c r="BD318" s="16"/>
      <c r="BE318" s="16"/>
      <c r="BF318" s="16"/>
      <c r="BG318" s="16"/>
      <c r="BH318" s="16"/>
      <c r="BI318" s="16"/>
      <c r="BJ318" s="16"/>
      <c r="BK318" s="16"/>
      <c r="BL318" s="16"/>
      <c r="BM318" s="16"/>
      <c r="BN318" s="16"/>
      <c r="BO318" s="16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  <c r="CN318" s="3"/>
      <c r="CO318" s="3"/>
      <c r="CP318" s="3"/>
      <c r="CQ318" s="3"/>
      <c r="CR318" s="3"/>
    </row>
    <row r="319" spans="1:96" ht="12" customHeight="1" x14ac:dyDescent="0.25">
      <c r="A319" s="3"/>
      <c r="B319" s="14"/>
      <c r="C319" s="14"/>
      <c r="D319" s="14"/>
      <c r="E319" s="14"/>
      <c r="K319" s="14"/>
      <c r="M319" s="14"/>
      <c r="N319" s="14"/>
      <c r="Z319" s="11"/>
      <c r="AA319" s="16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16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6"/>
      <c r="AX319" s="15"/>
      <c r="AY319" s="15"/>
      <c r="AZ319" s="15"/>
      <c r="BA319" s="16"/>
      <c r="BB319" s="16"/>
      <c r="BC319" s="16"/>
      <c r="BD319" s="16"/>
      <c r="BE319" s="16"/>
      <c r="BF319" s="16"/>
      <c r="BG319" s="16"/>
      <c r="BH319" s="16"/>
      <c r="BI319" s="16"/>
      <c r="BJ319" s="16"/>
      <c r="BK319" s="16"/>
      <c r="BL319" s="16"/>
      <c r="BM319" s="16"/>
      <c r="BN319" s="16"/>
      <c r="BO319" s="16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  <c r="CN319" s="3"/>
      <c r="CO319" s="3"/>
      <c r="CP319" s="3"/>
      <c r="CQ319" s="3"/>
      <c r="CR319" s="3"/>
    </row>
    <row r="320" spans="1:96" ht="12" customHeight="1" x14ac:dyDescent="0.25">
      <c r="A320" s="3"/>
      <c r="B320" s="14"/>
      <c r="C320" s="14"/>
      <c r="D320" s="14"/>
      <c r="E320" s="14"/>
      <c r="K320" s="14"/>
      <c r="M320" s="14"/>
      <c r="N320" s="14"/>
      <c r="Z320" s="11"/>
      <c r="AA320" s="16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16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6"/>
      <c r="AX320" s="15"/>
      <c r="AY320" s="15"/>
      <c r="AZ320" s="15"/>
      <c r="BA320" s="16"/>
      <c r="BB320" s="16"/>
      <c r="BC320" s="16"/>
      <c r="BD320" s="16"/>
      <c r="BE320" s="16"/>
      <c r="BF320" s="16"/>
      <c r="BG320" s="16"/>
      <c r="BH320" s="16"/>
      <c r="BI320" s="16"/>
      <c r="BJ320" s="16"/>
      <c r="BK320" s="16"/>
      <c r="BL320" s="16"/>
      <c r="BM320" s="16"/>
      <c r="BN320" s="16"/>
      <c r="BO320" s="16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  <c r="CN320" s="3"/>
      <c r="CO320" s="3"/>
      <c r="CP320" s="3"/>
      <c r="CQ320" s="3"/>
      <c r="CR320" s="3"/>
    </row>
    <row r="321" spans="1:96" ht="12" customHeight="1" x14ac:dyDescent="0.25">
      <c r="A321" s="3"/>
      <c r="B321" s="14"/>
      <c r="C321" s="14"/>
      <c r="D321" s="14"/>
      <c r="E321" s="14"/>
      <c r="K321" s="14"/>
      <c r="M321" s="14"/>
      <c r="N321" s="14"/>
      <c r="Z321" s="11"/>
      <c r="AA321" s="16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16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6"/>
      <c r="AX321" s="15"/>
      <c r="AY321" s="15"/>
      <c r="AZ321" s="15"/>
      <c r="BA321" s="16"/>
      <c r="BB321" s="16"/>
      <c r="BC321" s="16"/>
      <c r="BD321" s="16"/>
      <c r="BE321" s="16"/>
      <c r="BF321" s="16"/>
      <c r="BG321" s="16"/>
      <c r="BH321" s="16"/>
      <c r="BI321" s="16"/>
      <c r="BJ321" s="16"/>
      <c r="BK321" s="16"/>
      <c r="BL321" s="16"/>
      <c r="BM321" s="16"/>
      <c r="BN321" s="16"/>
      <c r="BO321" s="16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  <c r="CN321" s="3"/>
      <c r="CO321" s="3"/>
      <c r="CP321" s="3"/>
      <c r="CQ321" s="3"/>
      <c r="CR321" s="3"/>
    </row>
    <row r="322" spans="1:96" ht="12" customHeight="1" x14ac:dyDescent="0.25">
      <c r="A322" s="3"/>
      <c r="B322" s="14"/>
      <c r="C322" s="14"/>
      <c r="D322" s="14"/>
      <c r="E322" s="14"/>
      <c r="K322" s="14"/>
      <c r="M322" s="14"/>
      <c r="N322" s="14"/>
      <c r="Z322" s="11"/>
      <c r="AA322" s="16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16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6"/>
      <c r="AX322" s="15"/>
      <c r="AY322" s="15"/>
      <c r="AZ322" s="15"/>
      <c r="BA322" s="16"/>
      <c r="BB322" s="16"/>
      <c r="BC322" s="16"/>
      <c r="BD322" s="16"/>
      <c r="BE322" s="16"/>
      <c r="BF322" s="16"/>
      <c r="BG322" s="16"/>
      <c r="BH322" s="16"/>
      <c r="BI322" s="16"/>
      <c r="BJ322" s="16"/>
      <c r="BK322" s="16"/>
      <c r="BL322" s="16"/>
      <c r="BM322" s="16"/>
      <c r="BN322" s="16"/>
      <c r="BO322" s="16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  <c r="CN322" s="3"/>
      <c r="CO322" s="3"/>
      <c r="CP322" s="3"/>
      <c r="CQ322" s="3"/>
      <c r="CR322" s="3"/>
    </row>
    <row r="323" spans="1:96" ht="12" customHeight="1" x14ac:dyDescent="0.25">
      <c r="A323" s="3"/>
      <c r="B323" s="14"/>
      <c r="C323" s="14"/>
      <c r="D323" s="14"/>
      <c r="E323" s="14"/>
      <c r="K323" s="14"/>
      <c r="M323" s="14"/>
      <c r="N323" s="14"/>
      <c r="Z323" s="11"/>
      <c r="AA323" s="16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16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6"/>
      <c r="AX323" s="15"/>
      <c r="AY323" s="15"/>
      <c r="AZ323" s="15"/>
      <c r="BA323" s="16"/>
      <c r="BB323" s="16"/>
      <c r="BC323" s="16"/>
      <c r="BD323" s="16"/>
      <c r="BE323" s="16"/>
      <c r="BF323" s="16"/>
      <c r="BG323" s="16"/>
      <c r="BH323" s="16"/>
      <c r="BI323" s="16"/>
      <c r="BJ323" s="16"/>
      <c r="BK323" s="16"/>
      <c r="BL323" s="16"/>
      <c r="BM323" s="16"/>
      <c r="BN323" s="16"/>
      <c r="BO323" s="16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  <c r="CN323" s="3"/>
      <c r="CO323" s="3"/>
      <c r="CP323" s="3"/>
      <c r="CQ323" s="3"/>
      <c r="CR323" s="3"/>
    </row>
    <row r="324" spans="1:96" ht="12" customHeight="1" x14ac:dyDescent="0.25">
      <c r="A324" s="3"/>
      <c r="B324" s="14"/>
      <c r="C324" s="14"/>
      <c r="D324" s="14"/>
      <c r="E324" s="14"/>
      <c r="K324" s="14"/>
      <c r="M324" s="14"/>
      <c r="N324" s="14"/>
      <c r="Z324" s="11"/>
      <c r="AA324" s="16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16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6"/>
      <c r="AX324" s="15"/>
      <c r="AY324" s="15"/>
      <c r="AZ324" s="15"/>
      <c r="BA324" s="16"/>
      <c r="BB324" s="16"/>
      <c r="BC324" s="16"/>
      <c r="BD324" s="16"/>
      <c r="BE324" s="16"/>
      <c r="BF324" s="16"/>
      <c r="BG324" s="16"/>
      <c r="BH324" s="16"/>
      <c r="BI324" s="16"/>
      <c r="BJ324" s="16"/>
      <c r="BK324" s="16"/>
      <c r="BL324" s="16"/>
      <c r="BM324" s="16"/>
      <c r="BN324" s="16"/>
      <c r="BO324" s="16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  <c r="CN324" s="3"/>
      <c r="CO324" s="3"/>
      <c r="CP324" s="3"/>
      <c r="CQ324" s="3"/>
      <c r="CR324" s="3"/>
    </row>
    <row r="325" spans="1:96" ht="12" customHeight="1" x14ac:dyDescent="0.25">
      <c r="A325" s="3"/>
      <c r="B325" s="14"/>
      <c r="C325" s="14"/>
      <c r="D325" s="14"/>
      <c r="E325" s="14"/>
      <c r="K325" s="14"/>
      <c r="M325" s="14"/>
      <c r="N325" s="14"/>
      <c r="Z325" s="11"/>
      <c r="AA325" s="16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16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6"/>
      <c r="AX325" s="15"/>
      <c r="AY325" s="15"/>
      <c r="AZ325" s="15"/>
      <c r="BA325" s="16"/>
      <c r="BB325" s="16"/>
      <c r="BC325" s="16"/>
      <c r="BD325" s="16"/>
      <c r="BE325" s="16"/>
      <c r="BF325" s="16"/>
      <c r="BG325" s="16"/>
      <c r="BH325" s="16"/>
      <c r="BI325" s="16"/>
      <c r="BJ325" s="16"/>
      <c r="BK325" s="16"/>
      <c r="BL325" s="16"/>
      <c r="BM325" s="16"/>
      <c r="BN325" s="16"/>
      <c r="BO325" s="16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  <c r="CN325" s="3"/>
      <c r="CO325" s="3"/>
      <c r="CP325" s="3"/>
      <c r="CQ325" s="3"/>
      <c r="CR325" s="3"/>
    </row>
    <row r="326" spans="1:96" ht="12" customHeight="1" x14ac:dyDescent="0.25">
      <c r="A326" s="3"/>
      <c r="B326" s="14"/>
      <c r="C326" s="14"/>
      <c r="D326" s="14"/>
      <c r="E326" s="14"/>
      <c r="K326" s="14"/>
      <c r="M326" s="14"/>
      <c r="N326" s="14"/>
      <c r="Z326" s="11"/>
      <c r="AA326" s="16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16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6"/>
      <c r="AX326" s="15"/>
      <c r="AY326" s="15"/>
      <c r="AZ326" s="15"/>
      <c r="BA326" s="16"/>
      <c r="BB326" s="16"/>
      <c r="BC326" s="16"/>
      <c r="BD326" s="16"/>
      <c r="BE326" s="16"/>
      <c r="BF326" s="16"/>
      <c r="BG326" s="16"/>
      <c r="BH326" s="16"/>
      <c r="BI326" s="16"/>
      <c r="BJ326" s="16"/>
      <c r="BK326" s="16"/>
      <c r="BL326" s="16"/>
      <c r="BM326" s="16"/>
      <c r="BN326" s="16"/>
      <c r="BO326" s="16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  <c r="CN326" s="3"/>
      <c r="CO326" s="3"/>
      <c r="CP326" s="3"/>
      <c r="CQ326" s="3"/>
      <c r="CR326" s="3"/>
    </row>
    <row r="327" spans="1:96" ht="12" customHeight="1" x14ac:dyDescent="0.25">
      <c r="A327" s="3"/>
      <c r="B327" s="14"/>
      <c r="C327" s="14"/>
      <c r="D327" s="14"/>
      <c r="E327" s="14"/>
      <c r="K327" s="14"/>
      <c r="M327" s="14"/>
      <c r="N327" s="14"/>
      <c r="Z327" s="11"/>
      <c r="AA327" s="16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16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6"/>
      <c r="AX327" s="15"/>
      <c r="AY327" s="15"/>
      <c r="AZ327" s="15"/>
      <c r="BA327" s="16"/>
      <c r="BB327" s="16"/>
      <c r="BC327" s="16"/>
      <c r="BD327" s="16"/>
      <c r="BE327" s="16"/>
      <c r="BF327" s="16"/>
      <c r="BG327" s="16"/>
      <c r="BH327" s="16"/>
      <c r="BI327" s="16"/>
      <c r="BJ327" s="16"/>
      <c r="BK327" s="16"/>
      <c r="BL327" s="16"/>
      <c r="BM327" s="16"/>
      <c r="BN327" s="16"/>
      <c r="BO327" s="16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  <c r="CN327" s="3"/>
      <c r="CO327" s="3"/>
      <c r="CP327" s="3"/>
      <c r="CQ327" s="3"/>
      <c r="CR327" s="3"/>
    </row>
    <row r="328" spans="1:96" ht="12" customHeight="1" x14ac:dyDescent="0.25">
      <c r="A328" s="3"/>
      <c r="B328" s="14"/>
      <c r="C328" s="14"/>
      <c r="D328" s="14"/>
      <c r="E328" s="14"/>
      <c r="K328" s="14"/>
      <c r="M328" s="14"/>
      <c r="N328" s="14"/>
      <c r="Z328" s="11"/>
      <c r="AA328" s="16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16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6"/>
      <c r="AX328" s="15"/>
      <c r="AY328" s="15"/>
      <c r="AZ328" s="15"/>
      <c r="BA328" s="16"/>
      <c r="BB328" s="16"/>
      <c r="BC328" s="16"/>
      <c r="BD328" s="16"/>
      <c r="BE328" s="16"/>
      <c r="BF328" s="16"/>
      <c r="BG328" s="16"/>
      <c r="BH328" s="16"/>
      <c r="BI328" s="16"/>
      <c r="BJ328" s="16"/>
      <c r="BK328" s="16"/>
      <c r="BL328" s="16"/>
      <c r="BM328" s="16"/>
      <c r="BN328" s="16"/>
      <c r="BO328" s="16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  <c r="CN328" s="3"/>
      <c r="CO328" s="3"/>
      <c r="CP328" s="3"/>
      <c r="CQ328" s="3"/>
      <c r="CR328" s="3"/>
    </row>
    <row r="329" spans="1:96" ht="12" customHeight="1" x14ac:dyDescent="0.25">
      <c r="A329" s="3"/>
      <c r="B329" s="14"/>
      <c r="C329" s="14"/>
      <c r="D329" s="14"/>
      <c r="E329" s="14"/>
      <c r="K329" s="14"/>
      <c r="M329" s="14"/>
      <c r="N329" s="14"/>
      <c r="Z329" s="11"/>
      <c r="AA329" s="16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16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6"/>
      <c r="AX329" s="15"/>
      <c r="AY329" s="15"/>
      <c r="AZ329" s="15"/>
      <c r="BA329" s="16"/>
      <c r="BB329" s="16"/>
      <c r="BC329" s="16"/>
      <c r="BD329" s="16"/>
      <c r="BE329" s="16"/>
      <c r="BF329" s="16"/>
      <c r="BG329" s="16"/>
      <c r="BH329" s="16"/>
      <c r="BI329" s="16"/>
      <c r="BJ329" s="16"/>
      <c r="BK329" s="16"/>
      <c r="BL329" s="16"/>
      <c r="BM329" s="16"/>
      <c r="BN329" s="16"/>
      <c r="BO329" s="16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  <c r="CN329" s="3"/>
      <c r="CO329" s="3"/>
      <c r="CP329" s="3"/>
      <c r="CQ329" s="3"/>
      <c r="CR329" s="3"/>
    </row>
    <row r="330" spans="1:96" ht="12" customHeight="1" x14ac:dyDescent="0.25">
      <c r="A330" s="3"/>
      <c r="B330" s="14"/>
      <c r="C330" s="14"/>
      <c r="D330" s="14"/>
      <c r="E330" s="14"/>
      <c r="K330" s="14"/>
      <c r="M330" s="14"/>
      <c r="N330" s="14"/>
      <c r="Z330" s="11"/>
      <c r="AA330" s="16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16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6"/>
      <c r="AX330" s="15"/>
      <c r="AY330" s="15"/>
      <c r="AZ330" s="15"/>
      <c r="BA330" s="16"/>
      <c r="BB330" s="16"/>
      <c r="BC330" s="16"/>
      <c r="BD330" s="16"/>
      <c r="BE330" s="16"/>
      <c r="BF330" s="16"/>
      <c r="BG330" s="16"/>
      <c r="BH330" s="16"/>
      <c r="BI330" s="16"/>
      <c r="BJ330" s="16"/>
      <c r="BK330" s="16"/>
      <c r="BL330" s="16"/>
      <c r="BM330" s="16"/>
      <c r="BN330" s="16"/>
      <c r="BO330" s="16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  <c r="CN330" s="3"/>
      <c r="CO330" s="3"/>
      <c r="CP330" s="3"/>
      <c r="CQ330" s="3"/>
      <c r="CR330" s="3"/>
    </row>
    <row r="331" spans="1:96" ht="12" customHeight="1" x14ac:dyDescent="0.25">
      <c r="A331" s="3"/>
      <c r="B331" s="14"/>
      <c r="C331" s="14"/>
      <c r="D331" s="14"/>
      <c r="E331" s="14"/>
      <c r="K331" s="14"/>
      <c r="M331" s="14"/>
      <c r="N331" s="14"/>
      <c r="Z331" s="11"/>
      <c r="AA331" s="16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16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6"/>
      <c r="AX331" s="15"/>
      <c r="AY331" s="15"/>
      <c r="AZ331" s="15"/>
      <c r="BA331" s="16"/>
      <c r="BB331" s="16"/>
      <c r="BC331" s="16"/>
      <c r="BD331" s="16"/>
      <c r="BE331" s="16"/>
      <c r="BF331" s="16"/>
      <c r="BG331" s="16"/>
      <c r="BH331" s="16"/>
      <c r="BI331" s="16"/>
      <c r="BJ331" s="16"/>
      <c r="BK331" s="16"/>
      <c r="BL331" s="16"/>
      <c r="BM331" s="16"/>
      <c r="BN331" s="16"/>
      <c r="BO331" s="16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  <c r="CN331" s="3"/>
      <c r="CO331" s="3"/>
      <c r="CP331" s="3"/>
      <c r="CQ331" s="3"/>
      <c r="CR331" s="3"/>
    </row>
    <row r="332" spans="1:96" ht="12" customHeight="1" x14ac:dyDescent="0.25">
      <c r="A332" s="3"/>
      <c r="B332" s="14"/>
      <c r="C332" s="14"/>
      <c r="D332" s="14"/>
      <c r="E332" s="14"/>
      <c r="K332" s="14"/>
      <c r="M332" s="14"/>
      <c r="N332" s="14"/>
      <c r="Z332" s="11"/>
      <c r="AA332" s="16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16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6"/>
      <c r="AX332" s="15"/>
      <c r="AY332" s="15"/>
      <c r="AZ332" s="15"/>
      <c r="BA332" s="16"/>
      <c r="BB332" s="16"/>
      <c r="BC332" s="16"/>
      <c r="BD332" s="16"/>
      <c r="BE332" s="16"/>
      <c r="BF332" s="16"/>
      <c r="BG332" s="16"/>
      <c r="BH332" s="16"/>
      <c r="BI332" s="16"/>
      <c r="BJ332" s="16"/>
      <c r="BK332" s="16"/>
      <c r="BL332" s="16"/>
      <c r="BM332" s="16"/>
      <c r="BN332" s="16"/>
      <c r="BO332" s="16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  <c r="CN332" s="3"/>
      <c r="CO332" s="3"/>
      <c r="CP332" s="3"/>
      <c r="CQ332" s="3"/>
      <c r="CR332" s="3"/>
    </row>
    <row r="333" spans="1:96" ht="12" customHeight="1" x14ac:dyDescent="0.25">
      <c r="A333" s="3"/>
      <c r="B333" s="14"/>
      <c r="C333" s="14"/>
      <c r="D333" s="14"/>
      <c r="E333" s="14"/>
      <c r="K333" s="14"/>
      <c r="M333" s="14"/>
      <c r="N333" s="14"/>
      <c r="Z333" s="11"/>
      <c r="AA333" s="16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16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6"/>
      <c r="AX333" s="15"/>
      <c r="AY333" s="15"/>
      <c r="AZ333" s="15"/>
      <c r="BA333" s="16"/>
      <c r="BB333" s="16"/>
      <c r="BC333" s="16"/>
      <c r="BD333" s="16"/>
      <c r="BE333" s="16"/>
      <c r="BF333" s="16"/>
      <c r="BG333" s="16"/>
      <c r="BH333" s="16"/>
      <c r="BI333" s="16"/>
      <c r="BJ333" s="16"/>
      <c r="BK333" s="16"/>
      <c r="BL333" s="16"/>
      <c r="BM333" s="16"/>
      <c r="BN333" s="16"/>
      <c r="BO333" s="16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  <c r="CN333" s="3"/>
      <c r="CO333" s="3"/>
      <c r="CP333" s="3"/>
      <c r="CQ333" s="3"/>
      <c r="CR333" s="3"/>
    </row>
    <row r="334" spans="1:96" ht="12" customHeight="1" x14ac:dyDescent="0.25">
      <c r="A334" s="3"/>
      <c r="B334" s="14"/>
      <c r="C334" s="14"/>
      <c r="D334" s="14"/>
      <c r="E334" s="14"/>
      <c r="K334" s="14"/>
      <c r="M334" s="14"/>
      <c r="N334" s="14"/>
      <c r="Z334" s="11"/>
      <c r="AA334" s="16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16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6"/>
      <c r="AX334" s="15"/>
      <c r="AY334" s="15"/>
      <c r="AZ334" s="15"/>
      <c r="BA334" s="16"/>
      <c r="BB334" s="16"/>
      <c r="BC334" s="16"/>
      <c r="BD334" s="16"/>
      <c r="BE334" s="16"/>
      <c r="BF334" s="16"/>
      <c r="BG334" s="16"/>
      <c r="BH334" s="16"/>
      <c r="BI334" s="16"/>
      <c r="BJ334" s="16"/>
      <c r="BK334" s="16"/>
      <c r="BL334" s="16"/>
      <c r="BM334" s="16"/>
      <c r="BN334" s="16"/>
      <c r="BO334" s="16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  <c r="CN334" s="3"/>
      <c r="CO334" s="3"/>
      <c r="CP334" s="3"/>
      <c r="CQ334" s="3"/>
      <c r="CR334" s="3"/>
    </row>
    <row r="335" spans="1:96" ht="12" customHeight="1" x14ac:dyDescent="0.25">
      <c r="A335" s="3"/>
      <c r="B335" s="14"/>
      <c r="C335" s="14"/>
      <c r="D335" s="14"/>
      <c r="E335" s="14"/>
      <c r="K335" s="14"/>
      <c r="M335" s="14"/>
      <c r="N335" s="14"/>
      <c r="Z335" s="11"/>
      <c r="AA335" s="16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16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6"/>
      <c r="AX335" s="15"/>
      <c r="AY335" s="15"/>
      <c r="AZ335" s="15"/>
      <c r="BA335" s="16"/>
      <c r="BB335" s="16"/>
      <c r="BC335" s="16"/>
      <c r="BD335" s="16"/>
      <c r="BE335" s="16"/>
      <c r="BF335" s="16"/>
      <c r="BG335" s="16"/>
      <c r="BH335" s="16"/>
      <c r="BI335" s="16"/>
      <c r="BJ335" s="16"/>
      <c r="BK335" s="16"/>
      <c r="BL335" s="16"/>
      <c r="BM335" s="16"/>
      <c r="BN335" s="16"/>
      <c r="BO335" s="16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  <c r="CN335" s="3"/>
      <c r="CO335" s="3"/>
      <c r="CP335" s="3"/>
      <c r="CQ335" s="3"/>
      <c r="CR335" s="3"/>
    </row>
    <row r="336" spans="1:96" ht="12" customHeight="1" x14ac:dyDescent="0.25">
      <c r="A336" s="3"/>
      <c r="B336" s="14"/>
      <c r="C336" s="14"/>
      <c r="D336" s="14"/>
      <c r="E336" s="14"/>
      <c r="K336" s="14"/>
      <c r="M336" s="14"/>
      <c r="N336" s="14"/>
      <c r="Z336" s="11"/>
      <c r="AA336" s="16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16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6"/>
      <c r="AX336" s="15"/>
      <c r="AY336" s="15"/>
      <c r="AZ336" s="15"/>
      <c r="BA336" s="16"/>
      <c r="BB336" s="16"/>
      <c r="BC336" s="16"/>
      <c r="BD336" s="16"/>
      <c r="BE336" s="16"/>
      <c r="BF336" s="16"/>
      <c r="BG336" s="16"/>
      <c r="BH336" s="16"/>
      <c r="BI336" s="16"/>
      <c r="BJ336" s="16"/>
      <c r="BK336" s="16"/>
      <c r="BL336" s="16"/>
      <c r="BM336" s="16"/>
      <c r="BN336" s="16"/>
      <c r="BO336" s="16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  <c r="CN336" s="3"/>
      <c r="CO336" s="3"/>
      <c r="CP336" s="3"/>
      <c r="CQ336" s="3"/>
      <c r="CR336" s="3"/>
    </row>
    <row r="337" spans="1:96" ht="12" customHeight="1" x14ac:dyDescent="0.25">
      <c r="A337" s="3"/>
      <c r="B337" s="14"/>
      <c r="C337" s="14"/>
      <c r="D337" s="14"/>
      <c r="E337" s="14"/>
      <c r="K337" s="14"/>
      <c r="M337" s="14"/>
      <c r="N337" s="14"/>
      <c r="Z337" s="11"/>
      <c r="AA337" s="16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16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6"/>
      <c r="AX337" s="15"/>
      <c r="AY337" s="15"/>
      <c r="AZ337" s="15"/>
      <c r="BA337" s="16"/>
      <c r="BB337" s="16"/>
      <c r="BC337" s="16"/>
      <c r="BD337" s="16"/>
      <c r="BE337" s="16"/>
      <c r="BF337" s="16"/>
      <c r="BG337" s="16"/>
      <c r="BH337" s="16"/>
      <c r="BI337" s="16"/>
      <c r="BJ337" s="16"/>
      <c r="BK337" s="16"/>
      <c r="BL337" s="16"/>
      <c r="BM337" s="16"/>
      <c r="BN337" s="16"/>
      <c r="BO337" s="16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  <c r="CN337" s="3"/>
      <c r="CO337" s="3"/>
      <c r="CP337" s="3"/>
      <c r="CQ337" s="3"/>
      <c r="CR337" s="3"/>
    </row>
    <row r="338" spans="1:96" ht="12" customHeight="1" x14ac:dyDescent="0.25">
      <c r="A338" s="3"/>
      <c r="B338" s="14"/>
      <c r="C338" s="14"/>
      <c r="D338" s="14"/>
      <c r="E338" s="14"/>
      <c r="K338" s="14"/>
      <c r="M338" s="14"/>
      <c r="N338" s="14"/>
      <c r="Z338" s="11"/>
      <c r="AA338" s="16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16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6"/>
      <c r="AX338" s="15"/>
      <c r="AY338" s="15"/>
      <c r="AZ338" s="15"/>
      <c r="BA338" s="16"/>
      <c r="BB338" s="16"/>
      <c r="BC338" s="16"/>
      <c r="BD338" s="16"/>
      <c r="BE338" s="16"/>
      <c r="BF338" s="16"/>
      <c r="BG338" s="16"/>
      <c r="BH338" s="16"/>
      <c r="BI338" s="16"/>
      <c r="BJ338" s="16"/>
      <c r="BK338" s="16"/>
      <c r="BL338" s="16"/>
      <c r="BM338" s="16"/>
      <c r="BN338" s="16"/>
      <c r="BO338" s="16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  <c r="CN338" s="3"/>
      <c r="CO338" s="3"/>
      <c r="CP338" s="3"/>
      <c r="CQ338" s="3"/>
      <c r="CR338" s="3"/>
    </row>
    <row r="339" spans="1:96" ht="12" customHeight="1" x14ac:dyDescent="0.25">
      <c r="A339" s="3"/>
      <c r="B339" s="14"/>
      <c r="C339" s="14"/>
      <c r="D339" s="14"/>
      <c r="E339" s="14"/>
      <c r="K339" s="14"/>
      <c r="M339" s="14"/>
      <c r="N339" s="14"/>
      <c r="Z339" s="11"/>
      <c r="AA339" s="16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16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6"/>
      <c r="AX339" s="15"/>
      <c r="AY339" s="15"/>
      <c r="AZ339" s="15"/>
      <c r="BA339" s="16"/>
      <c r="BB339" s="16"/>
      <c r="BC339" s="16"/>
      <c r="BD339" s="16"/>
      <c r="BE339" s="16"/>
      <c r="BF339" s="16"/>
      <c r="BG339" s="16"/>
      <c r="BH339" s="16"/>
      <c r="BI339" s="16"/>
      <c r="BJ339" s="16"/>
      <c r="BK339" s="16"/>
      <c r="BL339" s="16"/>
      <c r="BM339" s="16"/>
      <c r="BN339" s="16"/>
      <c r="BO339" s="16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  <c r="CN339" s="3"/>
      <c r="CO339" s="3"/>
      <c r="CP339" s="3"/>
      <c r="CQ339" s="3"/>
      <c r="CR339" s="3"/>
    </row>
    <row r="340" spans="1:96" ht="12" customHeight="1" x14ac:dyDescent="0.25">
      <c r="A340" s="3"/>
      <c r="B340" s="14"/>
      <c r="C340" s="14"/>
      <c r="D340" s="14"/>
      <c r="E340" s="14"/>
      <c r="K340" s="14"/>
      <c r="M340" s="14"/>
      <c r="N340" s="14"/>
      <c r="Z340" s="11"/>
      <c r="AA340" s="16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16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6"/>
      <c r="AX340" s="15"/>
      <c r="AY340" s="15"/>
      <c r="AZ340" s="15"/>
      <c r="BA340" s="16"/>
      <c r="BB340" s="16"/>
      <c r="BC340" s="16"/>
      <c r="BD340" s="16"/>
      <c r="BE340" s="16"/>
      <c r="BF340" s="16"/>
      <c r="BG340" s="16"/>
      <c r="BH340" s="16"/>
      <c r="BI340" s="16"/>
      <c r="BJ340" s="16"/>
      <c r="BK340" s="16"/>
      <c r="BL340" s="16"/>
      <c r="BM340" s="16"/>
      <c r="BN340" s="16"/>
      <c r="BO340" s="16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  <c r="CN340" s="3"/>
      <c r="CO340" s="3"/>
      <c r="CP340" s="3"/>
      <c r="CQ340" s="3"/>
      <c r="CR340" s="3"/>
    </row>
    <row r="341" spans="1:96" ht="12" customHeight="1" x14ac:dyDescent="0.25">
      <c r="A341" s="3"/>
      <c r="B341" s="14"/>
      <c r="C341" s="14"/>
      <c r="D341" s="14"/>
      <c r="E341" s="14"/>
      <c r="K341" s="14"/>
      <c r="M341" s="14"/>
      <c r="N341" s="14"/>
      <c r="Z341" s="11"/>
      <c r="AA341" s="16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16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6"/>
      <c r="AX341" s="15"/>
      <c r="AY341" s="15"/>
      <c r="AZ341" s="15"/>
      <c r="BA341" s="16"/>
      <c r="BB341" s="16"/>
      <c r="BC341" s="16"/>
      <c r="BD341" s="16"/>
      <c r="BE341" s="16"/>
      <c r="BF341" s="16"/>
      <c r="BG341" s="16"/>
      <c r="BH341" s="16"/>
      <c r="BI341" s="16"/>
      <c r="BJ341" s="16"/>
      <c r="BK341" s="16"/>
      <c r="BL341" s="16"/>
      <c r="BM341" s="16"/>
      <c r="BN341" s="16"/>
      <c r="BO341" s="16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  <c r="CN341" s="3"/>
      <c r="CO341" s="3"/>
      <c r="CP341" s="3"/>
      <c r="CQ341" s="3"/>
      <c r="CR341" s="3"/>
    </row>
    <row r="342" spans="1:96" ht="12" customHeight="1" x14ac:dyDescent="0.25">
      <c r="A342" s="3"/>
      <c r="B342" s="14"/>
      <c r="C342" s="14"/>
      <c r="D342" s="14"/>
      <c r="E342" s="14"/>
      <c r="K342" s="14"/>
      <c r="M342" s="14"/>
      <c r="N342" s="14"/>
      <c r="Z342" s="11"/>
      <c r="AA342" s="16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16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6"/>
      <c r="AX342" s="15"/>
      <c r="AY342" s="15"/>
      <c r="AZ342" s="15"/>
      <c r="BA342" s="16"/>
      <c r="BB342" s="16"/>
      <c r="BC342" s="16"/>
      <c r="BD342" s="16"/>
      <c r="BE342" s="16"/>
      <c r="BF342" s="16"/>
      <c r="BG342" s="16"/>
      <c r="BH342" s="16"/>
      <c r="BI342" s="16"/>
      <c r="BJ342" s="16"/>
      <c r="BK342" s="16"/>
      <c r="BL342" s="16"/>
      <c r="BM342" s="16"/>
      <c r="BN342" s="16"/>
      <c r="BO342" s="16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  <c r="CN342" s="3"/>
      <c r="CO342" s="3"/>
      <c r="CP342" s="3"/>
      <c r="CQ342" s="3"/>
      <c r="CR342" s="3"/>
    </row>
    <row r="343" spans="1:96" ht="12" customHeight="1" x14ac:dyDescent="0.25">
      <c r="A343" s="3"/>
      <c r="B343" s="14"/>
      <c r="C343" s="14"/>
      <c r="D343" s="14"/>
      <c r="E343" s="14"/>
      <c r="K343" s="14"/>
      <c r="M343" s="14"/>
      <c r="N343" s="14"/>
      <c r="Z343" s="11"/>
      <c r="AA343" s="16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16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6"/>
      <c r="AX343" s="15"/>
      <c r="AY343" s="15"/>
      <c r="AZ343" s="15"/>
      <c r="BA343" s="16"/>
      <c r="BB343" s="16"/>
      <c r="BC343" s="16"/>
      <c r="BD343" s="16"/>
      <c r="BE343" s="16"/>
      <c r="BF343" s="16"/>
      <c r="BG343" s="16"/>
      <c r="BH343" s="16"/>
      <c r="BI343" s="16"/>
      <c r="BJ343" s="16"/>
      <c r="BK343" s="16"/>
      <c r="BL343" s="16"/>
      <c r="BM343" s="16"/>
      <c r="BN343" s="16"/>
      <c r="BO343" s="16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  <c r="CN343" s="3"/>
      <c r="CO343" s="3"/>
      <c r="CP343" s="3"/>
      <c r="CQ343" s="3"/>
      <c r="CR343" s="3"/>
    </row>
    <row r="344" spans="1:96" ht="12" customHeight="1" x14ac:dyDescent="0.25">
      <c r="A344" s="3"/>
      <c r="B344" s="14"/>
      <c r="C344" s="14"/>
      <c r="D344" s="14"/>
      <c r="E344" s="14"/>
      <c r="K344" s="14"/>
      <c r="M344" s="14"/>
      <c r="N344" s="14"/>
      <c r="Z344" s="11"/>
      <c r="AA344" s="16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16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6"/>
      <c r="AX344" s="15"/>
      <c r="AY344" s="15"/>
      <c r="AZ344" s="15"/>
      <c r="BA344" s="16"/>
      <c r="BB344" s="16"/>
      <c r="BC344" s="16"/>
      <c r="BD344" s="16"/>
      <c r="BE344" s="16"/>
      <c r="BF344" s="16"/>
      <c r="BG344" s="16"/>
      <c r="BH344" s="16"/>
      <c r="BI344" s="16"/>
      <c r="BJ344" s="16"/>
      <c r="BK344" s="16"/>
      <c r="BL344" s="16"/>
      <c r="BM344" s="16"/>
      <c r="BN344" s="16"/>
      <c r="BO344" s="16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  <c r="CN344" s="3"/>
      <c r="CO344" s="3"/>
      <c r="CP344" s="3"/>
      <c r="CQ344" s="3"/>
      <c r="CR344" s="3"/>
    </row>
    <row r="345" spans="1:96" ht="12" customHeight="1" x14ac:dyDescent="0.25">
      <c r="A345" s="3"/>
      <c r="B345" s="14"/>
      <c r="C345" s="14"/>
      <c r="D345" s="14"/>
      <c r="E345" s="14"/>
      <c r="K345" s="14"/>
      <c r="M345" s="14"/>
      <c r="N345" s="14"/>
      <c r="Z345" s="11"/>
      <c r="AA345" s="16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16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6"/>
      <c r="AX345" s="15"/>
      <c r="AY345" s="15"/>
      <c r="AZ345" s="15"/>
      <c r="BA345" s="16"/>
      <c r="BB345" s="16"/>
      <c r="BC345" s="16"/>
      <c r="BD345" s="16"/>
      <c r="BE345" s="16"/>
      <c r="BF345" s="16"/>
      <c r="BG345" s="16"/>
      <c r="BH345" s="16"/>
      <c r="BI345" s="16"/>
      <c r="BJ345" s="16"/>
      <c r="BK345" s="16"/>
      <c r="BL345" s="16"/>
      <c r="BM345" s="16"/>
      <c r="BN345" s="16"/>
      <c r="BO345" s="16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  <c r="CN345" s="3"/>
      <c r="CO345" s="3"/>
      <c r="CP345" s="3"/>
      <c r="CQ345" s="3"/>
      <c r="CR345" s="3"/>
    </row>
    <row r="346" spans="1:96" ht="12" customHeight="1" x14ac:dyDescent="0.25">
      <c r="A346" s="3"/>
      <c r="B346" s="14"/>
      <c r="C346" s="14"/>
      <c r="D346" s="14"/>
      <c r="E346" s="14"/>
      <c r="K346" s="14"/>
      <c r="M346" s="14"/>
      <c r="N346" s="14"/>
      <c r="Z346" s="11"/>
      <c r="AA346" s="16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16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6"/>
      <c r="AX346" s="15"/>
      <c r="AY346" s="15"/>
      <c r="AZ346" s="15"/>
      <c r="BA346" s="16"/>
      <c r="BB346" s="16"/>
      <c r="BC346" s="16"/>
      <c r="BD346" s="16"/>
      <c r="BE346" s="16"/>
      <c r="BF346" s="16"/>
      <c r="BG346" s="16"/>
      <c r="BH346" s="16"/>
      <c r="BI346" s="16"/>
      <c r="BJ346" s="16"/>
      <c r="BK346" s="16"/>
      <c r="BL346" s="16"/>
      <c r="BM346" s="16"/>
      <c r="BN346" s="16"/>
      <c r="BO346" s="16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  <c r="CN346" s="3"/>
      <c r="CO346" s="3"/>
      <c r="CP346" s="3"/>
      <c r="CQ346" s="3"/>
      <c r="CR346" s="3"/>
    </row>
    <row r="347" spans="1:96" ht="12" customHeight="1" x14ac:dyDescent="0.25">
      <c r="A347" s="3"/>
      <c r="B347" s="14"/>
      <c r="C347" s="14"/>
      <c r="D347" s="14"/>
      <c r="E347" s="14"/>
      <c r="K347" s="14"/>
      <c r="M347" s="14"/>
      <c r="N347" s="14"/>
      <c r="Z347" s="11"/>
      <c r="AA347" s="16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16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6"/>
      <c r="AX347" s="15"/>
      <c r="AY347" s="15"/>
      <c r="AZ347" s="15"/>
      <c r="BA347" s="16"/>
      <c r="BB347" s="16"/>
      <c r="BC347" s="16"/>
      <c r="BD347" s="16"/>
      <c r="BE347" s="16"/>
      <c r="BF347" s="16"/>
      <c r="BG347" s="16"/>
      <c r="BH347" s="16"/>
      <c r="BI347" s="16"/>
      <c r="BJ347" s="16"/>
      <c r="BK347" s="16"/>
      <c r="BL347" s="16"/>
      <c r="BM347" s="16"/>
      <c r="BN347" s="16"/>
      <c r="BO347" s="16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  <c r="CN347" s="3"/>
      <c r="CO347" s="3"/>
      <c r="CP347" s="3"/>
      <c r="CQ347" s="3"/>
      <c r="CR347" s="3"/>
    </row>
    <row r="348" spans="1:96" ht="12" customHeight="1" x14ac:dyDescent="0.25">
      <c r="A348" s="3"/>
      <c r="B348" s="14"/>
      <c r="C348" s="14"/>
      <c r="D348" s="14"/>
      <c r="E348" s="14"/>
      <c r="K348" s="14"/>
      <c r="M348" s="14"/>
      <c r="N348" s="14"/>
      <c r="Z348" s="11"/>
      <c r="AA348" s="16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16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6"/>
      <c r="AX348" s="15"/>
      <c r="AY348" s="15"/>
      <c r="AZ348" s="15"/>
      <c r="BA348" s="16"/>
      <c r="BB348" s="16"/>
      <c r="BC348" s="16"/>
      <c r="BD348" s="16"/>
      <c r="BE348" s="16"/>
      <c r="BF348" s="16"/>
      <c r="BG348" s="16"/>
      <c r="BH348" s="16"/>
      <c r="BI348" s="16"/>
      <c r="BJ348" s="16"/>
      <c r="BK348" s="16"/>
      <c r="BL348" s="16"/>
      <c r="BM348" s="16"/>
      <c r="BN348" s="16"/>
      <c r="BO348" s="16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  <c r="CN348" s="3"/>
      <c r="CO348" s="3"/>
      <c r="CP348" s="3"/>
      <c r="CQ348" s="3"/>
      <c r="CR348" s="3"/>
    </row>
    <row r="349" spans="1:96" ht="12" customHeight="1" x14ac:dyDescent="0.25">
      <c r="A349" s="3"/>
      <c r="B349" s="14"/>
      <c r="C349" s="14"/>
      <c r="D349" s="14"/>
      <c r="E349" s="14"/>
      <c r="K349" s="14"/>
      <c r="M349" s="14"/>
      <c r="N349" s="14"/>
      <c r="Z349" s="11"/>
      <c r="AA349" s="16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16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6"/>
      <c r="AX349" s="15"/>
      <c r="AY349" s="15"/>
      <c r="AZ349" s="15"/>
      <c r="BA349" s="16"/>
      <c r="BB349" s="16"/>
      <c r="BC349" s="16"/>
      <c r="BD349" s="16"/>
      <c r="BE349" s="16"/>
      <c r="BF349" s="16"/>
      <c r="BG349" s="16"/>
      <c r="BH349" s="16"/>
      <c r="BI349" s="16"/>
      <c r="BJ349" s="16"/>
      <c r="BK349" s="16"/>
      <c r="BL349" s="16"/>
      <c r="BM349" s="16"/>
      <c r="BN349" s="16"/>
      <c r="BO349" s="16"/>
      <c r="BP349" s="3"/>
      <c r="BQ349" s="3"/>
      <c r="BR349" s="3"/>
      <c r="BS349" s="3"/>
      <c r="BT349" s="3"/>
      <c r="BU349" s="3"/>
      <c r="BV349" s="3"/>
      <c r="BW349" s="3"/>
      <c r="BX349" s="3"/>
      <c r="BY349" s="3"/>
      <c r="BZ349" s="3"/>
      <c r="CA349" s="3"/>
      <c r="CB349" s="3"/>
      <c r="CC349" s="3"/>
      <c r="CD349" s="3"/>
      <c r="CE349" s="3"/>
      <c r="CF349" s="3"/>
      <c r="CG349" s="3"/>
      <c r="CH349" s="3"/>
      <c r="CI349" s="3"/>
      <c r="CJ349" s="3"/>
      <c r="CK349" s="3"/>
      <c r="CL349" s="3"/>
      <c r="CM349" s="3"/>
      <c r="CN349" s="3"/>
      <c r="CO349" s="3"/>
      <c r="CP349" s="3"/>
      <c r="CQ349" s="3"/>
      <c r="CR349" s="3"/>
    </row>
    <row r="350" spans="1:96" ht="12" customHeight="1" x14ac:dyDescent="0.25">
      <c r="A350" s="3"/>
      <c r="B350" s="14"/>
      <c r="C350" s="14"/>
      <c r="D350" s="14"/>
      <c r="E350" s="14"/>
      <c r="K350" s="14"/>
      <c r="M350" s="14"/>
      <c r="N350" s="14"/>
      <c r="Z350" s="11"/>
      <c r="AA350" s="16"/>
      <c r="AB350" s="3"/>
      <c r="AC350" s="3"/>
      <c r="AD350" s="3"/>
      <c r="AE350" s="3"/>
      <c r="AF350" s="3"/>
      <c r="AG350" s="3"/>
      <c r="AH350" s="3"/>
      <c r="AI350" s="3"/>
      <c r="AJ350" s="3"/>
      <c r="AK350" s="3"/>
      <c r="AL350" s="16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6"/>
      <c r="AX350" s="15"/>
      <c r="AY350" s="15"/>
      <c r="AZ350" s="15"/>
      <c r="BA350" s="16"/>
      <c r="BB350" s="16"/>
      <c r="BC350" s="16"/>
      <c r="BD350" s="16"/>
      <c r="BE350" s="16"/>
      <c r="BF350" s="16"/>
      <c r="BG350" s="16"/>
      <c r="BH350" s="16"/>
      <c r="BI350" s="16"/>
      <c r="BJ350" s="16"/>
      <c r="BK350" s="16"/>
      <c r="BL350" s="16"/>
      <c r="BM350" s="16"/>
      <c r="BN350" s="16"/>
      <c r="BO350" s="16"/>
      <c r="BP350" s="3"/>
      <c r="BQ350" s="3"/>
      <c r="BR350" s="3"/>
      <c r="BS350" s="3"/>
      <c r="BT350" s="3"/>
      <c r="BU350" s="3"/>
      <c r="BV350" s="3"/>
      <c r="BW350" s="3"/>
      <c r="BX350" s="3"/>
      <c r="BY350" s="3"/>
      <c r="BZ350" s="3"/>
      <c r="CA350" s="3"/>
      <c r="CB350" s="3"/>
      <c r="CC350" s="3"/>
      <c r="CD350" s="3"/>
      <c r="CE350" s="3"/>
      <c r="CF350" s="3"/>
      <c r="CG350" s="3"/>
      <c r="CH350" s="3"/>
      <c r="CI350" s="3"/>
      <c r="CJ350" s="3"/>
      <c r="CK350" s="3"/>
      <c r="CL350" s="3"/>
      <c r="CM350" s="3"/>
      <c r="CN350" s="3"/>
      <c r="CO350" s="3"/>
      <c r="CP350" s="3"/>
      <c r="CQ350" s="3"/>
      <c r="CR350" s="3"/>
    </row>
    <row r="351" spans="1:96" ht="12" customHeight="1" x14ac:dyDescent="0.25">
      <c r="A351" s="3"/>
      <c r="B351" s="14"/>
      <c r="C351" s="14"/>
      <c r="D351" s="14"/>
      <c r="E351" s="14"/>
      <c r="K351" s="14"/>
      <c r="M351" s="14"/>
      <c r="N351" s="14"/>
      <c r="Z351" s="11"/>
      <c r="AA351" s="16"/>
      <c r="AB351" s="3"/>
      <c r="AC351" s="3"/>
      <c r="AD351" s="3"/>
      <c r="AE351" s="3"/>
      <c r="AF351" s="3"/>
      <c r="AG351" s="3"/>
      <c r="AH351" s="3"/>
      <c r="AI351" s="3"/>
      <c r="AJ351" s="3"/>
      <c r="AK351" s="3"/>
      <c r="AL351" s="16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6"/>
      <c r="AX351" s="15"/>
      <c r="AY351" s="15"/>
      <c r="AZ351" s="15"/>
      <c r="BA351" s="16"/>
      <c r="BB351" s="16"/>
      <c r="BC351" s="16"/>
      <c r="BD351" s="16"/>
      <c r="BE351" s="16"/>
      <c r="BF351" s="16"/>
      <c r="BG351" s="16"/>
      <c r="BH351" s="16"/>
      <c r="BI351" s="16"/>
      <c r="BJ351" s="16"/>
      <c r="BK351" s="16"/>
      <c r="BL351" s="16"/>
      <c r="BM351" s="16"/>
      <c r="BN351" s="16"/>
      <c r="BO351" s="16"/>
      <c r="BP351" s="3"/>
      <c r="BQ351" s="3"/>
      <c r="BR351" s="3"/>
      <c r="BS351" s="3"/>
      <c r="BT351" s="3"/>
      <c r="BU351" s="3"/>
      <c r="BV351" s="3"/>
      <c r="BW351" s="3"/>
      <c r="BX351" s="3"/>
      <c r="BY351" s="3"/>
      <c r="BZ351" s="3"/>
      <c r="CA351" s="3"/>
      <c r="CB351" s="3"/>
      <c r="CC351" s="3"/>
      <c r="CD351" s="3"/>
      <c r="CE351" s="3"/>
      <c r="CF351" s="3"/>
      <c r="CG351" s="3"/>
      <c r="CH351" s="3"/>
      <c r="CI351" s="3"/>
      <c r="CJ351" s="3"/>
      <c r="CK351" s="3"/>
      <c r="CL351" s="3"/>
      <c r="CM351" s="3"/>
      <c r="CN351" s="3"/>
      <c r="CO351" s="3"/>
      <c r="CP351" s="3"/>
      <c r="CQ351" s="3"/>
      <c r="CR351" s="3"/>
    </row>
    <row r="352" spans="1:96" ht="12" customHeight="1" x14ac:dyDescent="0.25">
      <c r="A352" s="3"/>
      <c r="B352" s="14"/>
      <c r="C352" s="14"/>
      <c r="D352" s="14"/>
      <c r="E352" s="14"/>
      <c r="K352" s="14"/>
      <c r="M352" s="14"/>
      <c r="N352" s="14"/>
      <c r="Z352" s="11"/>
      <c r="AA352" s="16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16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6"/>
      <c r="AX352" s="15"/>
      <c r="AY352" s="15"/>
      <c r="AZ352" s="15"/>
      <c r="BA352" s="16"/>
      <c r="BB352" s="16"/>
      <c r="BC352" s="16"/>
      <c r="BD352" s="16"/>
      <c r="BE352" s="16"/>
      <c r="BF352" s="16"/>
      <c r="BG352" s="16"/>
      <c r="BH352" s="16"/>
      <c r="BI352" s="16"/>
      <c r="BJ352" s="16"/>
      <c r="BK352" s="16"/>
      <c r="BL352" s="16"/>
      <c r="BM352" s="16"/>
      <c r="BN352" s="16"/>
      <c r="BO352" s="16"/>
      <c r="BP352" s="3"/>
      <c r="BQ352" s="3"/>
      <c r="BR352" s="3"/>
      <c r="BS352" s="3"/>
      <c r="BT352" s="3"/>
      <c r="BU352" s="3"/>
      <c r="BV352" s="3"/>
      <c r="BW352" s="3"/>
      <c r="BX352" s="3"/>
      <c r="BY352" s="3"/>
      <c r="BZ352" s="3"/>
      <c r="CA352" s="3"/>
      <c r="CB352" s="3"/>
      <c r="CC352" s="3"/>
      <c r="CD352" s="3"/>
      <c r="CE352" s="3"/>
      <c r="CF352" s="3"/>
      <c r="CG352" s="3"/>
      <c r="CH352" s="3"/>
      <c r="CI352" s="3"/>
      <c r="CJ352" s="3"/>
      <c r="CK352" s="3"/>
      <c r="CL352" s="3"/>
      <c r="CM352" s="3"/>
      <c r="CN352" s="3"/>
      <c r="CO352" s="3"/>
      <c r="CP352" s="3"/>
      <c r="CQ352" s="3"/>
      <c r="CR352" s="3"/>
    </row>
    <row r="353" spans="1:96" ht="12" customHeight="1" x14ac:dyDescent="0.25">
      <c r="A353" s="3"/>
      <c r="B353" s="14"/>
      <c r="C353" s="14"/>
      <c r="D353" s="14"/>
      <c r="E353" s="14"/>
      <c r="K353" s="14"/>
      <c r="M353" s="14"/>
      <c r="N353" s="14"/>
      <c r="Z353" s="11"/>
      <c r="AA353" s="16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16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6"/>
      <c r="AX353" s="15"/>
      <c r="AY353" s="15"/>
      <c r="AZ353" s="15"/>
      <c r="BA353" s="16"/>
      <c r="BB353" s="16"/>
      <c r="BC353" s="16"/>
      <c r="BD353" s="16"/>
      <c r="BE353" s="16"/>
      <c r="BF353" s="16"/>
      <c r="BG353" s="16"/>
      <c r="BH353" s="16"/>
      <c r="BI353" s="16"/>
      <c r="BJ353" s="16"/>
      <c r="BK353" s="16"/>
      <c r="BL353" s="16"/>
      <c r="BM353" s="16"/>
      <c r="BN353" s="16"/>
      <c r="BO353" s="16"/>
      <c r="BP353" s="3"/>
      <c r="BQ353" s="3"/>
      <c r="BR353" s="3"/>
      <c r="BS353" s="3"/>
      <c r="BT353" s="3"/>
      <c r="BU353" s="3"/>
      <c r="BV353" s="3"/>
      <c r="BW353" s="3"/>
      <c r="BX353" s="3"/>
      <c r="BY353" s="3"/>
      <c r="BZ353" s="3"/>
      <c r="CA353" s="3"/>
      <c r="CB353" s="3"/>
      <c r="CC353" s="3"/>
      <c r="CD353" s="3"/>
      <c r="CE353" s="3"/>
      <c r="CF353" s="3"/>
      <c r="CG353" s="3"/>
      <c r="CH353" s="3"/>
      <c r="CI353" s="3"/>
      <c r="CJ353" s="3"/>
      <c r="CK353" s="3"/>
      <c r="CL353" s="3"/>
      <c r="CM353" s="3"/>
      <c r="CN353" s="3"/>
      <c r="CO353" s="3"/>
      <c r="CP353" s="3"/>
      <c r="CQ353" s="3"/>
      <c r="CR353" s="3"/>
    </row>
    <row r="354" spans="1:96" ht="12" customHeight="1" x14ac:dyDescent="0.25">
      <c r="A354" s="3"/>
      <c r="B354" s="14"/>
      <c r="C354" s="14"/>
      <c r="D354" s="14"/>
      <c r="E354" s="14"/>
      <c r="K354" s="14"/>
      <c r="M354" s="14"/>
      <c r="N354" s="14"/>
      <c r="Z354" s="11"/>
      <c r="AA354" s="16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16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6"/>
      <c r="AX354" s="15"/>
      <c r="AY354" s="15"/>
      <c r="AZ354" s="15"/>
      <c r="BA354" s="16"/>
      <c r="BB354" s="16"/>
      <c r="BC354" s="16"/>
      <c r="BD354" s="16"/>
      <c r="BE354" s="16"/>
      <c r="BF354" s="16"/>
      <c r="BG354" s="16"/>
      <c r="BH354" s="16"/>
      <c r="BI354" s="16"/>
      <c r="BJ354" s="16"/>
      <c r="BK354" s="16"/>
      <c r="BL354" s="16"/>
      <c r="BM354" s="16"/>
      <c r="BN354" s="16"/>
      <c r="BO354" s="16"/>
      <c r="BP354" s="3"/>
      <c r="BQ354" s="3"/>
      <c r="BR354" s="3"/>
      <c r="BS354" s="3"/>
      <c r="BT354" s="3"/>
      <c r="BU354" s="3"/>
      <c r="BV354" s="3"/>
      <c r="BW354" s="3"/>
      <c r="BX354" s="3"/>
      <c r="BY354" s="3"/>
      <c r="BZ354" s="3"/>
      <c r="CA354" s="3"/>
      <c r="CB354" s="3"/>
      <c r="CC354" s="3"/>
      <c r="CD354" s="3"/>
      <c r="CE354" s="3"/>
      <c r="CF354" s="3"/>
      <c r="CG354" s="3"/>
      <c r="CH354" s="3"/>
      <c r="CI354" s="3"/>
      <c r="CJ354" s="3"/>
      <c r="CK354" s="3"/>
      <c r="CL354" s="3"/>
      <c r="CM354" s="3"/>
      <c r="CN354" s="3"/>
      <c r="CO354" s="3"/>
      <c r="CP354" s="3"/>
      <c r="CQ354" s="3"/>
      <c r="CR354" s="3"/>
    </row>
    <row r="355" spans="1:96" ht="12" customHeight="1" x14ac:dyDescent="0.25">
      <c r="A355" s="3"/>
      <c r="B355" s="14"/>
      <c r="C355" s="14"/>
      <c r="D355" s="14"/>
      <c r="E355" s="14"/>
      <c r="K355" s="14"/>
      <c r="M355" s="14"/>
      <c r="N355" s="14"/>
      <c r="Z355" s="11"/>
      <c r="AA355" s="16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16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6"/>
      <c r="AX355" s="15"/>
      <c r="AY355" s="15"/>
      <c r="AZ355" s="15"/>
      <c r="BA355" s="16"/>
      <c r="BB355" s="16"/>
      <c r="BC355" s="16"/>
      <c r="BD355" s="16"/>
      <c r="BE355" s="16"/>
      <c r="BF355" s="16"/>
      <c r="BG355" s="16"/>
      <c r="BH355" s="16"/>
      <c r="BI355" s="16"/>
      <c r="BJ355" s="16"/>
      <c r="BK355" s="16"/>
      <c r="BL355" s="16"/>
      <c r="BM355" s="16"/>
      <c r="BN355" s="16"/>
      <c r="BO355" s="16"/>
      <c r="BP355" s="3"/>
      <c r="BQ355" s="3"/>
      <c r="BR355" s="3"/>
      <c r="BS355" s="3"/>
      <c r="BT355" s="3"/>
      <c r="BU355" s="3"/>
      <c r="BV355" s="3"/>
      <c r="BW355" s="3"/>
      <c r="BX355" s="3"/>
      <c r="BY355" s="3"/>
      <c r="BZ355" s="3"/>
      <c r="CA355" s="3"/>
      <c r="CB355" s="3"/>
      <c r="CC355" s="3"/>
      <c r="CD355" s="3"/>
      <c r="CE355" s="3"/>
      <c r="CF355" s="3"/>
      <c r="CG355" s="3"/>
      <c r="CH355" s="3"/>
      <c r="CI355" s="3"/>
      <c r="CJ355" s="3"/>
      <c r="CK355" s="3"/>
      <c r="CL355" s="3"/>
      <c r="CM355" s="3"/>
      <c r="CN355" s="3"/>
      <c r="CO355" s="3"/>
      <c r="CP355" s="3"/>
      <c r="CQ355" s="3"/>
      <c r="CR355" s="3"/>
    </row>
    <row r="356" spans="1:96" ht="12" customHeight="1" x14ac:dyDescent="0.25">
      <c r="A356" s="3"/>
      <c r="B356" s="14"/>
      <c r="C356" s="14"/>
      <c r="D356" s="14"/>
      <c r="E356" s="14"/>
      <c r="K356" s="14"/>
      <c r="M356" s="14"/>
      <c r="N356" s="14"/>
      <c r="Z356" s="11"/>
      <c r="AA356" s="16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16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6"/>
      <c r="AX356" s="15"/>
      <c r="AY356" s="15"/>
      <c r="AZ356" s="15"/>
      <c r="BA356" s="16"/>
      <c r="BB356" s="16"/>
      <c r="BC356" s="16"/>
      <c r="BD356" s="16"/>
      <c r="BE356" s="16"/>
      <c r="BF356" s="16"/>
      <c r="BG356" s="16"/>
      <c r="BH356" s="16"/>
      <c r="BI356" s="16"/>
      <c r="BJ356" s="16"/>
      <c r="BK356" s="16"/>
      <c r="BL356" s="16"/>
      <c r="BM356" s="16"/>
      <c r="BN356" s="16"/>
      <c r="BO356" s="16"/>
      <c r="BP356" s="3"/>
      <c r="BQ356" s="3"/>
      <c r="BR356" s="3"/>
      <c r="BS356" s="3"/>
      <c r="BT356" s="3"/>
      <c r="BU356" s="3"/>
      <c r="BV356" s="3"/>
      <c r="BW356" s="3"/>
      <c r="BX356" s="3"/>
      <c r="BY356" s="3"/>
      <c r="BZ356" s="3"/>
      <c r="CA356" s="3"/>
      <c r="CB356" s="3"/>
      <c r="CC356" s="3"/>
      <c r="CD356" s="3"/>
      <c r="CE356" s="3"/>
      <c r="CF356" s="3"/>
      <c r="CG356" s="3"/>
      <c r="CH356" s="3"/>
      <c r="CI356" s="3"/>
      <c r="CJ356" s="3"/>
      <c r="CK356" s="3"/>
      <c r="CL356" s="3"/>
      <c r="CM356" s="3"/>
      <c r="CN356" s="3"/>
      <c r="CO356" s="3"/>
      <c r="CP356" s="3"/>
      <c r="CQ356" s="3"/>
      <c r="CR356" s="3"/>
    </row>
    <row r="357" spans="1:96" ht="12" customHeight="1" x14ac:dyDescent="0.25">
      <c r="A357" s="3"/>
      <c r="B357" s="14"/>
      <c r="C357" s="14"/>
      <c r="D357" s="14"/>
      <c r="E357" s="14"/>
      <c r="K357" s="14"/>
      <c r="M357" s="14"/>
      <c r="N357" s="14"/>
      <c r="Z357" s="11"/>
      <c r="AA357" s="16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16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6"/>
      <c r="AX357" s="15"/>
      <c r="AY357" s="15"/>
      <c r="AZ357" s="15"/>
      <c r="BA357" s="16"/>
      <c r="BB357" s="16"/>
      <c r="BC357" s="16"/>
      <c r="BD357" s="16"/>
      <c r="BE357" s="16"/>
      <c r="BF357" s="16"/>
      <c r="BG357" s="16"/>
      <c r="BH357" s="16"/>
      <c r="BI357" s="16"/>
      <c r="BJ357" s="16"/>
      <c r="BK357" s="16"/>
      <c r="BL357" s="16"/>
      <c r="BM357" s="16"/>
      <c r="BN357" s="16"/>
      <c r="BO357" s="16"/>
      <c r="BP357" s="3"/>
      <c r="BQ357" s="3"/>
      <c r="BR357" s="3"/>
      <c r="BS357" s="3"/>
      <c r="BT357" s="3"/>
      <c r="BU357" s="3"/>
      <c r="BV357" s="3"/>
      <c r="BW357" s="3"/>
      <c r="BX357" s="3"/>
      <c r="BY357" s="3"/>
      <c r="BZ357" s="3"/>
      <c r="CA357" s="3"/>
      <c r="CB357" s="3"/>
      <c r="CC357" s="3"/>
      <c r="CD357" s="3"/>
      <c r="CE357" s="3"/>
      <c r="CF357" s="3"/>
      <c r="CG357" s="3"/>
      <c r="CH357" s="3"/>
      <c r="CI357" s="3"/>
      <c r="CJ357" s="3"/>
      <c r="CK357" s="3"/>
      <c r="CL357" s="3"/>
      <c r="CM357" s="3"/>
      <c r="CN357" s="3"/>
      <c r="CO357" s="3"/>
      <c r="CP357" s="3"/>
      <c r="CQ357" s="3"/>
      <c r="CR357" s="3"/>
    </row>
    <row r="358" spans="1:96" ht="12" customHeight="1" x14ac:dyDescent="0.25">
      <c r="A358" s="3"/>
      <c r="B358" s="14"/>
      <c r="C358" s="14"/>
      <c r="D358" s="14"/>
      <c r="E358" s="14"/>
      <c r="K358" s="14"/>
      <c r="M358" s="14"/>
      <c r="N358" s="14"/>
      <c r="Z358" s="11"/>
      <c r="AA358" s="16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16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6"/>
      <c r="AX358" s="15"/>
      <c r="AY358" s="15"/>
      <c r="AZ358" s="15"/>
      <c r="BA358" s="16"/>
      <c r="BB358" s="16"/>
      <c r="BC358" s="16"/>
      <c r="BD358" s="16"/>
      <c r="BE358" s="16"/>
      <c r="BF358" s="16"/>
      <c r="BG358" s="16"/>
      <c r="BH358" s="16"/>
      <c r="BI358" s="16"/>
      <c r="BJ358" s="16"/>
      <c r="BK358" s="16"/>
      <c r="BL358" s="16"/>
      <c r="BM358" s="16"/>
      <c r="BN358" s="16"/>
      <c r="BO358" s="16"/>
      <c r="BP358" s="3"/>
      <c r="BQ358" s="3"/>
      <c r="BR358" s="3"/>
      <c r="BS358" s="3"/>
      <c r="BT358" s="3"/>
      <c r="BU358" s="3"/>
      <c r="BV358" s="3"/>
      <c r="BW358" s="3"/>
      <c r="BX358" s="3"/>
      <c r="BY358" s="3"/>
      <c r="BZ358" s="3"/>
      <c r="CA358" s="3"/>
      <c r="CB358" s="3"/>
      <c r="CC358" s="3"/>
      <c r="CD358" s="3"/>
      <c r="CE358" s="3"/>
      <c r="CF358" s="3"/>
      <c r="CG358" s="3"/>
      <c r="CH358" s="3"/>
      <c r="CI358" s="3"/>
      <c r="CJ358" s="3"/>
      <c r="CK358" s="3"/>
      <c r="CL358" s="3"/>
      <c r="CM358" s="3"/>
      <c r="CN358" s="3"/>
      <c r="CO358" s="3"/>
      <c r="CP358" s="3"/>
      <c r="CQ358" s="3"/>
      <c r="CR358" s="3"/>
    </row>
    <row r="359" spans="1:96" ht="12" customHeight="1" x14ac:dyDescent="0.25">
      <c r="A359" s="3"/>
      <c r="B359" s="14"/>
      <c r="C359" s="14"/>
      <c r="D359" s="14"/>
      <c r="E359" s="14"/>
      <c r="K359" s="14"/>
      <c r="M359" s="14"/>
      <c r="N359" s="14"/>
      <c r="Z359" s="11"/>
      <c r="AA359" s="16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16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6"/>
      <c r="AX359" s="15"/>
      <c r="AY359" s="15"/>
      <c r="AZ359" s="15"/>
      <c r="BA359" s="16"/>
      <c r="BB359" s="16"/>
      <c r="BC359" s="16"/>
      <c r="BD359" s="16"/>
      <c r="BE359" s="16"/>
      <c r="BF359" s="16"/>
      <c r="BG359" s="16"/>
      <c r="BH359" s="16"/>
      <c r="BI359" s="16"/>
      <c r="BJ359" s="16"/>
      <c r="BK359" s="16"/>
      <c r="BL359" s="16"/>
      <c r="BM359" s="16"/>
      <c r="BN359" s="16"/>
      <c r="BO359" s="16"/>
      <c r="BP359" s="3"/>
      <c r="BQ359" s="3"/>
      <c r="BR359" s="3"/>
      <c r="BS359" s="3"/>
      <c r="BT359" s="3"/>
      <c r="BU359" s="3"/>
      <c r="BV359" s="3"/>
      <c r="BW359" s="3"/>
      <c r="BX359" s="3"/>
      <c r="BY359" s="3"/>
      <c r="BZ359" s="3"/>
      <c r="CA359" s="3"/>
      <c r="CB359" s="3"/>
      <c r="CC359" s="3"/>
      <c r="CD359" s="3"/>
      <c r="CE359" s="3"/>
      <c r="CF359" s="3"/>
      <c r="CG359" s="3"/>
      <c r="CH359" s="3"/>
      <c r="CI359" s="3"/>
      <c r="CJ359" s="3"/>
      <c r="CK359" s="3"/>
      <c r="CL359" s="3"/>
      <c r="CM359" s="3"/>
      <c r="CN359" s="3"/>
      <c r="CO359" s="3"/>
      <c r="CP359" s="3"/>
      <c r="CQ359" s="3"/>
      <c r="CR359" s="3"/>
    </row>
    <row r="360" spans="1:96" ht="12" customHeight="1" x14ac:dyDescent="0.25">
      <c r="A360" s="3"/>
      <c r="B360" s="14"/>
      <c r="C360" s="14"/>
      <c r="D360" s="14"/>
      <c r="E360" s="14"/>
      <c r="K360" s="14"/>
      <c r="M360" s="14"/>
      <c r="N360" s="14"/>
      <c r="Z360" s="11"/>
      <c r="AA360" s="16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16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6"/>
      <c r="AX360" s="15"/>
      <c r="AY360" s="15"/>
      <c r="AZ360" s="15"/>
      <c r="BA360" s="16"/>
      <c r="BB360" s="16"/>
      <c r="BC360" s="16"/>
      <c r="BD360" s="16"/>
      <c r="BE360" s="16"/>
      <c r="BF360" s="16"/>
      <c r="BG360" s="16"/>
      <c r="BH360" s="16"/>
      <c r="BI360" s="16"/>
      <c r="BJ360" s="16"/>
      <c r="BK360" s="16"/>
      <c r="BL360" s="16"/>
      <c r="BM360" s="16"/>
      <c r="BN360" s="16"/>
      <c r="BO360" s="16"/>
      <c r="BP360" s="3"/>
      <c r="BQ360" s="3"/>
      <c r="BR360" s="3"/>
      <c r="BS360" s="3"/>
      <c r="BT360" s="3"/>
      <c r="BU360" s="3"/>
      <c r="BV360" s="3"/>
      <c r="BW360" s="3"/>
      <c r="BX360" s="3"/>
      <c r="BY360" s="3"/>
      <c r="BZ360" s="3"/>
      <c r="CA360" s="3"/>
      <c r="CB360" s="3"/>
      <c r="CC360" s="3"/>
      <c r="CD360" s="3"/>
      <c r="CE360" s="3"/>
      <c r="CF360" s="3"/>
      <c r="CG360" s="3"/>
      <c r="CH360" s="3"/>
      <c r="CI360" s="3"/>
      <c r="CJ360" s="3"/>
      <c r="CK360" s="3"/>
      <c r="CL360" s="3"/>
      <c r="CM360" s="3"/>
      <c r="CN360" s="3"/>
      <c r="CO360" s="3"/>
      <c r="CP360" s="3"/>
      <c r="CQ360" s="3"/>
      <c r="CR360" s="3"/>
    </row>
    <row r="361" spans="1:96" ht="12" customHeight="1" x14ac:dyDescent="0.25">
      <c r="A361" s="3"/>
      <c r="B361" s="14"/>
      <c r="C361" s="14"/>
      <c r="D361" s="14"/>
      <c r="E361" s="14"/>
      <c r="K361" s="14"/>
      <c r="M361" s="14"/>
      <c r="N361" s="14"/>
      <c r="Z361" s="11"/>
      <c r="AA361" s="16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16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6"/>
      <c r="AX361" s="15"/>
      <c r="AY361" s="15"/>
      <c r="AZ361" s="15"/>
      <c r="BA361" s="16"/>
      <c r="BB361" s="16"/>
      <c r="BC361" s="16"/>
      <c r="BD361" s="16"/>
      <c r="BE361" s="16"/>
      <c r="BF361" s="16"/>
      <c r="BG361" s="16"/>
      <c r="BH361" s="16"/>
      <c r="BI361" s="16"/>
      <c r="BJ361" s="16"/>
      <c r="BK361" s="16"/>
      <c r="BL361" s="16"/>
      <c r="BM361" s="16"/>
      <c r="BN361" s="16"/>
      <c r="BO361" s="16"/>
      <c r="BP361" s="3"/>
      <c r="BQ361" s="3"/>
      <c r="BR361" s="3"/>
      <c r="BS361" s="3"/>
      <c r="BT361" s="3"/>
      <c r="BU361" s="3"/>
      <c r="BV361" s="3"/>
      <c r="BW361" s="3"/>
      <c r="BX361" s="3"/>
      <c r="BY361" s="3"/>
      <c r="BZ361" s="3"/>
      <c r="CA361" s="3"/>
      <c r="CB361" s="3"/>
      <c r="CC361" s="3"/>
      <c r="CD361" s="3"/>
      <c r="CE361" s="3"/>
      <c r="CF361" s="3"/>
      <c r="CG361" s="3"/>
      <c r="CH361" s="3"/>
      <c r="CI361" s="3"/>
      <c r="CJ361" s="3"/>
      <c r="CK361" s="3"/>
      <c r="CL361" s="3"/>
      <c r="CM361" s="3"/>
      <c r="CN361" s="3"/>
      <c r="CO361" s="3"/>
      <c r="CP361" s="3"/>
      <c r="CQ361" s="3"/>
      <c r="CR361" s="3"/>
    </row>
    <row r="362" spans="1:96" ht="12" customHeight="1" x14ac:dyDescent="0.25">
      <c r="A362" s="3"/>
      <c r="B362" s="14"/>
      <c r="C362" s="14"/>
      <c r="D362" s="14"/>
      <c r="E362" s="14"/>
      <c r="K362" s="14"/>
      <c r="M362" s="14"/>
      <c r="N362" s="14"/>
      <c r="Z362" s="11"/>
      <c r="AA362" s="16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16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6"/>
      <c r="AX362" s="15"/>
      <c r="AY362" s="15"/>
      <c r="AZ362" s="15"/>
      <c r="BA362" s="16"/>
      <c r="BB362" s="16"/>
      <c r="BC362" s="16"/>
      <c r="BD362" s="16"/>
      <c r="BE362" s="16"/>
      <c r="BF362" s="16"/>
      <c r="BG362" s="16"/>
      <c r="BH362" s="16"/>
      <c r="BI362" s="16"/>
      <c r="BJ362" s="16"/>
      <c r="BK362" s="16"/>
      <c r="BL362" s="16"/>
      <c r="BM362" s="16"/>
      <c r="BN362" s="16"/>
      <c r="BO362" s="16"/>
      <c r="BP362" s="3"/>
      <c r="BQ362" s="3"/>
      <c r="BR362" s="3"/>
      <c r="BS362" s="3"/>
      <c r="BT362" s="3"/>
      <c r="BU362" s="3"/>
      <c r="BV362" s="3"/>
      <c r="BW362" s="3"/>
      <c r="BX362" s="3"/>
      <c r="BY362" s="3"/>
      <c r="BZ362" s="3"/>
      <c r="CA362" s="3"/>
      <c r="CB362" s="3"/>
      <c r="CC362" s="3"/>
      <c r="CD362" s="3"/>
      <c r="CE362" s="3"/>
      <c r="CF362" s="3"/>
      <c r="CG362" s="3"/>
      <c r="CH362" s="3"/>
      <c r="CI362" s="3"/>
      <c r="CJ362" s="3"/>
      <c r="CK362" s="3"/>
      <c r="CL362" s="3"/>
      <c r="CM362" s="3"/>
      <c r="CN362" s="3"/>
      <c r="CO362" s="3"/>
      <c r="CP362" s="3"/>
      <c r="CQ362" s="3"/>
      <c r="CR362" s="3"/>
    </row>
    <row r="363" spans="1:96" ht="12" customHeight="1" x14ac:dyDescent="0.25">
      <c r="A363" s="3"/>
      <c r="B363" s="14"/>
      <c r="C363" s="14"/>
      <c r="D363" s="14"/>
      <c r="E363" s="14"/>
      <c r="K363" s="14"/>
      <c r="M363" s="14"/>
      <c r="N363" s="14"/>
      <c r="Z363" s="11"/>
      <c r="AA363" s="16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16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6"/>
      <c r="AX363" s="15"/>
      <c r="AY363" s="15"/>
      <c r="AZ363" s="15"/>
      <c r="BA363" s="16"/>
      <c r="BB363" s="16"/>
      <c r="BC363" s="16"/>
      <c r="BD363" s="16"/>
      <c r="BE363" s="16"/>
      <c r="BF363" s="16"/>
      <c r="BG363" s="16"/>
      <c r="BH363" s="16"/>
      <c r="BI363" s="16"/>
      <c r="BJ363" s="16"/>
      <c r="BK363" s="16"/>
      <c r="BL363" s="16"/>
      <c r="BM363" s="16"/>
      <c r="BN363" s="16"/>
      <c r="BO363" s="16"/>
      <c r="BP363" s="3"/>
      <c r="BQ363" s="3"/>
      <c r="BR363" s="3"/>
      <c r="BS363" s="3"/>
      <c r="BT363" s="3"/>
      <c r="BU363" s="3"/>
      <c r="BV363" s="3"/>
      <c r="BW363" s="3"/>
      <c r="BX363" s="3"/>
      <c r="BY363" s="3"/>
      <c r="BZ363" s="3"/>
      <c r="CA363" s="3"/>
      <c r="CB363" s="3"/>
      <c r="CC363" s="3"/>
      <c r="CD363" s="3"/>
      <c r="CE363" s="3"/>
      <c r="CF363" s="3"/>
      <c r="CG363" s="3"/>
      <c r="CH363" s="3"/>
      <c r="CI363" s="3"/>
      <c r="CJ363" s="3"/>
      <c r="CK363" s="3"/>
      <c r="CL363" s="3"/>
      <c r="CM363" s="3"/>
      <c r="CN363" s="3"/>
      <c r="CO363" s="3"/>
      <c r="CP363" s="3"/>
      <c r="CQ363" s="3"/>
      <c r="CR363" s="3"/>
    </row>
    <row r="364" spans="1:96" ht="12" customHeight="1" x14ac:dyDescent="0.25">
      <c r="A364" s="3"/>
      <c r="B364" s="14"/>
      <c r="C364" s="14"/>
      <c r="D364" s="14"/>
      <c r="E364" s="14"/>
      <c r="K364" s="14"/>
      <c r="M364" s="14"/>
      <c r="N364" s="14"/>
      <c r="Z364" s="11"/>
      <c r="AA364" s="16"/>
      <c r="AB364" s="3"/>
      <c r="AC364" s="3"/>
      <c r="AD364" s="3"/>
      <c r="AE364" s="3"/>
      <c r="AF364" s="3"/>
      <c r="AG364" s="3"/>
      <c r="AH364" s="3"/>
      <c r="AI364" s="3"/>
      <c r="AJ364" s="3"/>
      <c r="AK364" s="3"/>
      <c r="AL364" s="16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6"/>
      <c r="AX364" s="15"/>
      <c r="AY364" s="15"/>
      <c r="AZ364" s="15"/>
      <c r="BA364" s="16"/>
      <c r="BB364" s="16"/>
      <c r="BC364" s="16"/>
      <c r="BD364" s="16"/>
      <c r="BE364" s="16"/>
      <c r="BF364" s="16"/>
      <c r="BG364" s="16"/>
      <c r="BH364" s="16"/>
      <c r="BI364" s="16"/>
      <c r="BJ364" s="16"/>
      <c r="BK364" s="16"/>
      <c r="BL364" s="16"/>
      <c r="BM364" s="16"/>
      <c r="BN364" s="16"/>
      <c r="BO364" s="16"/>
      <c r="BP364" s="3"/>
      <c r="BQ364" s="3"/>
      <c r="BR364" s="3"/>
      <c r="BS364" s="3"/>
      <c r="BT364" s="3"/>
      <c r="BU364" s="3"/>
      <c r="BV364" s="3"/>
      <c r="BW364" s="3"/>
      <c r="BX364" s="3"/>
      <c r="BY364" s="3"/>
      <c r="BZ364" s="3"/>
      <c r="CA364" s="3"/>
      <c r="CB364" s="3"/>
      <c r="CC364" s="3"/>
      <c r="CD364" s="3"/>
      <c r="CE364" s="3"/>
      <c r="CF364" s="3"/>
      <c r="CG364" s="3"/>
      <c r="CH364" s="3"/>
      <c r="CI364" s="3"/>
      <c r="CJ364" s="3"/>
      <c r="CK364" s="3"/>
      <c r="CL364" s="3"/>
      <c r="CM364" s="3"/>
      <c r="CN364" s="3"/>
      <c r="CO364" s="3"/>
      <c r="CP364" s="3"/>
      <c r="CQ364" s="3"/>
      <c r="CR364" s="3"/>
    </row>
    <row r="365" spans="1:96" ht="12" customHeight="1" x14ac:dyDescent="0.25">
      <c r="A365" s="3"/>
      <c r="B365" s="14"/>
      <c r="C365" s="14"/>
      <c r="D365" s="14"/>
      <c r="E365" s="14"/>
      <c r="K365" s="14"/>
      <c r="M365" s="14"/>
      <c r="N365" s="14"/>
      <c r="Z365" s="11"/>
      <c r="AA365" s="16"/>
      <c r="AB365" s="3"/>
      <c r="AC365" s="3"/>
      <c r="AD365" s="3"/>
      <c r="AE365" s="3"/>
      <c r="AF365" s="3"/>
      <c r="AG365" s="3"/>
      <c r="AH365" s="3"/>
      <c r="AI365" s="3"/>
      <c r="AJ365" s="3"/>
      <c r="AK365" s="3"/>
      <c r="AL365" s="16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6"/>
      <c r="AX365" s="15"/>
      <c r="AY365" s="15"/>
      <c r="AZ365" s="15"/>
      <c r="BA365" s="16"/>
      <c r="BB365" s="16"/>
      <c r="BC365" s="16"/>
      <c r="BD365" s="16"/>
      <c r="BE365" s="16"/>
      <c r="BF365" s="16"/>
      <c r="BG365" s="16"/>
      <c r="BH365" s="16"/>
      <c r="BI365" s="16"/>
      <c r="BJ365" s="16"/>
      <c r="BK365" s="16"/>
      <c r="BL365" s="16"/>
      <c r="BM365" s="16"/>
      <c r="BN365" s="16"/>
      <c r="BO365" s="16"/>
      <c r="BP365" s="3"/>
      <c r="BQ365" s="3"/>
      <c r="BR365" s="3"/>
      <c r="BS365" s="3"/>
      <c r="BT365" s="3"/>
      <c r="BU365" s="3"/>
      <c r="BV365" s="3"/>
      <c r="BW365" s="3"/>
      <c r="BX365" s="3"/>
      <c r="BY365" s="3"/>
      <c r="BZ365" s="3"/>
      <c r="CA365" s="3"/>
      <c r="CB365" s="3"/>
      <c r="CC365" s="3"/>
      <c r="CD365" s="3"/>
      <c r="CE365" s="3"/>
      <c r="CF365" s="3"/>
      <c r="CG365" s="3"/>
      <c r="CH365" s="3"/>
      <c r="CI365" s="3"/>
      <c r="CJ365" s="3"/>
      <c r="CK365" s="3"/>
      <c r="CL365" s="3"/>
      <c r="CM365" s="3"/>
      <c r="CN365" s="3"/>
      <c r="CO365" s="3"/>
      <c r="CP365" s="3"/>
      <c r="CQ365" s="3"/>
      <c r="CR365" s="3"/>
    </row>
    <row r="366" spans="1:96" ht="12" customHeight="1" x14ac:dyDescent="0.25">
      <c r="A366" s="3"/>
      <c r="B366" s="14"/>
      <c r="C366" s="14"/>
      <c r="D366" s="14"/>
      <c r="E366" s="14"/>
      <c r="K366" s="14"/>
      <c r="M366" s="14"/>
      <c r="N366" s="14"/>
      <c r="Z366" s="11"/>
      <c r="AA366" s="16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16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6"/>
      <c r="AX366" s="15"/>
      <c r="AY366" s="15"/>
      <c r="AZ366" s="15"/>
      <c r="BA366" s="16"/>
      <c r="BB366" s="16"/>
      <c r="BC366" s="16"/>
      <c r="BD366" s="16"/>
      <c r="BE366" s="16"/>
      <c r="BF366" s="16"/>
      <c r="BG366" s="16"/>
      <c r="BH366" s="16"/>
      <c r="BI366" s="16"/>
      <c r="BJ366" s="16"/>
      <c r="BK366" s="16"/>
      <c r="BL366" s="16"/>
      <c r="BM366" s="16"/>
      <c r="BN366" s="16"/>
      <c r="BO366" s="16"/>
      <c r="BP366" s="3"/>
      <c r="BQ366" s="3"/>
      <c r="BR366" s="3"/>
      <c r="BS366" s="3"/>
      <c r="BT366" s="3"/>
      <c r="BU366" s="3"/>
      <c r="BV366" s="3"/>
      <c r="BW366" s="3"/>
      <c r="BX366" s="3"/>
      <c r="BY366" s="3"/>
      <c r="BZ366" s="3"/>
      <c r="CA366" s="3"/>
      <c r="CB366" s="3"/>
      <c r="CC366" s="3"/>
      <c r="CD366" s="3"/>
      <c r="CE366" s="3"/>
      <c r="CF366" s="3"/>
      <c r="CG366" s="3"/>
      <c r="CH366" s="3"/>
      <c r="CI366" s="3"/>
      <c r="CJ366" s="3"/>
      <c r="CK366" s="3"/>
      <c r="CL366" s="3"/>
      <c r="CM366" s="3"/>
      <c r="CN366" s="3"/>
      <c r="CO366" s="3"/>
      <c r="CP366" s="3"/>
      <c r="CQ366" s="3"/>
      <c r="CR366" s="3"/>
    </row>
    <row r="367" spans="1:96" ht="12" customHeight="1" x14ac:dyDescent="0.25">
      <c r="A367" s="3"/>
      <c r="B367" s="14"/>
      <c r="C367" s="14"/>
      <c r="D367" s="14"/>
      <c r="E367" s="14"/>
      <c r="K367" s="14"/>
      <c r="M367" s="14"/>
      <c r="N367" s="14"/>
      <c r="Z367" s="11"/>
      <c r="AA367" s="16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16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6"/>
      <c r="AX367" s="15"/>
      <c r="AY367" s="15"/>
      <c r="AZ367" s="15"/>
      <c r="BA367" s="16"/>
      <c r="BB367" s="16"/>
      <c r="BC367" s="16"/>
      <c r="BD367" s="16"/>
      <c r="BE367" s="16"/>
      <c r="BF367" s="16"/>
      <c r="BG367" s="16"/>
      <c r="BH367" s="16"/>
      <c r="BI367" s="16"/>
      <c r="BJ367" s="16"/>
      <c r="BK367" s="16"/>
      <c r="BL367" s="16"/>
      <c r="BM367" s="16"/>
      <c r="BN367" s="16"/>
      <c r="BO367" s="16"/>
      <c r="BP367" s="3"/>
      <c r="BQ367" s="3"/>
      <c r="BR367" s="3"/>
      <c r="BS367" s="3"/>
      <c r="BT367" s="3"/>
      <c r="BU367" s="3"/>
      <c r="BV367" s="3"/>
      <c r="BW367" s="3"/>
      <c r="BX367" s="3"/>
      <c r="BY367" s="3"/>
      <c r="BZ367" s="3"/>
      <c r="CA367" s="3"/>
      <c r="CB367" s="3"/>
      <c r="CC367" s="3"/>
      <c r="CD367" s="3"/>
      <c r="CE367" s="3"/>
      <c r="CF367" s="3"/>
      <c r="CG367" s="3"/>
      <c r="CH367" s="3"/>
      <c r="CI367" s="3"/>
      <c r="CJ367" s="3"/>
      <c r="CK367" s="3"/>
      <c r="CL367" s="3"/>
      <c r="CM367" s="3"/>
      <c r="CN367" s="3"/>
      <c r="CO367" s="3"/>
      <c r="CP367" s="3"/>
      <c r="CQ367" s="3"/>
      <c r="CR367" s="3"/>
    </row>
    <row r="368" spans="1:96" ht="12" customHeight="1" x14ac:dyDescent="0.25">
      <c r="A368" s="3"/>
      <c r="B368" s="14"/>
      <c r="C368" s="14"/>
      <c r="D368" s="14"/>
      <c r="E368" s="14"/>
      <c r="K368" s="14"/>
      <c r="M368" s="14"/>
      <c r="N368" s="14"/>
      <c r="Z368" s="11"/>
      <c r="AA368" s="16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16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6"/>
      <c r="AX368" s="15"/>
      <c r="AY368" s="15"/>
      <c r="AZ368" s="15"/>
      <c r="BA368" s="16"/>
      <c r="BB368" s="16"/>
      <c r="BC368" s="16"/>
      <c r="BD368" s="16"/>
      <c r="BE368" s="16"/>
      <c r="BF368" s="16"/>
      <c r="BG368" s="16"/>
      <c r="BH368" s="16"/>
      <c r="BI368" s="16"/>
      <c r="BJ368" s="16"/>
      <c r="BK368" s="16"/>
      <c r="BL368" s="16"/>
      <c r="BM368" s="16"/>
      <c r="BN368" s="16"/>
      <c r="BO368" s="16"/>
      <c r="BP368" s="3"/>
      <c r="BQ368" s="3"/>
      <c r="BR368" s="3"/>
      <c r="BS368" s="3"/>
      <c r="BT368" s="3"/>
      <c r="BU368" s="3"/>
      <c r="BV368" s="3"/>
      <c r="BW368" s="3"/>
      <c r="BX368" s="3"/>
      <c r="BY368" s="3"/>
      <c r="BZ368" s="3"/>
      <c r="CA368" s="3"/>
      <c r="CB368" s="3"/>
      <c r="CC368" s="3"/>
      <c r="CD368" s="3"/>
      <c r="CE368" s="3"/>
      <c r="CF368" s="3"/>
      <c r="CG368" s="3"/>
      <c r="CH368" s="3"/>
      <c r="CI368" s="3"/>
      <c r="CJ368" s="3"/>
      <c r="CK368" s="3"/>
      <c r="CL368" s="3"/>
      <c r="CM368" s="3"/>
      <c r="CN368" s="3"/>
      <c r="CO368" s="3"/>
      <c r="CP368" s="3"/>
      <c r="CQ368" s="3"/>
      <c r="CR368" s="3"/>
    </row>
    <row r="369" spans="1:96" ht="12" customHeight="1" x14ac:dyDescent="0.25">
      <c r="A369" s="3"/>
      <c r="B369" s="14"/>
      <c r="C369" s="14"/>
      <c r="D369" s="14"/>
      <c r="E369" s="14"/>
      <c r="K369" s="14"/>
      <c r="M369" s="14"/>
      <c r="N369" s="14"/>
      <c r="Z369" s="11"/>
      <c r="AA369" s="16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16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6"/>
      <c r="AX369" s="15"/>
      <c r="AY369" s="15"/>
      <c r="AZ369" s="15"/>
      <c r="BA369" s="16"/>
      <c r="BB369" s="16"/>
      <c r="BC369" s="16"/>
      <c r="BD369" s="16"/>
      <c r="BE369" s="16"/>
      <c r="BF369" s="16"/>
      <c r="BG369" s="16"/>
      <c r="BH369" s="16"/>
      <c r="BI369" s="16"/>
      <c r="BJ369" s="16"/>
      <c r="BK369" s="16"/>
      <c r="BL369" s="16"/>
      <c r="BM369" s="16"/>
      <c r="BN369" s="16"/>
      <c r="BO369" s="16"/>
      <c r="BP369" s="3"/>
      <c r="BQ369" s="3"/>
      <c r="BR369" s="3"/>
      <c r="BS369" s="3"/>
      <c r="BT369" s="3"/>
      <c r="BU369" s="3"/>
      <c r="BV369" s="3"/>
      <c r="BW369" s="3"/>
      <c r="BX369" s="3"/>
      <c r="BY369" s="3"/>
      <c r="BZ369" s="3"/>
      <c r="CA369" s="3"/>
      <c r="CB369" s="3"/>
      <c r="CC369" s="3"/>
      <c r="CD369" s="3"/>
      <c r="CE369" s="3"/>
      <c r="CF369" s="3"/>
      <c r="CG369" s="3"/>
      <c r="CH369" s="3"/>
      <c r="CI369" s="3"/>
      <c r="CJ369" s="3"/>
      <c r="CK369" s="3"/>
      <c r="CL369" s="3"/>
      <c r="CM369" s="3"/>
      <c r="CN369" s="3"/>
      <c r="CO369" s="3"/>
      <c r="CP369" s="3"/>
      <c r="CQ369" s="3"/>
      <c r="CR369" s="3"/>
    </row>
    <row r="370" spans="1:96" ht="12" customHeight="1" x14ac:dyDescent="0.25">
      <c r="A370" s="3"/>
      <c r="B370" s="14"/>
      <c r="C370" s="14"/>
      <c r="D370" s="14"/>
      <c r="E370" s="14"/>
      <c r="K370" s="14"/>
      <c r="M370" s="14"/>
      <c r="N370" s="14"/>
      <c r="Z370" s="11"/>
      <c r="AA370" s="16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16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6"/>
      <c r="AX370" s="15"/>
      <c r="AY370" s="15"/>
      <c r="AZ370" s="15"/>
      <c r="BA370" s="16"/>
      <c r="BB370" s="16"/>
      <c r="BC370" s="16"/>
      <c r="BD370" s="16"/>
      <c r="BE370" s="16"/>
      <c r="BF370" s="16"/>
      <c r="BG370" s="16"/>
      <c r="BH370" s="16"/>
      <c r="BI370" s="16"/>
      <c r="BJ370" s="16"/>
      <c r="BK370" s="16"/>
      <c r="BL370" s="16"/>
      <c r="BM370" s="16"/>
      <c r="BN370" s="16"/>
      <c r="BO370" s="16"/>
      <c r="BP370" s="3"/>
      <c r="BQ370" s="3"/>
      <c r="BR370" s="3"/>
      <c r="BS370" s="3"/>
      <c r="BT370" s="3"/>
      <c r="BU370" s="3"/>
      <c r="BV370" s="3"/>
      <c r="BW370" s="3"/>
      <c r="BX370" s="3"/>
      <c r="BY370" s="3"/>
      <c r="BZ370" s="3"/>
      <c r="CA370" s="3"/>
      <c r="CB370" s="3"/>
      <c r="CC370" s="3"/>
      <c r="CD370" s="3"/>
      <c r="CE370" s="3"/>
      <c r="CF370" s="3"/>
      <c r="CG370" s="3"/>
      <c r="CH370" s="3"/>
      <c r="CI370" s="3"/>
      <c r="CJ370" s="3"/>
      <c r="CK370" s="3"/>
      <c r="CL370" s="3"/>
      <c r="CM370" s="3"/>
      <c r="CN370" s="3"/>
      <c r="CO370" s="3"/>
      <c r="CP370" s="3"/>
      <c r="CQ370" s="3"/>
      <c r="CR370" s="3"/>
    </row>
    <row r="371" spans="1:96" ht="12" customHeight="1" x14ac:dyDescent="0.25">
      <c r="A371" s="3"/>
      <c r="B371" s="14"/>
      <c r="C371" s="14"/>
      <c r="D371" s="14"/>
      <c r="E371" s="14"/>
      <c r="K371" s="14"/>
      <c r="M371" s="14"/>
      <c r="N371" s="14"/>
      <c r="Z371" s="11"/>
      <c r="AA371" s="16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16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6"/>
      <c r="AX371" s="15"/>
      <c r="AY371" s="15"/>
      <c r="AZ371" s="15"/>
      <c r="BA371" s="16"/>
      <c r="BB371" s="16"/>
      <c r="BC371" s="16"/>
      <c r="BD371" s="16"/>
      <c r="BE371" s="16"/>
      <c r="BF371" s="16"/>
      <c r="BG371" s="16"/>
      <c r="BH371" s="16"/>
      <c r="BI371" s="16"/>
      <c r="BJ371" s="16"/>
      <c r="BK371" s="16"/>
      <c r="BL371" s="16"/>
      <c r="BM371" s="16"/>
      <c r="BN371" s="16"/>
      <c r="BO371" s="16"/>
      <c r="BP371" s="3"/>
      <c r="BQ371" s="3"/>
      <c r="BR371" s="3"/>
      <c r="BS371" s="3"/>
      <c r="BT371" s="3"/>
      <c r="BU371" s="3"/>
      <c r="BV371" s="3"/>
      <c r="BW371" s="3"/>
      <c r="BX371" s="3"/>
      <c r="BY371" s="3"/>
      <c r="BZ371" s="3"/>
      <c r="CA371" s="3"/>
      <c r="CB371" s="3"/>
      <c r="CC371" s="3"/>
      <c r="CD371" s="3"/>
      <c r="CE371" s="3"/>
      <c r="CF371" s="3"/>
      <c r="CG371" s="3"/>
      <c r="CH371" s="3"/>
      <c r="CI371" s="3"/>
      <c r="CJ371" s="3"/>
      <c r="CK371" s="3"/>
      <c r="CL371" s="3"/>
      <c r="CM371" s="3"/>
      <c r="CN371" s="3"/>
      <c r="CO371" s="3"/>
      <c r="CP371" s="3"/>
      <c r="CQ371" s="3"/>
      <c r="CR371" s="3"/>
    </row>
    <row r="372" spans="1:96" ht="12" customHeight="1" x14ac:dyDescent="0.25">
      <c r="A372" s="3"/>
      <c r="B372" s="14"/>
      <c r="C372" s="14"/>
      <c r="D372" s="14"/>
      <c r="E372" s="14"/>
      <c r="K372" s="14"/>
      <c r="M372" s="14"/>
      <c r="N372" s="14"/>
      <c r="Z372" s="11"/>
      <c r="AA372" s="16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16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6"/>
      <c r="AX372" s="15"/>
      <c r="AY372" s="15"/>
      <c r="AZ372" s="15"/>
      <c r="BA372" s="16"/>
      <c r="BB372" s="16"/>
      <c r="BC372" s="16"/>
      <c r="BD372" s="16"/>
      <c r="BE372" s="16"/>
      <c r="BF372" s="16"/>
      <c r="BG372" s="16"/>
      <c r="BH372" s="16"/>
      <c r="BI372" s="16"/>
      <c r="BJ372" s="16"/>
      <c r="BK372" s="16"/>
      <c r="BL372" s="16"/>
      <c r="BM372" s="16"/>
      <c r="BN372" s="16"/>
      <c r="BO372" s="16"/>
      <c r="BP372" s="3"/>
      <c r="BQ372" s="3"/>
      <c r="BR372" s="3"/>
      <c r="BS372" s="3"/>
      <c r="BT372" s="3"/>
      <c r="BU372" s="3"/>
      <c r="BV372" s="3"/>
      <c r="BW372" s="3"/>
      <c r="BX372" s="3"/>
      <c r="BY372" s="3"/>
      <c r="BZ372" s="3"/>
      <c r="CA372" s="3"/>
      <c r="CB372" s="3"/>
      <c r="CC372" s="3"/>
      <c r="CD372" s="3"/>
      <c r="CE372" s="3"/>
      <c r="CF372" s="3"/>
      <c r="CG372" s="3"/>
      <c r="CH372" s="3"/>
      <c r="CI372" s="3"/>
      <c r="CJ372" s="3"/>
      <c r="CK372" s="3"/>
      <c r="CL372" s="3"/>
      <c r="CM372" s="3"/>
      <c r="CN372" s="3"/>
      <c r="CO372" s="3"/>
      <c r="CP372" s="3"/>
      <c r="CQ372" s="3"/>
      <c r="CR372" s="3"/>
    </row>
    <row r="373" spans="1:96" ht="12" customHeight="1" x14ac:dyDescent="0.25">
      <c r="A373" s="3"/>
      <c r="B373" s="14"/>
      <c r="C373" s="14"/>
      <c r="D373" s="14"/>
      <c r="E373" s="14"/>
      <c r="K373" s="14"/>
      <c r="M373" s="14"/>
      <c r="N373" s="14"/>
      <c r="Z373" s="11"/>
      <c r="AA373" s="16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16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6"/>
      <c r="AX373" s="15"/>
      <c r="AY373" s="15"/>
      <c r="AZ373" s="15"/>
      <c r="BA373" s="16"/>
      <c r="BB373" s="16"/>
      <c r="BC373" s="16"/>
      <c r="BD373" s="16"/>
      <c r="BE373" s="16"/>
      <c r="BF373" s="16"/>
      <c r="BG373" s="16"/>
      <c r="BH373" s="16"/>
      <c r="BI373" s="16"/>
      <c r="BJ373" s="16"/>
      <c r="BK373" s="16"/>
      <c r="BL373" s="16"/>
      <c r="BM373" s="16"/>
      <c r="BN373" s="16"/>
      <c r="BO373" s="16"/>
      <c r="BP373" s="3"/>
      <c r="BQ373" s="3"/>
      <c r="BR373" s="3"/>
      <c r="BS373" s="3"/>
      <c r="BT373" s="3"/>
      <c r="BU373" s="3"/>
      <c r="BV373" s="3"/>
      <c r="BW373" s="3"/>
      <c r="BX373" s="3"/>
      <c r="BY373" s="3"/>
      <c r="BZ373" s="3"/>
      <c r="CA373" s="3"/>
      <c r="CB373" s="3"/>
      <c r="CC373" s="3"/>
      <c r="CD373" s="3"/>
      <c r="CE373" s="3"/>
      <c r="CF373" s="3"/>
      <c r="CG373" s="3"/>
      <c r="CH373" s="3"/>
      <c r="CI373" s="3"/>
      <c r="CJ373" s="3"/>
      <c r="CK373" s="3"/>
      <c r="CL373" s="3"/>
      <c r="CM373" s="3"/>
      <c r="CN373" s="3"/>
      <c r="CO373" s="3"/>
      <c r="CP373" s="3"/>
      <c r="CQ373" s="3"/>
      <c r="CR373" s="3"/>
    </row>
    <row r="374" spans="1:96" ht="12" customHeight="1" x14ac:dyDescent="0.25">
      <c r="A374" s="3"/>
      <c r="B374" s="14"/>
      <c r="C374" s="14"/>
      <c r="D374" s="14"/>
      <c r="E374" s="14"/>
      <c r="K374" s="14"/>
      <c r="M374" s="14"/>
      <c r="N374" s="14"/>
      <c r="Z374" s="11"/>
      <c r="AA374" s="16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16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6"/>
      <c r="AX374" s="15"/>
      <c r="AY374" s="15"/>
      <c r="AZ374" s="15"/>
      <c r="BA374" s="16"/>
      <c r="BB374" s="16"/>
      <c r="BC374" s="16"/>
      <c r="BD374" s="16"/>
      <c r="BE374" s="16"/>
      <c r="BF374" s="16"/>
      <c r="BG374" s="16"/>
      <c r="BH374" s="16"/>
      <c r="BI374" s="16"/>
      <c r="BJ374" s="16"/>
      <c r="BK374" s="16"/>
      <c r="BL374" s="16"/>
      <c r="BM374" s="16"/>
      <c r="BN374" s="16"/>
      <c r="BO374" s="16"/>
      <c r="BP374" s="3"/>
      <c r="BQ374" s="3"/>
      <c r="BR374" s="3"/>
      <c r="BS374" s="3"/>
      <c r="BT374" s="3"/>
      <c r="BU374" s="3"/>
      <c r="BV374" s="3"/>
      <c r="BW374" s="3"/>
      <c r="BX374" s="3"/>
      <c r="BY374" s="3"/>
      <c r="BZ374" s="3"/>
      <c r="CA374" s="3"/>
      <c r="CB374" s="3"/>
      <c r="CC374" s="3"/>
      <c r="CD374" s="3"/>
      <c r="CE374" s="3"/>
      <c r="CF374" s="3"/>
      <c r="CG374" s="3"/>
      <c r="CH374" s="3"/>
      <c r="CI374" s="3"/>
      <c r="CJ374" s="3"/>
      <c r="CK374" s="3"/>
      <c r="CL374" s="3"/>
      <c r="CM374" s="3"/>
      <c r="CN374" s="3"/>
      <c r="CO374" s="3"/>
      <c r="CP374" s="3"/>
      <c r="CQ374" s="3"/>
      <c r="CR374" s="3"/>
    </row>
    <row r="375" spans="1:96" ht="12" customHeight="1" x14ac:dyDescent="0.25">
      <c r="A375" s="3"/>
      <c r="B375" s="14"/>
      <c r="C375" s="14"/>
      <c r="D375" s="14"/>
      <c r="E375" s="14"/>
      <c r="K375" s="14"/>
      <c r="M375" s="14"/>
      <c r="N375" s="14"/>
      <c r="Z375" s="11"/>
      <c r="AA375" s="16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16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6"/>
      <c r="AX375" s="15"/>
      <c r="AY375" s="15"/>
      <c r="AZ375" s="15"/>
      <c r="BA375" s="16"/>
      <c r="BB375" s="16"/>
      <c r="BC375" s="16"/>
      <c r="BD375" s="16"/>
      <c r="BE375" s="16"/>
      <c r="BF375" s="16"/>
      <c r="BG375" s="16"/>
      <c r="BH375" s="16"/>
      <c r="BI375" s="16"/>
      <c r="BJ375" s="16"/>
      <c r="BK375" s="16"/>
      <c r="BL375" s="16"/>
      <c r="BM375" s="16"/>
      <c r="BN375" s="16"/>
      <c r="BO375" s="16"/>
      <c r="BP375" s="3"/>
      <c r="BQ375" s="3"/>
      <c r="BR375" s="3"/>
      <c r="BS375" s="3"/>
      <c r="BT375" s="3"/>
      <c r="BU375" s="3"/>
      <c r="BV375" s="3"/>
      <c r="BW375" s="3"/>
      <c r="BX375" s="3"/>
      <c r="BY375" s="3"/>
      <c r="BZ375" s="3"/>
      <c r="CA375" s="3"/>
      <c r="CB375" s="3"/>
      <c r="CC375" s="3"/>
      <c r="CD375" s="3"/>
      <c r="CE375" s="3"/>
      <c r="CF375" s="3"/>
      <c r="CG375" s="3"/>
      <c r="CH375" s="3"/>
      <c r="CI375" s="3"/>
      <c r="CJ375" s="3"/>
      <c r="CK375" s="3"/>
      <c r="CL375" s="3"/>
      <c r="CM375" s="3"/>
      <c r="CN375" s="3"/>
      <c r="CO375" s="3"/>
      <c r="CP375" s="3"/>
      <c r="CQ375" s="3"/>
      <c r="CR375" s="3"/>
    </row>
    <row r="376" spans="1:96" ht="12" customHeight="1" x14ac:dyDescent="0.25">
      <c r="A376" s="3"/>
      <c r="B376" s="14"/>
      <c r="C376" s="14"/>
      <c r="D376" s="14"/>
      <c r="E376" s="14"/>
      <c r="K376" s="14"/>
      <c r="M376" s="14"/>
      <c r="N376" s="14"/>
      <c r="Z376" s="11"/>
      <c r="AA376" s="16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16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6"/>
      <c r="AX376" s="15"/>
      <c r="AY376" s="15"/>
      <c r="AZ376" s="15"/>
      <c r="BA376" s="16"/>
      <c r="BB376" s="16"/>
      <c r="BC376" s="16"/>
      <c r="BD376" s="16"/>
      <c r="BE376" s="16"/>
      <c r="BF376" s="16"/>
      <c r="BG376" s="16"/>
      <c r="BH376" s="16"/>
      <c r="BI376" s="16"/>
      <c r="BJ376" s="16"/>
      <c r="BK376" s="16"/>
      <c r="BL376" s="16"/>
      <c r="BM376" s="16"/>
      <c r="BN376" s="16"/>
      <c r="BO376" s="16"/>
      <c r="BP376" s="3"/>
      <c r="BQ376" s="3"/>
      <c r="BR376" s="3"/>
      <c r="BS376" s="3"/>
      <c r="BT376" s="3"/>
      <c r="BU376" s="3"/>
      <c r="BV376" s="3"/>
      <c r="BW376" s="3"/>
      <c r="BX376" s="3"/>
      <c r="BY376" s="3"/>
      <c r="BZ376" s="3"/>
      <c r="CA376" s="3"/>
      <c r="CB376" s="3"/>
      <c r="CC376" s="3"/>
      <c r="CD376" s="3"/>
      <c r="CE376" s="3"/>
      <c r="CF376" s="3"/>
      <c r="CG376" s="3"/>
      <c r="CH376" s="3"/>
      <c r="CI376" s="3"/>
      <c r="CJ376" s="3"/>
      <c r="CK376" s="3"/>
      <c r="CL376" s="3"/>
      <c r="CM376" s="3"/>
      <c r="CN376" s="3"/>
      <c r="CO376" s="3"/>
      <c r="CP376" s="3"/>
      <c r="CQ376" s="3"/>
      <c r="CR376" s="3"/>
    </row>
    <row r="377" spans="1:96" ht="12" customHeight="1" x14ac:dyDescent="0.25">
      <c r="A377" s="3"/>
      <c r="B377" s="14"/>
      <c r="C377" s="14"/>
      <c r="D377" s="14"/>
      <c r="E377" s="14"/>
      <c r="K377" s="14"/>
      <c r="M377" s="14"/>
      <c r="N377" s="14"/>
      <c r="Z377" s="11"/>
      <c r="AA377" s="16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16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6"/>
      <c r="AX377" s="15"/>
      <c r="AY377" s="15"/>
      <c r="AZ377" s="15"/>
      <c r="BA377" s="16"/>
      <c r="BB377" s="16"/>
      <c r="BC377" s="16"/>
      <c r="BD377" s="16"/>
      <c r="BE377" s="16"/>
      <c r="BF377" s="16"/>
      <c r="BG377" s="16"/>
      <c r="BH377" s="16"/>
      <c r="BI377" s="16"/>
      <c r="BJ377" s="16"/>
      <c r="BK377" s="16"/>
      <c r="BL377" s="16"/>
      <c r="BM377" s="16"/>
      <c r="BN377" s="16"/>
      <c r="BO377" s="16"/>
      <c r="BP377" s="3"/>
      <c r="BQ377" s="3"/>
      <c r="BR377" s="3"/>
      <c r="BS377" s="3"/>
      <c r="BT377" s="3"/>
      <c r="BU377" s="3"/>
      <c r="BV377" s="3"/>
      <c r="BW377" s="3"/>
      <c r="BX377" s="3"/>
      <c r="BY377" s="3"/>
      <c r="BZ377" s="3"/>
      <c r="CA377" s="3"/>
      <c r="CB377" s="3"/>
      <c r="CC377" s="3"/>
      <c r="CD377" s="3"/>
      <c r="CE377" s="3"/>
      <c r="CF377" s="3"/>
      <c r="CG377" s="3"/>
      <c r="CH377" s="3"/>
      <c r="CI377" s="3"/>
      <c r="CJ377" s="3"/>
      <c r="CK377" s="3"/>
      <c r="CL377" s="3"/>
      <c r="CM377" s="3"/>
      <c r="CN377" s="3"/>
      <c r="CO377" s="3"/>
      <c r="CP377" s="3"/>
      <c r="CQ377" s="3"/>
      <c r="CR377" s="3"/>
    </row>
    <row r="378" spans="1:96" ht="12" customHeight="1" x14ac:dyDescent="0.25">
      <c r="A378" s="3"/>
      <c r="B378" s="14"/>
      <c r="C378" s="14"/>
      <c r="D378" s="14"/>
      <c r="E378" s="14"/>
      <c r="K378" s="14"/>
      <c r="M378" s="14"/>
      <c r="N378" s="14"/>
      <c r="Z378" s="11"/>
      <c r="AA378" s="16"/>
      <c r="AB378" s="3"/>
      <c r="AC378" s="3"/>
      <c r="AD378" s="3"/>
      <c r="AE378" s="3"/>
      <c r="AF378" s="3"/>
      <c r="AG378" s="3"/>
      <c r="AH378" s="3"/>
      <c r="AI378" s="3"/>
      <c r="AJ378" s="3"/>
      <c r="AK378" s="3"/>
      <c r="AL378" s="16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6"/>
      <c r="AX378" s="15"/>
      <c r="AY378" s="15"/>
      <c r="AZ378" s="15"/>
      <c r="BA378" s="16"/>
      <c r="BB378" s="16"/>
      <c r="BC378" s="16"/>
      <c r="BD378" s="16"/>
      <c r="BE378" s="16"/>
      <c r="BF378" s="16"/>
      <c r="BG378" s="16"/>
      <c r="BH378" s="16"/>
      <c r="BI378" s="16"/>
      <c r="BJ378" s="16"/>
      <c r="BK378" s="16"/>
      <c r="BL378" s="16"/>
      <c r="BM378" s="16"/>
      <c r="BN378" s="16"/>
      <c r="BO378" s="16"/>
      <c r="BP378" s="3"/>
      <c r="BQ378" s="3"/>
      <c r="BR378" s="3"/>
      <c r="BS378" s="3"/>
      <c r="BT378" s="3"/>
      <c r="BU378" s="3"/>
      <c r="BV378" s="3"/>
      <c r="BW378" s="3"/>
      <c r="BX378" s="3"/>
      <c r="BY378" s="3"/>
      <c r="BZ378" s="3"/>
      <c r="CA378" s="3"/>
      <c r="CB378" s="3"/>
      <c r="CC378" s="3"/>
      <c r="CD378" s="3"/>
      <c r="CE378" s="3"/>
      <c r="CF378" s="3"/>
      <c r="CG378" s="3"/>
      <c r="CH378" s="3"/>
      <c r="CI378" s="3"/>
      <c r="CJ378" s="3"/>
      <c r="CK378" s="3"/>
      <c r="CL378" s="3"/>
      <c r="CM378" s="3"/>
      <c r="CN378" s="3"/>
      <c r="CO378" s="3"/>
      <c r="CP378" s="3"/>
      <c r="CQ378" s="3"/>
      <c r="CR378" s="3"/>
    </row>
    <row r="379" spans="1:96" ht="12" customHeight="1" x14ac:dyDescent="0.25">
      <c r="A379" s="3"/>
      <c r="B379" s="14"/>
      <c r="C379" s="14"/>
      <c r="D379" s="14"/>
      <c r="E379" s="14"/>
      <c r="K379" s="14"/>
      <c r="M379" s="14"/>
      <c r="N379" s="14"/>
      <c r="Z379" s="11"/>
      <c r="AA379" s="16"/>
      <c r="AB379" s="3"/>
      <c r="AC379" s="3"/>
      <c r="AD379" s="3"/>
      <c r="AE379" s="3"/>
      <c r="AF379" s="3"/>
      <c r="AG379" s="3"/>
      <c r="AH379" s="3"/>
      <c r="AI379" s="3"/>
      <c r="AJ379" s="3"/>
      <c r="AK379" s="3"/>
      <c r="AL379" s="16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6"/>
      <c r="AX379" s="15"/>
      <c r="AY379" s="15"/>
      <c r="AZ379" s="15"/>
      <c r="BA379" s="16"/>
      <c r="BB379" s="16"/>
      <c r="BC379" s="16"/>
      <c r="BD379" s="16"/>
      <c r="BE379" s="16"/>
      <c r="BF379" s="16"/>
      <c r="BG379" s="16"/>
      <c r="BH379" s="16"/>
      <c r="BI379" s="16"/>
      <c r="BJ379" s="16"/>
      <c r="BK379" s="16"/>
      <c r="BL379" s="16"/>
      <c r="BM379" s="16"/>
      <c r="BN379" s="16"/>
      <c r="BO379" s="16"/>
      <c r="BP379" s="3"/>
      <c r="BQ379" s="3"/>
      <c r="BR379" s="3"/>
      <c r="BS379" s="3"/>
      <c r="BT379" s="3"/>
      <c r="BU379" s="3"/>
      <c r="BV379" s="3"/>
      <c r="BW379" s="3"/>
      <c r="BX379" s="3"/>
      <c r="BY379" s="3"/>
      <c r="BZ379" s="3"/>
      <c r="CA379" s="3"/>
      <c r="CB379" s="3"/>
      <c r="CC379" s="3"/>
      <c r="CD379" s="3"/>
      <c r="CE379" s="3"/>
      <c r="CF379" s="3"/>
      <c r="CG379" s="3"/>
      <c r="CH379" s="3"/>
      <c r="CI379" s="3"/>
      <c r="CJ379" s="3"/>
      <c r="CK379" s="3"/>
      <c r="CL379" s="3"/>
      <c r="CM379" s="3"/>
      <c r="CN379" s="3"/>
      <c r="CO379" s="3"/>
      <c r="CP379" s="3"/>
      <c r="CQ379" s="3"/>
      <c r="CR379" s="3"/>
    </row>
    <row r="380" spans="1:96" ht="12" customHeight="1" x14ac:dyDescent="0.25">
      <c r="A380" s="3"/>
      <c r="B380" s="14"/>
      <c r="C380" s="14"/>
      <c r="D380" s="14"/>
      <c r="E380" s="14"/>
      <c r="K380" s="14"/>
      <c r="M380" s="14"/>
      <c r="N380" s="14"/>
      <c r="Z380" s="11"/>
      <c r="AA380" s="16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16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6"/>
      <c r="AX380" s="15"/>
      <c r="AY380" s="15"/>
      <c r="AZ380" s="15"/>
      <c r="BA380" s="16"/>
      <c r="BB380" s="16"/>
      <c r="BC380" s="16"/>
      <c r="BD380" s="16"/>
      <c r="BE380" s="16"/>
      <c r="BF380" s="16"/>
      <c r="BG380" s="16"/>
      <c r="BH380" s="16"/>
      <c r="BI380" s="16"/>
      <c r="BJ380" s="16"/>
      <c r="BK380" s="16"/>
      <c r="BL380" s="16"/>
      <c r="BM380" s="16"/>
      <c r="BN380" s="16"/>
      <c r="BO380" s="16"/>
      <c r="BP380" s="3"/>
      <c r="BQ380" s="3"/>
      <c r="BR380" s="3"/>
      <c r="BS380" s="3"/>
      <c r="BT380" s="3"/>
      <c r="BU380" s="3"/>
      <c r="BV380" s="3"/>
      <c r="BW380" s="3"/>
      <c r="BX380" s="3"/>
      <c r="BY380" s="3"/>
      <c r="BZ380" s="3"/>
      <c r="CA380" s="3"/>
      <c r="CB380" s="3"/>
      <c r="CC380" s="3"/>
      <c r="CD380" s="3"/>
      <c r="CE380" s="3"/>
      <c r="CF380" s="3"/>
      <c r="CG380" s="3"/>
      <c r="CH380" s="3"/>
      <c r="CI380" s="3"/>
      <c r="CJ380" s="3"/>
      <c r="CK380" s="3"/>
      <c r="CL380" s="3"/>
      <c r="CM380" s="3"/>
      <c r="CN380" s="3"/>
      <c r="CO380" s="3"/>
      <c r="CP380" s="3"/>
      <c r="CQ380" s="3"/>
      <c r="CR380" s="3"/>
    </row>
    <row r="381" spans="1:96" ht="12" customHeight="1" x14ac:dyDescent="0.25">
      <c r="A381" s="3"/>
      <c r="B381" s="14"/>
      <c r="C381" s="14"/>
      <c r="D381" s="14"/>
      <c r="E381" s="14"/>
      <c r="K381" s="14"/>
      <c r="M381" s="14"/>
      <c r="N381" s="14"/>
      <c r="Z381" s="11"/>
      <c r="AA381" s="16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16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6"/>
      <c r="AX381" s="15"/>
      <c r="AY381" s="15"/>
      <c r="AZ381" s="15"/>
      <c r="BA381" s="16"/>
      <c r="BB381" s="16"/>
      <c r="BC381" s="16"/>
      <c r="BD381" s="16"/>
      <c r="BE381" s="16"/>
      <c r="BF381" s="16"/>
      <c r="BG381" s="16"/>
      <c r="BH381" s="16"/>
      <c r="BI381" s="16"/>
      <c r="BJ381" s="16"/>
      <c r="BK381" s="16"/>
      <c r="BL381" s="16"/>
      <c r="BM381" s="16"/>
      <c r="BN381" s="16"/>
      <c r="BO381" s="16"/>
      <c r="BP381" s="3"/>
      <c r="BQ381" s="3"/>
      <c r="BR381" s="3"/>
      <c r="BS381" s="3"/>
      <c r="BT381" s="3"/>
      <c r="BU381" s="3"/>
      <c r="BV381" s="3"/>
      <c r="BW381" s="3"/>
      <c r="BX381" s="3"/>
      <c r="BY381" s="3"/>
      <c r="BZ381" s="3"/>
      <c r="CA381" s="3"/>
      <c r="CB381" s="3"/>
      <c r="CC381" s="3"/>
      <c r="CD381" s="3"/>
      <c r="CE381" s="3"/>
      <c r="CF381" s="3"/>
      <c r="CG381" s="3"/>
      <c r="CH381" s="3"/>
      <c r="CI381" s="3"/>
      <c r="CJ381" s="3"/>
      <c r="CK381" s="3"/>
      <c r="CL381" s="3"/>
      <c r="CM381" s="3"/>
      <c r="CN381" s="3"/>
      <c r="CO381" s="3"/>
      <c r="CP381" s="3"/>
      <c r="CQ381" s="3"/>
      <c r="CR381" s="3"/>
    </row>
    <row r="382" spans="1:96" ht="12" customHeight="1" x14ac:dyDescent="0.25">
      <c r="A382" s="3"/>
      <c r="B382" s="14"/>
      <c r="C382" s="14"/>
      <c r="D382" s="14"/>
      <c r="E382" s="14"/>
      <c r="K382" s="14"/>
      <c r="M382" s="14"/>
      <c r="N382" s="14"/>
      <c r="Z382" s="11"/>
      <c r="AA382" s="16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16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6"/>
      <c r="AX382" s="15"/>
      <c r="AY382" s="15"/>
      <c r="AZ382" s="15"/>
      <c r="BA382" s="16"/>
      <c r="BB382" s="16"/>
      <c r="BC382" s="16"/>
      <c r="BD382" s="16"/>
      <c r="BE382" s="16"/>
      <c r="BF382" s="16"/>
      <c r="BG382" s="16"/>
      <c r="BH382" s="16"/>
      <c r="BI382" s="16"/>
      <c r="BJ382" s="16"/>
      <c r="BK382" s="16"/>
      <c r="BL382" s="16"/>
      <c r="BM382" s="16"/>
      <c r="BN382" s="16"/>
      <c r="BO382" s="16"/>
      <c r="BP382" s="3"/>
      <c r="BQ382" s="3"/>
      <c r="BR382" s="3"/>
      <c r="BS382" s="3"/>
      <c r="BT382" s="3"/>
      <c r="BU382" s="3"/>
      <c r="BV382" s="3"/>
      <c r="BW382" s="3"/>
      <c r="BX382" s="3"/>
      <c r="BY382" s="3"/>
      <c r="BZ382" s="3"/>
      <c r="CA382" s="3"/>
      <c r="CB382" s="3"/>
      <c r="CC382" s="3"/>
      <c r="CD382" s="3"/>
      <c r="CE382" s="3"/>
      <c r="CF382" s="3"/>
      <c r="CG382" s="3"/>
      <c r="CH382" s="3"/>
      <c r="CI382" s="3"/>
      <c r="CJ382" s="3"/>
      <c r="CK382" s="3"/>
      <c r="CL382" s="3"/>
      <c r="CM382" s="3"/>
      <c r="CN382" s="3"/>
      <c r="CO382" s="3"/>
      <c r="CP382" s="3"/>
      <c r="CQ382" s="3"/>
      <c r="CR382" s="3"/>
    </row>
    <row r="383" spans="1:96" ht="12" customHeight="1" x14ac:dyDescent="0.25">
      <c r="A383" s="3"/>
      <c r="B383" s="14"/>
      <c r="C383" s="14"/>
      <c r="D383" s="14"/>
      <c r="E383" s="14"/>
      <c r="K383" s="14"/>
      <c r="M383" s="14"/>
      <c r="N383" s="14"/>
      <c r="Z383" s="11"/>
      <c r="AA383" s="16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16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6"/>
      <c r="AX383" s="15"/>
      <c r="AY383" s="15"/>
      <c r="AZ383" s="15"/>
      <c r="BA383" s="16"/>
      <c r="BB383" s="16"/>
      <c r="BC383" s="16"/>
      <c r="BD383" s="16"/>
      <c r="BE383" s="16"/>
      <c r="BF383" s="16"/>
      <c r="BG383" s="16"/>
      <c r="BH383" s="16"/>
      <c r="BI383" s="16"/>
      <c r="BJ383" s="16"/>
      <c r="BK383" s="16"/>
      <c r="BL383" s="16"/>
      <c r="BM383" s="16"/>
      <c r="BN383" s="16"/>
      <c r="BO383" s="16"/>
      <c r="BP383" s="3"/>
      <c r="BQ383" s="3"/>
      <c r="BR383" s="3"/>
      <c r="BS383" s="3"/>
      <c r="BT383" s="3"/>
      <c r="BU383" s="3"/>
      <c r="BV383" s="3"/>
      <c r="BW383" s="3"/>
      <c r="BX383" s="3"/>
      <c r="BY383" s="3"/>
      <c r="BZ383" s="3"/>
      <c r="CA383" s="3"/>
      <c r="CB383" s="3"/>
      <c r="CC383" s="3"/>
      <c r="CD383" s="3"/>
      <c r="CE383" s="3"/>
      <c r="CF383" s="3"/>
      <c r="CG383" s="3"/>
      <c r="CH383" s="3"/>
      <c r="CI383" s="3"/>
      <c r="CJ383" s="3"/>
      <c r="CK383" s="3"/>
      <c r="CL383" s="3"/>
      <c r="CM383" s="3"/>
      <c r="CN383" s="3"/>
      <c r="CO383" s="3"/>
      <c r="CP383" s="3"/>
      <c r="CQ383" s="3"/>
      <c r="CR383" s="3"/>
    </row>
    <row r="384" spans="1:96" ht="12" customHeight="1" x14ac:dyDescent="0.25">
      <c r="A384" s="3"/>
      <c r="B384" s="14"/>
      <c r="C384" s="14"/>
      <c r="D384" s="14"/>
      <c r="E384" s="14"/>
      <c r="K384" s="14"/>
      <c r="M384" s="14"/>
      <c r="N384" s="14"/>
      <c r="Z384" s="11"/>
      <c r="AA384" s="16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16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6"/>
      <c r="AX384" s="15"/>
      <c r="AY384" s="15"/>
      <c r="AZ384" s="15"/>
      <c r="BA384" s="16"/>
      <c r="BB384" s="16"/>
      <c r="BC384" s="16"/>
      <c r="BD384" s="16"/>
      <c r="BE384" s="16"/>
      <c r="BF384" s="16"/>
      <c r="BG384" s="16"/>
      <c r="BH384" s="16"/>
      <c r="BI384" s="16"/>
      <c r="BJ384" s="16"/>
      <c r="BK384" s="16"/>
      <c r="BL384" s="16"/>
      <c r="BM384" s="16"/>
      <c r="BN384" s="16"/>
      <c r="BO384" s="16"/>
      <c r="BP384" s="3"/>
      <c r="BQ384" s="3"/>
      <c r="BR384" s="3"/>
      <c r="BS384" s="3"/>
      <c r="BT384" s="3"/>
      <c r="BU384" s="3"/>
      <c r="BV384" s="3"/>
      <c r="BW384" s="3"/>
      <c r="BX384" s="3"/>
      <c r="BY384" s="3"/>
      <c r="BZ384" s="3"/>
      <c r="CA384" s="3"/>
      <c r="CB384" s="3"/>
      <c r="CC384" s="3"/>
      <c r="CD384" s="3"/>
      <c r="CE384" s="3"/>
      <c r="CF384" s="3"/>
      <c r="CG384" s="3"/>
      <c r="CH384" s="3"/>
      <c r="CI384" s="3"/>
      <c r="CJ384" s="3"/>
      <c r="CK384" s="3"/>
      <c r="CL384" s="3"/>
      <c r="CM384" s="3"/>
      <c r="CN384" s="3"/>
      <c r="CO384" s="3"/>
      <c r="CP384" s="3"/>
      <c r="CQ384" s="3"/>
      <c r="CR384" s="3"/>
    </row>
    <row r="385" spans="1:96" ht="12" customHeight="1" x14ac:dyDescent="0.25">
      <c r="A385" s="3"/>
      <c r="B385" s="14"/>
      <c r="C385" s="14"/>
      <c r="D385" s="14"/>
      <c r="E385" s="14"/>
      <c r="K385" s="14"/>
      <c r="M385" s="14"/>
      <c r="N385" s="14"/>
      <c r="Z385" s="11"/>
      <c r="AA385" s="16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16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6"/>
      <c r="AX385" s="15"/>
      <c r="AY385" s="15"/>
      <c r="AZ385" s="15"/>
      <c r="BA385" s="16"/>
      <c r="BB385" s="16"/>
      <c r="BC385" s="16"/>
      <c r="BD385" s="16"/>
      <c r="BE385" s="16"/>
      <c r="BF385" s="16"/>
      <c r="BG385" s="16"/>
      <c r="BH385" s="16"/>
      <c r="BI385" s="16"/>
      <c r="BJ385" s="16"/>
      <c r="BK385" s="16"/>
      <c r="BL385" s="16"/>
      <c r="BM385" s="16"/>
      <c r="BN385" s="16"/>
      <c r="BO385" s="16"/>
      <c r="BP385" s="3"/>
      <c r="BQ385" s="3"/>
      <c r="BR385" s="3"/>
      <c r="BS385" s="3"/>
      <c r="BT385" s="3"/>
      <c r="BU385" s="3"/>
      <c r="BV385" s="3"/>
      <c r="BW385" s="3"/>
      <c r="BX385" s="3"/>
      <c r="BY385" s="3"/>
      <c r="BZ385" s="3"/>
      <c r="CA385" s="3"/>
      <c r="CB385" s="3"/>
      <c r="CC385" s="3"/>
      <c r="CD385" s="3"/>
      <c r="CE385" s="3"/>
      <c r="CF385" s="3"/>
      <c r="CG385" s="3"/>
      <c r="CH385" s="3"/>
      <c r="CI385" s="3"/>
      <c r="CJ385" s="3"/>
      <c r="CK385" s="3"/>
      <c r="CL385" s="3"/>
      <c r="CM385" s="3"/>
      <c r="CN385" s="3"/>
      <c r="CO385" s="3"/>
      <c r="CP385" s="3"/>
      <c r="CQ385" s="3"/>
      <c r="CR385" s="3"/>
    </row>
    <row r="386" spans="1:96" ht="12" customHeight="1" x14ac:dyDescent="0.25">
      <c r="A386" s="3"/>
      <c r="B386" s="14"/>
      <c r="C386" s="14"/>
      <c r="D386" s="14"/>
      <c r="E386" s="14"/>
      <c r="K386" s="14"/>
      <c r="M386" s="14"/>
      <c r="N386" s="14"/>
      <c r="Z386" s="11"/>
      <c r="AA386" s="16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16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6"/>
      <c r="AX386" s="15"/>
      <c r="AY386" s="15"/>
      <c r="AZ386" s="15"/>
      <c r="BA386" s="16"/>
      <c r="BB386" s="16"/>
      <c r="BC386" s="16"/>
      <c r="BD386" s="16"/>
      <c r="BE386" s="16"/>
      <c r="BF386" s="16"/>
      <c r="BG386" s="16"/>
      <c r="BH386" s="16"/>
      <c r="BI386" s="16"/>
      <c r="BJ386" s="16"/>
      <c r="BK386" s="16"/>
      <c r="BL386" s="16"/>
      <c r="BM386" s="16"/>
      <c r="BN386" s="16"/>
      <c r="BO386" s="16"/>
      <c r="BP386" s="3"/>
      <c r="BQ386" s="3"/>
      <c r="BR386" s="3"/>
      <c r="BS386" s="3"/>
      <c r="BT386" s="3"/>
      <c r="BU386" s="3"/>
      <c r="BV386" s="3"/>
      <c r="BW386" s="3"/>
      <c r="BX386" s="3"/>
      <c r="BY386" s="3"/>
      <c r="BZ386" s="3"/>
      <c r="CA386" s="3"/>
      <c r="CB386" s="3"/>
      <c r="CC386" s="3"/>
      <c r="CD386" s="3"/>
      <c r="CE386" s="3"/>
      <c r="CF386" s="3"/>
      <c r="CG386" s="3"/>
      <c r="CH386" s="3"/>
      <c r="CI386" s="3"/>
      <c r="CJ386" s="3"/>
      <c r="CK386" s="3"/>
      <c r="CL386" s="3"/>
      <c r="CM386" s="3"/>
      <c r="CN386" s="3"/>
      <c r="CO386" s="3"/>
      <c r="CP386" s="3"/>
      <c r="CQ386" s="3"/>
      <c r="CR386" s="3"/>
    </row>
    <row r="387" spans="1:96" ht="12" customHeight="1" x14ac:dyDescent="0.25">
      <c r="A387" s="3"/>
      <c r="B387" s="14"/>
      <c r="C387" s="14"/>
      <c r="D387" s="14"/>
      <c r="E387" s="14"/>
      <c r="K387" s="14"/>
      <c r="M387" s="14"/>
      <c r="N387" s="14"/>
      <c r="Z387" s="11"/>
      <c r="AA387" s="16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16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6"/>
      <c r="AX387" s="15"/>
      <c r="AY387" s="15"/>
      <c r="AZ387" s="15"/>
      <c r="BA387" s="16"/>
      <c r="BB387" s="16"/>
      <c r="BC387" s="16"/>
      <c r="BD387" s="16"/>
      <c r="BE387" s="16"/>
      <c r="BF387" s="16"/>
      <c r="BG387" s="16"/>
      <c r="BH387" s="16"/>
      <c r="BI387" s="16"/>
      <c r="BJ387" s="16"/>
      <c r="BK387" s="16"/>
      <c r="BL387" s="16"/>
      <c r="BM387" s="16"/>
      <c r="BN387" s="16"/>
      <c r="BO387" s="16"/>
      <c r="BP387" s="3"/>
      <c r="BQ387" s="3"/>
      <c r="BR387" s="3"/>
      <c r="BS387" s="3"/>
      <c r="BT387" s="3"/>
      <c r="BU387" s="3"/>
      <c r="BV387" s="3"/>
      <c r="BW387" s="3"/>
      <c r="BX387" s="3"/>
      <c r="BY387" s="3"/>
      <c r="BZ387" s="3"/>
      <c r="CA387" s="3"/>
      <c r="CB387" s="3"/>
      <c r="CC387" s="3"/>
      <c r="CD387" s="3"/>
      <c r="CE387" s="3"/>
      <c r="CF387" s="3"/>
      <c r="CG387" s="3"/>
      <c r="CH387" s="3"/>
      <c r="CI387" s="3"/>
      <c r="CJ387" s="3"/>
      <c r="CK387" s="3"/>
      <c r="CL387" s="3"/>
      <c r="CM387" s="3"/>
      <c r="CN387" s="3"/>
      <c r="CO387" s="3"/>
      <c r="CP387" s="3"/>
      <c r="CQ387" s="3"/>
      <c r="CR387" s="3"/>
    </row>
    <row r="388" spans="1:96" ht="12" customHeight="1" x14ac:dyDescent="0.25">
      <c r="A388" s="3"/>
      <c r="B388" s="14"/>
      <c r="C388" s="14"/>
      <c r="D388" s="14"/>
      <c r="E388" s="14"/>
      <c r="K388" s="14"/>
      <c r="M388" s="14"/>
      <c r="N388" s="14"/>
      <c r="Z388" s="11"/>
      <c r="AA388" s="16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16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6"/>
      <c r="AX388" s="15"/>
      <c r="AY388" s="15"/>
      <c r="AZ388" s="15"/>
      <c r="BA388" s="16"/>
      <c r="BB388" s="16"/>
      <c r="BC388" s="16"/>
      <c r="BD388" s="16"/>
      <c r="BE388" s="16"/>
      <c r="BF388" s="16"/>
      <c r="BG388" s="16"/>
      <c r="BH388" s="16"/>
      <c r="BI388" s="16"/>
      <c r="BJ388" s="16"/>
      <c r="BK388" s="16"/>
      <c r="BL388" s="16"/>
      <c r="BM388" s="16"/>
      <c r="BN388" s="16"/>
      <c r="BO388" s="16"/>
      <c r="BP388" s="3"/>
      <c r="BQ388" s="3"/>
      <c r="BR388" s="3"/>
      <c r="BS388" s="3"/>
      <c r="BT388" s="3"/>
      <c r="BU388" s="3"/>
      <c r="BV388" s="3"/>
      <c r="BW388" s="3"/>
      <c r="BX388" s="3"/>
      <c r="BY388" s="3"/>
      <c r="BZ388" s="3"/>
      <c r="CA388" s="3"/>
      <c r="CB388" s="3"/>
      <c r="CC388" s="3"/>
      <c r="CD388" s="3"/>
      <c r="CE388" s="3"/>
      <c r="CF388" s="3"/>
      <c r="CG388" s="3"/>
      <c r="CH388" s="3"/>
      <c r="CI388" s="3"/>
      <c r="CJ388" s="3"/>
      <c r="CK388" s="3"/>
      <c r="CL388" s="3"/>
      <c r="CM388" s="3"/>
      <c r="CN388" s="3"/>
      <c r="CO388" s="3"/>
      <c r="CP388" s="3"/>
      <c r="CQ388" s="3"/>
      <c r="CR388" s="3"/>
    </row>
    <row r="389" spans="1:96" ht="12" customHeight="1" x14ac:dyDescent="0.25">
      <c r="A389" s="3"/>
      <c r="B389" s="14"/>
      <c r="C389" s="14"/>
      <c r="D389" s="14"/>
      <c r="E389" s="14"/>
      <c r="K389" s="14"/>
      <c r="M389" s="14"/>
      <c r="N389" s="14"/>
      <c r="Z389" s="11"/>
      <c r="AA389" s="16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16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6"/>
      <c r="AX389" s="15"/>
      <c r="AY389" s="15"/>
      <c r="AZ389" s="15"/>
      <c r="BA389" s="16"/>
      <c r="BB389" s="16"/>
      <c r="BC389" s="16"/>
      <c r="BD389" s="16"/>
      <c r="BE389" s="16"/>
      <c r="BF389" s="16"/>
      <c r="BG389" s="16"/>
      <c r="BH389" s="16"/>
      <c r="BI389" s="16"/>
      <c r="BJ389" s="16"/>
      <c r="BK389" s="16"/>
      <c r="BL389" s="16"/>
      <c r="BM389" s="16"/>
      <c r="BN389" s="16"/>
      <c r="BO389" s="16"/>
      <c r="BP389" s="3"/>
      <c r="BQ389" s="3"/>
      <c r="BR389" s="3"/>
      <c r="BS389" s="3"/>
      <c r="BT389" s="3"/>
      <c r="BU389" s="3"/>
      <c r="BV389" s="3"/>
      <c r="BW389" s="3"/>
      <c r="BX389" s="3"/>
      <c r="BY389" s="3"/>
      <c r="BZ389" s="3"/>
      <c r="CA389" s="3"/>
      <c r="CB389" s="3"/>
      <c r="CC389" s="3"/>
      <c r="CD389" s="3"/>
      <c r="CE389" s="3"/>
      <c r="CF389" s="3"/>
      <c r="CG389" s="3"/>
      <c r="CH389" s="3"/>
      <c r="CI389" s="3"/>
      <c r="CJ389" s="3"/>
      <c r="CK389" s="3"/>
      <c r="CL389" s="3"/>
      <c r="CM389" s="3"/>
      <c r="CN389" s="3"/>
      <c r="CO389" s="3"/>
      <c r="CP389" s="3"/>
      <c r="CQ389" s="3"/>
      <c r="CR389" s="3"/>
    </row>
    <row r="390" spans="1:96" ht="12" customHeight="1" x14ac:dyDescent="0.25">
      <c r="A390" s="3"/>
      <c r="B390" s="14"/>
      <c r="C390" s="14"/>
      <c r="D390" s="14"/>
      <c r="E390" s="14"/>
      <c r="K390" s="14"/>
      <c r="M390" s="14"/>
      <c r="N390" s="14"/>
      <c r="Z390" s="11"/>
      <c r="AA390" s="16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16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6"/>
      <c r="AX390" s="15"/>
      <c r="AY390" s="15"/>
      <c r="AZ390" s="15"/>
      <c r="BA390" s="16"/>
      <c r="BB390" s="16"/>
      <c r="BC390" s="16"/>
      <c r="BD390" s="16"/>
      <c r="BE390" s="16"/>
      <c r="BF390" s="16"/>
      <c r="BG390" s="16"/>
      <c r="BH390" s="16"/>
      <c r="BI390" s="16"/>
      <c r="BJ390" s="16"/>
      <c r="BK390" s="16"/>
      <c r="BL390" s="16"/>
      <c r="BM390" s="16"/>
      <c r="BN390" s="16"/>
      <c r="BO390" s="16"/>
      <c r="BP390" s="3"/>
      <c r="BQ390" s="3"/>
      <c r="BR390" s="3"/>
      <c r="BS390" s="3"/>
      <c r="BT390" s="3"/>
      <c r="BU390" s="3"/>
      <c r="BV390" s="3"/>
      <c r="BW390" s="3"/>
      <c r="BX390" s="3"/>
      <c r="BY390" s="3"/>
      <c r="BZ390" s="3"/>
      <c r="CA390" s="3"/>
      <c r="CB390" s="3"/>
      <c r="CC390" s="3"/>
      <c r="CD390" s="3"/>
      <c r="CE390" s="3"/>
      <c r="CF390" s="3"/>
      <c r="CG390" s="3"/>
      <c r="CH390" s="3"/>
      <c r="CI390" s="3"/>
      <c r="CJ390" s="3"/>
      <c r="CK390" s="3"/>
      <c r="CL390" s="3"/>
      <c r="CM390" s="3"/>
      <c r="CN390" s="3"/>
      <c r="CO390" s="3"/>
      <c r="CP390" s="3"/>
      <c r="CQ390" s="3"/>
      <c r="CR390" s="3"/>
    </row>
    <row r="391" spans="1:96" ht="12" customHeight="1" x14ac:dyDescent="0.25">
      <c r="A391" s="3"/>
      <c r="B391" s="14"/>
      <c r="C391" s="14"/>
      <c r="D391" s="14"/>
      <c r="E391" s="14"/>
      <c r="K391" s="14"/>
      <c r="M391" s="14"/>
      <c r="N391" s="14"/>
      <c r="Z391" s="11"/>
      <c r="AA391" s="16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16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6"/>
      <c r="AX391" s="15"/>
      <c r="AY391" s="15"/>
      <c r="AZ391" s="15"/>
      <c r="BA391" s="16"/>
      <c r="BB391" s="16"/>
      <c r="BC391" s="16"/>
      <c r="BD391" s="16"/>
      <c r="BE391" s="16"/>
      <c r="BF391" s="16"/>
      <c r="BG391" s="16"/>
      <c r="BH391" s="16"/>
      <c r="BI391" s="16"/>
      <c r="BJ391" s="16"/>
      <c r="BK391" s="16"/>
      <c r="BL391" s="16"/>
      <c r="BM391" s="16"/>
      <c r="BN391" s="16"/>
      <c r="BO391" s="16"/>
      <c r="BP391" s="3"/>
      <c r="BQ391" s="3"/>
      <c r="BR391" s="3"/>
      <c r="BS391" s="3"/>
      <c r="BT391" s="3"/>
      <c r="BU391" s="3"/>
      <c r="BV391" s="3"/>
      <c r="BW391" s="3"/>
      <c r="BX391" s="3"/>
      <c r="BY391" s="3"/>
      <c r="BZ391" s="3"/>
      <c r="CA391" s="3"/>
      <c r="CB391" s="3"/>
      <c r="CC391" s="3"/>
      <c r="CD391" s="3"/>
      <c r="CE391" s="3"/>
      <c r="CF391" s="3"/>
      <c r="CG391" s="3"/>
      <c r="CH391" s="3"/>
      <c r="CI391" s="3"/>
      <c r="CJ391" s="3"/>
      <c r="CK391" s="3"/>
      <c r="CL391" s="3"/>
      <c r="CM391" s="3"/>
      <c r="CN391" s="3"/>
      <c r="CO391" s="3"/>
      <c r="CP391" s="3"/>
      <c r="CQ391" s="3"/>
      <c r="CR391" s="3"/>
    </row>
    <row r="392" spans="1:96" ht="12" customHeight="1" x14ac:dyDescent="0.25">
      <c r="A392" s="3"/>
      <c r="B392" s="14"/>
      <c r="C392" s="14"/>
      <c r="D392" s="14"/>
      <c r="E392" s="14"/>
      <c r="K392" s="14"/>
      <c r="M392" s="14"/>
      <c r="N392" s="14"/>
      <c r="Z392" s="11"/>
      <c r="AA392" s="16"/>
      <c r="AB392" s="3"/>
      <c r="AC392" s="3"/>
      <c r="AD392" s="3"/>
      <c r="AE392" s="3"/>
      <c r="AF392" s="3"/>
      <c r="AG392" s="3"/>
      <c r="AH392" s="3"/>
      <c r="AI392" s="3"/>
      <c r="AJ392" s="3"/>
      <c r="AK392" s="3"/>
      <c r="AL392" s="16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6"/>
      <c r="AX392" s="15"/>
      <c r="AY392" s="15"/>
      <c r="AZ392" s="15"/>
      <c r="BA392" s="16"/>
      <c r="BB392" s="16"/>
      <c r="BC392" s="16"/>
      <c r="BD392" s="16"/>
      <c r="BE392" s="16"/>
      <c r="BF392" s="16"/>
      <c r="BG392" s="16"/>
      <c r="BH392" s="16"/>
      <c r="BI392" s="16"/>
      <c r="BJ392" s="16"/>
      <c r="BK392" s="16"/>
      <c r="BL392" s="16"/>
      <c r="BM392" s="16"/>
      <c r="BN392" s="16"/>
      <c r="BO392" s="16"/>
      <c r="BP392" s="3"/>
      <c r="BQ392" s="3"/>
      <c r="BR392" s="3"/>
      <c r="BS392" s="3"/>
      <c r="BT392" s="3"/>
      <c r="BU392" s="3"/>
      <c r="BV392" s="3"/>
      <c r="BW392" s="3"/>
      <c r="BX392" s="3"/>
      <c r="BY392" s="3"/>
      <c r="BZ392" s="3"/>
      <c r="CA392" s="3"/>
      <c r="CB392" s="3"/>
      <c r="CC392" s="3"/>
      <c r="CD392" s="3"/>
      <c r="CE392" s="3"/>
      <c r="CF392" s="3"/>
      <c r="CG392" s="3"/>
      <c r="CH392" s="3"/>
      <c r="CI392" s="3"/>
      <c r="CJ392" s="3"/>
      <c r="CK392" s="3"/>
      <c r="CL392" s="3"/>
      <c r="CM392" s="3"/>
      <c r="CN392" s="3"/>
      <c r="CO392" s="3"/>
      <c r="CP392" s="3"/>
      <c r="CQ392" s="3"/>
      <c r="CR392" s="3"/>
    </row>
    <row r="393" spans="1:96" ht="12" customHeight="1" x14ac:dyDescent="0.25">
      <c r="A393" s="3"/>
      <c r="B393" s="14"/>
      <c r="C393" s="14"/>
      <c r="D393" s="14"/>
      <c r="E393" s="14"/>
      <c r="K393" s="14"/>
      <c r="M393" s="14"/>
      <c r="N393" s="14"/>
      <c r="Z393" s="11"/>
      <c r="AA393" s="16"/>
      <c r="AB393" s="3"/>
      <c r="AC393" s="3"/>
      <c r="AD393" s="3"/>
      <c r="AE393" s="3"/>
      <c r="AF393" s="3"/>
      <c r="AG393" s="3"/>
      <c r="AH393" s="3"/>
      <c r="AI393" s="3"/>
      <c r="AJ393" s="3"/>
      <c r="AK393" s="3"/>
      <c r="AL393" s="16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6"/>
      <c r="AX393" s="15"/>
      <c r="AY393" s="15"/>
      <c r="AZ393" s="15"/>
      <c r="BA393" s="16"/>
      <c r="BB393" s="16"/>
      <c r="BC393" s="16"/>
      <c r="BD393" s="16"/>
      <c r="BE393" s="16"/>
      <c r="BF393" s="16"/>
      <c r="BG393" s="16"/>
      <c r="BH393" s="16"/>
      <c r="BI393" s="16"/>
      <c r="BJ393" s="16"/>
      <c r="BK393" s="16"/>
      <c r="BL393" s="16"/>
      <c r="BM393" s="16"/>
      <c r="BN393" s="16"/>
      <c r="BO393" s="16"/>
      <c r="BP393" s="3"/>
      <c r="BQ393" s="3"/>
      <c r="BR393" s="3"/>
      <c r="BS393" s="3"/>
      <c r="BT393" s="3"/>
      <c r="BU393" s="3"/>
      <c r="BV393" s="3"/>
      <c r="BW393" s="3"/>
      <c r="BX393" s="3"/>
      <c r="BY393" s="3"/>
      <c r="BZ393" s="3"/>
      <c r="CA393" s="3"/>
      <c r="CB393" s="3"/>
      <c r="CC393" s="3"/>
      <c r="CD393" s="3"/>
      <c r="CE393" s="3"/>
      <c r="CF393" s="3"/>
      <c r="CG393" s="3"/>
      <c r="CH393" s="3"/>
      <c r="CI393" s="3"/>
      <c r="CJ393" s="3"/>
      <c r="CK393" s="3"/>
      <c r="CL393" s="3"/>
      <c r="CM393" s="3"/>
      <c r="CN393" s="3"/>
      <c r="CO393" s="3"/>
      <c r="CP393" s="3"/>
      <c r="CQ393" s="3"/>
      <c r="CR393" s="3"/>
    </row>
    <row r="394" spans="1:96" ht="12" customHeight="1" x14ac:dyDescent="0.25">
      <c r="A394" s="3"/>
      <c r="B394" s="14"/>
      <c r="C394" s="14"/>
      <c r="D394" s="14"/>
      <c r="E394" s="14"/>
      <c r="K394" s="14"/>
      <c r="M394" s="14"/>
      <c r="N394" s="14"/>
      <c r="Z394" s="11"/>
      <c r="AA394" s="16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16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6"/>
      <c r="AX394" s="15"/>
      <c r="AY394" s="15"/>
      <c r="AZ394" s="15"/>
      <c r="BA394" s="16"/>
      <c r="BB394" s="16"/>
      <c r="BC394" s="16"/>
      <c r="BD394" s="16"/>
      <c r="BE394" s="16"/>
      <c r="BF394" s="16"/>
      <c r="BG394" s="16"/>
      <c r="BH394" s="16"/>
      <c r="BI394" s="16"/>
      <c r="BJ394" s="16"/>
      <c r="BK394" s="16"/>
      <c r="BL394" s="16"/>
      <c r="BM394" s="16"/>
      <c r="BN394" s="16"/>
      <c r="BO394" s="16"/>
      <c r="BP394" s="3"/>
      <c r="BQ394" s="3"/>
      <c r="BR394" s="3"/>
      <c r="BS394" s="3"/>
      <c r="BT394" s="3"/>
      <c r="BU394" s="3"/>
      <c r="BV394" s="3"/>
      <c r="BW394" s="3"/>
      <c r="BX394" s="3"/>
      <c r="BY394" s="3"/>
      <c r="BZ394" s="3"/>
      <c r="CA394" s="3"/>
      <c r="CB394" s="3"/>
      <c r="CC394" s="3"/>
      <c r="CD394" s="3"/>
      <c r="CE394" s="3"/>
      <c r="CF394" s="3"/>
      <c r="CG394" s="3"/>
      <c r="CH394" s="3"/>
      <c r="CI394" s="3"/>
      <c r="CJ394" s="3"/>
      <c r="CK394" s="3"/>
      <c r="CL394" s="3"/>
      <c r="CM394" s="3"/>
      <c r="CN394" s="3"/>
      <c r="CO394" s="3"/>
      <c r="CP394" s="3"/>
      <c r="CQ394" s="3"/>
      <c r="CR394" s="3"/>
    </row>
    <row r="395" spans="1:96" ht="12" customHeight="1" x14ac:dyDescent="0.25">
      <c r="A395" s="3"/>
      <c r="B395" s="14"/>
      <c r="C395" s="14"/>
      <c r="D395" s="14"/>
      <c r="E395" s="14"/>
      <c r="K395" s="14"/>
      <c r="M395" s="14"/>
      <c r="N395" s="14"/>
      <c r="Z395" s="11"/>
      <c r="AA395" s="16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16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6"/>
      <c r="AX395" s="15"/>
      <c r="AY395" s="15"/>
      <c r="AZ395" s="15"/>
      <c r="BA395" s="16"/>
      <c r="BB395" s="16"/>
      <c r="BC395" s="16"/>
      <c r="BD395" s="16"/>
      <c r="BE395" s="16"/>
      <c r="BF395" s="16"/>
      <c r="BG395" s="16"/>
      <c r="BH395" s="16"/>
      <c r="BI395" s="16"/>
      <c r="BJ395" s="16"/>
      <c r="BK395" s="16"/>
      <c r="BL395" s="16"/>
      <c r="BM395" s="16"/>
      <c r="BN395" s="16"/>
      <c r="BO395" s="16"/>
      <c r="BP395" s="3"/>
      <c r="BQ395" s="3"/>
      <c r="BR395" s="3"/>
      <c r="BS395" s="3"/>
      <c r="BT395" s="3"/>
      <c r="BU395" s="3"/>
      <c r="BV395" s="3"/>
      <c r="BW395" s="3"/>
      <c r="BX395" s="3"/>
      <c r="BY395" s="3"/>
      <c r="BZ395" s="3"/>
      <c r="CA395" s="3"/>
      <c r="CB395" s="3"/>
      <c r="CC395" s="3"/>
      <c r="CD395" s="3"/>
      <c r="CE395" s="3"/>
      <c r="CF395" s="3"/>
      <c r="CG395" s="3"/>
      <c r="CH395" s="3"/>
      <c r="CI395" s="3"/>
      <c r="CJ395" s="3"/>
      <c r="CK395" s="3"/>
      <c r="CL395" s="3"/>
      <c r="CM395" s="3"/>
      <c r="CN395" s="3"/>
      <c r="CO395" s="3"/>
      <c r="CP395" s="3"/>
      <c r="CQ395" s="3"/>
      <c r="CR395" s="3"/>
    </row>
    <row r="396" spans="1:96" ht="12" customHeight="1" x14ac:dyDescent="0.25">
      <c r="A396" s="3"/>
      <c r="B396" s="14"/>
      <c r="C396" s="14"/>
      <c r="D396" s="14"/>
      <c r="E396" s="14"/>
      <c r="K396" s="14"/>
      <c r="M396" s="14"/>
      <c r="N396" s="14"/>
      <c r="Z396" s="11"/>
      <c r="AA396" s="16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16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6"/>
      <c r="AX396" s="15"/>
      <c r="AY396" s="15"/>
      <c r="AZ396" s="15"/>
      <c r="BA396" s="16"/>
      <c r="BB396" s="16"/>
      <c r="BC396" s="16"/>
      <c r="BD396" s="16"/>
      <c r="BE396" s="16"/>
      <c r="BF396" s="16"/>
      <c r="BG396" s="16"/>
      <c r="BH396" s="16"/>
      <c r="BI396" s="16"/>
      <c r="BJ396" s="16"/>
      <c r="BK396" s="16"/>
      <c r="BL396" s="16"/>
      <c r="BM396" s="16"/>
      <c r="BN396" s="16"/>
      <c r="BO396" s="16"/>
      <c r="BP396" s="3"/>
      <c r="BQ396" s="3"/>
      <c r="BR396" s="3"/>
      <c r="BS396" s="3"/>
      <c r="BT396" s="3"/>
      <c r="BU396" s="3"/>
      <c r="BV396" s="3"/>
      <c r="BW396" s="3"/>
      <c r="BX396" s="3"/>
      <c r="BY396" s="3"/>
      <c r="BZ396" s="3"/>
      <c r="CA396" s="3"/>
      <c r="CB396" s="3"/>
      <c r="CC396" s="3"/>
      <c r="CD396" s="3"/>
      <c r="CE396" s="3"/>
      <c r="CF396" s="3"/>
      <c r="CG396" s="3"/>
      <c r="CH396" s="3"/>
      <c r="CI396" s="3"/>
      <c r="CJ396" s="3"/>
      <c r="CK396" s="3"/>
      <c r="CL396" s="3"/>
      <c r="CM396" s="3"/>
      <c r="CN396" s="3"/>
      <c r="CO396" s="3"/>
      <c r="CP396" s="3"/>
      <c r="CQ396" s="3"/>
      <c r="CR396" s="3"/>
    </row>
    <row r="397" spans="1:96" ht="12" customHeight="1" x14ac:dyDescent="0.25">
      <c r="A397" s="3"/>
      <c r="B397" s="14"/>
      <c r="C397" s="14"/>
      <c r="D397" s="14"/>
      <c r="E397" s="14"/>
      <c r="K397" s="14"/>
      <c r="M397" s="14"/>
      <c r="N397" s="14"/>
      <c r="Z397" s="11"/>
      <c r="AA397" s="16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16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6"/>
      <c r="AX397" s="15"/>
      <c r="AY397" s="15"/>
      <c r="AZ397" s="15"/>
      <c r="BA397" s="16"/>
      <c r="BB397" s="16"/>
      <c r="BC397" s="16"/>
      <c r="BD397" s="16"/>
      <c r="BE397" s="16"/>
      <c r="BF397" s="16"/>
      <c r="BG397" s="16"/>
      <c r="BH397" s="16"/>
      <c r="BI397" s="16"/>
      <c r="BJ397" s="16"/>
      <c r="BK397" s="16"/>
      <c r="BL397" s="16"/>
      <c r="BM397" s="16"/>
      <c r="BN397" s="16"/>
      <c r="BO397" s="16"/>
      <c r="BP397" s="3"/>
      <c r="BQ397" s="3"/>
      <c r="BR397" s="3"/>
      <c r="BS397" s="3"/>
      <c r="BT397" s="3"/>
      <c r="BU397" s="3"/>
      <c r="BV397" s="3"/>
      <c r="BW397" s="3"/>
      <c r="BX397" s="3"/>
      <c r="BY397" s="3"/>
      <c r="BZ397" s="3"/>
      <c r="CA397" s="3"/>
      <c r="CB397" s="3"/>
      <c r="CC397" s="3"/>
      <c r="CD397" s="3"/>
      <c r="CE397" s="3"/>
      <c r="CF397" s="3"/>
      <c r="CG397" s="3"/>
      <c r="CH397" s="3"/>
      <c r="CI397" s="3"/>
      <c r="CJ397" s="3"/>
      <c r="CK397" s="3"/>
      <c r="CL397" s="3"/>
      <c r="CM397" s="3"/>
      <c r="CN397" s="3"/>
      <c r="CO397" s="3"/>
      <c r="CP397" s="3"/>
      <c r="CQ397" s="3"/>
      <c r="CR397" s="3"/>
    </row>
    <row r="398" spans="1:96" ht="12" customHeight="1" x14ac:dyDescent="0.25">
      <c r="A398" s="3"/>
      <c r="B398" s="14"/>
      <c r="C398" s="14"/>
      <c r="D398" s="14"/>
      <c r="E398" s="14"/>
      <c r="K398" s="14"/>
      <c r="M398" s="14"/>
      <c r="N398" s="14"/>
      <c r="Z398" s="11"/>
      <c r="AA398" s="16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16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6"/>
      <c r="AX398" s="15"/>
      <c r="AY398" s="15"/>
      <c r="AZ398" s="15"/>
      <c r="BA398" s="16"/>
      <c r="BB398" s="16"/>
      <c r="BC398" s="16"/>
      <c r="BD398" s="16"/>
      <c r="BE398" s="16"/>
      <c r="BF398" s="16"/>
      <c r="BG398" s="16"/>
      <c r="BH398" s="16"/>
      <c r="BI398" s="16"/>
      <c r="BJ398" s="16"/>
      <c r="BK398" s="16"/>
      <c r="BL398" s="16"/>
      <c r="BM398" s="16"/>
      <c r="BN398" s="16"/>
      <c r="BO398" s="16"/>
      <c r="BP398" s="3"/>
      <c r="BQ398" s="3"/>
      <c r="BR398" s="3"/>
      <c r="BS398" s="3"/>
      <c r="BT398" s="3"/>
      <c r="BU398" s="3"/>
      <c r="BV398" s="3"/>
      <c r="BW398" s="3"/>
      <c r="BX398" s="3"/>
      <c r="BY398" s="3"/>
      <c r="BZ398" s="3"/>
      <c r="CA398" s="3"/>
      <c r="CB398" s="3"/>
      <c r="CC398" s="3"/>
      <c r="CD398" s="3"/>
      <c r="CE398" s="3"/>
      <c r="CF398" s="3"/>
      <c r="CG398" s="3"/>
      <c r="CH398" s="3"/>
      <c r="CI398" s="3"/>
      <c r="CJ398" s="3"/>
      <c r="CK398" s="3"/>
      <c r="CL398" s="3"/>
      <c r="CM398" s="3"/>
      <c r="CN398" s="3"/>
      <c r="CO398" s="3"/>
      <c r="CP398" s="3"/>
      <c r="CQ398" s="3"/>
      <c r="CR398" s="3"/>
    </row>
    <row r="399" spans="1:96" ht="12" customHeight="1" x14ac:dyDescent="0.25">
      <c r="A399" s="3"/>
      <c r="B399" s="14"/>
      <c r="C399" s="14"/>
      <c r="D399" s="14"/>
      <c r="E399" s="14"/>
      <c r="K399" s="14"/>
      <c r="M399" s="14"/>
      <c r="N399" s="14"/>
      <c r="Z399" s="11"/>
      <c r="AA399" s="16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16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6"/>
      <c r="AX399" s="15"/>
      <c r="AY399" s="15"/>
      <c r="AZ399" s="15"/>
      <c r="BA399" s="16"/>
      <c r="BB399" s="16"/>
      <c r="BC399" s="16"/>
      <c r="BD399" s="16"/>
      <c r="BE399" s="16"/>
      <c r="BF399" s="16"/>
      <c r="BG399" s="16"/>
      <c r="BH399" s="16"/>
      <c r="BI399" s="16"/>
      <c r="BJ399" s="16"/>
      <c r="BK399" s="16"/>
      <c r="BL399" s="16"/>
      <c r="BM399" s="16"/>
      <c r="BN399" s="16"/>
      <c r="BO399" s="16"/>
      <c r="BP399" s="3"/>
      <c r="BQ399" s="3"/>
      <c r="BR399" s="3"/>
      <c r="BS399" s="3"/>
      <c r="BT399" s="3"/>
      <c r="BU399" s="3"/>
      <c r="BV399" s="3"/>
      <c r="BW399" s="3"/>
      <c r="BX399" s="3"/>
      <c r="BY399" s="3"/>
      <c r="BZ399" s="3"/>
      <c r="CA399" s="3"/>
      <c r="CB399" s="3"/>
      <c r="CC399" s="3"/>
      <c r="CD399" s="3"/>
      <c r="CE399" s="3"/>
      <c r="CF399" s="3"/>
      <c r="CG399" s="3"/>
      <c r="CH399" s="3"/>
      <c r="CI399" s="3"/>
      <c r="CJ399" s="3"/>
      <c r="CK399" s="3"/>
      <c r="CL399" s="3"/>
      <c r="CM399" s="3"/>
      <c r="CN399" s="3"/>
      <c r="CO399" s="3"/>
      <c r="CP399" s="3"/>
      <c r="CQ399" s="3"/>
      <c r="CR399" s="3"/>
    </row>
    <row r="400" spans="1:96" ht="12" customHeight="1" x14ac:dyDescent="0.25">
      <c r="A400" s="3"/>
      <c r="B400" s="14"/>
      <c r="C400" s="14"/>
      <c r="D400" s="14"/>
      <c r="E400" s="14"/>
      <c r="K400" s="14"/>
      <c r="M400" s="14"/>
      <c r="N400" s="14"/>
      <c r="Z400" s="11"/>
      <c r="AA400" s="16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16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6"/>
      <c r="AX400" s="15"/>
      <c r="AY400" s="15"/>
      <c r="AZ400" s="15"/>
      <c r="BA400" s="16"/>
      <c r="BB400" s="16"/>
      <c r="BC400" s="16"/>
      <c r="BD400" s="16"/>
      <c r="BE400" s="16"/>
      <c r="BF400" s="16"/>
      <c r="BG400" s="16"/>
      <c r="BH400" s="16"/>
      <c r="BI400" s="16"/>
      <c r="BJ400" s="16"/>
      <c r="BK400" s="16"/>
      <c r="BL400" s="16"/>
      <c r="BM400" s="16"/>
      <c r="BN400" s="16"/>
      <c r="BO400" s="16"/>
      <c r="BP400" s="3"/>
      <c r="BQ400" s="3"/>
      <c r="BR400" s="3"/>
      <c r="BS400" s="3"/>
      <c r="BT400" s="3"/>
      <c r="BU400" s="3"/>
      <c r="BV400" s="3"/>
      <c r="BW400" s="3"/>
      <c r="BX400" s="3"/>
      <c r="BY400" s="3"/>
      <c r="BZ400" s="3"/>
      <c r="CA400" s="3"/>
      <c r="CB400" s="3"/>
      <c r="CC400" s="3"/>
      <c r="CD400" s="3"/>
      <c r="CE400" s="3"/>
      <c r="CF400" s="3"/>
      <c r="CG400" s="3"/>
      <c r="CH400" s="3"/>
      <c r="CI400" s="3"/>
      <c r="CJ400" s="3"/>
      <c r="CK400" s="3"/>
      <c r="CL400" s="3"/>
      <c r="CM400" s="3"/>
      <c r="CN400" s="3"/>
      <c r="CO400" s="3"/>
      <c r="CP400" s="3"/>
      <c r="CQ400" s="3"/>
      <c r="CR400" s="3"/>
    </row>
    <row r="401" spans="1:96" ht="12" customHeight="1" x14ac:dyDescent="0.25">
      <c r="A401" s="3"/>
      <c r="B401" s="14"/>
      <c r="C401" s="14"/>
      <c r="D401" s="14"/>
      <c r="E401" s="14"/>
      <c r="K401" s="14"/>
      <c r="M401" s="14"/>
      <c r="N401" s="14"/>
      <c r="Z401" s="11"/>
      <c r="AA401" s="16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16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6"/>
      <c r="AX401" s="15"/>
      <c r="AY401" s="15"/>
      <c r="AZ401" s="15"/>
      <c r="BA401" s="16"/>
      <c r="BB401" s="16"/>
      <c r="BC401" s="16"/>
      <c r="BD401" s="16"/>
      <c r="BE401" s="16"/>
      <c r="BF401" s="16"/>
      <c r="BG401" s="16"/>
      <c r="BH401" s="16"/>
      <c r="BI401" s="16"/>
      <c r="BJ401" s="16"/>
      <c r="BK401" s="16"/>
      <c r="BL401" s="16"/>
      <c r="BM401" s="16"/>
      <c r="BN401" s="16"/>
      <c r="BO401" s="16"/>
      <c r="BP401" s="3"/>
      <c r="BQ401" s="3"/>
      <c r="BR401" s="3"/>
      <c r="BS401" s="3"/>
      <c r="BT401" s="3"/>
      <c r="BU401" s="3"/>
      <c r="BV401" s="3"/>
      <c r="BW401" s="3"/>
      <c r="BX401" s="3"/>
      <c r="BY401" s="3"/>
      <c r="BZ401" s="3"/>
      <c r="CA401" s="3"/>
      <c r="CB401" s="3"/>
      <c r="CC401" s="3"/>
      <c r="CD401" s="3"/>
      <c r="CE401" s="3"/>
      <c r="CF401" s="3"/>
      <c r="CG401" s="3"/>
      <c r="CH401" s="3"/>
      <c r="CI401" s="3"/>
      <c r="CJ401" s="3"/>
      <c r="CK401" s="3"/>
      <c r="CL401" s="3"/>
      <c r="CM401" s="3"/>
      <c r="CN401" s="3"/>
      <c r="CO401" s="3"/>
      <c r="CP401" s="3"/>
      <c r="CQ401" s="3"/>
      <c r="CR401" s="3"/>
    </row>
    <row r="402" spans="1:96" ht="12" customHeight="1" x14ac:dyDescent="0.25">
      <c r="A402" s="3"/>
      <c r="B402" s="14"/>
      <c r="C402" s="14"/>
      <c r="D402" s="14"/>
      <c r="E402" s="14"/>
      <c r="K402" s="14"/>
      <c r="M402" s="14"/>
      <c r="N402" s="14"/>
      <c r="Z402" s="11"/>
      <c r="AA402" s="16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16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6"/>
      <c r="AX402" s="15"/>
      <c r="AY402" s="15"/>
      <c r="AZ402" s="15"/>
      <c r="BA402" s="16"/>
      <c r="BB402" s="16"/>
      <c r="BC402" s="16"/>
      <c r="BD402" s="16"/>
      <c r="BE402" s="16"/>
      <c r="BF402" s="16"/>
      <c r="BG402" s="16"/>
      <c r="BH402" s="16"/>
      <c r="BI402" s="16"/>
      <c r="BJ402" s="16"/>
      <c r="BK402" s="16"/>
      <c r="BL402" s="16"/>
      <c r="BM402" s="16"/>
      <c r="BN402" s="16"/>
      <c r="BO402" s="16"/>
      <c r="BP402" s="3"/>
      <c r="BQ402" s="3"/>
      <c r="BR402" s="3"/>
      <c r="BS402" s="3"/>
      <c r="BT402" s="3"/>
      <c r="BU402" s="3"/>
      <c r="BV402" s="3"/>
      <c r="BW402" s="3"/>
      <c r="BX402" s="3"/>
      <c r="BY402" s="3"/>
      <c r="BZ402" s="3"/>
      <c r="CA402" s="3"/>
      <c r="CB402" s="3"/>
      <c r="CC402" s="3"/>
      <c r="CD402" s="3"/>
      <c r="CE402" s="3"/>
      <c r="CF402" s="3"/>
      <c r="CG402" s="3"/>
      <c r="CH402" s="3"/>
      <c r="CI402" s="3"/>
      <c r="CJ402" s="3"/>
      <c r="CK402" s="3"/>
      <c r="CL402" s="3"/>
      <c r="CM402" s="3"/>
      <c r="CN402" s="3"/>
      <c r="CO402" s="3"/>
      <c r="CP402" s="3"/>
      <c r="CQ402" s="3"/>
      <c r="CR402" s="3"/>
    </row>
    <row r="403" spans="1:96" ht="12" customHeight="1" x14ac:dyDescent="0.25">
      <c r="A403" s="3"/>
      <c r="B403" s="14"/>
      <c r="C403" s="14"/>
      <c r="D403" s="14"/>
      <c r="E403" s="14"/>
      <c r="K403" s="14"/>
      <c r="M403" s="14"/>
      <c r="N403" s="14"/>
      <c r="Z403" s="11"/>
      <c r="AA403" s="16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16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6"/>
      <c r="AX403" s="15"/>
      <c r="AY403" s="15"/>
      <c r="AZ403" s="15"/>
      <c r="BA403" s="16"/>
      <c r="BB403" s="16"/>
      <c r="BC403" s="16"/>
      <c r="BD403" s="16"/>
      <c r="BE403" s="16"/>
      <c r="BF403" s="16"/>
      <c r="BG403" s="16"/>
      <c r="BH403" s="16"/>
      <c r="BI403" s="16"/>
      <c r="BJ403" s="16"/>
      <c r="BK403" s="16"/>
      <c r="BL403" s="16"/>
      <c r="BM403" s="16"/>
      <c r="BN403" s="16"/>
      <c r="BO403" s="16"/>
      <c r="BP403" s="3"/>
      <c r="BQ403" s="3"/>
      <c r="BR403" s="3"/>
      <c r="BS403" s="3"/>
      <c r="BT403" s="3"/>
      <c r="BU403" s="3"/>
      <c r="BV403" s="3"/>
      <c r="BW403" s="3"/>
      <c r="BX403" s="3"/>
      <c r="BY403" s="3"/>
      <c r="BZ403" s="3"/>
      <c r="CA403" s="3"/>
      <c r="CB403" s="3"/>
      <c r="CC403" s="3"/>
      <c r="CD403" s="3"/>
      <c r="CE403" s="3"/>
      <c r="CF403" s="3"/>
      <c r="CG403" s="3"/>
      <c r="CH403" s="3"/>
      <c r="CI403" s="3"/>
      <c r="CJ403" s="3"/>
      <c r="CK403" s="3"/>
      <c r="CL403" s="3"/>
      <c r="CM403" s="3"/>
      <c r="CN403" s="3"/>
      <c r="CO403" s="3"/>
      <c r="CP403" s="3"/>
      <c r="CQ403" s="3"/>
      <c r="CR403" s="3"/>
    </row>
    <row r="404" spans="1:96" ht="12" customHeight="1" x14ac:dyDescent="0.25">
      <c r="A404" s="3"/>
      <c r="B404" s="14"/>
      <c r="C404" s="14"/>
      <c r="D404" s="14"/>
      <c r="E404" s="14"/>
      <c r="K404" s="14"/>
      <c r="M404" s="14"/>
      <c r="N404" s="14"/>
      <c r="Z404" s="11"/>
      <c r="AA404" s="16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16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6"/>
      <c r="AX404" s="15"/>
      <c r="AY404" s="15"/>
      <c r="AZ404" s="15"/>
      <c r="BA404" s="16"/>
      <c r="BB404" s="16"/>
      <c r="BC404" s="16"/>
      <c r="BD404" s="16"/>
      <c r="BE404" s="16"/>
      <c r="BF404" s="16"/>
      <c r="BG404" s="16"/>
      <c r="BH404" s="16"/>
      <c r="BI404" s="16"/>
      <c r="BJ404" s="16"/>
      <c r="BK404" s="16"/>
      <c r="BL404" s="16"/>
      <c r="BM404" s="16"/>
      <c r="BN404" s="16"/>
      <c r="BO404" s="16"/>
      <c r="BP404" s="3"/>
      <c r="BQ404" s="3"/>
      <c r="BR404" s="3"/>
      <c r="BS404" s="3"/>
      <c r="BT404" s="3"/>
      <c r="BU404" s="3"/>
      <c r="BV404" s="3"/>
      <c r="BW404" s="3"/>
      <c r="BX404" s="3"/>
      <c r="BY404" s="3"/>
      <c r="BZ404" s="3"/>
      <c r="CA404" s="3"/>
      <c r="CB404" s="3"/>
      <c r="CC404" s="3"/>
      <c r="CD404" s="3"/>
      <c r="CE404" s="3"/>
      <c r="CF404" s="3"/>
      <c r="CG404" s="3"/>
      <c r="CH404" s="3"/>
      <c r="CI404" s="3"/>
      <c r="CJ404" s="3"/>
      <c r="CK404" s="3"/>
      <c r="CL404" s="3"/>
      <c r="CM404" s="3"/>
      <c r="CN404" s="3"/>
      <c r="CO404" s="3"/>
      <c r="CP404" s="3"/>
      <c r="CQ404" s="3"/>
      <c r="CR404" s="3"/>
    </row>
    <row r="405" spans="1:96" ht="12" customHeight="1" x14ac:dyDescent="0.25">
      <c r="A405" s="3"/>
      <c r="B405" s="14"/>
      <c r="C405" s="14"/>
      <c r="D405" s="14"/>
      <c r="E405" s="14"/>
      <c r="K405" s="14"/>
      <c r="M405" s="14"/>
      <c r="N405" s="14"/>
      <c r="Z405" s="11"/>
      <c r="AA405" s="16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16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6"/>
      <c r="AX405" s="15"/>
      <c r="AY405" s="15"/>
      <c r="AZ405" s="15"/>
      <c r="BA405" s="16"/>
      <c r="BB405" s="16"/>
      <c r="BC405" s="16"/>
      <c r="BD405" s="16"/>
      <c r="BE405" s="16"/>
      <c r="BF405" s="16"/>
      <c r="BG405" s="16"/>
      <c r="BH405" s="16"/>
      <c r="BI405" s="16"/>
      <c r="BJ405" s="16"/>
      <c r="BK405" s="16"/>
      <c r="BL405" s="16"/>
      <c r="BM405" s="16"/>
      <c r="BN405" s="16"/>
      <c r="BO405" s="16"/>
      <c r="BP405" s="3"/>
      <c r="BQ405" s="3"/>
      <c r="BR405" s="3"/>
      <c r="BS405" s="3"/>
      <c r="BT405" s="3"/>
      <c r="BU405" s="3"/>
      <c r="BV405" s="3"/>
      <c r="BW405" s="3"/>
      <c r="BX405" s="3"/>
      <c r="BY405" s="3"/>
      <c r="BZ405" s="3"/>
      <c r="CA405" s="3"/>
      <c r="CB405" s="3"/>
      <c r="CC405" s="3"/>
      <c r="CD405" s="3"/>
      <c r="CE405" s="3"/>
      <c r="CF405" s="3"/>
      <c r="CG405" s="3"/>
      <c r="CH405" s="3"/>
      <c r="CI405" s="3"/>
      <c r="CJ405" s="3"/>
      <c r="CK405" s="3"/>
      <c r="CL405" s="3"/>
      <c r="CM405" s="3"/>
      <c r="CN405" s="3"/>
      <c r="CO405" s="3"/>
      <c r="CP405" s="3"/>
      <c r="CQ405" s="3"/>
      <c r="CR405" s="3"/>
    </row>
    <row r="406" spans="1:96" ht="12" customHeight="1" x14ac:dyDescent="0.25">
      <c r="A406" s="3"/>
      <c r="B406" s="14"/>
      <c r="C406" s="14"/>
      <c r="D406" s="14"/>
      <c r="E406" s="14"/>
      <c r="K406" s="14"/>
      <c r="M406" s="14"/>
      <c r="N406" s="14"/>
      <c r="Z406" s="11"/>
      <c r="AA406" s="16"/>
      <c r="AB406" s="3"/>
      <c r="AC406" s="3"/>
      <c r="AD406" s="3"/>
      <c r="AE406" s="3"/>
      <c r="AF406" s="3"/>
      <c r="AG406" s="3"/>
      <c r="AH406" s="3"/>
      <c r="AI406" s="3"/>
      <c r="AJ406" s="3"/>
      <c r="AK406" s="3"/>
      <c r="AL406" s="16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6"/>
      <c r="AX406" s="15"/>
      <c r="AY406" s="15"/>
      <c r="AZ406" s="15"/>
      <c r="BA406" s="16"/>
      <c r="BB406" s="16"/>
      <c r="BC406" s="16"/>
      <c r="BD406" s="16"/>
      <c r="BE406" s="16"/>
      <c r="BF406" s="16"/>
      <c r="BG406" s="16"/>
      <c r="BH406" s="16"/>
      <c r="BI406" s="16"/>
      <c r="BJ406" s="16"/>
      <c r="BK406" s="16"/>
      <c r="BL406" s="16"/>
      <c r="BM406" s="16"/>
      <c r="BN406" s="16"/>
      <c r="BO406" s="16"/>
      <c r="BP406" s="3"/>
      <c r="BQ406" s="3"/>
      <c r="BR406" s="3"/>
      <c r="BS406" s="3"/>
      <c r="BT406" s="3"/>
      <c r="BU406" s="3"/>
      <c r="BV406" s="3"/>
      <c r="BW406" s="3"/>
      <c r="BX406" s="3"/>
      <c r="BY406" s="3"/>
      <c r="BZ406" s="3"/>
      <c r="CA406" s="3"/>
      <c r="CB406" s="3"/>
      <c r="CC406" s="3"/>
      <c r="CD406" s="3"/>
      <c r="CE406" s="3"/>
      <c r="CF406" s="3"/>
      <c r="CG406" s="3"/>
      <c r="CH406" s="3"/>
      <c r="CI406" s="3"/>
      <c r="CJ406" s="3"/>
      <c r="CK406" s="3"/>
      <c r="CL406" s="3"/>
      <c r="CM406" s="3"/>
      <c r="CN406" s="3"/>
      <c r="CO406" s="3"/>
      <c r="CP406" s="3"/>
      <c r="CQ406" s="3"/>
      <c r="CR406" s="3"/>
    </row>
    <row r="407" spans="1:96" ht="12" customHeight="1" x14ac:dyDescent="0.25">
      <c r="A407" s="3"/>
      <c r="B407" s="14"/>
      <c r="C407" s="14"/>
      <c r="D407" s="14"/>
      <c r="E407" s="14"/>
      <c r="K407" s="14"/>
      <c r="M407" s="14"/>
      <c r="N407" s="14"/>
      <c r="Z407" s="11"/>
      <c r="AA407" s="16"/>
      <c r="AB407" s="3"/>
      <c r="AC407" s="3"/>
      <c r="AD407" s="3"/>
      <c r="AE407" s="3"/>
      <c r="AF407" s="3"/>
      <c r="AG407" s="3"/>
      <c r="AH407" s="3"/>
      <c r="AI407" s="3"/>
      <c r="AJ407" s="3"/>
      <c r="AK407" s="3"/>
      <c r="AL407" s="16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6"/>
      <c r="AX407" s="15"/>
      <c r="AY407" s="15"/>
      <c r="AZ407" s="15"/>
      <c r="BA407" s="16"/>
      <c r="BB407" s="16"/>
      <c r="BC407" s="16"/>
      <c r="BD407" s="16"/>
      <c r="BE407" s="16"/>
      <c r="BF407" s="16"/>
      <c r="BG407" s="16"/>
      <c r="BH407" s="16"/>
      <c r="BI407" s="16"/>
      <c r="BJ407" s="16"/>
      <c r="BK407" s="16"/>
      <c r="BL407" s="16"/>
      <c r="BM407" s="16"/>
      <c r="BN407" s="16"/>
      <c r="BO407" s="16"/>
      <c r="BP407" s="3"/>
      <c r="BQ407" s="3"/>
      <c r="BR407" s="3"/>
      <c r="BS407" s="3"/>
      <c r="BT407" s="3"/>
      <c r="BU407" s="3"/>
      <c r="BV407" s="3"/>
      <c r="BW407" s="3"/>
      <c r="BX407" s="3"/>
      <c r="BY407" s="3"/>
      <c r="BZ407" s="3"/>
      <c r="CA407" s="3"/>
      <c r="CB407" s="3"/>
      <c r="CC407" s="3"/>
      <c r="CD407" s="3"/>
      <c r="CE407" s="3"/>
      <c r="CF407" s="3"/>
      <c r="CG407" s="3"/>
      <c r="CH407" s="3"/>
      <c r="CI407" s="3"/>
      <c r="CJ407" s="3"/>
      <c r="CK407" s="3"/>
      <c r="CL407" s="3"/>
      <c r="CM407" s="3"/>
      <c r="CN407" s="3"/>
      <c r="CO407" s="3"/>
      <c r="CP407" s="3"/>
      <c r="CQ407" s="3"/>
      <c r="CR407" s="3"/>
    </row>
    <row r="408" spans="1:96" ht="12" customHeight="1" x14ac:dyDescent="0.25">
      <c r="A408" s="3"/>
      <c r="B408" s="14"/>
      <c r="C408" s="14"/>
      <c r="D408" s="14"/>
      <c r="E408" s="14"/>
      <c r="K408" s="14"/>
      <c r="M408" s="14"/>
      <c r="N408" s="14"/>
      <c r="Z408" s="11"/>
      <c r="AA408" s="16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16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6"/>
      <c r="AX408" s="15"/>
      <c r="AY408" s="15"/>
      <c r="AZ408" s="15"/>
      <c r="BA408" s="16"/>
      <c r="BB408" s="16"/>
      <c r="BC408" s="16"/>
      <c r="BD408" s="16"/>
      <c r="BE408" s="16"/>
      <c r="BF408" s="16"/>
      <c r="BG408" s="16"/>
      <c r="BH408" s="16"/>
      <c r="BI408" s="16"/>
      <c r="BJ408" s="16"/>
      <c r="BK408" s="16"/>
      <c r="BL408" s="16"/>
      <c r="BM408" s="16"/>
      <c r="BN408" s="16"/>
      <c r="BO408" s="16"/>
      <c r="BP408" s="3"/>
      <c r="BQ408" s="3"/>
      <c r="BR408" s="3"/>
      <c r="BS408" s="3"/>
      <c r="BT408" s="3"/>
      <c r="BU408" s="3"/>
      <c r="BV408" s="3"/>
      <c r="BW408" s="3"/>
      <c r="BX408" s="3"/>
      <c r="BY408" s="3"/>
      <c r="BZ408" s="3"/>
      <c r="CA408" s="3"/>
      <c r="CB408" s="3"/>
      <c r="CC408" s="3"/>
      <c r="CD408" s="3"/>
      <c r="CE408" s="3"/>
      <c r="CF408" s="3"/>
      <c r="CG408" s="3"/>
      <c r="CH408" s="3"/>
      <c r="CI408" s="3"/>
      <c r="CJ408" s="3"/>
      <c r="CK408" s="3"/>
      <c r="CL408" s="3"/>
      <c r="CM408" s="3"/>
      <c r="CN408" s="3"/>
      <c r="CO408" s="3"/>
      <c r="CP408" s="3"/>
      <c r="CQ408" s="3"/>
      <c r="CR408" s="3"/>
    </row>
    <row r="409" spans="1:96" ht="12" customHeight="1" x14ac:dyDescent="0.25">
      <c r="A409" s="3"/>
      <c r="B409" s="14"/>
      <c r="C409" s="14"/>
      <c r="D409" s="14"/>
      <c r="E409" s="14"/>
      <c r="K409" s="14"/>
      <c r="M409" s="14"/>
      <c r="N409" s="14"/>
      <c r="Z409" s="11"/>
      <c r="AA409" s="16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16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6"/>
      <c r="AX409" s="15"/>
      <c r="AY409" s="15"/>
      <c r="AZ409" s="15"/>
      <c r="BA409" s="16"/>
      <c r="BB409" s="16"/>
      <c r="BC409" s="16"/>
      <c r="BD409" s="16"/>
      <c r="BE409" s="16"/>
      <c r="BF409" s="16"/>
      <c r="BG409" s="16"/>
      <c r="BH409" s="16"/>
      <c r="BI409" s="16"/>
      <c r="BJ409" s="16"/>
      <c r="BK409" s="16"/>
      <c r="BL409" s="16"/>
      <c r="BM409" s="16"/>
      <c r="BN409" s="16"/>
      <c r="BO409" s="16"/>
      <c r="BP409" s="3"/>
      <c r="BQ409" s="3"/>
      <c r="BR409" s="3"/>
      <c r="BS409" s="3"/>
      <c r="BT409" s="3"/>
      <c r="BU409" s="3"/>
      <c r="BV409" s="3"/>
      <c r="BW409" s="3"/>
      <c r="BX409" s="3"/>
      <c r="BY409" s="3"/>
      <c r="BZ409" s="3"/>
      <c r="CA409" s="3"/>
      <c r="CB409" s="3"/>
      <c r="CC409" s="3"/>
      <c r="CD409" s="3"/>
      <c r="CE409" s="3"/>
      <c r="CF409" s="3"/>
      <c r="CG409" s="3"/>
      <c r="CH409" s="3"/>
      <c r="CI409" s="3"/>
      <c r="CJ409" s="3"/>
      <c r="CK409" s="3"/>
      <c r="CL409" s="3"/>
      <c r="CM409" s="3"/>
      <c r="CN409" s="3"/>
      <c r="CO409" s="3"/>
      <c r="CP409" s="3"/>
      <c r="CQ409" s="3"/>
      <c r="CR409" s="3"/>
    </row>
    <row r="410" spans="1:96" ht="12" customHeight="1" x14ac:dyDescent="0.25">
      <c r="A410" s="3"/>
      <c r="B410" s="14"/>
      <c r="C410" s="14"/>
      <c r="D410" s="14"/>
      <c r="E410" s="14"/>
      <c r="K410" s="14"/>
      <c r="M410" s="14"/>
      <c r="N410" s="14"/>
      <c r="Z410" s="11"/>
      <c r="AA410" s="16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16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6"/>
      <c r="AX410" s="15"/>
      <c r="AY410" s="15"/>
      <c r="AZ410" s="15"/>
      <c r="BA410" s="16"/>
      <c r="BB410" s="16"/>
      <c r="BC410" s="16"/>
      <c r="BD410" s="16"/>
      <c r="BE410" s="16"/>
      <c r="BF410" s="16"/>
      <c r="BG410" s="16"/>
      <c r="BH410" s="16"/>
      <c r="BI410" s="16"/>
      <c r="BJ410" s="16"/>
      <c r="BK410" s="16"/>
      <c r="BL410" s="16"/>
      <c r="BM410" s="16"/>
      <c r="BN410" s="16"/>
      <c r="BO410" s="16"/>
      <c r="BP410" s="3"/>
      <c r="BQ410" s="3"/>
      <c r="BR410" s="3"/>
      <c r="BS410" s="3"/>
      <c r="BT410" s="3"/>
      <c r="BU410" s="3"/>
      <c r="BV410" s="3"/>
      <c r="BW410" s="3"/>
      <c r="BX410" s="3"/>
      <c r="BY410" s="3"/>
      <c r="BZ410" s="3"/>
      <c r="CA410" s="3"/>
      <c r="CB410" s="3"/>
      <c r="CC410" s="3"/>
      <c r="CD410" s="3"/>
      <c r="CE410" s="3"/>
      <c r="CF410" s="3"/>
      <c r="CG410" s="3"/>
      <c r="CH410" s="3"/>
      <c r="CI410" s="3"/>
      <c r="CJ410" s="3"/>
      <c r="CK410" s="3"/>
      <c r="CL410" s="3"/>
      <c r="CM410" s="3"/>
      <c r="CN410" s="3"/>
      <c r="CO410" s="3"/>
      <c r="CP410" s="3"/>
      <c r="CQ410" s="3"/>
      <c r="CR410" s="3"/>
    </row>
    <row r="411" spans="1:96" ht="12" customHeight="1" x14ac:dyDescent="0.25">
      <c r="A411" s="3"/>
      <c r="B411" s="14"/>
      <c r="C411" s="14"/>
      <c r="D411" s="14"/>
      <c r="E411" s="14"/>
      <c r="K411" s="14"/>
      <c r="M411" s="14"/>
      <c r="N411" s="14"/>
      <c r="Z411" s="11"/>
      <c r="AA411" s="16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16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6"/>
      <c r="AX411" s="15"/>
      <c r="AY411" s="15"/>
      <c r="AZ411" s="15"/>
      <c r="BA411" s="16"/>
      <c r="BB411" s="16"/>
      <c r="BC411" s="16"/>
      <c r="BD411" s="16"/>
      <c r="BE411" s="16"/>
      <c r="BF411" s="16"/>
      <c r="BG411" s="16"/>
      <c r="BH411" s="16"/>
      <c r="BI411" s="16"/>
      <c r="BJ411" s="16"/>
      <c r="BK411" s="16"/>
      <c r="BL411" s="16"/>
      <c r="BM411" s="16"/>
      <c r="BN411" s="16"/>
      <c r="BO411" s="16"/>
      <c r="BP411" s="3"/>
      <c r="BQ411" s="3"/>
      <c r="BR411" s="3"/>
      <c r="BS411" s="3"/>
      <c r="BT411" s="3"/>
      <c r="BU411" s="3"/>
      <c r="BV411" s="3"/>
      <c r="BW411" s="3"/>
      <c r="BX411" s="3"/>
      <c r="BY411" s="3"/>
      <c r="BZ411" s="3"/>
      <c r="CA411" s="3"/>
      <c r="CB411" s="3"/>
      <c r="CC411" s="3"/>
      <c r="CD411" s="3"/>
      <c r="CE411" s="3"/>
      <c r="CF411" s="3"/>
      <c r="CG411" s="3"/>
      <c r="CH411" s="3"/>
      <c r="CI411" s="3"/>
      <c r="CJ411" s="3"/>
      <c r="CK411" s="3"/>
      <c r="CL411" s="3"/>
      <c r="CM411" s="3"/>
      <c r="CN411" s="3"/>
      <c r="CO411" s="3"/>
      <c r="CP411" s="3"/>
      <c r="CQ411" s="3"/>
      <c r="CR411" s="3"/>
    </row>
    <row r="412" spans="1:96" ht="12" customHeight="1" x14ac:dyDescent="0.25">
      <c r="A412" s="3"/>
      <c r="B412" s="14"/>
      <c r="C412" s="14"/>
      <c r="D412" s="14"/>
      <c r="E412" s="14"/>
      <c r="K412" s="14"/>
      <c r="M412" s="14"/>
      <c r="N412" s="14"/>
      <c r="Z412" s="11"/>
      <c r="AA412" s="16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16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6"/>
      <c r="AX412" s="15"/>
      <c r="AY412" s="15"/>
      <c r="AZ412" s="15"/>
      <c r="BA412" s="16"/>
      <c r="BB412" s="16"/>
      <c r="BC412" s="16"/>
      <c r="BD412" s="16"/>
      <c r="BE412" s="16"/>
      <c r="BF412" s="16"/>
      <c r="BG412" s="16"/>
      <c r="BH412" s="16"/>
      <c r="BI412" s="16"/>
      <c r="BJ412" s="16"/>
      <c r="BK412" s="16"/>
      <c r="BL412" s="16"/>
      <c r="BM412" s="16"/>
      <c r="BN412" s="16"/>
      <c r="BO412" s="16"/>
      <c r="BP412" s="3"/>
      <c r="BQ412" s="3"/>
      <c r="BR412" s="3"/>
      <c r="BS412" s="3"/>
      <c r="BT412" s="3"/>
      <c r="BU412" s="3"/>
      <c r="BV412" s="3"/>
      <c r="BW412" s="3"/>
      <c r="BX412" s="3"/>
      <c r="BY412" s="3"/>
      <c r="BZ412" s="3"/>
      <c r="CA412" s="3"/>
      <c r="CB412" s="3"/>
      <c r="CC412" s="3"/>
      <c r="CD412" s="3"/>
      <c r="CE412" s="3"/>
      <c r="CF412" s="3"/>
      <c r="CG412" s="3"/>
      <c r="CH412" s="3"/>
      <c r="CI412" s="3"/>
      <c r="CJ412" s="3"/>
      <c r="CK412" s="3"/>
      <c r="CL412" s="3"/>
      <c r="CM412" s="3"/>
      <c r="CN412" s="3"/>
      <c r="CO412" s="3"/>
      <c r="CP412" s="3"/>
      <c r="CQ412" s="3"/>
      <c r="CR412" s="3"/>
    </row>
    <row r="413" spans="1:96" ht="12" customHeight="1" x14ac:dyDescent="0.25">
      <c r="A413" s="3"/>
      <c r="B413" s="14"/>
      <c r="C413" s="14"/>
      <c r="D413" s="14"/>
      <c r="E413" s="14"/>
      <c r="K413" s="14"/>
      <c r="M413" s="14"/>
      <c r="N413" s="14"/>
      <c r="Z413" s="11"/>
      <c r="AA413" s="16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16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6"/>
      <c r="AX413" s="15"/>
      <c r="AY413" s="15"/>
      <c r="AZ413" s="15"/>
      <c r="BA413" s="16"/>
      <c r="BB413" s="16"/>
      <c r="BC413" s="16"/>
      <c r="BD413" s="16"/>
      <c r="BE413" s="16"/>
      <c r="BF413" s="16"/>
      <c r="BG413" s="16"/>
      <c r="BH413" s="16"/>
      <c r="BI413" s="16"/>
      <c r="BJ413" s="16"/>
      <c r="BK413" s="16"/>
      <c r="BL413" s="16"/>
      <c r="BM413" s="16"/>
      <c r="BN413" s="16"/>
      <c r="BO413" s="16"/>
      <c r="BP413" s="3"/>
      <c r="BQ413" s="3"/>
      <c r="BR413" s="3"/>
      <c r="BS413" s="3"/>
      <c r="BT413" s="3"/>
      <c r="BU413" s="3"/>
      <c r="BV413" s="3"/>
      <c r="BW413" s="3"/>
      <c r="BX413" s="3"/>
      <c r="BY413" s="3"/>
      <c r="BZ413" s="3"/>
      <c r="CA413" s="3"/>
      <c r="CB413" s="3"/>
      <c r="CC413" s="3"/>
      <c r="CD413" s="3"/>
      <c r="CE413" s="3"/>
      <c r="CF413" s="3"/>
      <c r="CG413" s="3"/>
      <c r="CH413" s="3"/>
      <c r="CI413" s="3"/>
      <c r="CJ413" s="3"/>
      <c r="CK413" s="3"/>
      <c r="CL413" s="3"/>
      <c r="CM413" s="3"/>
      <c r="CN413" s="3"/>
      <c r="CO413" s="3"/>
      <c r="CP413" s="3"/>
      <c r="CQ413" s="3"/>
      <c r="CR413" s="3"/>
    </row>
    <row r="414" spans="1:96" ht="12" customHeight="1" x14ac:dyDescent="0.25">
      <c r="A414" s="3"/>
      <c r="B414" s="14"/>
      <c r="C414" s="14"/>
      <c r="D414" s="14"/>
      <c r="E414" s="14"/>
      <c r="K414" s="14"/>
      <c r="M414" s="14"/>
      <c r="N414" s="14"/>
      <c r="Z414" s="11"/>
      <c r="AA414" s="16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16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6"/>
      <c r="AX414" s="15"/>
      <c r="AY414" s="15"/>
      <c r="AZ414" s="15"/>
      <c r="BA414" s="16"/>
      <c r="BB414" s="16"/>
      <c r="BC414" s="16"/>
      <c r="BD414" s="16"/>
      <c r="BE414" s="16"/>
      <c r="BF414" s="16"/>
      <c r="BG414" s="16"/>
      <c r="BH414" s="16"/>
      <c r="BI414" s="16"/>
      <c r="BJ414" s="16"/>
      <c r="BK414" s="16"/>
      <c r="BL414" s="16"/>
      <c r="BM414" s="16"/>
      <c r="BN414" s="16"/>
      <c r="BO414" s="16"/>
      <c r="BP414" s="3"/>
      <c r="BQ414" s="3"/>
      <c r="BR414" s="3"/>
      <c r="BS414" s="3"/>
      <c r="BT414" s="3"/>
      <c r="BU414" s="3"/>
      <c r="BV414" s="3"/>
      <c r="BW414" s="3"/>
      <c r="BX414" s="3"/>
      <c r="BY414" s="3"/>
      <c r="BZ414" s="3"/>
      <c r="CA414" s="3"/>
      <c r="CB414" s="3"/>
      <c r="CC414" s="3"/>
      <c r="CD414" s="3"/>
      <c r="CE414" s="3"/>
      <c r="CF414" s="3"/>
      <c r="CG414" s="3"/>
      <c r="CH414" s="3"/>
      <c r="CI414" s="3"/>
      <c r="CJ414" s="3"/>
      <c r="CK414" s="3"/>
      <c r="CL414" s="3"/>
      <c r="CM414" s="3"/>
      <c r="CN414" s="3"/>
      <c r="CO414" s="3"/>
      <c r="CP414" s="3"/>
      <c r="CQ414" s="3"/>
      <c r="CR414" s="3"/>
    </row>
    <row r="415" spans="1:96" ht="12" customHeight="1" x14ac:dyDescent="0.25">
      <c r="A415" s="3"/>
      <c r="B415" s="14"/>
      <c r="C415" s="14"/>
      <c r="D415" s="14"/>
      <c r="E415" s="14"/>
      <c r="K415" s="14"/>
      <c r="M415" s="14"/>
      <c r="N415" s="14"/>
      <c r="Z415" s="11"/>
      <c r="AA415" s="16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16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6"/>
      <c r="AX415" s="15"/>
      <c r="AY415" s="15"/>
      <c r="AZ415" s="15"/>
      <c r="BA415" s="16"/>
      <c r="BB415" s="16"/>
      <c r="BC415" s="16"/>
      <c r="BD415" s="16"/>
      <c r="BE415" s="16"/>
      <c r="BF415" s="16"/>
      <c r="BG415" s="16"/>
      <c r="BH415" s="16"/>
      <c r="BI415" s="16"/>
      <c r="BJ415" s="16"/>
      <c r="BK415" s="16"/>
      <c r="BL415" s="16"/>
      <c r="BM415" s="16"/>
      <c r="BN415" s="16"/>
      <c r="BO415" s="16"/>
      <c r="BP415" s="3"/>
      <c r="BQ415" s="3"/>
      <c r="BR415" s="3"/>
      <c r="BS415" s="3"/>
      <c r="BT415" s="3"/>
      <c r="BU415" s="3"/>
      <c r="BV415" s="3"/>
      <c r="BW415" s="3"/>
      <c r="BX415" s="3"/>
      <c r="BY415" s="3"/>
      <c r="BZ415" s="3"/>
      <c r="CA415" s="3"/>
      <c r="CB415" s="3"/>
      <c r="CC415" s="3"/>
      <c r="CD415" s="3"/>
      <c r="CE415" s="3"/>
      <c r="CF415" s="3"/>
      <c r="CG415" s="3"/>
      <c r="CH415" s="3"/>
      <c r="CI415" s="3"/>
      <c r="CJ415" s="3"/>
      <c r="CK415" s="3"/>
      <c r="CL415" s="3"/>
      <c r="CM415" s="3"/>
      <c r="CN415" s="3"/>
      <c r="CO415" s="3"/>
      <c r="CP415" s="3"/>
      <c r="CQ415" s="3"/>
      <c r="CR415" s="3"/>
    </row>
    <row r="416" spans="1:96" ht="12" customHeight="1" x14ac:dyDescent="0.25">
      <c r="A416" s="3"/>
      <c r="B416" s="14"/>
      <c r="C416" s="14"/>
      <c r="D416" s="14"/>
      <c r="E416" s="14"/>
      <c r="K416" s="14"/>
      <c r="M416" s="14"/>
      <c r="N416" s="14"/>
      <c r="Z416" s="11"/>
      <c r="AA416" s="16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16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6"/>
      <c r="AX416" s="15"/>
      <c r="AY416" s="15"/>
      <c r="AZ416" s="15"/>
      <c r="BA416" s="16"/>
      <c r="BB416" s="16"/>
      <c r="BC416" s="16"/>
      <c r="BD416" s="16"/>
      <c r="BE416" s="16"/>
      <c r="BF416" s="16"/>
      <c r="BG416" s="16"/>
      <c r="BH416" s="16"/>
      <c r="BI416" s="16"/>
      <c r="BJ416" s="16"/>
      <c r="BK416" s="16"/>
      <c r="BL416" s="16"/>
      <c r="BM416" s="16"/>
      <c r="BN416" s="16"/>
      <c r="BO416" s="16"/>
      <c r="BP416" s="3"/>
      <c r="BQ416" s="3"/>
      <c r="BR416" s="3"/>
      <c r="BS416" s="3"/>
      <c r="BT416" s="3"/>
      <c r="BU416" s="3"/>
      <c r="BV416" s="3"/>
      <c r="BW416" s="3"/>
      <c r="BX416" s="3"/>
      <c r="BY416" s="3"/>
      <c r="BZ416" s="3"/>
      <c r="CA416" s="3"/>
      <c r="CB416" s="3"/>
      <c r="CC416" s="3"/>
      <c r="CD416" s="3"/>
      <c r="CE416" s="3"/>
      <c r="CF416" s="3"/>
      <c r="CG416" s="3"/>
      <c r="CH416" s="3"/>
      <c r="CI416" s="3"/>
      <c r="CJ416" s="3"/>
      <c r="CK416" s="3"/>
      <c r="CL416" s="3"/>
      <c r="CM416" s="3"/>
      <c r="CN416" s="3"/>
      <c r="CO416" s="3"/>
      <c r="CP416" s="3"/>
      <c r="CQ416" s="3"/>
      <c r="CR416" s="3"/>
    </row>
    <row r="417" spans="1:96" ht="12" customHeight="1" x14ac:dyDescent="0.25">
      <c r="A417" s="3"/>
      <c r="B417" s="14"/>
      <c r="C417" s="14"/>
      <c r="D417" s="14"/>
      <c r="E417" s="14"/>
      <c r="K417" s="14"/>
      <c r="M417" s="14"/>
      <c r="N417" s="14"/>
      <c r="Z417" s="11"/>
      <c r="AA417" s="16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16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6"/>
      <c r="AX417" s="15"/>
      <c r="AY417" s="15"/>
      <c r="AZ417" s="15"/>
      <c r="BA417" s="16"/>
      <c r="BB417" s="16"/>
      <c r="BC417" s="16"/>
      <c r="BD417" s="16"/>
      <c r="BE417" s="16"/>
      <c r="BF417" s="16"/>
      <c r="BG417" s="16"/>
      <c r="BH417" s="16"/>
      <c r="BI417" s="16"/>
      <c r="BJ417" s="16"/>
      <c r="BK417" s="16"/>
      <c r="BL417" s="16"/>
      <c r="BM417" s="16"/>
      <c r="BN417" s="16"/>
      <c r="BO417" s="16"/>
      <c r="BP417" s="3"/>
      <c r="BQ417" s="3"/>
      <c r="BR417" s="3"/>
      <c r="BS417" s="3"/>
      <c r="BT417" s="3"/>
      <c r="BU417" s="3"/>
      <c r="BV417" s="3"/>
      <c r="BW417" s="3"/>
      <c r="BX417" s="3"/>
      <c r="BY417" s="3"/>
      <c r="BZ417" s="3"/>
      <c r="CA417" s="3"/>
      <c r="CB417" s="3"/>
      <c r="CC417" s="3"/>
      <c r="CD417" s="3"/>
      <c r="CE417" s="3"/>
      <c r="CF417" s="3"/>
      <c r="CG417" s="3"/>
      <c r="CH417" s="3"/>
      <c r="CI417" s="3"/>
      <c r="CJ417" s="3"/>
      <c r="CK417" s="3"/>
      <c r="CL417" s="3"/>
      <c r="CM417" s="3"/>
      <c r="CN417" s="3"/>
      <c r="CO417" s="3"/>
      <c r="CP417" s="3"/>
      <c r="CQ417" s="3"/>
      <c r="CR417" s="3"/>
    </row>
    <row r="418" spans="1:96" ht="12" customHeight="1" x14ac:dyDescent="0.25">
      <c r="A418" s="3"/>
      <c r="B418" s="14"/>
      <c r="C418" s="14"/>
      <c r="D418" s="14"/>
      <c r="E418" s="14"/>
      <c r="K418" s="14"/>
      <c r="M418" s="14"/>
      <c r="N418" s="14"/>
      <c r="Z418" s="11"/>
      <c r="AA418" s="16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16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6"/>
      <c r="AX418" s="15"/>
      <c r="AY418" s="15"/>
      <c r="AZ418" s="15"/>
      <c r="BA418" s="16"/>
      <c r="BB418" s="16"/>
      <c r="BC418" s="16"/>
      <c r="BD418" s="16"/>
      <c r="BE418" s="16"/>
      <c r="BF418" s="16"/>
      <c r="BG418" s="16"/>
      <c r="BH418" s="16"/>
      <c r="BI418" s="16"/>
      <c r="BJ418" s="16"/>
      <c r="BK418" s="16"/>
      <c r="BL418" s="16"/>
      <c r="BM418" s="16"/>
      <c r="BN418" s="16"/>
      <c r="BO418" s="16"/>
      <c r="BP418" s="3"/>
      <c r="BQ418" s="3"/>
      <c r="BR418" s="3"/>
      <c r="BS418" s="3"/>
      <c r="BT418" s="3"/>
      <c r="BU418" s="3"/>
      <c r="BV418" s="3"/>
      <c r="BW418" s="3"/>
      <c r="BX418" s="3"/>
      <c r="BY418" s="3"/>
      <c r="BZ418" s="3"/>
      <c r="CA418" s="3"/>
      <c r="CB418" s="3"/>
      <c r="CC418" s="3"/>
      <c r="CD418" s="3"/>
      <c r="CE418" s="3"/>
      <c r="CF418" s="3"/>
      <c r="CG418" s="3"/>
      <c r="CH418" s="3"/>
      <c r="CI418" s="3"/>
      <c r="CJ418" s="3"/>
      <c r="CK418" s="3"/>
      <c r="CL418" s="3"/>
      <c r="CM418" s="3"/>
      <c r="CN418" s="3"/>
      <c r="CO418" s="3"/>
      <c r="CP418" s="3"/>
      <c r="CQ418" s="3"/>
      <c r="CR418" s="3"/>
    </row>
    <row r="419" spans="1:96" ht="12" customHeight="1" x14ac:dyDescent="0.25">
      <c r="A419" s="3"/>
      <c r="B419" s="14"/>
      <c r="C419" s="14"/>
      <c r="D419" s="14"/>
      <c r="E419" s="14"/>
      <c r="K419" s="14"/>
      <c r="M419" s="14"/>
      <c r="N419" s="14"/>
      <c r="Z419" s="11"/>
      <c r="AA419" s="16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16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6"/>
      <c r="AX419" s="15"/>
      <c r="AY419" s="15"/>
      <c r="AZ419" s="15"/>
      <c r="BA419" s="16"/>
      <c r="BB419" s="16"/>
      <c r="BC419" s="16"/>
      <c r="BD419" s="16"/>
      <c r="BE419" s="16"/>
      <c r="BF419" s="16"/>
      <c r="BG419" s="16"/>
      <c r="BH419" s="16"/>
      <c r="BI419" s="16"/>
      <c r="BJ419" s="16"/>
      <c r="BK419" s="16"/>
      <c r="BL419" s="16"/>
      <c r="BM419" s="16"/>
      <c r="BN419" s="16"/>
      <c r="BO419" s="16"/>
      <c r="BP419" s="3"/>
      <c r="BQ419" s="3"/>
      <c r="BR419" s="3"/>
      <c r="BS419" s="3"/>
      <c r="BT419" s="3"/>
      <c r="BU419" s="3"/>
      <c r="BV419" s="3"/>
      <c r="BW419" s="3"/>
      <c r="BX419" s="3"/>
      <c r="BY419" s="3"/>
      <c r="BZ419" s="3"/>
      <c r="CA419" s="3"/>
      <c r="CB419" s="3"/>
      <c r="CC419" s="3"/>
      <c r="CD419" s="3"/>
      <c r="CE419" s="3"/>
      <c r="CF419" s="3"/>
      <c r="CG419" s="3"/>
      <c r="CH419" s="3"/>
      <c r="CI419" s="3"/>
      <c r="CJ419" s="3"/>
      <c r="CK419" s="3"/>
      <c r="CL419" s="3"/>
      <c r="CM419" s="3"/>
      <c r="CN419" s="3"/>
      <c r="CO419" s="3"/>
      <c r="CP419" s="3"/>
      <c r="CQ419" s="3"/>
      <c r="CR419" s="3"/>
    </row>
    <row r="420" spans="1:96" ht="12" customHeight="1" x14ac:dyDescent="0.25">
      <c r="A420" s="3"/>
      <c r="B420" s="14"/>
      <c r="C420" s="14"/>
      <c r="D420" s="14"/>
      <c r="E420" s="14"/>
      <c r="K420" s="14"/>
      <c r="M420" s="14"/>
      <c r="N420" s="14"/>
      <c r="Z420" s="11"/>
      <c r="AA420" s="16"/>
      <c r="AB420" s="3"/>
      <c r="AC420" s="3"/>
      <c r="AD420" s="3"/>
      <c r="AE420" s="3"/>
      <c r="AF420" s="3"/>
      <c r="AG420" s="3"/>
      <c r="AH420" s="3"/>
      <c r="AI420" s="3"/>
      <c r="AJ420" s="3"/>
      <c r="AK420" s="3"/>
      <c r="AL420" s="16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6"/>
      <c r="AX420" s="15"/>
      <c r="AY420" s="15"/>
      <c r="AZ420" s="15"/>
      <c r="BA420" s="16"/>
      <c r="BB420" s="16"/>
      <c r="BC420" s="16"/>
      <c r="BD420" s="16"/>
      <c r="BE420" s="16"/>
      <c r="BF420" s="16"/>
      <c r="BG420" s="16"/>
      <c r="BH420" s="16"/>
      <c r="BI420" s="16"/>
      <c r="BJ420" s="16"/>
      <c r="BK420" s="16"/>
      <c r="BL420" s="16"/>
      <c r="BM420" s="16"/>
      <c r="BN420" s="16"/>
      <c r="BO420" s="16"/>
      <c r="BP420" s="3"/>
      <c r="BQ420" s="3"/>
      <c r="BR420" s="3"/>
      <c r="BS420" s="3"/>
      <c r="BT420" s="3"/>
      <c r="BU420" s="3"/>
      <c r="BV420" s="3"/>
      <c r="BW420" s="3"/>
      <c r="BX420" s="3"/>
      <c r="BY420" s="3"/>
      <c r="BZ420" s="3"/>
      <c r="CA420" s="3"/>
      <c r="CB420" s="3"/>
      <c r="CC420" s="3"/>
      <c r="CD420" s="3"/>
      <c r="CE420" s="3"/>
      <c r="CF420" s="3"/>
      <c r="CG420" s="3"/>
      <c r="CH420" s="3"/>
      <c r="CI420" s="3"/>
      <c r="CJ420" s="3"/>
      <c r="CK420" s="3"/>
      <c r="CL420" s="3"/>
      <c r="CM420" s="3"/>
      <c r="CN420" s="3"/>
      <c r="CO420" s="3"/>
      <c r="CP420" s="3"/>
      <c r="CQ420" s="3"/>
      <c r="CR420" s="3"/>
    </row>
    <row r="421" spans="1:96" ht="12" customHeight="1" x14ac:dyDescent="0.25">
      <c r="A421" s="3"/>
      <c r="B421" s="14"/>
      <c r="C421" s="14"/>
      <c r="D421" s="14"/>
      <c r="E421" s="14"/>
      <c r="K421" s="14"/>
      <c r="M421" s="14"/>
      <c r="N421" s="14"/>
      <c r="Z421" s="11"/>
      <c r="AA421" s="16"/>
      <c r="AB421" s="3"/>
      <c r="AC421" s="3"/>
      <c r="AD421" s="3"/>
      <c r="AE421" s="3"/>
      <c r="AF421" s="3"/>
      <c r="AG421" s="3"/>
      <c r="AH421" s="3"/>
      <c r="AI421" s="3"/>
      <c r="AJ421" s="3"/>
      <c r="AK421" s="3"/>
      <c r="AL421" s="16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6"/>
      <c r="AX421" s="15"/>
      <c r="AY421" s="15"/>
      <c r="AZ421" s="15"/>
      <c r="BA421" s="16"/>
      <c r="BB421" s="16"/>
      <c r="BC421" s="16"/>
      <c r="BD421" s="16"/>
      <c r="BE421" s="16"/>
      <c r="BF421" s="16"/>
      <c r="BG421" s="16"/>
      <c r="BH421" s="16"/>
      <c r="BI421" s="16"/>
      <c r="BJ421" s="16"/>
      <c r="BK421" s="16"/>
      <c r="BL421" s="16"/>
      <c r="BM421" s="16"/>
      <c r="BN421" s="16"/>
      <c r="BO421" s="16"/>
      <c r="BP421" s="3"/>
      <c r="BQ421" s="3"/>
      <c r="BR421" s="3"/>
      <c r="BS421" s="3"/>
      <c r="BT421" s="3"/>
      <c r="BU421" s="3"/>
      <c r="BV421" s="3"/>
      <c r="BW421" s="3"/>
      <c r="BX421" s="3"/>
      <c r="BY421" s="3"/>
      <c r="BZ421" s="3"/>
      <c r="CA421" s="3"/>
      <c r="CB421" s="3"/>
      <c r="CC421" s="3"/>
      <c r="CD421" s="3"/>
      <c r="CE421" s="3"/>
      <c r="CF421" s="3"/>
      <c r="CG421" s="3"/>
      <c r="CH421" s="3"/>
      <c r="CI421" s="3"/>
      <c r="CJ421" s="3"/>
      <c r="CK421" s="3"/>
      <c r="CL421" s="3"/>
      <c r="CM421" s="3"/>
      <c r="CN421" s="3"/>
      <c r="CO421" s="3"/>
      <c r="CP421" s="3"/>
      <c r="CQ421" s="3"/>
      <c r="CR421" s="3"/>
    </row>
    <row r="422" spans="1:96" ht="12" customHeight="1" x14ac:dyDescent="0.25">
      <c r="A422" s="3"/>
      <c r="B422" s="14"/>
      <c r="C422" s="14"/>
      <c r="D422" s="14"/>
      <c r="E422" s="14"/>
      <c r="K422" s="14"/>
      <c r="M422" s="14"/>
      <c r="N422" s="14"/>
      <c r="Z422" s="11"/>
      <c r="AA422" s="16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16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6"/>
      <c r="AX422" s="15"/>
      <c r="AY422" s="15"/>
      <c r="AZ422" s="15"/>
      <c r="BA422" s="16"/>
      <c r="BB422" s="16"/>
      <c r="BC422" s="16"/>
      <c r="BD422" s="16"/>
      <c r="BE422" s="16"/>
      <c r="BF422" s="16"/>
      <c r="BG422" s="16"/>
      <c r="BH422" s="16"/>
      <c r="BI422" s="16"/>
      <c r="BJ422" s="16"/>
      <c r="BK422" s="16"/>
      <c r="BL422" s="16"/>
      <c r="BM422" s="16"/>
      <c r="BN422" s="16"/>
      <c r="BO422" s="16"/>
      <c r="BP422" s="3"/>
      <c r="BQ422" s="3"/>
      <c r="BR422" s="3"/>
      <c r="BS422" s="3"/>
      <c r="BT422" s="3"/>
      <c r="BU422" s="3"/>
      <c r="BV422" s="3"/>
      <c r="BW422" s="3"/>
      <c r="BX422" s="3"/>
      <c r="BY422" s="3"/>
      <c r="BZ422" s="3"/>
      <c r="CA422" s="3"/>
      <c r="CB422" s="3"/>
      <c r="CC422" s="3"/>
      <c r="CD422" s="3"/>
      <c r="CE422" s="3"/>
      <c r="CF422" s="3"/>
      <c r="CG422" s="3"/>
      <c r="CH422" s="3"/>
      <c r="CI422" s="3"/>
      <c r="CJ422" s="3"/>
      <c r="CK422" s="3"/>
      <c r="CL422" s="3"/>
      <c r="CM422" s="3"/>
      <c r="CN422" s="3"/>
      <c r="CO422" s="3"/>
      <c r="CP422" s="3"/>
      <c r="CQ422" s="3"/>
      <c r="CR422" s="3"/>
    </row>
    <row r="423" spans="1:96" ht="12" customHeight="1" x14ac:dyDescent="0.25">
      <c r="A423" s="3"/>
      <c r="B423" s="14"/>
      <c r="C423" s="14"/>
      <c r="D423" s="14"/>
      <c r="E423" s="14"/>
      <c r="K423" s="14"/>
      <c r="M423" s="14"/>
      <c r="N423" s="14"/>
      <c r="Z423" s="11"/>
      <c r="AA423" s="16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16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6"/>
      <c r="AX423" s="15"/>
      <c r="AY423" s="15"/>
      <c r="AZ423" s="15"/>
      <c r="BA423" s="16"/>
      <c r="BB423" s="16"/>
      <c r="BC423" s="16"/>
      <c r="BD423" s="16"/>
      <c r="BE423" s="16"/>
      <c r="BF423" s="16"/>
      <c r="BG423" s="16"/>
      <c r="BH423" s="16"/>
      <c r="BI423" s="16"/>
      <c r="BJ423" s="16"/>
      <c r="BK423" s="16"/>
      <c r="BL423" s="16"/>
      <c r="BM423" s="16"/>
      <c r="BN423" s="16"/>
      <c r="BO423" s="16"/>
      <c r="BP423" s="3"/>
      <c r="BQ423" s="3"/>
      <c r="BR423" s="3"/>
      <c r="BS423" s="3"/>
      <c r="BT423" s="3"/>
      <c r="BU423" s="3"/>
      <c r="BV423" s="3"/>
      <c r="BW423" s="3"/>
      <c r="BX423" s="3"/>
      <c r="BY423" s="3"/>
      <c r="BZ423" s="3"/>
      <c r="CA423" s="3"/>
      <c r="CB423" s="3"/>
      <c r="CC423" s="3"/>
      <c r="CD423" s="3"/>
      <c r="CE423" s="3"/>
      <c r="CF423" s="3"/>
      <c r="CG423" s="3"/>
      <c r="CH423" s="3"/>
      <c r="CI423" s="3"/>
      <c r="CJ423" s="3"/>
      <c r="CK423" s="3"/>
      <c r="CL423" s="3"/>
      <c r="CM423" s="3"/>
      <c r="CN423" s="3"/>
      <c r="CO423" s="3"/>
      <c r="CP423" s="3"/>
      <c r="CQ423" s="3"/>
      <c r="CR423" s="3"/>
    </row>
    <row r="424" spans="1:96" ht="12" customHeight="1" x14ac:dyDescent="0.25">
      <c r="A424" s="3"/>
      <c r="B424" s="14"/>
      <c r="C424" s="14"/>
      <c r="D424" s="14"/>
      <c r="E424" s="14"/>
      <c r="K424" s="14"/>
      <c r="M424" s="14"/>
      <c r="N424" s="14"/>
      <c r="Z424" s="11"/>
      <c r="AA424" s="16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16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6"/>
      <c r="AX424" s="15"/>
      <c r="AY424" s="15"/>
      <c r="AZ424" s="15"/>
      <c r="BA424" s="16"/>
      <c r="BB424" s="16"/>
      <c r="BC424" s="16"/>
      <c r="BD424" s="16"/>
      <c r="BE424" s="16"/>
      <c r="BF424" s="16"/>
      <c r="BG424" s="16"/>
      <c r="BH424" s="16"/>
      <c r="BI424" s="16"/>
      <c r="BJ424" s="16"/>
      <c r="BK424" s="16"/>
      <c r="BL424" s="16"/>
      <c r="BM424" s="16"/>
      <c r="BN424" s="16"/>
      <c r="BO424" s="16"/>
      <c r="BP424" s="3"/>
      <c r="BQ424" s="3"/>
      <c r="BR424" s="3"/>
      <c r="BS424" s="3"/>
      <c r="BT424" s="3"/>
      <c r="BU424" s="3"/>
      <c r="BV424" s="3"/>
      <c r="BW424" s="3"/>
      <c r="BX424" s="3"/>
      <c r="BY424" s="3"/>
      <c r="BZ424" s="3"/>
      <c r="CA424" s="3"/>
      <c r="CB424" s="3"/>
      <c r="CC424" s="3"/>
      <c r="CD424" s="3"/>
      <c r="CE424" s="3"/>
      <c r="CF424" s="3"/>
      <c r="CG424" s="3"/>
      <c r="CH424" s="3"/>
      <c r="CI424" s="3"/>
      <c r="CJ424" s="3"/>
      <c r="CK424" s="3"/>
      <c r="CL424" s="3"/>
      <c r="CM424" s="3"/>
      <c r="CN424" s="3"/>
      <c r="CO424" s="3"/>
      <c r="CP424" s="3"/>
      <c r="CQ424" s="3"/>
      <c r="CR424" s="3"/>
    </row>
    <row r="425" spans="1:96" ht="12" customHeight="1" x14ac:dyDescent="0.25">
      <c r="A425" s="3"/>
      <c r="B425" s="14"/>
      <c r="C425" s="14"/>
      <c r="D425" s="14"/>
      <c r="E425" s="14"/>
      <c r="K425" s="14"/>
      <c r="M425" s="14"/>
      <c r="N425" s="14"/>
      <c r="Z425" s="11"/>
      <c r="AA425" s="16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16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6"/>
      <c r="AX425" s="15"/>
      <c r="AY425" s="15"/>
      <c r="AZ425" s="15"/>
      <c r="BA425" s="16"/>
      <c r="BB425" s="16"/>
      <c r="BC425" s="16"/>
      <c r="BD425" s="16"/>
      <c r="BE425" s="16"/>
      <c r="BF425" s="16"/>
      <c r="BG425" s="16"/>
      <c r="BH425" s="16"/>
      <c r="BI425" s="16"/>
      <c r="BJ425" s="16"/>
      <c r="BK425" s="16"/>
      <c r="BL425" s="16"/>
      <c r="BM425" s="16"/>
      <c r="BN425" s="16"/>
      <c r="BO425" s="16"/>
      <c r="BP425" s="3"/>
      <c r="BQ425" s="3"/>
      <c r="BR425" s="3"/>
      <c r="BS425" s="3"/>
      <c r="BT425" s="3"/>
      <c r="BU425" s="3"/>
      <c r="BV425" s="3"/>
      <c r="BW425" s="3"/>
      <c r="BX425" s="3"/>
      <c r="BY425" s="3"/>
      <c r="BZ425" s="3"/>
      <c r="CA425" s="3"/>
      <c r="CB425" s="3"/>
      <c r="CC425" s="3"/>
      <c r="CD425" s="3"/>
      <c r="CE425" s="3"/>
      <c r="CF425" s="3"/>
      <c r="CG425" s="3"/>
      <c r="CH425" s="3"/>
      <c r="CI425" s="3"/>
      <c r="CJ425" s="3"/>
      <c r="CK425" s="3"/>
      <c r="CL425" s="3"/>
      <c r="CM425" s="3"/>
      <c r="CN425" s="3"/>
      <c r="CO425" s="3"/>
      <c r="CP425" s="3"/>
      <c r="CQ425" s="3"/>
      <c r="CR425" s="3"/>
    </row>
    <row r="426" spans="1:96" ht="12" customHeight="1" x14ac:dyDescent="0.25">
      <c r="A426" s="3"/>
      <c r="B426" s="14"/>
      <c r="C426" s="14"/>
      <c r="D426" s="14"/>
      <c r="E426" s="14"/>
      <c r="K426" s="14"/>
      <c r="M426" s="14"/>
      <c r="N426" s="14"/>
      <c r="Z426" s="11"/>
      <c r="AA426" s="16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16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6"/>
      <c r="AX426" s="15"/>
      <c r="AY426" s="15"/>
      <c r="AZ426" s="15"/>
      <c r="BA426" s="16"/>
      <c r="BB426" s="16"/>
      <c r="BC426" s="16"/>
      <c r="BD426" s="16"/>
      <c r="BE426" s="16"/>
      <c r="BF426" s="16"/>
      <c r="BG426" s="16"/>
      <c r="BH426" s="16"/>
      <c r="BI426" s="16"/>
      <c r="BJ426" s="16"/>
      <c r="BK426" s="16"/>
      <c r="BL426" s="16"/>
      <c r="BM426" s="16"/>
      <c r="BN426" s="16"/>
      <c r="BO426" s="16"/>
      <c r="BP426" s="3"/>
      <c r="BQ426" s="3"/>
      <c r="BR426" s="3"/>
      <c r="BS426" s="3"/>
      <c r="BT426" s="3"/>
      <c r="BU426" s="3"/>
      <c r="BV426" s="3"/>
      <c r="BW426" s="3"/>
      <c r="BX426" s="3"/>
      <c r="BY426" s="3"/>
      <c r="BZ426" s="3"/>
      <c r="CA426" s="3"/>
      <c r="CB426" s="3"/>
      <c r="CC426" s="3"/>
      <c r="CD426" s="3"/>
      <c r="CE426" s="3"/>
      <c r="CF426" s="3"/>
      <c r="CG426" s="3"/>
      <c r="CH426" s="3"/>
      <c r="CI426" s="3"/>
      <c r="CJ426" s="3"/>
      <c r="CK426" s="3"/>
      <c r="CL426" s="3"/>
      <c r="CM426" s="3"/>
      <c r="CN426" s="3"/>
      <c r="CO426" s="3"/>
      <c r="CP426" s="3"/>
      <c r="CQ426" s="3"/>
      <c r="CR426" s="3"/>
    </row>
    <row r="427" spans="1:96" ht="12" customHeight="1" x14ac:dyDescent="0.25">
      <c r="A427" s="3"/>
      <c r="B427" s="14"/>
      <c r="C427" s="14"/>
      <c r="D427" s="14"/>
      <c r="E427" s="14"/>
      <c r="K427" s="14"/>
      <c r="M427" s="14"/>
      <c r="N427" s="14"/>
      <c r="Z427" s="11"/>
      <c r="AA427" s="16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16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6"/>
      <c r="AX427" s="15"/>
      <c r="AY427" s="15"/>
      <c r="AZ427" s="15"/>
      <c r="BA427" s="16"/>
      <c r="BB427" s="16"/>
      <c r="BC427" s="16"/>
      <c r="BD427" s="16"/>
      <c r="BE427" s="16"/>
      <c r="BF427" s="16"/>
      <c r="BG427" s="16"/>
      <c r="BH427" s="16"/>
      <c r="BI427" s="16"/>
      <c r="BJ427" s="16"/>
      <c r="BK427" s="16"/>
      <c r="BL427" s="16"/>
      <c r="BM427" s="16"/>
      <c r="BN427" s="16"/>
      <c r="BO427" s="16"/>
      <c r="BP427" s="3"/>
      <c r="BQ427" s="3"/>
      <c r="BR427" s="3"/>
      <c r="BS427" s="3"/>
      <c r="BT427" s="3"/>
      <c r="BU427" s="3"/>
      <c r="BV427" s="3"/>
      <c r="BW427" s="3"/>
      <c r="BX427" s="3"/>
      <c r="BY427" s="3"/>
      <c r="BZ427" s="3"/>
      <c r="CA427" s="3"/>
      <c r="CB427" s="3"/>
      <c r="CC427" s="3"/>
      <c r="CD427" s="3"/>
      <c r="CE427" s="3"/>
      <c r="CF427" s="3"/>
      <c r="CG427" s="3"/>
      <c r="CH427" s="3"/>
      <c r="CI427" s="3"/>
      <c r="CJ427" s="3"/>
      <c r="CK427" s="3"/>
      <c r="CL427" s="3"/>
      <c r="CM427" s="3"/>
      <c r="CN427" s="3"/>
      <c r="CO427" s="3"/>
      <c r="CP427" s="3"/>
      <c r="CQ427" s="3"/>
      <c r="CR427" s="3"/>
    </row>
    <row r="428" spans="1:96" ht="12" customHeight="1" x14ac:dyDescent="0.25">
      <c r="A428" s="3"/>
      <c r="B428" s="14"/>
      <c r="C428" s="14"/>
      <c r="D428" s="14"/>
      <c r="E428" s="14"/>
      <c r="K428" s="14"/>
      <c r="M428" s="14"/>
      <c r="N428" s="14"/>
      <c r="Z428" s="11"/>
      <c r="AA428" s="16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16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6"/>
      <c r="AX428" s="15"/>
      <c r="AY428" s="15"/>
      <c r="AZ428" s="15"/>
      <c r="BA428" s="16"/>
      <c r="BB428" s="16"/>
      <c r="BC428" s="16"/>
      <c r="BD428" s="16"/>
      <c r="BE428" s="16"/>
      <c r="BF428" s="16"/>
      <c r="BG428" s="16"/>
      <c r="BH428" s="16"/>
      <c r="BI428" s="16"/>
      <c r="BJ428" s="16"/>
      <c r="BK428" s="16"/>
      <c r="BL428" s="16"/>
      <c r="BM428" s="16"/>
      <c r="BN428" s="16"/>
      <c r="BO428" s="16"/>
      <c r="BP428" s="3"/>
      <c r="BQ428" s="3"/>
      <c r="BR428" s="3"/>
      <c r="BS428" s="3"/>
      <c r="BT428" s="3"/>
      <c r="BU428" s="3"/>
      <c r="BV428" s="3"/>
      <c r="BW428" s="3"/>
      <c r="BX428" s="3"/>
      <c r="BY428" s="3"/>
      <c r="BZ428" s="3"/>
      <c r="CA428" s="3"/>
      <c r="CB428" s="3"/>
      <c r="CC428" s="3"/>
      <c r="CD428" s="3"/>
      <c r="CE428" s="3"/>
      <c r="CF428" s="3"/>
      <c r="CG428" s="3"/>
      <c r="CH428" s="3"/>
      <c r="CI428" s="3"/>
      <c r="CJ428" s="3"/>
      <c r="CK428" s="3"/>
      <c r="CL428" s="3"/>
      <c r="CM428" s="3"/>
      <c r="CN428" s="3"/>
      <c r="CO428" s="3"/>
      <c r="CP428" s="3"/>
      <c r="CQ428" s="3"/>
      <c r="CR428" s="3"/>
    </row>
    <row r="429" spans="1:96" ht="12" customHeight="1" x14ac:dyDescent="0.25">
      <c r="A429" s="3"/>
      <c r="B429" s="14"/>
      <c r="C429" s="14"/>
      <c r="D429" s="14"/>
      <c r="E429" s="14"/>
      <c r="K429" s="14"/>
      <c r="M429" s="14"/>
      <c r="N429" s="14"/>
      <c r="Z429" s="11"/>
      <c r="AA429" s="16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16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6"/>
      <c r="AX429" s="15"/>
      <c r="AY429" s="15"/>
      <c r="AZ429" s="15"/>
      <c r="BA429" s="16"/>
      <c r="BB429" s="16"/>
      <c r="BC429" s="16"/>
      <c r="BD429" s="16"/>
      <c r="BE429" s="16"/>
      <c r="BF429" s="16"/>
      <c r="BG429" s="16"/>
      <c r="BH429" s="16"/>
      <c r="BI429" s="16"/>
      <c r="BJ429" s="16"/>
      <c r="BK429" s="16"/>
      <c r="BL429" s="16"/>
      <c r="BM429" s="16"/>
      <c r="BN429" s="16"/>
      <c r="BO429" s="16"/>
      <c r="BP429" s="3"/>
      <c r="BQ429" s="3"/>
      <c r="BR429" s="3"/>
      <c r="BS429" s="3"/>
      <c r="BT429" s="3"/>
      <c r="BU429" s="3"/>
      <c r="BV429" s="3"/>
      <c r="BW429" s="3"/>
      <c r="BX429" s="3"/>
      <c r="BY429" s="3"/>
      <c r="BZ429" s="3"/>
      <c r="CA429" s="3"/>
      <c r="CB429" s="3"/>
      <c r="CC429" s="3"/>
      <c r="CD429" s="3"/>
      <c r="CE429" s="3"/>
      <c r="CF429" s="3"/>
      <c r="CG429" s="3"/>
      <c r="CH429" s="3"/>
      <c r="CI429" s="3"/>
      <c r="CJ429" s="3"/>
      <c r="CK429" s="3"/>
      <c r="CL429" s="3"/>
      <c r="CM429" s="3"/>
      <c r="CN429" s="3"/>
      <c r="CO429" s="3"/>
      <c r="CP429" s="3"/>
      <c r="CQ429" s="3"/>
      <c r="CR429" s="3"/>
    </row>
    <row r="430" spans="1:96" ht="12" customHeight="1" x14ac:dyDescent="0.25">
      <c r="A430" s="3"/>
      <c r="B430" s="14"/>
      <c r="C430" s="14"/>
      <c r="D430" s="14"/>
      <c r="E430" s="14"/>
      <c r="K430" s="14"/>
      <c r="M430" s="14"/>
      <c r="N430" s="14"/>
      <c r="Z430" s="11"/>
      <c r="AA430" s="16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16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6"/>
      <c r="AX430" s="15"/>
      <c r="AY430" s="15"/>
      <c r="AZ430" s="15"/>
      <c r="BA430" s="16"/>
      <c r="BB430" s="16"/>
      <c r="BC430" s="16"/>
      <c r="BD430" s="16"/>
      <c r="BE430" s="16"/>
      <c r="BF430" s="16"/>
      <c r="BG430" s="16"/>
      <c r="BH430" s="16"/>
      <c r="BI430" s="16"/>
      <c r="BJ430" s="16"/>
      <c r="BK430" s="16"/>
      <c r="BL430" s="16"/>
      <c r="BM430" s="16"/>
      <c r="BN430" s="16"/>
      <c r="BO430" s="16"/>
      <c r="BP430" s="3"/>
      <c r="BQ430" s="3"/>
      <c r="BR430" s="3"/>
      <c r="BS430" s="3"/>
      <c r="BT430" s="3"/>
      <c r="BU430" s="3"/>
      <c r="BV430" s="3"/>
      <c r="BW430" s="3"/>
      <c r="BX430" s="3"/>
      <c r="BY430" s="3"/>
      <c r="BZ430" s="3"/>
      <c r="CA430" s="3"/>
      <c r="CB430" s="3"/>
      <c r="CC430" s="3"/>
      <c r="CD430" s="3"/>
      <c r="CE430" s="3"/>
      <c r="CF430" s="3"/>
      <c r="CG430" s="3"/>
      <c r="CH430" s="3"/>
      <c r="CI430" s="3"/>
      <c r="CJ430" s="3"/>
      <c r="CK430" s="3"/>
      <c r="CL430" s="3"/>
      <c r="CM430" s="3"/>
      <c r="CN430" s="3"/>
      <c r="CO430" s="3"/>
      <c r="CP430" s="3"/>
      <c r="CQ430" s="3"/>
      <c r="CR430" s="3"/>
    </row>
    <row r="431" spans="1:96" ht="12" customHeight="1" x14ac:dyDescent="0.25">
      <c r="A431" s="3"/>
      <c r="B431" s="14"/>
      <c r="C431" s="14"/>
      <c r="D431" s="14"/>
      <c r="E431" s="14"/>
      <c r="K431" s="14"/>
      <c r="M431" s="14"/>
      <c r="N431" s="14"/>
      <c r="Z431" s="11"/>
      <c r="AA431" s="16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16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6"/>
      <c r="AX431" s="15"/>
      <c r="AY431" s="15"/>
      <c r="AZ431" s="15"/>
      <c r="BA431" s="16"/>
      <c r="BB431" s="16"/>
      <c r="BC431" s="16"/>
      <c r="BD431" s="16"/>
      <c r="BE431" s="16"/>
      <c r="BF431" s="16"/>
      <c r="BG431" s="16"/>
      <c r="BH431" s="16"/>
      <c r="BI431" s="16"/>
      <c r="BJ431" s="16"/>
      <c r="BK431" s="16"/>
      <c r="BL431" s="16"/>
      <c r="BM431" s="16"/>
      <c r="BN431" s="16"/>
      <c r="BO431" s="16"/>
      <c r="BP431" s="3"/>
      <c r="BQ431" s="3"/>
      <c r="BR431" s="3"/>
      <c r="BS431" s="3"/>
      <c r="BT431" s="3"/>
      <c r="BU431" s="3"/>
      <c r="BV431" s="3"/>
      <c r="BW431" s="3"/>
      <c r="BX431" s="3"/>
      <c r="BY431" s="3"/>
      <c r="BZ431" s="3"/>
      <c r="CA431" s="3"/>
      <c r="CB431" s="3"/>
      <c r="CC431" s="3"/>
      <c r="CD431" s="3"/>
      <c r="CE431" s="3"/>
      <c r="CF431" s="3"/>
      <c r="CG431" s="3"/>
      <c r="CH431" s="3"/>
      <c r="CI431" s="3"/>
      <c r="CJ431" s="3"/>
      <c r="CK431" s="3"/>
      <c r="CL431" s="3"/>
      <c r="CM431" s="3"/>
      <c r="CN431" s="3"/>
      <c r="CO431" s="3"/>
      <c r="CP431" s="3"/>
      <c r="CQ431" s="3"/>
      <c r="CR431" s="3"/>
    </row>
    <row r="432" spans="1:96" ht="12" customHeight="1" x14ac:dyDescent="0.25">
      <c r="A432" s="3"/>
      <c r="B432" s="14"/>
      <c r="C432" s="14"/>
      <c r="D432" s="14"/>
      <c r="E432" s="14"/>
      <c r="K432" s="14"/>
      <c r="M432" s="14"/>
      <c r="N432" s="14"/>
      <c r="Z432" s="11"/>
      <c r="AA432" s="16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16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6"/>
      <c r="AX432" s="15"/>
      <c r="AY432" s="15"/>
      <c r="AZ432" s="15"/>
      <c r="BA432" s="16"/>
      <c r="BB432" s="16"/>
      <c r="BC432" s="16"/>
      <c r="BD432" s="16"/>
      <c r="BE432" s="16"/>
      <c r="BF432" s="16"/>
      <c r="BG432" s="16"/>
      <c r="BH432" s="16"/>
      <c r="BI432" s="16"/>
      <c r="BJ432" s="16"/>
      <c r="BK432" s="16"/>
      <c r="BL432" s="16"/>
      <c r="BM432" s="16"/>
      <c r="BN432" s="16"/>
      <c r="BO432" s="16"/>
      <c r="BP432" s="3"/>
      <c r="BQ432" s="3"/>
      <c r="BR432" s="3"/>
      <c r="BS432" s="3"/>
      <c r="BT432" s="3"/>
      <c r="BU432" s="3"/>
      <c r="BV432" s="3"/>
      <c r="BW432" s="3"/>
      <c r="BX432" s="3"/>
      <c r="BY432" s="3"/>
      <c r="BZ432" s="3"/>
      <c r="CA432" s="3"/>
      <c r="CB432" s="3"/>
      <c r="CC432" s="3"/>
      <c r="CD432" s="3"/>
      <c r="CE432" s="3"/>
      <c r="CF432" s="3"/>
      <c r="CG432" s="3"/>
      <c r="CH432" s="3"/>
      <c r="CI432" s="3"/>
      <c r="CJ432" s="3"/>
      <c r="CK432" s="3"/>
      <c r="CL432" s="3"/>
      <c r="CM432" s="3"/>
      <c r="CN432" s="3"/>
      <c r="CO432" s="3"/>
      <c r="CP432" s="3"/>
      <c r="CQ432" s="3"/>
      <c r="CR432" s="3"/>
    </row>
    <row r="433" spans="1:96" ht="12" customHeight="1" x14ac:dyDescent="0.25">
      <c r="A433" s="3"/>
      <c r="B433" s="14"/>
      <c r="C433" s="14"/>
      <c r="D433" s="14"/>
      <c r="E433" s="14"/>
      <c r="K433" s="14"/>
      <c r="M433" s="14"/>
      <c r="N433" s="14"/>
      <c r="Z433" s="11"/>
      <c r="AA433" s="16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16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6"/>
      <c r="AX433" s="15"/>
      <c r="AY433" s="15"/>
      <c r="AZ433" s="15"/>
      <c r="BA433" s="16"/>
      <c r="BB433" s="16"/>
      <c r="BC433" s="16"/>
      <c r="BD433" s="16"/>
      <c r="BE433" s="16"/>
      <c r="BF433" s="16"/>
      <c r="BG433" s="16"/>
      <c r="BH433" s="16"/>
      <c r="BI433" s="16"/>
      <c r="BJ433" s="16"/>
      <c r="BK433" s="16"/>
      <c r="BL433" s="16"/>
      <c r="BM433" s="16"/>
      <c r="BN433" s="16"/>
      <c r="BO433" s="16"/>
      <c r="BP433" s="3"/>
      <c r="BQ433" s="3"/>
      <c r="BR433" s="3"/>
      <c r="BS433" s="3"/>
      <c r="BT433" s="3"/>
      <c r="BU433" s="3"/>
      <c r="BV433" s="3"/>
      <c r="BW433" s="3"/>
      <c r="BX433" s="3"/>
      <c r="BY433" s="3"/>
      <c r="BZ433" s="3"/>
      <c r="CA433" s="3"/>
      <c r="CB433" s="3"/>
      <c r="CC433" s="3"/>
      <c r="CD433" s="3"/>
      <c r="CE433" s="3"/>
      <c r="CF433" s="3"/>
      <c r="CG433" s="3"/>
      <c r="CH433" s="3"/>
      <c r="CI433" s="3"/>
      <c r="CJ433" s="3"/>
      <c r="CK433" s="3"/>
      <c r="CL433" s="3"/>
      <c r="CM433" s="3"/>
      <c r="CN433" s="3"/>
      <c r="CO433" s="3"/>
      <c r="CP433" s="3"/>
      <c r="CQ433" s="3"/>
      <c r="CR433" s="3"/>
    </row>
    <row r="434" spans="1:96" ht="12" customHeight="1" x14ac:dyDescent="0.25">
      <c r="A434" s="3"/>
      <c r="B434" s="14"/>
      <c r="C434" s="14"/>
      <c r="D434" s="14"/>
      <c r="E434" s="14"/>
      <c r="K434" s="14"/>
      <c r="M434" s="14"/>
      <c r="N434" s="14"/>
      <c r="Z434" s="11"/>
      <c r="AA434" s="16"/>
      <c r="AB434" s="3"/>
      <c r="AC434" s="3"/>
      <c r="AD434" s="3"/>
      <c r="AE434" s="3"/>
      <c r="AF434" s="3"/>
      <c r="AG434" s="3"/>
      <c r="AH434" s="3"/>
      <c r="AI434" s="3"/>
      <c r="AJ434" s="3"/>
      <c r="AK434" s="3"/>
      <c r="AL434" s="16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6"/>
      <c r="AX434" s="15"/>
      <c r="AY434" s="15"/>
      <c r="AZ434" s="15"/>
      <c r="BA434" s="16"/>
      <c r="BB434" s="16"/>
      <c r="BC434" s="16"/>
      <c r="BD434" s="16"/>
      <c r="BE434" s="16"/>
      <c r="BF434" s="16"/>
      <c r="BG434" s="16"/>
      <c r="BH434" s="16"/>
      <c r="BI434" s="16"/>
      <c r="BJ434" s="16"/>
      <c r="BK434" s="16"/>
      <c r="BL434" s="16"/>
      <c r="BM434" s="16"/>
      <c r="BN434" s="16"/>
      <c r="BO434" s="16"/>
      <c r="BP434" s="3"/>
      <c r="BQ434" s="3"/>
      <c r="BR434" s="3"/>
      <c r="BS434" s="3"/>
      <c r="BT434" s="3"/>
      <c r="BU434" s="3"/>
      <c r="BV434" s="3"/>
      <c r="BW434" s="3"/>
      <c r="BX434" s="3"/>
      <c r="BY434" s="3"/>
      <c r="BZ434" s="3"/>
      <c r="CA434" s="3"/>
      <c r="CB434" s="3"/>
      <c r="CC434" s="3"/>
      <c r="CD434" s="3"/>
      <c r="CE434" s="3"/>
      <c r="CF434" s="3"/>
      <c r="CG434" s="3"/>
      <c r="CH434" s="3"/>
      <c r="CI434" s="3"/>
      <c r="CJ434" s="3"/>
      <c r="CK434" s="3"/>
      <c r="CL434" s="3"/>
      <c r="CM434" s="3"/>
      <c r="CN434" s="3"/>
      <c r="CO434" s="3"/>
      <c r="CP434" s="3"/>
      <c r="CQ434" s="3"/>
      <c r="CR434" s="3"/>
    </row>
    <row r="435" spans="1:96" ht="12" customHeight="1" x14ac:dyDescent="0.25">
      <c r="A435" s="3"/>
      <c r="B435" s="14"/>
      <c r="C435" s="14"/>
      <c r="D435" s="14"/>
      <c r="E435" s="14"/>
      <c r="K435" s="14"/>
      <c r="M435" s="14"/>
      <c r="N435" s="14"/>
      <c r="Z435" s="11"/>
      <c r="AA435" s="16"/>
      <c r="AB435" s="3"/>
      <c r="AC435" s="3"/>
      <c r="AD435" s="3"/>
      <c r="AE435" s="3"/>
      <c r="AF435" s="3"/>
      <c r="AG435" s="3"/>
      <c r="AH435" s="3"/>
      <c r="AI435" s="3"/>
      <c r="AJ435" s="3"/>
      <c r="AK435" s="3"/>
      <c r="AL435" s="16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6"/>
      <c r="AX435" s="15"/>
      <c r="AY435" s="15"/>
      <c r="AZ435" s="15"/>
      <c r="BA435" s="16"/>
      <c r="BB435" s="16"/>
      <c r="BC435" s="16"/>
      <c r="BD435" s="16"/>
      <c r="BE435" s="16"/>
      <c r="BF435" s="16"/>
      <c r="BG435" s="16"/>
      <c r="BH435" s="16"/>
      <c r="BI435" s="16"/>
      <c r="BJ435" s="16"/>
      <c r="BK435" s="16"/>
      <c r="BL435" s="16"/>
      <c r="BM435" s="16"/>
      <c r="BN435" s="16"/>
      <c r="BO435" s="16"/>
      <c r="BP435" s="3"/>
      <c r="BQ435" s="3"/>
      <c r="BR435" s="3"/>
      <c r="BS435" s="3"/>
      <c r="BT435" s="3"/>
      <c r="BU435" s="3"/>
      <c r="BV435" s="3"/>
      <c r="BW435" s="3"/>
      <c r="BX435" s="3"/>
      <c r="BY435" s="3"/>
      <c r="BZ435" s="3"/>
      <c r="CA435" s="3"/>
      <c r="CB435" s="3"/>
      <c r="CC435" s="3"/>
      <c r="CD435" s="3"/>
      <c r="CE435" s="3"/>
      <c r="CF435" s="3"/>
      <c r="CG435" s="3"/>
      <c r="CH435" s="3"/>
      <c r="CI435" s="3"/>
      <c r="CJ435" s="3"/>
      <c r="CK435" s="3"/>
      <c r="CL435" s="3"/>
      <c r="CM435" s="3"/>
      <c r="CN435" s="3"/>
      <c r="CO435" s="3"/>
      <c r="CP435" s="3"/>
      <c r="CQ435" s="3"/>
      <c r="CR435" s="3"/>
    </row>
    <row r="436" spans="1:96" ht="12" customHeight="1" x14ac:dyDescent="0.25">
      <c r="A436" s="3"/>
      <c r="B436" s="14"/>
      <c r="C436" s="14"/>
      <c r="D436" s="14"/>
      <c r="E436" s="14"/>
      <c r="K436" s="14"/>
      <c r="M436" s="14"/>
      <c r="N436" s="14"/>
      <c r="Z436" s="11"/>
      <c r="AA436" s="16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16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6"/>
      <c r="AX436" s="15"/>
      <c r="AY436" s="15"/>
      <c r="AZ436" s="15"/>
      <c r="BA436" s="16"/>
      <c r="BB436" s="16"/>
      <c r="BC436" s="16"/>
      <c r="BD436" s="16"/>
      <c r="BE436" s="16"/>
      <c r="BF436" s="16"/>
      <c r="BG436" s="16"/>
      <c r="BH436" s="16"/>
      <c r="BI436" s="16"/>
      <c r="BJ436" s="16"/>
      <c r="BK436" s="16"/>
      <c r="BL436" s="16"/>
      <c r="BM436" s="16"/>
      <c r="BN436" s="16"/>
      <c r="BO436" s="16"/>
      <c r="BP436" s="3"/>
      <c r="BQ436" s="3"/>
      <c r="BR436" s="3"/>
      <c r="BS436" s="3"/>
      <c r="BT436" s="3"/>
      <c r="BU436" s="3"/>
      <c r="BV436" s="3"/>
      <c r="BW436" s="3"/>
      <c r="BX436" s="3"/>
      <c r="BY436" s="3"/>
      <c r="BZ436" s="3"/>
      <c r="CA436" s="3"/>
      <c r="CB436" s="3"/>
      <c r="CC436" s="3"/>
      <c r="CD436" s="3"/>
      <c r="CE436" s="3"/>
      <c r="CF436" s="3"/>
      <c r="CG436" s="3"/>
      <c r="CH436" s="3"/>
      <c r="CI436" s="3"/>
      <c r="CJ436" s="3"/>
      <c r="CK436" s="3"/>
      <c r="CL436" s="3"/>
      <c r="CM436" s="3"/>
      <c r="CN436" s="3"/>
      <c r="CO436" s="3"/>
      <c r="CP436" s="3"/>
      <c r="CQ436" s="3"/>
      <c r="CR436" s="3"/>
    </row>
    <row r="437" spans="1:96" ht="12" customHeight="1" x14ac:dyDescent="0.25">
      <c r="A437" s="3"/>
      <c r="B437" s="14"/>
      <c r="C437" s="14"/>
      <c r="D437" s="14"/>
      <c r="E437" s="14"/>
      <c r="K437" s="14"/>
      <c r="M437" s="14"/>
      <c r="N437" s="14"/>
      <c r="Z437" s="11"/>
      <c r="AA437" s="16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16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6"/>
      <c r="AX437" s="15"/>
      <c r="AY437" s="15"/>
      <c r="AZ437" s="15"/>
      <c r="BA437" s="16"/>
      <c r="BB437" s="16"/>
      <c r="BC437" s="16"/>
      <c r="BD437" s="16"/>
      <c r="BE437" s="16"/>
      <c r="BF437" s="16"/>
      <c r="BG437" s="16"/>
      <c r="BH437" s="16"/>
      <c r="BI437" s="16"/>
      <c r="BJ437" s="16"/>
      <c r="BK437" s="16"/>
      <c r="BL437" s="16"/>
      <c r="BM437" s="16"/>
      <c r="BN437" s="16"/>
      <c r="BO437" s="16"/>
      <c r="BP437" s="3"/>
      <c r="BQ437" s="3"/>
      <c r="BR437" s="3"/>
      <c r="BS437" s="3"/>
      <c r="BT437" s="3"/>
      <c r="BU437" s="3"/>
      <c r="BV437" s="3"/>
      <c r="BW437" s="3"/>
      <c r="BX437" s="3"/>
      <c r="BY437" s="3"/>
      <c r="BZ437" s="3"/>
      <c r="CA437" s="3"/>
      <c r="CB437" s="3"/>
      <c r="CC437" s="3"/>
      <c r="CD437" s="3"/>
      <c r="CE437" s="3"/>
      <c r="CF437" s="3"/>
      <c r="CG437" s="3"/>
      <c r="CH437" s="3"/>
      <c r="CI437" s="3"/>
      <c r="CJ437" s="3"/>
      <c r="CK437" s="3"/>
      <c r="CL437" s="3"/>
      <c r="CM437" s="3"/>
      <c r="CN437" s="3"/>
      <c r="CO437" s="3"/>
      <c r="CP437" s="3"/>
      <c r="CQ437" s="3"/>
      <c r="CR437" s="3"/>
    </row>
    <row r="438" spans="1:96" ht="12" customHeight="1" x14ac:dyDescent="0.25">
      <c r="A438" s="3"/>
      <c r="B438" s="14"/>
      <c r="C438" s="14"/>
      <c r="D438" s="14"/>
      <c r="E438" s="14"/>
      <c r="K438" s="14"/>
      <c r="M438" s="14"/>
      <c r="N438" s="14"/>
      <c r="Z438" s="11"/>
      <c r="AA438" s="16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16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6"/>
      <c r="AX438" s="15"/>
      <c r="AY438" s="15"/>
      <c r="AZ438" s="15"/>
      <c r="BA438" s="16"/>
      <c r="BB438" s="16"/>
      <c r="BC438" s="16"/>
      <c r="BD438" s="16"/>
      <c r="BE438" s="16"/>
      <c r="BF438" s="16"/>
      <c r="BG438" s="16"/>
      <c r="BH438" s="16"/>
      <c r="BI438" s="16"/>
      <c r="BJ438" s="16"/>
      <c r="BK438" s="16"/>
      <c r="BL438" s="16"/>
      <c r="BM438" s="16"/>
      <c r="BN438" s="16"/>
      <c r="BO438" s="16"/>
      <c r="BP438" s="3"/>
      <c r="BQ438" s="3"/>
      <c r="BR438" s="3"/>
      <c r="BS438" s="3"/>
      <c r="BT438" s="3"/>
      <c r="BU438" s="3"/>
      <c r="BV438" s="3"/>
      <c r="BW438" s="3"/>
      <c r="BX438" s="3"/>
      <c r="BY438" s="3"/>
      <c r="BZ438" s="3"/>
      <c r="CA438" s="3"/>
      <c r="CB438" s="3"/>
      <c r="CC438" s="3"/>
      <c r="CD438" s="3"/>
      <c r="CE438" s="3"/>
      <c r="CF438" s="3"/>
      <c r="CG438" s="3"/>
      <c r="CH438" s="3"/>
      <c r="CI438" s="3"/>
      <c r="CJ438" s="3"/>
      <c r="CK438" s="3"/>
      <c r="CL438" s="3"/>
      <c r="CM438" s="3"/>
      <c r="CN438" s="3"/>
      <c r="CO438" s="3"/>
      <c r="CP438" s="3"/>
      <c r="CQ438" s="3"/>
      <c r="CR438" s="3"/>
    </row>
    <row r="439" spans="1:96" ht="12" customHeight="1" x14ac:dyDescent="0.25">
      <c r="A439" s="3"/>
      <c r="B439" s="14"/>
      <c r="C439" s="14"/>
      <c r="D439" s="14"/>
      <c r="E439" s="14"/>
      <c r="K439" s="14"/>
      <c r="M439" s="14"/>
      <c r="N439" s="14"/>
      <c r="Z439" s="11"/>
      <c r="AA439" s="16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16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6"/>
      <c r="AX439" s="15"/>
      <c r="AY439" s="15"/>
      <c r="AZ439" s="15"/>
      <c r="BA439" s="16"/>
      <c r="BB439" s="16"/>
      <c r="BC439" s="16"/>
      <c r="BD439" s="16"/>
      <c r="BE439" s="16"/>
      <c r="BF439" s="16"/>
      <c r="BG439" s="16"/>
      <c r="BH439" s="16"/>
      <c r="BI439" s="16"/>
      <c r="BJ439" s="16"/>
      <c r="BK439" s="16"/>
      <c r="BL439" s="16"/>
      <c r="BM439" s="16"/>
      <c r="BN439" s="16"/>
      <c r="BO439" s="16"/>
      <c r="BP439" s="3"/>
      <c r="BQ439" s="3"/>
      <c r="BR439" s="3"/>
      <c r="BS439" s="3"/>
      <c r="BT439" s="3"/>
      <c r="BU439" s="3"/>
      <c r="BV439" s="3"/>
      <c r="BW439" s="3"/>
      <c r="BX439" s="3"/>
      <c r="BY439" s="3"/>
      <c r="BZ439" s="3"/>
      <c r="CA439" s="3"/>
      <c r="CB439" s="3"/>
      <c r="CC439" s="3"/>
      <c r="CD439" s="3"/>
      <c r="CE439" s="3"/>
      <c r="CF439" s="3"/>
      <c r="CG439" s="3"/>
      <c r="CH439" s="3"/>
      <c r="CI439" s="3"/>
      <c r="CJ439" s="3"/>
      <c r="CK439" s="3"/>
      <c r="CL439" s="3"/>
      <c r="CM439" s="3"/>
      <c r="CN439" s="3"/>
      <c r="CO439" s="3"/>
      <c r="CP439" s="3"/>
      <c r="CQ439" s="3"/>
      <c r="CR439" s="3"/>
    </row>
    <row r="440" spans="1:96" ht="12" customHeight="1" x14ac:dyDescent="0.25">
      <c r="A440" s="3"/>
      <c r="B440" s="14"/>
      <c r="C440" s="14"/>
      <c r="D440" s="14"/>
      <c r="E440" s="14"/>
      <c r="K440" s="14"/>
      <c r="M440" s="14"/>
      <c r="N440" s="14"/>
      <c r="Z440" s="11"/>
      <c r="AA440" s="16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16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6"/>
      <c r="AX440" s="15"/>
      <c r="AY440" s="15"/>
      <c r="AZ440" s="15"/>
      <c r="BA440" s="16"/>
      <c r="BB440" s="16"/>
      <c r="BC440" s="16"/>
      <c r="BD440" s="16"/>
      <c r="BE440" s="16"/>
      <c r="BF440" s="16"/>
      <c r="BG440" s="16"/>
      <c r="BH440" s="16"/>
      <c r="BI440" s="16"/>
      <c r="BJ440" s="16"/>
      <c r="BK440" s="16"/>
      <c r="BL440" s="16"/>
      <c r="BM440" s="16"/>
      <c r="BN440" s="16"/>
      <c r="BO440" s="16"/>
      <c r="BP440" s="3"/>
      <c r="BQ440" s="3"/>
      <c r="BR440" s="3"/>
      <c r="BS440" s="3"/>
      <c r="BT440" s="3"/>
      <c r="BU440" s="3"/>
      <c r="BV440" s="3"/>
      <c r="BW440" s="3"/>
      <c r="BX440" s="3"/>
      <c r="BY440" s="3"/>
      <c r="BZ440" s="3"/>
      <c r="CA440" s="3"/>
      <c r="CB440" s="3"/>
      <c r="CC440" s="3"/>
      <c r="CD440" s="3"/>
      <c r="CE440" s="3"/>
      <c r="CF440" s="3"/>
      <c r="CG440" s="3"/>
      <c r="CH440" s="3"/>
      <c r="CI440" s="3"/>
      <c r="CJ440" s="3"/>
      <c r="CK440" s="3"/>
      <c r="CL440" s="3"/>
      <c r="CM440" s="3"/>
      <c r="CN440" s="3"/>
      <c r="CO440" s="3"/>
      <c r="CP440" s="3"/>
      <c r="CQ440" s="3"/>
      <c r="CR440" s="3"/>
    </row>
    <row r="441" spans="1:96" ht="12" customHeight="1" x14ac:dyDescent="0.25">
      <c r="A441" s="3"/>
      <c r="B441" s="14"/>
      <c r="C441" s="14"/>
      <c r="D441" s="14"/>
      <c r="E441" s="14"/>
      <c r="K441" s="14"/>
      <c r="M441" s="14"/>
      <c r="N441" s="14"/>
      <c r="Z441" s="11"/>
      <c r="AA441" s="16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16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6"/>
      <c r="AX441" s="15"/>
      <c r="AY441" s="15"/>
      <c r="AZ441" s="15"/>
      <c r="BA441" s="16"/>
      <c r="BB441" s="16"/>
      <c r="BC441" s="16"/>
      <c r="BD441" s="16"/>
      <c r="BE441" s="16"/>
      <c r="BF441" s="16"/>
      <c r="BG441" s="16"/>
      <c r="BH441" s="16"/>
      <c r="BI441" s="16"/>
      <c r="BJ441" s="16"/>
      <c r="BK441" s="16"/>
      <c r="BL441" s="16"/>
      <c r="BM441" s="16"/>
      <c r="BN441" s="16"/>
      <c r="BO441" s="16"/>
      <c r="BP441" s="3"/>
      <c r="BQ441" s="3"/>
      <c r="BR441" s="3"/>
      <c r="BS441" s="3"/>
      <c r="BT441" s="3"/>
      <c r="BU441" s="3"/>
      <c r="BV441" s="3"/>
      <c r="BW441" s="3"/>
      <c r="BX441" s="3"/>
      <c r="BY441" s="3"/>
      <c r="BZ441" s="3"/>
      <c r="CA441" s="3"/>
      <c r="CB441" s="3"/>
      <c r="CC441" s="3"/>
      <c r="CD441" s="3"/>
      <c r="CE441" s="3"/>
      <c r="CF441" s="3"/>
      <c r="CG441" s="3"/>
      <c r="CH441" s="3"/>
      <c r="CI441" s="3"/>
      <c r="CJ441" s="3"/>
      <c r="CK441" s="3"/>
      <c r="CL441" s="3"/>
      <c r="CM441" s="3"/>
      <c r="CN441" s="3"/>
      <c r="CO441" s="3"/>
      <c r="CP441" s="3"/>
      <c r="CQ441" s="3"/>
      <c r="CR441" s="3"/>
    </row>
    <row r="442" spans="1:96" ht="12" customHeight="1" x14ac:dyDescent="0.25">
      <c r="A442" s="3"/>
      <c r="B442" s="14"/>
      <c r="C442" s="14"/>
      <c r="D442" s="14"/>
      <c r="E442" s="14"/>
      <c r="K442" s="14"/>
      <c r="M442" s="14"/>
      <c r="N442" s="14"/>
      <c r="Z442" s="11"/>
      <c r="AA442" s="16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16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6"/>
      <c r="AX442" s="15"/>
      <c r="AY442" s="15"/>
      <c r="AZ442" s="15"/>
      <c r="BA442" s="16"/>
      <c r="BB442" s="16"/>
      <c r="BC442" s="16"/>
      <c r="BD442" s="16"/>
      <c r="BE442" s="16"/>
      <c r="BF442" s="16"/>
      <c r="BG442" s="16"/>
      <c r="BH442" s="16"/>
      <c r="BI442" s="16"/>
      <c r="BJ442" s="16"/>
      <c r="BK442" s="16"/>
      <c r="BL442" s="16"/>
      <c r="BM442" s="16"/>
      <c r="BN442" s="16"/>
      <c r="BO442" s="16"/>
      <c r="BP442" s="3"/>
      <c r="BQ442" s="3"/>
      <c r="BR442" s="3"/>
      <c r="BS442" s="3"/>
      <c r="BT442" s="3"/>
      <c r="BU442" s="3"/>
      <c r="BV442" s="3"/>
      <c r="BW442" s="3"/>
      <c r="BX442" s="3"/>
      <c r="BY442" s="3"/>
      <c r="BZ442" s="3"/>
      <c r="CA442" s="3"/>
      <c r="CB442" s="3"/>
      <c r="CC442" s="3"/>
      <c r="CD442" s="3"/>
      <c r="CE442" s="3"/>
      <c r="CF442" s="3"/>
      <c r="CG442" s="3"/>
      <c r="CH442" s="3"/>
      <c r="CI442" s="3"/>
      <c r="CJ442" s="3"/>
      <c r="CK442" s="3"/>
      <c r="CL442" s="3"/>
      <c r="CM442" s="3"/>
      <c r="CN442" s="3"/>
      <c r="CO442" s="3"/>
      <c r="CP442" s="3"/>
      <c r="CQ442" s="3"/>
      <c r="CR442" s="3"/>
    </row>
    <row r="443" spans="1:96" ht="12" customHeight="1" x14ac:dyDescent="0.25">
      <c r="A443" s="3"/>
      <c r="B443" s="14"/>
      <c r="C443" s="14"/>
      <c r="D443" s="14"/>
      <c r="E443" s="14"/>
      <c r="K443" s="14"/>
      <c r="M443" s="14"/>
      <c r="N443" s="14"/>
      <c r="Z443" s="11"/>
      <c r="AA443" s="16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16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6"/>
      <c r="AX443" s="15"/>
      <c r="AY443" s="15"/>
      <c r="AZ443" s="15"/>
      <c r="BA443" s="16"/>
      <c r="BB443" s="16"/>
      <c r="BC443" s="16"/>
      <c r="BD443" s="16"/>
      <c r="BE443" s="16"/>
      <c r="BF443" s="16"/>
      <c r="BG443" s="16"/>
      <c r="BH443" s="16"/>
      <c r="BI443" s="16"/>
      <c r="BJ443" s="16"/>
      <c r="BK443" s="16"/>
      <c r="BL443" s="16"/>
      <c r="BM443" s="16"/>
      <c r="BN443" s="16"/>
      <c r="BO443" s="16"/>
      <c r="BP443" s="3"/>
      <c r="BQ443" s="3"/>
      <c r="BR443" s="3"/>
      <c r="BS443" s="3"/>
      <c r="BT443" s="3"/>
      <c r="BU443" s="3"/>
      <c r="BV443" s="3"/>
      <c r="BW443" s="3"/>
      <c r="BX443" s="3"/>
      <c r="BY443" s="3"/>
      <c r="BZ443" s="3"/>
      <c r="CA443" s="3"/>
      <c r="CB443" s="3"/>
      <c r="CC443" s="3"/>
      <c r="CD443" s="3"/>
      <c r="CE443" s="3"/>
      <c r="CF443" s="3"/>
      <c r="CG443" s="3"/>
      <c r="CH443" s="3"/>
      <c r="CI443" s="3"/>
      <c r="CJ443" s="3"/>
      <c r="CK443" s="3"/>
      <c r="CL443" s="3"/>
      <c r="CM443" s="3"/>
      <c r="CN443" s="3"/>
      <c r="CO443" s="3"/>
      <c r="CP443" s="3"/>
      <c r="CQ443" s="3"/>
      <c r="CR443" s="3"/>
    </row>
    <row r="444" spans="1:96" ht="12" customHeight="1" x14ac:dyDescent="0.25">
      <c r="A444" s="3"/>
      <c r="B444" s="14"/>
      <c r="C444" s="14"/>
      <c r="D444" s="14"/>
      <c r="E444" s="14"/>
      <c r="K444" s="14"/>
      <c r="M444" s="14"/>
      <c r="N444" s="14"/>
      <c r="Z444" s="11"/>
      <c r="AA444" s="16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16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6"/>
      <c r="AX444" s="15"/>
      <c r="AY444" s="15"/>
      <c r="AZ444" s="15"/>
      <c r="BA444" s="16"/>
      <c r="BB444" s="16"/>
      <c r="BC444" s="16"/>
      <c r="BD444" s="16"/>
      <c r="BE444" s="16"/>
      <c r="BF444" s="16"/>
      <c r="BG444" s="16"/>
      <c r="BH444" s="16"/>
      <c r="BI444" s="16"/>
      <c r="BJ444" s="16"/>
      <c r="BK444" s="16"/>
      <c r="BL444" s="16"/>
      <c r="BM444" s="16"/>
      <c r="BN444" s="16"/>
      <c r="BO444" s="16"/>
      <c r="BP444" s="3"/>
      <c r="BQ444" s="3"/>
      <c r="BR444" s="3"/>
      <c r="BS444" s="3"/>
      <c r="BT444" s="3"/>
      <c r="BU444" s="3"/>
      <c r="BV444" s="3"/>
      <c r="BW444" s="3"/>
      <c r="BX444" s="3"/>
      <c r="BY444" s="3"/>
      <c r="BZ444" s="3"/>
      <c r="CA444" s="3"/>
      <c r="CB444" s="3"/>
      <c r="CC444" s="3"/>
      <c r="CD444" s="3"/>
      <c r="CE444" s="3"/>
      <c r="CF444" s="3"/>
      <c r="CG444" s="3"/>
      <c r="CH444" s="3"/>
      <c r="CI444" s="3"/>
      <c r="CJ444" s="3"/>
      <c r="CK444" s="3"/>
      <c r="CL444" s="3"/>
      <c r="CM444" s="3"/>
      <c r="CN444" s="3"/>
      <c r="CO444" s="3"/>
      <c r="CP444" s="3"/>
      <c r="CQ444" s="3"/>
      <c r="CR444" s="3"/>
    </row>
    <row r="445" spans="1:96" ht="12" customHeight="1" x14ac:dyDescent="0.25">
      <c r="A445" s="3"/>
      <c r="B445" s="14"/>
      <c r="C445" s="14"/>
      <c r="D445" s="14"/>
      <c r="E445" s="14"/>
      <c r="K445" s="14"/>
      <c r="M445" s="14"/>
      <c r="N445" s="14"/>
      <c r="Z445" s="11"/>
      <c r="AA445" s="16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16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6"/>
      <c r="AX445" s="15"/>
      <c r="AY445" s="15"/>
      <c r="AZ445" s="15"/>
      <c r="BA445" s="16"/>
      <c r="BB445" s="16"/>
      <c r="BC445" s="16"/>
      <c r="BD445" s="16"/>
      <c r="BE445" s="16"/>
      <c r="BF445" s="16"/>
      <c r="BG445" s="16"/>
      <c r="BH445" s="16"/>
      <c r="BI445" s="16"/>
      <c r="BJ445" s="16"/>
      <c r="BK445" s="16"/>
      <c r="BL445" s="16"/>
      <c r="BM445" s="16"/>
      <c r="BN445" s="16"/>
      <c r="BO445" s="16"/>
      <c r="BP445" s="3"/>
      <c r="BQ445" s="3"/>
      <c r="BR445" s="3"/>
      <c r="BS445" s="3"/>
      <c r="BT445" s="3"/>
      <c r="BU445" s="3"/>
      <c r="BV445" s="3"/>
      <c r="BW445" s="3"/>
      <c r="BX445" s="3"/>
      <c r="BY445" s="3"/>
      <c r="BZ445" s="3"/>
      <c r="CA445" s="3"/>
      <c r="CB445" s="3"/>
      <c r="CC445" s="3"/>
      <c r="CD445" s="3"/>
      <c r="CE445" s="3"/>
      <c r="CF445" s="3"/>
      <c r="CG445" s="3"/>
      <c r="CH445" s="3"/>
      <c r="CI445" s="3"/>
      <c r="CJ445" s="3"/>
      <c r="CK445" s="3"/>
      <c r="CL445" s="3"/>
      <c r="CM445" s="3"/>
      <c r="CN445" s="3"/>
      <c r="CO445" s="3"/>
      <c r="CP445" s="3"/>
      <c r="CQ445" s="3"/>
      <c r="CR445" s="3"/>
    </row>
    <row r="446" spans="1:96" ht="12" customHeight="1" x14ac:dyDescent="0.25">
      <c r="A446" s="3"/>
      <c r="B446" s="14"/>
      <c r="C446" s="14"/>
      <c r="D446" s="14"/>
      <c r="E446" s="14"/>
      <c r="K446" s="14"/>
      <c r="M446" s="14"/>
      <c r="N446" s="14"/>
      <c r="Z446" s="11"/>
      <c r="AA446" s="16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16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6"/>
      <c r="AX446" s="15"/>
      <c r="AY446" s="15"/>
      <c r="AZ446" s="15"/>
      <c r="BA446" s="16"/>
      <c r="BB446" s="16"/>
      <c r="BC446" s="16"/>
      <c r="BD446" s="16"/>
      <c r="BE446" s="16"/>
      <c r="BF446" s="16"/>
      <c r="BG446" s="16"/>
      <c r="BH446" s="16"/>
      <c r="BI446" s="16"/>
      <c r="BJ446" s="16"/>
      <c r="BK446" s="16"/>
      <c r="BL446" s="16"/>
      <c r="BM446" s="16"/>
      <c r="BN446" s="16"/>
      <c r="BO446" s="16"/>
      <c r="BP446" s="3"/>
      <c r="BQ446" s="3"/>
      <c r="BR446" s="3"/>
      <c r="BS446" s="3"/>
      <c r="BT446" s="3"/>
      <c r="BU446" s="3"/>
      <c r="BV446" s="3"/>
      <c r="BW446" s="3"/>
      <c r="BX446" s="3"/>
      <c r="BY446" s="3"/>
      <c r="BZ446" s="3"/>
      <c r="CA446" s="3"/>
      <c r="CB446" s="3"/>
      <c r="CC446" s="3"/>
      <c r="CD446" s="3"/>
      <c r="CE446" s="3"/>
      <c r="CF446" s="3"/>
      <c r="CG446" s="3"/>
      <c r="CH446" s="3"/>
      <c r="CI446" s="3"/>
      <c r="CJ446" s="3"/>
      <c r="CK446" s="3"/>
      <c r="CL446" s="3"/>
      <c r="CM446" s="3"/>
      <c r="CN446" s="3"/>
      <c r="CO446" s="3"/>
      <c r="CP446" s="3"/>
      <c r="CQ446" s="3"/>
      <c r="CR446" s="3"/>
    </row>
    <row r="447" spans="1:96" ht="12" customHeight="1" x14ac:dyDescent="0.25">
      <c r="A447" s="3"/>
      <c r="B447" s="14"/>
      <c r="C447" s="14"/>
      <c r="D447" s="14"/>
      <c r="E447" s="14"/>
      <c r="K447" s="14"/>
      <c r="M447" s="14"/>
      <c r="N447" s="14"/>
      <c r="Z447" s="11"/>
      <c r="AA447" s="16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16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6"/>
      <c r="AX447" s="15"/>
      <c r="AY447" s="15"/>
      <c r="AZ447" s="15"/>
      <c r="BA447" s="16"/>
      <c r="BB447" s="16"/>
      <c r="BC447" s="16"/>
      <c r="BD447" s="16"/>
      <c r="BE447" s="16"/>
      <c r="BF447" s="16"/>
      <c r="BG447" s="16"/>
      <c r="BH447" s="16"/>
      <c r="BI447" s="16"/>
      <c r="BJ447" s="16"/>
      <c r="BK447" s="16"/>
      <c r="BL447" s="16"/>
      <c r="BM447" s="16"/>
      <c r="BN447" s="16"/>
      <c r="BO447" s="16"/>
      <c r="BP447" s="3"/>
      <c r="BQ447" s="3"/>
      <c r="BR447" s="3"/>
      <c r="BS447" s="3"/>
      <c r="BT447" s="3"/>
      <c r="BU447" s="3"/>
      <c r="BV447" s="3"/>
      <c r="BW447" s="3"/>
      <c r="BX447" s="3"/>
      <c r="BY447" s="3"/>
      <c r="BZ447" s="3"/>
      <c r="CA447" s="3"/>
      <c r="CB447" s="3"/>
      <c r="CC447" s="3"/>
      <c r="CD447" s="3"/>
      <c r="CE447" s="3"/>
      <c r="CF447" s="3"/>
      <c r="CG447" s="3"/>
      <c r="CH447" s="3"/>
      <c r="CI447" s="3"/>
      <c r="CJ447" s="3"/>
      <c r="CK447" s="3"/>
      <c r="CL447" s="3"/>
      <c r="CM447" s="3"/>
      <c r="CN447" s="3"/>
      <c r="CO447" s="3"/>
      <c r="CP447" s="3"/>
      <c r="CQ447" s="3"/>
      <c r="CR447" s="3"/>
    </row>
    <row r="448" spans="1:96" ht="12" customHeight="1" x14ac:dyDescent="0.25">
      <c r="A448" s="3"/>
      <c r="B448" s="14"/>
      <c r="C448" s="14"/>
      <c r="D448" s="14"/>
      <c r="E448" s="14"/>
      <c r="K448" s="14"/>
      <c r="M448" s="14"/>
      <c r="N448" s="14"/>
      <c r="Z448" s="11"/>
      <c r="AA448" s="16"/>
      <c r="AB448" s="3"/>
      <c r="AC448" s="3"/>
      <c r="AD448" s="3"/>
      <c r="AE448" s="3"/>
      <c r="AF448" s="3"/>
      <c r="AG448" s="3"/>
      <c r="AH448" s="3"/>
      <c r="AI448" s="3"/>
      <c r="AJ448" s="3"/>
      <c r="AK448" s="3"/>
      <c r="AL448" s="16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6"/>
      <c r="AX448" s="15"/>
      <c r="AY448" s="15"/>
      <c r="AZ448" s="15"/>
      <c r="BA448" s="16"/>
      <c r="BB448" s="16"/>
      <c r="BC448" s="16"/>
      <c r="BD448" s="16"/>
      <c r="BE448" s="16"/>
      <c r="BF448" s="16"/>
      <c r="BG448" s="16"/>
      <c r="BH448" s="16"/>
      <c r="BI448" s="16"/>
      <c r="BJ448" s="16"/>
      <c r="BK448" s="16"/>
      <c r="BL448" s="16"/>
      <c r="BM448" s="16"/>
      <c r="BN448" s="16"/>
      <c r="BO448" s="16"/>
      <c r="BP448" s="3"/>
      <c r="BQ448" s="3"/>
      <c r="BR448" s="3"/>
      <c r="BS448" s="3"/>
      <c r="BT448" s="3"/>
      <c r="BU448" s="3"/>
      <c r="BV448" s="3"/>
      <c r="BW448" s="3"/>
      <c r="BX448" s="3"/>
      <c r="BY448" s="3"/>
      <c r="BZ448" s="3"/>
      <c r="CA448" s="3"/>
      <c r="CB448" s="3"/>
      <c r="CC448" s="3"/>
      <c r="CD448" s="3"/>
      <c r="CE448" s="3"/>
      <c r="CF448" s="3"/>
      <c r="CG448" s="3"/>
      <c r="CH448" s="3"/>
      <c r="CI448" s="3"/>
      <c r="CJ448" s="3"/>
      <c r="CK448" s="3"/>
      <c r="CL448" s="3"/>
      <c r="CM448" s="3"/>
      <c r="CN448" s="3"/>
      <c r="CO448" s="3"/>
      <c r="CP448" s="3"/>
      <c r="CQ448" s="3"/>
      <c r="CR448" s="3"/>
    </row>
    <row r="449" spans="1:96" ht="12" customHeight="1" x14ac:dyDescent="0.25">
      <c r="A449" s="3"/>
      <c r="B449" s="14"/>
      <c r="C449" s="14"/>
      <c r="D449" s="14"/>
      <c r="E449" s="14"/>
      <c r="K449" s="14"/>
      <c r="M449" s="14"/>
      <c r="N449" s="14"/>
      <c r="Z449" s="11"/>
      <c r="AA449" s="16"/>
      <c r="AB449" s="3"/>
      <c r="AC449" s="3"/>
      <c r="AD449" s="3"/>
      <c r="AE449" s="3"/>
      <c r="AF449" s="3"/>
      <c r="AG449" s="3"/>
      <c r="AH449" s="3"/>
      <c r="AI449" s="3"/>
      <c r="AJ449" s="3"/>
      <c r="AK449" s="3"/>
      <c r="AL449" s="16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6"/>
      <c r="AX449" s="15"/>
      <c r="AY449" s="15"/>
      <c r="AZ449" s="15"/>
      <c r="BA449" s="16"/>
      <c r="BB449" s="16"/>
      <c r="BC449" s="16"/>
      <c r="BD449" s="16"/>
      <c r="BE449" s="16"/>
      <c r="BF449" s="16"/>
      <c r="BG449" s="16"/>
      <c r="BH449" s="16"/>
      <c r="BI449" s="16"/>
      <c r="BJ449" s="16"/>
      <c r="BK449" s="16"/>
      <c r="BL449" s="16"/>
      <c r="BM449" s="16"/>
      <c r="BN449" s="16"/>
      <c r="BO449" s="16"/>
      <c r="BP449" s="3"/>
      <c r="BQ449" s="3"/>
      <c r="BR449" s="3"/>
      <c r="BS449" s="3"/>
      <c r="BT449" s="3"/>
      <c r="BU449" s="3"/>
      <c r="BV449" s="3"/>
      <c r="BW449" s="3"/>
      <c r="BX449" s="3"/>
      <c r="BY449" s="3"/>
      <c r="BZ449" s="3"/>
      <c r="CA449" s="3"/>
      <c r="CB449" s="3"/>
      <c r="CC449" s="3"/>
      <c r="CD449" s="3"/>
      <c r="CE449" s="3"/>
      <c r="CF449" s="3"/>
      <c r="CG449" s="3"/>
      <c r="CH449" s="3"/>
      <c r="CI449" s="3"/>
      <c r="CJ449" s="3"/>
      <c r="CK449" s="3"/>
      <c r="CL449" s="3"/>
      <c r="CM449" s="3"/>
      <c r="CN449" s="3"/>
      <c r="CO449" s="3"/>
      <c r="CP449" s="3"/>
      <c r="CQ449" s="3"/>
      <c r="CR449" s="3"/>
    </row>
    <row r="450" spans="1:96" ht="12" customHeight="1" x14ac:dyDescent="0.25">
      <c r="A450" s="3"/>
      <c r="B450" s="14"/>
      <c r="C450" s="14"/>
      <c r="D450" s="14"/>
      <c r="E450" s="14"/>
      <c r="K450" s="14"/>
      <c r="M450" s="14"/>
      <c r="N450" s="14"/>
      <c r="Z450" s="11"/>
      <c r="AA450" s="16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16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6"/>
      <c r="AX450" s="15"/>
      <c r="AY450" s="15"/>
      <c r="AZ450" s="15"/>
      <c r="BA450" s="16"/>
      <c r="BB450" s="16"/>
      <c r="BC450" s="16"/>
      <c r="BD450" s="16"/>
      <c r="BE450" s="16"/>
      <c r="BF450" s="16"/>
      <c r="BG450" s="16"/>
      <c r="BH450" s="16"/>
      <c r="BI450" s="16"/>
      <c r="BJ450" s="16"/>
      <c r="BK450" s="16"/>
      <c r="BL450" s="16"/>
      <c r="BM450" s="16"/>
      <c r="BN450" s="16"/>
      <c r="BO450" s="16"/>
      <c r="BP450" s="3"/>
      <c r="BQ450" s="3"/>
      <c r="BR450" s="3"/>
      <c r="BS450" s="3"/>
      <c r="BT450" s="3"/>
      <c r="BU450" s="3"/>
      <c r="BV450" s="3"/>
      <c r="BW450" s="3"/>
      <c r="BX450" s="3"/>
      <c r="BY450" s="3"/>
      <c r="BZ450" s="3"/>
      <c r="CA450" s="3"/>
      <c r="CB450" s="3"/>
      <c r="CC450" s="3"/>
      <c r="CD450" s="3"/>
      <c r="CE450" s="3"/>
      <c r="CF450" s="3"/>
      <c r="CG450" s="3"/>
      <c r="CH450" s="3"/>
      <c r="CI450" s="3"/>
      <c r="CJ450" s="3"/>
      <c r="CK450" s="3"/>
      <c r="CL450" s="3"/>
      <c r="CM450" s="3"/>
      <c r="CN450" s="3"/>
      <c r="CO450" s="3"/>
      <c r="CP450" s="3"/>
      <c r="CQ450" s="3"/>
      <c r="CR450" s="3"/>
    </row>
    <row r="451" spans="1:96" ht="12" customHeight="1" x14ac:dyDescent="0.25">
      <c r="A451" s="3"/>
      <c r="B451" s="14"/>
      <c r="C451" s="14"/>
      <c r="D451" s="14"/>
      <c r="E451" s="14"/>
      <c r="K451" s="14"/>
      <c r="M451" s="14"/>
      <c r="N451" s="14"/>
      <c r="Z451" s="11"/>
      <c r="AA451" s="16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16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6"/>
      <c r="AX451" s="15"/>
      <c r="AY451" s="15"/>
      <c r="AZ451" s="15"/>
      <c r="BA451" s="16"/>
      <c r="BB451" s="16"/>
      <c r="BC451" s="16"/>
      <c r="BD451" s="16"/>
      <c r="BE451" s="16"/>
      <c r="BF451" s="16"/>
      <c r="BG451" s="16"/>
      <c r="BH451" s="16"/>
      <c r="BI451" s="16"/>
      <c r="BJ451" s="16"/>
      <c r="BK451" s="16"/>
      <c r="BL451" s="16"/>
      <c r="BM451" s="16"/>
      <c r="BN451" s="16"/>
      <c r="BO451" s="16"/>
      <c r="BP451" s="3"/>
      <c r="BQ451" s="3"/>
      <c r="BR451" s="3"/>
      <c r="BS451" s="3"/>
      <c r="BT451" s="3"/>
      <c r="BU451" s="3"/>
      <c r="BV451" s="3"/>
      <c r="BW451" s="3"/>
      <c r="BX451" s="3"/>
      <c r="BY451" s="3"/>
      <c r="BZ451" s="3"/>
      <c r="CA451" s="3"/>
      <c r="CB451" s="3"/>
      <c r="CC451" s="3"/>
      <c r="CD451" s="3"/>
      <c r="CE451" s="3"/>
      <c r="CF451" s="3"/>
      <c r="CG451" s="3"/>
      <c r="CH451" s="3"/>
      <c r="CI451" s="3"/>
      <c r="CJ451" s="3"/>
      <c r="CK451" s="3"/>
      <c r="CL451" s="3"/>
      <c r="CM451" s="3"/>
      <c r="CN451" s="3"/>
      <c r="CO451" s="3"/>
      <c r="CP451" s="3"/>
      <c r="CQ451" s="3"/>
      <c r="CR451" s="3"/>
    </row>
    <row r="452" spans="1:96" ht="12" customHeight="1" x14ac:dyDescent="0.25">
      <c r="A452" s="3"/>
      <c r="B452" s="14"/>
      <c r="C452" s="14"/>
      <c r="D452" s="14"/>
      <c r="E452" s="14"/>
      <c r="K452" s="14"/>
      <c r="M452" s="14"/>
      <c r="N452" s="14"/>
      <c r="Z452" s="11"/>
      <c r="AA452" s="16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16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6"/>
      <c r="AX452" s="15"/>
      <c r="AY452" s="15"/>
      <c r="AZ452" s="15"/>
      <c r="BA452" s="16"/>
      <c r="BB452" s="16"/>
      <c r="BC452" s="16"/>
      <c r="BD452" s="16"/>
      <c r="BE452" s="16"/>
      <c r="BF452" s="16"/>
      <c r="BG452" s="16"/>
      <c r="BH452" s="16"/>
      <c r="BI452" s="16"/>
      <c r="BJ452" s="16"/>
      <c r="BK452" s="16"/>
      <c r="BL452" s="16"/>
      <c r="BM452" s="16"/>
      <c r="BN452" s="16"/>
      <c r="BO452" s="16"/>
      <c r="BP452" s="3"/>
      <c r="BQ452" s="3"/>
      <c r="BR452" s="3"/>
      <c r="BS452" s="3"/>
      <c r="BT452" s="3"/>
      <c r="BU452" s="3"/>
      <c r="BV452" s="3"/>
      <c r="BW452" s="3"/>
      <c r="BX452" s="3"/>
      <c r="BY452" s="3"/>
      <c r="BZ452" s="3"/>
      <c r="CA452" s="3"/>
      <c r="CB452" s="3"/>
      <c r="CC452" s="3"/>
      <c r="CD452" s="3"/>
      <c r="CE452" s="3"/>
      <c r="CF452" s="3"/>
      <c r="CG452" s="3"/>
      <c r="CH452" s="3"/>
      <c r="CI452" s="3"/>
      <c r="CJ452" s="3"/>
      <c r="CK452" s="3"/>
      <c r="CL452" s="3"/>
      <c r="CM452" s="3"/>
      <c r="CN452" s="3"/>
      <c r="CO452" s="3"/>
      <c r="CP452" s="3"/>
      <c r="CQ452" s="3"/>
      <c r="CR452" s="3"/>
    </row>
    <row r="453" spans="1:96" ht="12" customHeight="1" x14ac:dyDescent="0.25">
      <c r="A453" s="3"/>
      <c r="B453" s="14"/>
      <c r="C453" s="14"/>
      <c r="D453" s="14"/>
      <c r="E453" s="14"/>
      <c r="K453" s="14"/>
      <c r="M453" s="14"/>
      <c r="N453" s="14"/>
      <c r="Z453" s="11"/>
      <c r="AA453" s="16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16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6"/>
      <c r="AX453" s="15"/>
      <c r="AY453" s="15"/>
      <c r="AZ453" s="15"/>
      <c r="BA453" s="16"/>
      <c r="BB453" s="16"/>
      <c r="BC453" s="16"/>
      <c r="BD453" s="16"/>
      <c r="BE453" s="16"/>
      <c r="BF453" s="16"/>
      <c r="BG453" s="16"/>
      <c r="BH453" s="16"/>
      <c r="BI453" s="16"/>
      <c r="BJ453" s="16"/>
      <c r="BK453" s="16"/>
      <c r="BL453" s="16"/>
      <c r="BM453" s="16"/>
      <c r="BN453" s="16"/>
      <c r="BO453" s="16"/>
      <c r="BP453" s="3"/>
      <c r="BQ453" s="3"/>
      <c r="BR453" s="3"/>
      <c r="BS453" s="3"/>
      <c r="BT453" s="3"/>
      <c r="BU453" s="3"/>
      <c r="BV453" s="3"/>
      <c r="BW453" s="3"/>
      <c r="BX453" s="3"/>
      <c r="BY453" s="3"/>
      <c r="BZ453" s="3"/>
      <c r="CA453" s="3"/>
      <c r="CB453" s="3"/>
      <c r="CC453" s="3"/>
      <c r="CD453" s="3"/>
      <c r="CE453" s="3"/>
      <c r="CF453" s="3"/>
      <c r="CG453" s="3"/>
      <c r="CH453" s="3"/>
      <c r="CI453" s="3"/>
      <c r="CJ453" s="3"/>
      <c r="CK453" s="3"/>
      <c r="CL453" s="3"/>
      <c r="CM453" s="3"/>
      <c r="CN453" s="3"/>
      <c r="CO453" s="3"/>
      <c r="CP453" s="3"/>
      <c r="CQ453" s="3"/>
      <c r="CR453" s="3"/>
    </row>
    <row r="454" spans="1:96" ht="12" customHeight="1" x14ac:dyDescent="0.25">
      <c r="A454" s="3"/>
      <c r="B454" s="14"/>
      <c r="C454" s="14"/>
      <c r="D454" s="14"/>
      <c r="E454" s="14"/>
      <c r="K454" s="14"/>
      <c r="M454" s="14"/>
      <c r="N454" s="14"/>
      <c r="Z454" s="11"/>
      <c r="AA454" s="16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16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6"/>
      <c r="AX454" s="15"/>
      <c r="AY454" s="15"/>
      <c r="AZ454" s="15"/>
      <c r="BA454" s="16"/>
      <c r="BB454" s="16"/>
      <c r="BC454" s="16"/>
      <c r="BD454" s="16"/>
      <c r="BE454" s="16"/>
      <c r="BF454" s="16"/>
      <c r="BG454" s="16"/>
      <c r="BH454" s="16"/>
      <c r="BI454" s="16"/>
      <c r="BJ454" s="16"/>
      <c r="BK454" s="16"/>
      <c r="BL454" s="16"/>
      <c r="BM454" s="16"/>
      <c r="BN454" s="16"/>
      <c r="BO454" s="16"/>
      <c r="BP454" s="3"/>
      <c r="BQ454" s="3"/>
      <c r="BR454" s="3"/>
      <c r="BS454" s="3"/>
      <c r="BT454" s="3"/>
      <c r="BU454" s="3"/>
      <c r="BV454" s="3"/>
      <c r="BW454" s="3"/>
      <c r="BX454" s="3"/>
      <c r="BY454" s="3"/>
      <c r="BZ454" s="3"/>
      <c r="CA454" s="3"/>
      <c r="CB454" s="3"/>
      <c r="CC454" s="3"/>
      <c r="CD454" s="3"/>
      <c r="CE454" s="3"/>
      <c r="CF454" s="3"/>
      <c r="CG454" s="3"/>
      <c r="CH454" s="3"/>
      <c r="CI454" s="3"/>
      <c r="CJ454" s="3"/>
      <c r="CK454" s="3"/>
      <c r="CL454" s="3"/>
      <c r="CM454" s="3"/>
      <c r="CN454" s="3"/>
      <c r="CO454" s="3"/>
      <c r="CP454" s="3"/>
      <c r="CQ454" s="3"/>
      <c r="CR454" s="3"/>
    </row>
    <row r="455" spans="1:96" ht="12" customHeight="1" x14ac:dyDescent="0.25">
      <c r="A455" s="3"/>
      <c r="B455" s="14"/>
      <c r="C455" s="14"/>
      <c r="D455" s="14"/>
      <c r="E455" s="14"/>
      <c r="K455" s="14"/>
      <c r="M455" s="14"/>
      <c r="N455" s="14"/>
      <c r="Z455" s="11"/>
      <c r="AA455" s="16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16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6"/>
      <c r="AX455" s="15"/>
      <c r="AY455" s="15"/>
      <c r="AZ455" s="15"/>
      <c r="BA455" s="16"/>
      <c r="BB455" s="16"/>
      <c r="BC455" s="16"/>
      <c r="BD455" s="16"/>
      <c r="BE455" s="16"/>
      <c r="BF455" s="16"/>
      <c r="BG455" s="16"/>
      <c r="BH455" s="16"/>
      <c r="BI455" s="16"/>
      <c r="BJ455" s="16"/>
      <c r="BK455" s="16"/>
      <c r="BL455" s="16"/>
      <c r="BM455" s="16"/>
      <c r="BN455" s="16"/>
      <c r="BO455" s="16"/>
      <c r="BP455" s="3"/>
      <c r="BQ455" s="3"/>
      <c r="BR455" s="3"/>
      <c r="BS455" s="3"/>
      <c r="BT455" s="3"/>
      <c r="BU455" s="3"/>
      <c r="BV455" s="3"/>
      <c r="BW455" s="3"/>
      <c r="BX455" s="3"/>
      <c r="BY455" s="3"/>
      <c r="BZ455" s="3"/>
      <c r="CA455" s="3"/>
      <c r="CB455" s="3"/>
      <c r="CC455" s="3"/>
      <c r="CD455" s="3"/>
      <c r="CE455" s="3"/>
      <c r="CF455" s="3"/>
      <c r="CG455" s="3"/>
      <c r="CH455" s="3"/>
      <c r="CI455" s="3"/>
      <c r="CJ455" s="3"/>
      <c r="CK455" s="3"/>
      <c r="CL455" s="3"/>
      <c r="CM455" s="3"/>
      <c r="CN455" s="3"/>
      <c r="CO455" s="3"/>
      <c r="CP455" s="3"/>
      <c r="CQ455" s="3"/>
      <c r="CR455" s="3"/>
    </row>
    <row r="456" spans="1:96" ht="12" customHeight="1" x14ac:dyDescent="0.25">
      <c r="A456" s="3"/>
      <c r="B456" s="14"/>
      <c r="C456" s="14"/>
      <c r="D456" s="14"/>
      <c r="E456" s="14"/>
      <c r="K456" s="14"/>
      <c r="M456" s="14"/>
      <c r="N456" s="14"/>
      <c r="Z456" s="11"/>
      <c r="AA456" s="16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16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6"/>
      <c r="AX456" s="15"/>
      <c r="AY456" s="15"/>
      <c r="AZ456" s="15"/>
      <c r="BA456" s="16"/>
      <c r="BB456" s="16"/>
      <c r="BC456" s="16"/>
      <c r="BD456" s="16"/>
      <c r="BE456" s="16"/>
      <c r="BF456" s="16"/>
      <c r="BG456" s="16"/>
      <c r="BH456" s="16"/>
      <c r="BI456" s="16"/>
      <c r="BJ456" s="16"/>
      <c r="BK456" s="16"/>
      <c r="BL456" s="16"/>
      <c r="BM456" s="16"/>
      <c r="BN456" s="16"/>
      <c r="BO456" s="16"/>
      <c r="BP456" s="3"/>
      <c r="BQ456" s="3"/>
      <c r="BR456" s="3"/>
      <c r="BS456" s="3"/>
      <c r="BT456" s="3"/>
      <c r="BU456" s="3"/>
      <c r="BV456" s="3"/>
      <c r="BW456" s="3"/>
      <c r="BX456" s="3"/>
      <c r="BY456" s="3"/>
      <c r="BZ456" s="3"/>
      <c r="CA456" s="3"/>
      <c r="CB456" s="3"/>
      <c r="CC456" s="3"/>
      <c r="CD456" s="3"/>
      <c r="CE456" s="3"/>
      <c r="CF456" s="3"/>
      <c r="CG456" s="3"/>
      <c r="CH456" s="3"/>
      <c r="CI456" s="3"/>
      <c r="CJ456" s="3"/>
      <c r="CK456" s="3"/>
      <c r="CL456" s="3"/>
      <c r="CM456" s="3"/>
      <c r="CN456" s="3"/>
      <c r="CO456" s="3"/>
      <c r="CP456" s="3"/>
      <c r="CQ456" s="3"/>
      <c r="CR456" s="3"/>
    </row>
    <row r="457" spans="1:96" ht="12" customHeight="1" x14ac:dyDescent="0.25">
      <c r="A457" s="3"/>
      <c r="B457" s="14"/>
      <c r="C457" s="14"/>
      <c r="D457" s="14"/>
      <c r="E457" s="14"/>
      <c r="K457" s="14"/>
      <c r="M457" s="14"/>
      <c r="N457" s="14"/>
      <c r="Z457" s="11"/>
      <c r="AA457" s="16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16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6"/>
      <c r="AX457" s="15"/>
      <c r="AY457" s="15"/>
      <c r="AZ457" s="15"/>
      <c r="BA457" s="16"/>
      <c r="BB457" s="16"/>
      <c r="BC457" s="16"/>
      <c r="BD457" s="16"/>
      <c r="BE457" s="16"/>
      <c r="BF457" s="16"/>
      <c r="BG457" s="16"/>
      <c r="BH457" s="16"/>
      <c r="BI457" s="16"/>
      <c r="BJ457" s="16"/>
      <c r="BK457" s="16"/>
      <c r="BL457" s="16"/>
      <c r="BM457" s="16"/>
      <c r="BN457" s="16"/>
      <c r="BO457" s="16"/>
      <c r="BP457" s="3"/>
      <c r="BQ457" s="3"/>
      <c r="BR457" s="3"/>
      <c r="BS457" s="3"/>
      <c r="BT457" s="3"/>
      <c r="BU457" s="3"/>
      <c r="BV457" s="3"/>
      <c r="BW457" s="3"/>
      <c r="BX457" s="3"/>
      <c r="BY457" s="3"/>
      <c r="BZ457" s="3"/>
      <c r="CA457" s="3"/>
      <c r="CB457" s="3"/>
      <c r="CC457" s="3"/>
      <c r="CD457" s="3"/>
      <c r="CE457" s="3"/>
      <c r="CF457" s="3"/>
      <c r="CG457" s="3"/>
      <c r="CH457" s="3"/>
      <c r="CI457" s="3"/>
      <c r="CJ457" s="3"/>
      <c r="CK457" s="3"/>
      <c r="CL457" s="3"/>
      <c r="CM457" s="3"/>
      <c r="CN457" s="3"/>
      <c r="CO457" s="3"/>
      <c r="CP457" s="3"/>
      <c r="CQ457" s="3"/>
      <c r="CR457" s="3"/>
    </row>
    <row r="458" spans="1:96" ht="12" customHeight="1" x14ac:dyDescent="0.25">
      <c r="A458" s="3"/>
      <c r="B458" s="14"/>
      <c r="C458" s="14"/>
      <c r="D458" s="14"/>
      <c r="E458" s="14"/>
      <c r="K458" s="14"/>
      <c r="M458" s="14"/>
      <c r="N458" s="14"/>
      <c r="Z458" s="11"/>
      <c r="AA458" s="16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16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6"/>
      <c r="AX458" s="15"/>
      <c r="AY458" s="15"/>
      <c r="AZ458" s="15"/>
      <c r="BA458" s="16"/>
      <c r="BB458" s="16"/>
      <c r="BC458" s="16"/>
      <c r="BD458" s="16"/>
      <c r="BE458" s="16"/>
      <c r="BF458" s="16"/>
      <c r="BG458" s="16"/>
      <c r="BH458" s="16"/>
      <c r="BI458" s="16"/>
      <c r="BJ458" s="16"/>
      <c r="BK458" s="16"/>
      <c r="BL458" s="16"/>
      <c r="BM458" s="16"/>
      <c r="BN458" s="16"/>
      <c r="BO458" s="16"/>
      <c r="BP458" s="3"/>
      <c r="BQ458" s="3"/>
      <c r="BR458" s="3"/>
      <c r="BS458" s="3"/>
      <c r="BT458" s="3"/>
      <c r="BU458" s="3"/>
      <c r="BV458" s="3"/>
      <c r="BW458" s="3"/>
      <c r="BX458" s="3"/>
      <c r="BY458" s="3"/>
      <c r="BZ458" s="3"/>
      <c r="CA458" s="3"/>
      <c r="CB458" s="3"/>
      <c r="CC458" s="3"/>
      <c r="CD458" s="3"/>
      <c r="CE458" s="3"/>
      <c r="CF458" s="3"/>
      <c r="CG458" s="3"/>
      <c r="CH458" s="3"/>
      <c r="CI458" s="3"/>
      <c r="CJ458" s="3"/>
      <c r="CK458" s="3"/>
      <c r="CL458" s="3"/>
      <c r="CM458" s="3"/>
      <c r="CN458" s="3"/>
      <c r="CO458" s="3"/>
      <c r="CP458" s="3"/>
      <c r="CQ458" s="3"/>
      <c r="CR458" s="3"/>
    </row>
    <row r="459" spans="1:96" ht="12" customHeight="1" x14ac:dyDescent="0.25">
      <c r="A459" s="3"/>
      <c r="B459" s="14"/>
      <c r="C459" s="14"/>
      <c r="D459" s="14"/>
      <c r="E459" s="14"/>
      <c r="K459" s="14"/>
      <c r="M459" s="14"/>
      <c r="N459" s="14"/>
      <c r="Z459" s="11"/>
      <c r="AA459" s="16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16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6"/>
      <c r="AX459" s="15"/>
      <c r="AY459" s="15"/>
      <c r="AZ459" s="15"/>
      <c r="BA459" s="16"/>
      <c r="BB459" s="16"/>
      <c r="BC459" s="16"/>
      <c r="BD459" s="16"/>
      <c r="BE459" s="16"/>
      <c r="BF459" s="16"/>
      <c r="BG459" s="16"/>
      <c r="BH459" s="16"/>
      <c r="BI459" s="16"/>
      <c r="BJ459" s="16"/>
      <c r="BK459" s="16"/>
      <c r="BL459" s="16"/>
      <c r="BM459" s="16"/>
      <c r="BN459" s="16"/>
      <c r="BO459" s="16"/>
      <c r="BP459" s="3"/>
      <c r="BQ459" s="3"/>
      <c r="BR459" s="3"/>
      <c r="BS459" s="3"/>
      <c r="BT459" s="3"/>
      <c r="BU459" s="3"/>
      <c r="BV459" s="3"/>
      <c r="BW459" s="3"/>
      <c r="BX459" s="3"/>
      <c r="BY459" s="3"/>
      <c r="BZ459" s="3"/>
      <c r="CA459" s="3"/>
      <c r="CB459" s="3"/>
      <c r="CC459" s="3"/>
      <c r="CD459" s="3"/>
      <c r="CE459" s="3"/>
      <c r="CF459" s="3"/>
      <c r="CG459" s="3"/>
      <c r="CH459" s="3"/>
      <c r="CI459" s="3"/>
      <c r="CJ459" s="3"/>
      <c r="CK459" s="3"/>
      <c r="CL459" s="3"/>
      <c r="CM459" s="3"/>
      <c r="CN459" s="3"/>
      <c r="CO459" s="3"/>
      <c r="CP459" s="3"/>
      <c r="CQ459" s="3"/>
      <c r="CR459" s="3"/>
    </row>
    <row r="460" spans="1:96" ht="12" customHeight="1" x14ac:dyDescent="0.25">
      <c r="A460" s="3"/>
      <c r="B460" s="14"/>
      <c r="C460" s="14"/>
      <c r="D460" s="14"/>
      <c r="E460" s="14"/>
      <c r="K460" s="14"/>
      <c r="M460" s="14"/>
      <c r="N460" s="14"/>
      <c r="Z460" s="11"/>
      <c r="AA460" s="16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16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6"/>
      <c r="AX460" s="15"/>
      <c r="AY460" s="15"/>
      <c r="AZ460" s="15"/>
      <c r="BA460" s="16"/>
      <c r="BB460" s="16"/>
      <c r="BC460" s="16"/>
      <c r="BD460" s="16"/>
      <c r="BE460" s="16"/>
      <c r="BF460" s="16"/>
      <c r="BG460" s="16"/>
      <c r="BH460" s="16"/>
      <c r="BI460" s="16"/>
      <c r="BJ460" s="16"/>
      <c r="BK460" s="16"/>
      <c r="BL460" s="16"/>
      <c r="BM460" s="16"/>
      <c r="BN460" s="16"/>
      <c r="BO460" s="16"/>
      <c r="BP460" s="3"/>
      <c r="BQ460" s="3"/>
      <c r="BR460" s="3"/>
      <c r="BS460" s="3"/>
      <c r="BT460" s="3"/>
      <c r="BU460" s="3"/>
      <c r="BV460" s="3"/>
      <c r="BW460" s="3"/>
      <c r="BX460" s="3"/>
      <c r="BY460" s="3"/>
      <c r="BZ460" s="3"/>
      <c r="CA460" s="3"/>
      <c r="CB460" s="3"/>
      <c r="CC460" s="3"/>
      <c r="CD460" s="3"/>
      <c r="CE460" s="3"/>
      <c r="CF460" s="3"/>
      <c r="CG460" s="3"/>
      <c r="CH460" s="3"/>
      <c r="CI460" s="3"/>
      <c r="CJ460" s="3"/>
      <c r="CK460" s="3"/>
      <c r="CL460" s="3"/>
      <c r="CM460" s="3"/>
      <c r="CN460" s="3"/>
      <c r="CO460" s="3"/>
      <c r="CP460" s="3"/>
      <c r="CQ460" s="3"/>
      <c r="CR460" s="3"/>
    </row>
    <row r="461" spans="1:96" ht="12" customHeight="1" x14ac:dyDescent="0.25">
      <c r="A461" s="3"/>
      <c r="B461" s="14"/>
      <c r="C461" s="14"/>
      <c r="D461" s="14"/>
      <c r="E461" s="14"/>
      <c r="K461" s="14"/>
      <c r="M461" s="14"/>
      <c r="N461" s="14"/>
      <c r="Z461" s="11"/>
      <c r="AA461" s="16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16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6"/>
      <c r="AX461" s="15"/>
      <c r="AY461" s="15"/>
      <c r="AZ461" s="15"/>
      <c r="BA461" s="16"/>
      <c r="BB461" s="16"/>
      <c r="BC461" s="16"/>
      <c r="BD461" s="16"/>
      <c r="BE461" s="16"/>
      <c r="BF461" s="16"/>
      <c r="BG461" s="16"/>
      <c r="BH461" s="16"/>
      <c r="BI461" s="16"/>
      <c r="BJ461" s="16"/>
      <c r="BK461" s="16"/>
      <c r="BL461" s="16"/>
      <c r="BM461" s="16"/>
      <c r="BN461" s="16"/>
      <c r="BO461" s="16"/>
      <c r="BP461" s="3"/>
      <c r="BQ461" s="3"/>
      <c r="BR461" s="3"/>
      <c r="BS461" s="3"/>
      <c r="BT461" s="3"/>
      <c r="BU461" s="3"/>
      <c r="BV461" s="3"/>
      <c r="BW461" s="3"/>
      <c r="BX461" s="3"/>
      <c r="BY461" s="3"/>
      <c r="BZ461" s="3"/>
      <c r="CA461" s="3"/>
      <c r="CB461" s="3"/>
      <c r="CC461" s="3"/>
      <c r="CD461" s="3"/>
      <c r="CE461" s="3"/>
      <c r="CF461" s="3"/>
      <c r="CG461" s="3"/>
      <c r="CH461" s="3"/>
      <c r="CI461" s="3"/>
      <c r="CJ461" s="3"/>
      <c r="CK461" s="3"/>
      <c r="CL461" s="3"/>
      <c r="CM461" s="3"/>
      <c r="CN461" s="3"/>
      <c r="CO461" s="3"/>
      <c r="CP461" s="3"/>
      <c r="CQ461" s="3"/>
      <c r="CR461" s="3"/>
    </row>
    <row r="462" spans="1:96" ht="12" customHeight="1" x14ac:dyDescent="0.25">
      <c r="A462" s="3"/>
      <c r="B462" s="14"/>
      <c r="C462" s="14"/>
      <c r="D462" s="14"/>
      <c r="E462" s="14"/>
      <c r="K462" s="14"/>
      <c r="M462" s="14"/>
      <c r="N462" s="14"/>
      <c r="Z462" s="11"/>
      <c r="AA462" s="16"/>
      <c r="AB462" s="3"/>
      <c r="AC462" s="3"/>
      <c r="AD462" s="3"/>
      <c r="AE462" s="3"/>
      <c r="AF462" s="3"/>
      <c r="AG462" s="3"/>
      <c r="AH462" s="3"/>
      <c r="AI462" s="3"/>
      <c r="AJ462" s="3"/>
      <c r="AK462" s="3"/>
      <c r="AL462" s="16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6"/>
      <c r="AX462" s="15"/>
      <c r="AY462" s="15"/>
      <c r="AZ462" s="15"/>
      <c r="BA462" s="16"/>
      <c r="BB462" s="16"/>
      <c r="BC462" s="16"/>
      <c r="BD462" s="16"/>
      <c r="BE462" s="16"/>
      <c r="BF462" s="16"/>
      <c r="BG462" s="16"/>
      <c r="BH462" s="16"/>
      <c r="BI462" s="16"/>
      <c r="BJ462" s="16"/>
      <c r="BK462" s="16"/>
      <c r="BL462" s="16"/>
      <c r="BM462" s="16"/>
      <c r="BN462" s="16"/>
      <c r="BO462" s="16"/>
      <c r="BP462" s="3"/>
      <c r="BQ462" s="3"/>
      <c r="BR462" s="3"/>
      <c r="BS462" s="3"/>
      <c r="BT462" s="3"/>
      <c r="BU462" s="3"/>
      <c r="BV462" s="3"/>
      <c r="BW462" s="3"/>
      <c r="BX462" s="3"/>
      <c r="BY462" s="3"/>
      <c r="BZ462" s="3"/>
      <c r="CA462" s="3"/>
      <c r="CB462" s="3"/>
      <c r="CC462" s="3"/>
      <c r="CD462" s="3"/>
      <c r="CE462" s="3"/>
      <c r="CF462" s="3"/>
      <c r="CG462" s="3"/>
      <c r="CH462" s="3"/>
      <c r="CI462" s="3"/>
      <c r="CJ462" s="3"/>
      <c r="CK462" s="3"/>
      <c r="CL462" s="3"/>
      <c r="CM462" s="3"/>
      <c r="CN462" s="3"/>
      <c r="CO462" s="3"/>
      <c r="CP462" s="3"/>
      <c r="CQ462" s="3"/>
      <c r="CR462" s="3"/>
    </row>
    <row r="463" spans="1:96" ht="12" customHeight="1" x14ac:dyDescent="0.25">
      <c r="A463" s="3"/>
      <c r="B463" s="14"/>
      <c r="C463" s="14"/>
      <c r="D463" s="14"/>
      <c r="E463" s="14"/>
      <c r="K463" s="14"/>
      <c r="M463" s="14"/>
      <c r="N463" s="14"/>
      <c r="Z463" s="11"/>
      <c r="AA463" s="16"/>
      <c r="AB463" s="3"/>
      <c r="AC463" s="3"/>
      <c r="AD463" s="3"/>
      <c r="AE463" s="3"/>
      <c r="AF463" s="3"/>
      <c r="AG463" s="3"/>
      <c r="AH463" s="3"/>
      <c r="AI463" s="3"/>
      <c r="AJ463" s="3"/>
      <c r="AK463" s="3"/>
      <c r="AL463" s="16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6"/>
      <c r="AX463" s="15"/>
      <c r="AY463" s="15"/>
      <c r="AZ463" s="15"/>
      <c r="BA463" s="16"/>
      <c r="BB463" s="16"/>
      <c r="BC463" s="16"/>
      <c r="BD463" s="16"/>
      <c r="BE463" s="16"/>
      <c r="BF463" s="16"/>
      <c r="BG463" s="16"/>
      <c r="BH463" s="16"/>
      <c r="BI463" s="16"/>
      <c r="BJ463" s="16"/>
      <c r="BK463" s="16"/>
      <c r="BL463" s="16"/>
      <c r="BM463" s="16"/>
      <c r="BN463" s="16"/>
      <c r="BO463" s="16"/>
      <c r="BP463" s="3"/>
      <c r="BQ463" s="3"/>
      <c r="BR463" s="3"/>
      <c r="BS463" s="3"/>
      <c r="BT463" s="3"/>
      <c r="BU463" s="3"/>
      <c r="BV463" s="3"/>
      <c r="BW463" s="3"/>
      <c r="BX463" s="3"/>
      <c r="BY463" s="3"/>
      <c r="BZ463" s="3"/>
      <c r="CA463" s="3"/>
      <c r="CB463" s="3"/>
      <c r="CC463" s="3"/>
      <c r="CD463" s="3"/>
      <c r="CE463" s="3"/>
      <c r="CF463" s="3"/>
      <c r="CG463" s="3"/>
      <c r="CH463" s="3"/>
      <c r="CI463" s="3"/>
      <c r="CJ463" s="3"/>
      <c r="CK463" s="3"/>
      <c r="CL463" s="3"/>
      <c r="CM463" s="3"/>
      <c r="CN463" s="3"/>
      <c r="CO463" s="3"/>
      <c r="CP463" s="3"/>
      <c r="CQ463" s="3"/>
      <c r="CR463" s="3"/>
    </row>
    <row r="464" spans="1:96" ht="12" customHeight="1" x14ac:dyDescent="0.25">
      <c r="A464" s="3"/>
      <c r="B464" s="14"/>
      <c r="C464" s="14"/>
      <c r="D464" s="14"/>
      <c r="E464" s="14"/>
      <c r="K464" s="14"/>
      <c r="M464" s="14"/>
      <c r="N464" s="14"/>
      <c r="Z464" s="11"/>
      <c r="AA464" s="16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16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6"/>
      <c r="AX464" s="15"/>
      <c r="AY464" s="15"/>
      <c r="AZ464" s="15"/>
      <c r="BA464" s="16"/>
      <c r="BB464" s="16"/>
      <c r="BC464" s="16"/>
      <c r="BD464" s="16"/>
      <c r="BE464" s="16"/>
      <c r="BF464" s="16"/>
      <c r="BG464" s="16"/>
      <c r="BH464" s="16"/>
      <c r="BI464" s="16"/>
      <c r="BJ464" s="16"/>
      <c r="BK464" s="16"/>
      <c r="BL464" s="16"/>
      <c r="BM464" s="16"/>
      <c r="BN464" s="16"/>
      <c r="BO464" s="16"/>
      <c r="BP464" s="3"/>
      <c r="BQ464" s="3"/>
      <c r="BR464" s="3"/>
      <c r="BS464" s="3"/>
      <c r="BT464" s="3"/>
      <c r="BU464" s="3"/>
      <c r="BV464" s="3"/>
      <c r="BW464" s="3"/>
      <c r="BX464" s="3"/>
      <c r="BY464" s="3"/>
      <c r="BZ464" s="3"/>
      <c r="CA464" s="3"/>
      <c r="CB464" s="3"/>
      <c r="CC464" s="3"/>
      <c r="CD464" s="3"/>
      <c r="CE464" s="3"/>
      <c r="CF464" s="3"/>
      <c r="CG464" s="3"/>
      <c r="CH464" s="3"/>
      <c r="CI464" s="3"/>
      <c r="CJ464" s="3"/>
      <c r="CK464" s="3"/>
      <c r="CL464" s="3"/>
      <c r="CM464" s="3"/>
      <c r="CN464" s="3"/>
      <c r="CO464" s="3"/>
      <c r="CP464" s="3"/>
      <c r="CQ464" s="3"/>
      <c r="CR464" s="3"/>
    </row>
    <row r="465" spans="1:96" ht="12" customHeight="1" x14ac:dyDescent="0.25">
      <c r="A465" s="3"/>
      <c r="B465" s="14"/>
      <c r="C465" s="14"/>
      <c r="D465" s="14"/>
      <c r="E465" s="14"/>
      <c r="K465" s="14"/>
      <c r="M465" s="14"/>
      <c r="N465" s="14"/>
      <c r="Z465" s="11"/>
      <c r="AA465" s="16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16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6"/>
      <c r="AX465" s="15"/>
      <c r="AY465" s="15"/>
      <c r="AZ465" s="15"/>
      <c r="BA465" s="16"/>
      <c r="BB465" s="16"/>
      <c r="BC465" s="16"/>
      <c r="BD465" s="16"/>
      <c r="BE465" s="16"/>
      <c r="BF465" s="16"/>
      <c r="BG465" s="16"/>
      <c r="BH465" s="16"/>
      <c r="BI465" s="16"/>
      <c r="BJ465" s="16"/>
      <c r="BK465" s="16"/>
      <c r="BL465" s="16"/>
      <c r="BM465" s="16"/>
      <c r="BN465" s="16"/>
      <c r="BO465" s="16"/>
      <c r="BP465" s="3"/>
      <c r="BQ465" s="3"/>
      <c r="BR465" s="3"/>
      <c r="BS465" s="3"/>
      <c r="BT465" s="3"/>
      <c r="BU465" s="3"/>
      <c r="BV465" s="3"/>
      <c r="BW465" s="3"/>
      <c r="BX465" s="3"/>
      <c r="BY465" s="3"/>
      <c r="BZ465" s="3"/>
      <c r="CA465" s="3"/>
      <c r="CB465" s="3"/>
      <c r="CC465" s="3"/>
      <c r="CD465" s="3"/>
      <c r="CE465" s="3"/>
      <c r="CF465" s="3"/>
      <c r="CG465" s="3"/>
      <c r="CH465" s="3"/>
      <c r="CI465" s="3"/>
      <c r="CJ465" s="3"/>
      <c r="CK465" s="3"/>
      <c r="CL465" s="3"/>
      <c r="CM465" s="3"/>
      <c r="CN465" s="3"/>
      <c r="CO465" s="3"/>
      <c r="CP465" s="3"/>
      <c r="CQ465" s="3"/>
      <c r="CR465" s="3"/>
    </row>
    <row r="466" spans="1:96" ht="12" customHeight="1" x14ac:dyDescent="0.25">
      <c r="A466" s="3"/>
      <c r="B466" s="14"/>
      <c r="C466" s="14"/>
      <c r="D466" s="14"/>
      <c r="E466" s="14"/>
      <c r="K466" s="14"/>
      <c r="M466" s="14"/>
      <c r="N466" s="14"/>
      <c r="Z466" s="11"/>
      <c r="AA466" s="16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16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6"/>
      <c r="AX466" s="15"/>
      <c r="AY466" s="15"/>
      <c r="AZ466" s="15"/>
      <c r="BA466" s="16"/>
      <c r="BB466" s="16"/>
      <c r="BC466" s="16"/>
      <c r="BD466" s="16"/>
      <c r="BE466" s="16"/>
      <c r="BF466" s="16"/>
      <c r="BG466" s="16"/>
      <c r="BH466" s="16"/>
      <c r="BI466" s="16"/>
      <c r="BJ466" s="16"/>
      <c r="BK466" s="16"/>
      <c r="BL466" s="16"/>
      <c r="BM466" s="16"/>
      <c r="BN466" s="16"/>
      <c r="BO466" s="16"/>
      <c r="BP466" s="3"/>
      <c r="BQ466" s="3"/>
      <c r="BR466" s="3"/>
      <c r="BS466" s="3"/>
      <c r="BT466" s="3"/>
      <c r="BU466" s="3"/>
      <c r="BV466" s="3"/>
      <c r="BW466" s="3"/>
      <c r="BX466" s="3"/>
      <c r="BY466" s="3"/>
      <c r="BZ466" s="3"/>
      <c r="CA466" s="3"/>
      <c r="CB466" s="3"/>
      <c r="CC466" s="3"/>
      <c r="CD466" s="3"/>
      <c r="CE466" s="3"/>
      <c r="CF466" s="3"/>
      <c r="CG466" s="3"/>
      <c r="CH466" s="3"/>
      <c r="CI466" s="3"/>
      <c r="CJ466" s="3"/>
      <c r="CK466" s="3"/>
      <c r="CL466" s="3"/>
      <c r="CM466" s="3"/>
      <c r="CN466" s="3"/>
      <c r="CO466" s="3"/>
      <c r="CP466" s="3"/>
      <c r="CQ466" s="3"/>
      <c r="CR466" s="3"/>
    </row>
    <row r="467" spans="1:96" ht="12" customHeight="1" x14ac:dyDescent="0.25">
      <c r="A467" s="3"/>
      <c r="B467" s="14"/>
      <c r="C467" s="14"/>
      <c r="D467" s="14"/>
      <c r="E467" s="14"/>
      <c r="K467" s="14"/>
      <c r="M467" s="14"/>
      <c r="N467" s="14"/>
      <c r="Z467" s="11"/>
      <c r="AA467" s="16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16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6"/>
      <c r="AX467" s="15"/>
      <c r="AY467" s="15"/>
      <c r="AZ467" s="15"/>
      <c r="BA467" s="16"/>
      <c r="BB467" s="16"/>
      <c r="BC467" s="16"/>
      <c r="BD467" s="16"/>
      <c r="BE467" s="16"/>
      <c r="BF467" s="16"/>
      <c r="BG467" s="16"/>
      <c r="BH467" s="16"/>
      <c r="BI467" s="16"/>
      <c r="BJ467" s="16"/>
      <c r="BK467" s="16"/>
      <c r="BL467" s="16"/>
      <c r="BM467" s="16"/>
      <c r="BN467" s="16"/>
      <c r="BO467" s="16"/>
      <c r="BP467" s="3"/>
      <c r="BQ467" s="3"/>
      <c r="BR467" s="3"/>
      <c r="BS467" s="3"/>
      <c r="BT467" s="3"/>
      <c r="BU467" s="3"/>
      <c r="BV467" s="3"/>
      <c r="BW467" s="3"/>
      <c r="BX467" s="3"/>
      <c r="BY467" s="3"/>
      <c r="BZ467" s="3"/>
      <c r="CA467" s="3"/>
      <c r="CB467" s="3"/>
      <c r="CC467" s="3"/>
      <c r="CD467" s="3"/>
      <c r="CE467" s="3"/>
      <c r="CF467" s="3"/>
      <c r="CG467" s="3"/>
      <c r="CH467" s="3"/>
      <c r="CI467" s="3"/>
      <c r="CJ467" s="3"/>
      <c r="CK467" s="3"/>
      <c r="CL467" s="3"/>
      <c r="CM467" s="3"/>
      <c r="CN467" s="3"/>
      <c r="CO467" s="3"/>
      <c r="CP467" s="3"/>
      <c r="CQ467" s="3"/>
      <c r="CR467" s="3"/>
    </row>
    <row r="468" spans="1:96" ht="12" customHeight="1" x14ac:dyDescent="0.25">
      <c r="A468" s="3"/>
      <c r="B468" s="14"/>
      <c r="C468" s="14"/>
      <c r="D468" s="14"/>
      <c r="E468" s="14"/>
      <c r="K468" s="14"/>
      <c r="M468" s="14"/>
      <c r="N468" s="14"/>
      <c r="Z468" s="11"/>
      <c r="AA468" s="16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16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6"/>
      <c r="AX468" s="15"/>
      <c r="AY468" s="15"/>
      <c r="AZ468" s="15"/>
      <c r="BA468" s="16"/>
      <c r="BB468" s="16"/>
      <c r="BC468" s="16"/>
      <c r="BD468" s="16"/>
      <c r="BE468" s="16"/>
      <c r="BF468" s="16"/>
      <c r="BG468" s="16"/>
      <c r="BH468" s="16"/>
      <c r="BI468" s="16"/>
      <c r="BJ468" s="16"/>
      <c r="BK468" s="16"/>
      <c r="BL468" s="16"/>
      <c r="BM468" s="16"/>
      <c r="BN468" s="16"/>
      <c r="BO468" s="16"/>
      <c r="BP468" s="3"/>
      <c r="BQ468" s="3"/>
      <c r="BR468" s="3"/>
      <c r="BS468" s="3"/>
      <c r="BT468" s="3"/>
      <c r="BU468" s="3"/>
      <c r="BV468" s="3"/>
      <c r="BW468" s="3"/>
      <c r="BX468" s="3"/>
      <c r="BY468" s="3"/>
      <c r="BZ468" s="3"/>
      <c r="CA468" s="3"/>
      <c r="CB468" s="3"/>
      <c r="CC468" s="3"/>
      <c r="CD468" s="3"/>
      <c r="CE468" s="3"/>
      <c r="CF468" s="3"/>
      <c r="CG468" s="3"/>
      <c r="CH468" s="3"/>
      <c r="CI468" s="3"/>
      <c r="CJ468" s="3"/>
      <c r="CK468" s="3"/>
      <c r="CL468" s="3"/>
      <c r="CM468" s="3"/>
      <c r="CN468" s="3"/>
      <c r="CO468" s="3"/>
      <c r="CP468" s="3"/>
      <c r="CQ468" s="3"/>
      <c r="CR468" s="3"/>
    </row>
    <row r="469" spans="1:96" ht="12" customHeight="1" x14ac:dyDescent="0.25">
      <c r="A469" s="3"/>
      <c r="B469" s="14"/>
      <c r="C469" s="14"/>
      <c r="D469" s="14"/>
      <c r="E469" s="14"/>
      <c r="K469" s="14"/>
      <c r="M469" s="14"/>
      <c r="N469" s="14"/>
      <c r="Z469" s="11"/>
      <c r="AA469" s="16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16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6"/>
      <c r="AX469" s="15"/>
      <c r="AY469" s="15"/>
      <c r="AZ469" s="15"/>
      <c r="BA469" s="16"/>
      <c r="BB469" s="16"/>
      <c r="BC469" s="16"/>
      <c r="BD469" s="16"/>
      <c r="BE469" s="16"/>
      <c r="BF469" s="16"/>
      <c r="BG469" s="16"/>
      <c r="BH469" s="16"/>
      <c r="BI469" s="16"/>
      <c r="BJ469" s="16"/>
      <c r="BK469" s="16"/>
      <c r="BL469" s="16"/>
      <c r="BM469" s="16"/>
      <c r="BN469" s="16"/>
      <c r="BO469" s="16"/>
      <c r="BP469" s="3"/>
      <c r="BQ469" s="3"/>
      <c r="BR469" s="3"/>
      <c r="BS469" s="3"/>
      <c r="BT469" s="3"/>
      <c r="BU469" s="3"/>
      <c r="BV469" s="3"/>
      <c r="BW469" s="3"/>
      <c r="BX469" s="3"/>
      <c r="BY469" s="3"/>
      <c r="BZ469" s="3"/>
      <c r="CA469" s="3"/>
      <c r="CB469" s="3"/>
      <c r="CC469" s="3"/>
      <c r="CD469" s="3"/>
      <c r="CE469" s="3"/>
      <c r="CF469" s="3"/>
      <c r="CG469" s="3"/>
      <c r="CH469" s="3"/>
      <c r="CI469" s="3"/>
      <c r="CJ469" s="3"/>
      <c r="CK469" s="3"/>
      <c r="CL469" s="3"/>
      <c r="CM469" s="3"/>
      <c r="CN469" s="3"/>
      <c r="CO469" s="3"/>
      <c r="CP469" s="3"/>
      <c r="CQ469" s="3"/>
      <c r="CR469" s="3"/>
    </row>
    <row r="470" spans="1:96" ht="12" customHeight="1" x14ac:dyDescent="0.25">
      <c r="A470" s="3"/>
      <c r="B470" s="14"/>
      <c r="C470" s="14"/>
      <c r="D470" s="14"/>
      <c r="E470" s="14"/>
      <c r="K470" s="14"/>
      <c r="M470" s="14"/>
      <c r="N470" s="14"/>
      <c r="Z470" s="11"/>
      <c r="AA470" s="16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16"/>
      <c r="AM470" s="17"/>
      <c r="AW470" s="16"/>
      <c r="AX470" s="15"/>
      <c r="AY470" s="15"/>
      <c r="AZ470" s="15"/>
      <c r="BA470" s="16"/>
      <c r="BB470" s="16"/>
      <c r="BC470" s="16"/>
      <c r="BD470" s="16"/>
      <c r="BE470" s="16"/>
      <c r="BF470" s="16"/>
      <c r="BG470" s="16"/>
      <c r="BH470" s="16"/>
      <c r="BI470" s="16"/>
      <c r="BJ470" s="16"/>
      <c r="BK470" s="16"/>
      <c r="BL470" s="16"/>
      <c r="BM470" s="16"/>
      <c r="BN470" s="16"/>
      <c r="BO470" s="16"/>
      <c r="BP470" s="3"/>
      <c r="BQ470" s="3"/>
      <c r="BR470" s="3"/>
      <c r="BS470" s="3"/>
      <c r="BT470" s="3"/>
      <c r="BU470" s="3"/>
      <c r="BV470" s="3"/>
      <c r="BW470" s="3"/>
      <c r="BX470" s="3"/>
      <c r="BY470" s="3"/>
      <c r="BZ470" s="3"/>
      <c r="CA470" s="3"/>
      <c r="CB470" s="3"/>
      <c r="CC470" s="3"/>
      <c r="CD470" s="3"/>
      <c r="CE470" s="3"/>
      <c r="CF470" s="3"/>
      <c r="CG470" s="3"/>
      <c r="CH470" s="3"/>
      <c r="CI470" s="3"/>
      <c r="CJ470" s="3"/>
      <c r="CK470" s="3"/>
      <c r="CL470" s="3"/>
      <c r="CM470" s="3"/>
      <c r="CN470" s="3"/>
      <c r="CO470" s="3"/>
      <c r="CP470" s="3"/>
      <c r="CQ470" s="3"/>
      <c r="CR470" s="3"/>
    </row>
    <row r="471" spans="1:96" ht="12" customHeight="1" x14ac:dyDescent="0.25">
      <c r="A471" s="3"/>
      <c r="B471" s="14"/>
      <c r="C471" s="14"/>
      <c r="D471" s="14"/>
      <c r="E471" s="14"/>
      <c r="K471" s="14"/>
      <c r="M471" s="14"/>
      <c r="N471" s="14"/>
      <c r="Z471" s="11"/>
      <c r="AA471" s="16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16"/>
      <c r="AM471" s="17"/>
      <c r="AW471" s="16"/>
      <c r="AX471" s="15"/>
      <c r="AY471" s="15"/>
      <c r="AZ471" s="15"/>
      <c r="BA471" s="16"/>
      <c r="BB471" s="16"/>
      <c r="BC471" s="16"/>
      <c r="BD471" s="16"/>
      <c r="BE471" s="16"/>
      <c r="BF471" s="16"/>
      <c r="BG471" s="16"/>
      <c r="BH471" s="16"/>
      <c r="BI471" s="16"/>
      <c r="BJ471" s="16"/>
      <c r="BK471" s="16"/>
      <c r="BL471" s="16"/>
      <c r="BM471" s="16"/>
      <c r="BN471" s="16"/>
      <c r="BO471" s="16"/>
      <c r="BP471" s="3"/>
      <c r="BQ471" s="3"/>
      <c r="BR471" s="3"/>
      <c r="BS471" s="3"/>
      <c r="BT471" s="3"/>
      <c r="BU471" s="3"/>
      <c r="BV471" s="3"/>
      <c r="BW471" s="3"/>
      <c r="BX471" s="3"/>
      <c r="BY471" s="3"/>
      <c r="BZ471" s="3"/>
      <c r="CA471" s="3"/>
      <c r="CB471" s="3"/>
      <c r="CC471" s="3"/>
      <c r="CD471" s="3"/>
      <c r="CE471" s="3"/>
      <c r="CF471" s="3"/>
      <c r="CG471" s="3"/>
      <c r="CH471" s="3"/>
      <c r="CI471" s="3"/>
      <c r="CJ471" s="3"/>
      <c r="CK471" s="3"/>
      <c r="CL471" s="3"/>
      <c r="CM471" s="3"/>
      <c r="CN471" s="3"/>
      <c r="CO471" s="3"/>
      <c r="CP471" s="3"/>
      <c r="CQ471" s="3"/>
      <c r="CR471" s="3"/>
    </row>
    <row r="472" spans="1:96" ht="12" customHeight="1" x14ac:dyDescent="0.25">
      <c r="A472" s="3"/>
      <c r="B472" s="14"/>
      <c r="C472" s="14"/>
      <c r="D472" s="14"/>
      <c r="E472" s="14"/>
      <c r="K472" s="14"/>
      <c r="M472" s="14"/>
      <c r="N472" s="14"/>
      <c r="Z472" s="11"/>
      <c r="AA472" s="16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16"/>
      <c r="AM472" s="17"/>
      <c r="AW472" s="16"/>
      <c r="AX472" s="15"/>
      <c r="AY472" s="15"/>
      <c r="AZ472" s="15"/>
      <c r="BA472" s="16"/>
      <c r="BB472" s="16"/>
      <c r="BC472" s="16"/>
      <c r="BD472" s="16"/>
      <c r="BE472" s="16"/>
      <c r="BF472" s="16"/>
      <c r="BG472" s="16"/>
      <c r="BH472" s="16"/>
      <c r="BI472" s="16"/>
      <c r="BJ472" s="16"/>
      <c r="BK472" s="16"/>
      <c r="BL472" s="16"/>
      <c r="BM472" s="16"/>
      <c r="BN472" s="16"/>
      <c r="BO472" s="16"/>
      <c r="BP472" s="3"/>
      <c r="BQ472" s="3"/>
      <c r="BR472" s="3"/>
      <c r="BS472" s="3"/>
      <c r="BT472" s="3"/>
      <c r="BU472" s="3"/>
      <c r="BV472" s="3"/>
      <c r="BW472" s="3"/>
      <c r="BX472" s="3"/>
      <c r="BY472" s="3"/>
      <c r="BZ472" s="3"/>
      <c r="CA472" s="3"/>
      <c r="CB472" s="3"/>
      <c r="CC472" s="3"/>
      <c r="CD472" s="3"/>
      <c r="CE472" s="3"/>
      <c r="CF472" s="3"/>
      <c r="CG472" s="3"/>
      <c r="CH472" s="3"/>
      <c r="CI472" s="3"/>
      <c r="CJ472" s="3"/>
      <c r="CK472" s="3"/>
      <c r="CL472" s="3"/>
      <c r="CM472" s="3"/>
      <c r="CN472" s="3"/>
      <c r="CO472" s="3"/>
      <c r="CP472" s="3"/>
      <c r="CQ472" s="3"/>
      <c r="CR472" s="3"/>
    </row>
    <row r="473" spans="1:96" ht="12" customHeight="1" x14ac:dyDescent="0.25">
      <c r="A473" s="3"/>
      <c r="B473" s="14"/>
      <c r="C473" s="14"/>
      <c r="D473" s="14"/>
      <c r="E473" s="14"/>
      <c r="K473" s="14"/>
      <c r="M473" s="14"/>
      <c r="N473" s="14"/>
      <c r="Z473" s="11"/>
      <c r="AA473" s="16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16"/>
      <c r="AM473" s="17"/>
      <c r="AW473" s="16"/>
      <c r="AX473" s="15"/>
      <c r="AY473" s="15"/>
      <c r="AZ473" s="15"/>
      <c r="BA473" s="16"/>
      <c r="BB473" s="16"/>
      <c r="BC473" s="16"/>
      <c r="BD473" s="16"/>
      <c r="BE473" s="16"/>
      <c r="BF473" s="16"/>
      <c r="BG473" s="16"/>
      <c r="BH473" s="16"/>
      <c r="BI473" s="16"/>
      <c r="BJ473" s="16"/>
      <c r="BK473" s="16"/>
      <c r="BL473" s="16"/>
      <c r="BM473" s="16"/>
      <c r="BN473" s="16"/>
      <c r="BO473" s="16"/>
      <c r="BP473" s="3"/>
      <c r="BQ473" s="3"/>
      <c r="BR473" s="3"/>
      <c r="BS473" s="3"/>
      <c r="BT473" s="3"/>
      <c r="BU473" s="3"/>
      <c r="BV473" s="3"/>
      <c r="BW473" s="3"/>
      <c r="BX473" s="3"/>
      <c r="BY473" s="3"/>
      <c r="BZ473" s="3"/>
      <c r="CA473" s="3"/>
      <c r="CB473" s="3"/>
      <c r="CC473" s="3"/>
      <c r="CD473" s="3"/>
      <c r="CE473" s="3"/>
      <c r="CF473" s="3"/>
      <c r="CG473" s="3"/>
      <c r="CH473" s="3"/>
      <c r="CI473" s="3"/>
      <c r="CJ473" s="3"/>
      <c r="CK473" s="3"/>
      <c r="CL473" s="3"/>
      <c r="CM473" s="3"/>
      <c r="CN473" s="3"/>
      <c r="CO473" s="3"/>
      <c r="CP473" s="3"/>
      <c r="CQ473" s="3"/>
      <c r="CR473" s="3"/>
    </row>
    <row r="474" spans="1:96" ht="12" customHeight="1" x14ac:dyDescent="0.25">
      <c r="A474" s="3"/>
      <c r="B474" s="14"/>
      <c r="C474" s="14"/>
      <c r="D474" s="14"/>
      <c r="E474" s="14"/>
      <c r="K474" s="14"/>
      <c r="M474" s="14"/>
      <c r="N474" s="14"/>
      <c r="Z474" s="11"/>
      <c r="AA474" s="16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16"/>
      <c r="AM474" s="17"/>
      <c r="AW474" s="16"/>
      <c r="AX474" s="15"/>
      <c r="AY474" s="15"/>
      <c r="AZ474" s="15"/>
      <c r="BA474" s="16"/>
      <c r="BB474" s="16"/>
      <c r="BC474" s="16"/>
      <c r="BD474" s="16"/>
      <c r="BE474" s="16"/>
      <c r="BF474" s="16"/>
      <c r="BG474" s="16"/>
      <c r="BH474" s="16"/>
      <c r="BI474" s="16"/>
      <c r="BJ474" s="16"/>
      <c r="BK474" s="16"/>
      <c r="BL474" s="16"/>
      <c r="BM474" s="16"/>
      <c r="BN474" s="16"/>
      <c r="BO474" s="16"/>
      <c r="BP474" s="3"/>
      <c r="BQ474" s="3"/>
      <c r="BR474" s="3"/>
      <c r="BS474" s="3"/>
      <c r="BT474" s="3"/>
      <c r="BU474" s="3"/>
      <c r="BV474" s="3"/>
      <c r="BW474" s="3"/>
      <c r="BX474" s="3"/>
      <c r="BY474" s="3"/>
      <c r="BZ474" s="3"/>
      <c r="CA474" s="3"/>
      <c r="CB474" s="3"/>
      <c r="CC474" s="3"/>
      <c r="CD474" s="3"/>
      <c r="CE474" s="3"/>
      <c r="CF474" s="3"/>
      <c r="CG474" s="3"/>
      <c r="CH474" s="3"/>
      <c r="CI474" s="3"/>
      <c r="CJ474" s="3"/>
      <c r="CK474" s="3"/>
      <c r="CL474" s="3"/>
      <c r="CM474" s="3"/>
      <c r="CN474" s="3"/>
      <c r="CO474" s="3"/>
      <c r="CP474" s="3"/>
      <c r="CQ474" s="3"/>
      <c r="CR474" s="3"/>
    </row>
    <row r="475" spans="1:96" ht="12" customHeight="1" x14ac:dyDescent="0.25">
      <c r="A475" s="3"/>
      <c r="B475" s="14"/>
      <c r="C475" s="14"/>
      <c r="D475" s="14"/>
      <c r="E475" s="14"/>
      <c r="K475" s="14"/>
      <c r="M475" s="14"/>
      <c r="N475" s="14"/>
      <c r="Z475" s="11"/>
      <c r="AA475" s="16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16"/>
      <c r="AM475" s="17"/>
      <c r="AW475" s="16"/>
      <c r="AX475" s="15"/>
      <c r="AY475" s="15"/>
      <c r="AZ475" s="15"/>
      <c r="BA475" s="16"/>
      <c r="BB475" s="16"/>
      <c r="BC475" s="16"/>
      <c r="BD475" s="16"/>
      <c r="BE475" s="16"/>
      <c r="BF475" s="16"/>
      <c r="BG475" s="16"/>
      <c r="BH475" s="16"/>
      <c r="BI475" s="16"/>
      <c r="BJ475" s="16"/>
      <c r="BK475" s="16"/>
      <c r="BL475" s="16"/>
      <c r="BM475" s="16"/>
      <c r="BN475" s="16"/>
      <c r="BO475" s="16"/>
      <c r="BP475" s="3"/>
      <c r="BQ475" s="3"/>
      <c r="BR475" s="3"/>
      <c r="BS475" s="3"/>
      <c r="BT475" s="3"/>
      <c r="BU475" s="3"/>
      <c r="BV475" s="3"/>
      <c r="BW475" s="3"/>
      <c r="BX475" s="3"/>
      <c r="BY475" s="3"/>
      <c r="BZ475" s="3"/>
      <c r="CA475" s="3"/>
      <c r="CB475" s="3"/>
      <c r="CC475" s="3"/>
      <c r="CD475" s="3"/>
      <c r="CE475" s="3"/>
      <c r="CF475" s="3"/>
      <c r="CG475" s="3"/>
      <c r="CH475" s="3"/>
      <c r="CI475" s="3"/>
      <c r="CJ475" s="3"/>
      <c r="CK475" s="3"/>
      <c r="CL475" s="3"/>
      <c r="CM475" s="3"/>
      <c r="CN475" s="3"/>
      <c r="CO475" s="3"/>
      <c r="CP475" s="3"/>
      <c r="CQ475" s="3"/>
      <c r="CR475" s="3"/>
    </row>
    <row r="476" spans="1:96" ht="12" customHeight="1" x14ac:dyDescent="0.25">
      <c r="A476" s="3"/>
      <c r="B476" s="14"/>
      <c r="C476" s="14"/>
      <c r="D476" s="14"/>
      <c r="E476" s="14"/>
      <c r="K476" s="14"/>
      <c r="M476" s="14"/>
      <c r="N476" s="14"/>
      <c r="Z476" s="11"/>
      <c r="AA476" s="16"/>
      <c r="AB476" s="3"/>
      <c r="AC476" s="3"/>
      <c r="AD476" s="3"/>
      <c r="AE476" s="3"/>
      <c r="AF476" s="3"/>
      <c r="AG476" s="3"/>
      <c r="AH476" s="3"/>
      <c r="AI476" s="3"/>
      <c r="AJ476" s="3"/>
      <c r="AK476" s="3"/>
      <c r="AL476" s="16"/>
      <c r="AM476" s="17"/>
      <c r="AW476" s="16"/>
      <c r="AX476" s="15"/>
      <c r="AY476" s="15"/>
      <c r="AZ476" s="15"/>
      <c r="BA476" s="16"/>
      <c r="BB476" s="16"/>
      <c r="BC476" s="16"/>
      <c r="BD476" s="16"/>
      <c r="BE476" s="16"/>
      <c r="BF476" s="16"/>
      <c r="BG476" s="16"/>
      <c r="BH476" s="16"/>
      <c r="BI476" s="16"/>
      <c r="BJ476" s="16"/>
      <c r="BK476" s="16"/>
      <c r="BL476" s="16"/>
      <c r="BM476" s="16"/>
      <c r="BN476" s="16"/>
      <c r="BO476" s="16"/>
      <c r="BP476" s="3"/>
      <c r="BQ476" s="3"/>
      <c r="BR476" s="3"/>
      <c r="BS476" s="3"/>
      <c r="BT476" s="3"/>
      <c r="BU476" s="3"/>
      <c r="BV476" s="3"/>
      <c r="BW476" s="3"/>
      <c r="BX476" s="3"/>
      <c r="BY476" s="3"/>
      <c r="BZ476" s="3"/>
      <c r="CA476" s="3"/>
      <c r="CB476" s="3"/>
      <c r="CC476" s="3"/>
      <c r="CD476" s="3"/>
      <c r="CE476" s="3"/>
      <c r="CF476" s="3"/>
      <c r="CG476" s="3"/>
      <c r="CH476" s="3"/>
      <c r="CI476" s="3"/>
      <c r="CJ476" s="3"/>
      <c r="CK476" s="3"/>
      <c r="CL476" s="3"/>
      <c r="CM476" s="3"/>
      <c r="CN476" s="3"/>
      <c r="CO476" s="3"/>
      <c r="CP476" s="3"/>
      <c r="CQ476" s="3"/>
      <c r="CR476" s="3"/>
    </row>
    <row r="477" spans="1:96" ht="12" customHeight="1" x14ac:dyDescent="0.25">
      <c r="A477" s="3"/>
      <c r="B477" s="14"/>
      <c r="C477" s="14"/>
      <c r="D477" s="14"/>
      <c r="E477" s="14"/>
      <c r="K477" s="14"/>
      <c r="M477" s="14"/>
      <c r="N477" s="14"/>
      <c r="Z477" s="11"/>
      <c r="AA477" s="16"/>
      <c r="AB477" s="3"/>
      <c r="AC477" s="3"/>
      <c r="AD477" s="3"/>
      <c r="AE477" s="3"/>
      <c r="AF477" s="3"/>
      <c r="AG477" s="3"/>
      <c r="AH477" s="3"/>
      <c r="AI477" s="3"/>
      <c r="AJ477" s="3"/>
      <c r="AK477" s="3"/>
      <c r="AL477" s="16"/>
      <c r="AM477" s="17"/>
      <c r="AW477" s="16"/>
      <c r="AX477" s="15"/>
      <c r="AY477" s="15"/>
      <c r="AZ477" s="15"/>
      <c r="BA477" s="16"/>
      <c r="BB477" s="16"/>
      <c r="BC477" s="16"/>
      <c r="BD477" s="16"/>
      <c r="BE477" s="16"/>
      <c r="BF477" s="16"/>
      <c r="BG477" s="16"/>
      <c r="BH477" s="16"/>
      <c r="BI477" s="16"/>
      <c r="BJ477" s="16"/>
      <c r="BK477" s="16"/>
      <c r="BL477" s="16"/>
      <c r="BM477" s="16"/>
      <c r="BN477" s="16"/>
      <c r="BO477" s="16"/>
      <c r="BP477" s="3"/>
      <c r="BQ477" s="3"/>
      <c r="BR477" s="3"/>
      <c r="BS477" s="3"/>
      <c r="BT477" s="3"/>
      <c r="BU477" s="3"/>
      <c r="BV477" s="3"/>
      <c r="BW477" s="3"/>
      <c r="BX477" s="3"/>
      <c r="BY477" s="3"/>
      <c r="BZ477" s="3"/>
      <c r="CA477" s="3"/>
      <c r="CB477" s="3"/>
      <c r="CC477" s="3"/>
      <c r="CD477" s="3"/>
      <c r="CE477" s="3"/>
      <c r="CF477" s="3"/>
      <c r="CG477" s="3"/>
      <c r="CH477" s="3"/>
      <c r="CI477" s="3"/>
      <c r="CJ477" s="3"/>
      <c r="CK477" s="3"/>
      <c r="CL477" s="3"/>
      <c r="CM477" s="3"/>
      <c r="CN477" s="3"/>
      <c r="CO477" s="3"/>
      <c r="CP477" s="3"/>
      <c r="CQ477" s="3"/>
      <c r="CR477" s="3"/>
    </row>
    <row r="478" spans="1:96" ht="12" customHeight="1" x14ac:dyDescent="0.25">
      <c r="A478" s="3"/>
      <c r="B478" s="14"/>
      <c r="C478" s="14"/>
      <c r="D478" s="14"/>
      <c r="E478" s="14"/>
      <c r="K478" s="14"/>
      <c r="M478" s="14"/>
      <c r="N478" s="14"/>
      <c r="Z478" s="11"/>
      <c r="AA478" s="16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16"/>
      <c r="AM478" s="17"/>
      <c r="AX478" s="15"/>
      <c r="AY478" s="15"/>
      <c r="AZ478" s="15"/>
      <c r="BA478" s="16"/>
      <c r="BB478" s="16"/>
      <c r="BC478" s="16"/>
      <c r="BD478" s="16"/>
      <c r="BE478" s="16"/>
      <c r="BF478" s="16"/>
      <c r="BP478" s="3"/>
      <c r="BQ478" s="3"/>
      <c r="BR478" s="3"/>
      <c r="BS478" s="3"/>
      <c r="BT478" s="3"/>
      <c r="BU478" s="3"/>
      <c r="BV478" s="3"/>
      <c r="BW478" s="3"/>
      <c r="BX478" s="3"/>
      <c r="BY478" s="3"/>
      <c r="BZ478" s="3"/>
      <c r="CA478" s="3"/>
      <c r="CB478" s="3"/>
      <c r="CC478" s="3"/>
      <c r="CD478" s="3"/>
      <c r="CE478" s="3"/>
      <c r="CF478" s="3"/>
      <c r="CG478" s="3"/>
      <c r="CH478" s="3"/>
      <c r="CI478" s="3"/>
      <c r="CJ478" s="3"/>
      <c r="CK478" s="3"/>
      <c r="CL478" s="3"/>
      <c r="CM478" s="3"/>
      <c r="CN478" s="3"/>
      <c r="CO478" s="3"/>
      <c r="CP478" s="3"/>
      <c r="CQ478" s="3"/>
      <c r="CR478" s="3"/>
    </row>
    <row r="479" spans="1:96" ht="12" customHeight="1" x14ac:dyDescent="0.25">
      <c r="A479" s="3"/>
      <c r="B479" s="14"/>
      <c r="C479" s="14"/>
      <c r="D479" s="14"/>
      <c r="E479" s="14"/>
      <c r="K479" s="14"/>
      <c r="M479" s="14"/>
      <c r="N479" s="14"/>
      <c r="Z479" s="11"/>
      <c r="AA479" s="16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16"/>
      <c r="AM479" s="17"/>
      <c r="AX479" s="15"/>
      <c r="AY479" s="15"/>
      <c r="AZ479" s="15"/>
      <c r="BA479" s="16"/>
      <c r="BB479" s="16"/>
      <c r="BC479" s="16"/>
      <c r="BD479" s="16"/>
      <c r="BE479" s="16"/>
      <c r="BF479" s="16"/>
      <c r="BP479" s="3"/>
      <c r="BQ479" s="3"/>
      <c r="BR479" s="3"/>
      <c r="BS479" s="3"/>
      <c r="BT479" s="3"/>
      <c r="BU479" s="3"/>
      <c r="BV479" s="3"/>
      <c r="BW479" s="3"/>
      <c r="BX479" s="3"/>
      <c r="BY479" s="3"/>
      <c r="BZ479" s="3"/>
      <c r="CA479" s="3"/>
      <c r="CB479" s="3"/>
      <c r="CC479" s="3"/>
      <c r="CD479" s="3"/>
      <c r="CE479" s="3"/>
      <c r="CF479" s="3"/>
      <c r="CG479" s="3"/>
      <c r="CH479" s="3"/>
      <c r="CI479" s="3"/>
      <c r="CJ479" s="3"/>
      <c r="CK479" s="3"/>
      <c r="CL479" s="3"/>
      <c r="CM479" s="3"/>
      <c r="CN479" s="3"/>
      <c r="CO479" s="3"/>
      <c r="CP479" s="3"/>
      <c r="CQ479" s="3"/>
      <c r="CR479" s="3"/>
    </row>
    <row r="480" spans="1:96" ht="12" customHeight="1" x14ac:dyDescent="0.25">
      <c r="A480" s="3"/>
      <c r="B480" s="14"/>
      <c r="C480" s="14"/>
      <c r="D480" s="14"/>
      <c r="E480" s="14"/>
      <c r="K480" s="14"/>
      <c r="M480" s="14"/>
      <c r="N480" s="14"/>
      <c r="Z480" s="11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M480" s="17"/>
      <c r="AX480" s="15"/>
      <c r="AY480" s="15"/>
      <c r="AZ480" s="15"/>
    </row>
    <row r="481" spans="1:52" ht="12" customHeight="1" x14ac:dyDescent="0.25">
      <c r="A481" s="3"/>
      <c r="B481" s="14"/>
      <c r="C481" s="14"/>
      <c r="D481" s="14"/>
      <c r="E481" s="14"/>
      <c r="K481" s="14"/>
      <c r="M481" s="14"/>
      <c r="N481" s="14"/>
      <c r="Z481" s="11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M481" s="17"/>
      <c r="AX481" s="15"/>
      <c r="AY481" s="15"/>
      <c r="AZ481" s="15"/>
    </row>
    <row r="482" spans="1:52" ht="12" customHeight="1" x14ac:dyDescent="0.25">
      <c r="A482" s="3"/>
      <c r="B482" s="14"/>
      <c r="C482" s="14"/>
      <c r="D482" s="14"/>
      <c r="E482" s="14"/>
      <c r="K482" s="14"/>
      <c r="M482" s="14"/>
      <c r="N482" s="14"/>
      <c r="Z482" s="11"/>
      <c r="AM482" s="17"/>
      <c r="AX482" s="15"/>
      <c r="AY482" s="15"/>
      <c r="AZ482" s="15"/>
    </row>
    <row r="483" spans="1:52" ht="12" customHeight="1" x14ac:dyDescent="0.25">
      <c r="A483" s="3"/>
      <c r="B483" s="14"/>
      <c r="C483" s="14"/>
      <c r="D483" s="14"/>
      <c r="E483" s="14"/>
      <c r="K483" s="14"/>
      <c r="M483" s="14"/>
      <c r="N483" s="14"/>
      <c r="Z483" s="11"/>
      <c r="AM483" s="17"/>
      <c r="AX483" s="15"/>
      <c r="AY483" s="15"/>
      <c r="AZ483" s="15"/>
    </row>
    <row r="484" spans="1:52" ht="12" customHeight="1" x14ac:dyDescent="0.25">
      <c r="A484" s="3"/>
      <c r="B484" s="14"/>
      <c r="C484" s="14"/>
      <c r="D484" s="14"/>
      <c r="E484" s="14"/>
      <c r="K484" s="14"/>
      <c r="M484" s="14"/>
      <c r="N484" s="14"/>
      <c r="Z484" s="11"/>
      <c r="AM484" s="17"/>
      <c r="AX484" s="15"/>
      <c r="AY484" s="15"/>
      <c r="AZ484" s="15"/>
    </row>
    <row r="485" spans="1:52" ht="12" customHeight="1" x14ac:dyDescent="0.25">
      <c r="A485" s="3"/>
      <c r="B485" s="14"/>
      <c r="C485" s="14"/>
      <c r="D485" s="14"/>
      <c r="E485" s="14"/>
      <c r="K485" s="14"/>
      <c r="M485" s="14"/>
      <c r="N485" s="14"/>
      <c r="Z485" s="11"/>
      <c r="AM485" s="17"/>
      <c r="AX485" s="15"/>
      <c r="AY485" s="15"/>
      <c r="AZ485" s="15"/>
    </row>
    <row r="486" spans="1:52" ht="12" customHeight="1" x14ac:dyDescent="0.25">
      <c r="A486" s="3"/>
      <c r="B486" s="14"/>
      <c r="C486" s="14"/>
      <c r="D486" s="14"/>
      <c r="E486" s="14"/>
      <c r="K486" s="14"/>
      <c r="M486" s="14"/>
      <c r="N486" s="14"/>
      <c r="Z486" s="11"/>
      <c r="AM486" s="17"/>
      <c r="AX486" s="15"/>
      <c r="AY486" s="15"/>
      <c r="AZ486" s="15"/>
    </row>
    <row r="487" spans="1:52" ht="12" customHeight="1" x14ac:dyDescent="0.25">
      <c r="A487" s="3"/>
      <c r="B487" s="14"/>
      <c r="C487" s="14"/>
      <c r="D487" s="14"/>
      <c r="E487" s="14"/>
      <c r="K487" s="14"/>
      <c r="M487" s="14"/>
      <c r="N487" s="14"/>
      <c r="Z487" s="11"/>
      <c r="AM487" s="17"/>
      <c r="AX487" s="15"/>
      <c r="AY487" s="15"/>
      <c r="AZ487" s="15"/>
    </row>
    <row r="488" spans="1:52" ht="12" customHeight="1" x14ac:dyDescent="0.25">
      <c r="A488" s="3"/>
      <c r="B488" s="14"/>
      <c r="C488" s="14"/>
      <c r="D488" s="14"/>
      <c r="E488" s="14"/>
      <c r="K488" s="14"/>
      <c r="M488" s="14"/>
      <c r="N488" s="14"/>
      <c r="Z488" s="11"/>
      <c r="AM488" s="17"/>
      <c r="AX488" s="15"/>
      <c r="AY488" s="15"/>
      <c r="AZ488" s="15"/>
    </row>
    <row r="489" spans="1:52" ht="12" customHeight="1" x14ac:dyDescent="0.25">
      <c r="A489" s="3"/>
      <c r="B489" s="14"/>
      <c r="C489" s="14"/>
      <c r="D489" s="14"/>
      <c r="E489" s="14"/>
      <c r="K489" s="14"/>
      <c r="M489" s="14"/>
      <c r="N489" s="14"/>
      <c r="Z489" s="11"/>
      <c r="AM489" s="17"/>
      <c r="AX489" s="15"/>
      <c r="AY489" s="15"/>
      <c r="AZ489" s="15"/>
    </row>
    <row r="490" spans="1:52" ht="12" customHeight="1" x14ac:dyDescent="0.25">
      <c r="A490" s="3"/>
      <c r="B490" s="14"/>
      <c r="C490" s="14"/>
      <c r="D490" s="14"/>
      <c r="E490" s="14"/>
      <c r="K490" s="14"/>
      <c r="M490" s="14"/>
      <c r="N490" s="14"/>
      <c r="Z490" s="11"/>
      <c r="AM490" s="17"/>
      <c r="AX490" s="15"/>
      <c r="AY490" s="15"/>
      <c r="AZ490" s="15"/>
    </row>
    <row r="491" spans="1:52" ht="12" customHeight="1" x14ac:dyDescent="0.25">
      <c r="A491" s="3"/>
      <c r="B491" s="14"/>
      <c r="C491" s="14"/>
      <c r="D491" s="14"/>
      <c r="E491" s="14"/>
      <c r="K491" s="14"/>
      <c r="M491" s="14"/>
      <c r="N491" s="14"/>
      <c r="Z491" s="11"/>
      <c r="AM491" s="17"/>
      <c r="AX491" s="15"/>
      <c r="AY491" s="15"/>
      <c r="AZ491" s="15"/>
    </row>
    <row r="492" spans="1:52" ht="12" customHeight="1" x14ac:dyDescent="0.25">
      <c r="A492" s="3"/>
      <c r="B492" s="14"/>
      <c r="C492" s="14"/>
      <c r="D492" s="14"/>
      <c r="E492" s="14"/>
      <c r="K492" s="14"/>
      <c r="M492" s="14"/>
      <c r="N492" s="14"/>
      <c r="Z492" s="11"/>
      <c r="AM492" s="17"/>
      <c r="AX492" s="15"/>
      <c r="AY492" s="15"/>
      <c r="AZ492" s="15"/>
    </row>
    <row r="493" spans="1:52" ht="12" customHeight="1" x14ac:dyDescent="0.25">
      <c r="A493" s="3"/>
      <c r="B493" s="14"/>
      <c r="C493" s="14"/>
      <c r="D493" s="14"/>
      <c r="E493" s="14"/>
      <c r="K493" s="14"/>
      <c r="M493" s="14"/>
      <c r="N493" s="14"/>
      <c r="Z493" s="11"/>
      <c r="AM493" s="17"/>
      <c r="AX493" s="15"/>
      <c r="AY493" s="15"/>
      <c r="AZ493" s="15"/>
    </row>
    <row r="494" spans="1:52" ht="12" customHeight="1" x14ac:dyDescent="0.25">
      <c r="A494" s="3"/>
      <c r="B494" s="14"/>
      <c r="C494" s="14"/>
      <c r="D494" s="14"/>
      <c r="E494" s="14"/>
      <c r="K494" s="14"/>
      <c r="M494" s="14"/>
      <c r="N494" s="14"/>
      <c r="Z494" s="11"/>
      <c r="AM494" s="17"/>
      <c r="AX494" s="15"/>
      <c r="AY494" s="15"/>
      <c r="AZ494" s="15"/>
    </row>
    <row r="495" spans="1:52" ht="12" customHeight="1" x14ac:dyDescent="0.25">
      <c r="A495" s="3"/>
      <c r="B495" s="14"/>
      <c r="C495" s="14"/>
      <c r="D495" s="14"/>
      <c r="E495" s="14"/>
      <c r="K495" s="14"/>
      <c r="M495" s="14"/>
      <c r="N495" s="14"/>
      <c r="Z495" s="11"/>
      <c r="AM495" s="17"/>
      <c r="AX495" s="15"/>
      <c r="AY495" s="15"/>
      <c r="AZ495" s="15"/>
    </row>
    <row r="496" spans="1:52" ht="12" customHeight="1" x14ac:dyDescent="0.25">
      <c r="A496" s="3"/>
      <c r="B496" s="14"/>
      <c r="C496" s="14"/>
      <c r="D496" s="14"/>
      <c r="E496" s="14"/>
      <c r="K496" s="14"/>
      <c r="M496" s="14"/>
      <c r="N496" s="14"/>
      <c r="Z496" s="11"/>
      <c r="AM496" s="17"/>
      <c r="AX496" s="15"/>
      <c r="AY496" s="15"/>
      <c r="AZ496" s="15"/>
    </row>
    <row r="497" spans="1:52" ht="12" customHeight="1" x14ac:dyDescent="0.25">
      <c r="A497" s="3"/>
      <c r="B497" s="14"/>
      <c r="C497" s="14"/>
      <c r="D497" s="14"/>
      <c r="E497" s="14"/>
      <c r="K497" s="14"/>
      <c r="M497" s="14"/>
      <c r="N497" s="14"/>
      <c r="Z497" s="11"/>
      <c r="AM497" s="17"/>
      <c r="AX497" s="15"/>
      <c r="AY497" s="15"/>
      <c r="AZ497" s="15"/>
    </row>
    <row r="498" spans="1:52" ht="12" customHeight="1" x14ac:dyDescent="0.25">
      <c r="A498" s="3"/>
      <c r="B498" s="14"/>
      <c r="C498" s="14"/>
      <c r="D498" s="14"/>
      <c r="E498" s="14"/>
      <c r="K498" s="14"/>
      <c r="M498" s="14"/>
      <c r="N498" s="14"/>
      <c r="Z498" s="11"/>
      <c r="AM498" s="17"/>
      <c r="AX498" s="15"/>
      <c r="AY498" s="15"/>
      <c r="AZ498" s="15"/>
    </row>
    <row r="499" spans="1:52" ht="12" customHeight="1" x14ac:dyDescent="0.25">
      <c r="A499" s="3"/>
      <c r="B499" s="14"/>
      <c r="C499" s="14"/>
      <c r="D499" s="14"/>
      <c r="E499" s="14"/>
      <c r="K499" s="14"/>
      <c r="M499" s="14"/>
      <c r="N499" s="14"/>
      <c r="Z499" s="11"/>
      <c r="AM499" s="17"/>
      <c r="AX499" s="15"/>
      <c r="AY499" s="15"/>
      <c r="AZ499" s="15"/>
    </row>
    <row r="500" spans="1:52" ht="12" customHeight="1" x14ac:dyDescent="0.25">
      <c r="A500" s="3"/>
      <c r="B500" s="14"/>
      <c r="C500" s="14"/>
      <c r="D500" s="14"/>
      <c r="E500" s="14"/>
      <c r="K500" s="14"/>
      <c r="M500" s="14"/>
      <c r="N500" s="14"/>
      <c r="Z500" s="11"/>
      <c r="AM500" s="17"/>
      <c r="AX500" s="15"/>
      <c r="AY500" s="15"/>
      <c r="AZ500" s="15"/>
    </row>
    <row r="501" spans="1:52" ht="12" customHeight="1" x14ac:dyDescent="0.25">
      <c r="A501" s="3"/>
      <c r="B501" s="14"/>
      <c r="C501" s="14"/>
      <c r="D501" s="14"/>
      <c r="E501" s="14"/>
      <c r="K501" s="14"/>
      <c r="M501" s="14"/>
      <c r="N501" s="14"/>
      <c r="Z501" s="11"/>
      <c r="AM501" s="17"/>
      <c r="AX501" s="15"/>
      <c r="AY501" s="15"/>
      <c r="AZ501" s="15"/>
    </row>
    <row r="502" spans="1:52" ht="12" customHeight="1" x14ac:dyDescent="0.25">
      <c r="A502" s="3"/>
      <c r="B502" s="14"/>
      <c r="C502" s="14"/>
      <c r="D502" s="14"/>
      <c r="E502" s="14"/>
      <c r="K502" s="14"/>
      <c r="M502" s="14"/>
      <c r="N502" s="14"/>
      <c r="Z502" s="11"/>
      <c r="AM502" s="17"/>
      <c r="AX502" s="15"/>
      <c r="AY502" s="15"/>
      <c r="AZ502" s="15"/>
    </row>
    <row r="503" spans="1:52" ht="12" customHeight="1" x14ac:dyDescent="0.25">
      <c r="A503" s="3"/>
      <c r="B503" s="14"/>
      <c r="C503" s="14"/>
      <c r="D503" s="14"/>
      <c r="E503" s="14"/>
      <c r="K503" s="14"/>
      <c r="M503" s="14"/>
      <c r="N503" s="14"/>
      <c r="Z503" s="11"/>
      <c r="AM503" s="17"/>
      <c r="AX503" s="15"/>
      <c r="AY503" s="15"/>
      <c r="AZ503" s="15"/>
    </row>
    <row r="504" spans="1:52" ht="12" customHeight="1" x14ac:dyDescent="0.25">
      <c r="A504" s="3"/>
      <c r="B504" s="14"/>
      <c r="C504" s="14"/>
      <c r="D504" s="14"/>
      <c r="E504" s="14"/>
      <c r="K504" s="14"/>
      <c r="M504" s="14"/>
      <c r="N504" s="14"/>
      <c r="Z504" s="11"/>
      <c r="AM504" s="17"/>
      <c r="AX504" s="15"/>
      <c r="AY504" s="15"/>
      <c r="AZ504" s="15"/>
    </row>
    <row r="505" spans="1:52" ht="12" customHeight="1" x14ac:dyDescent="0.25">
      <c r="A505" s="3"/>
      <c r="B505" s="14"/>
      <c r="C505" s="14"/>
      <c r="D505" s="14"/>
      <c r="E505" s="14"/>
      <c r="K505" s="14"/>
      <c r="M505" s="14"/>
      <c r="N505" s="14"/>
      <c r="Z505" s="11"/>
      <c r="AM505" s="17"/>
      <c r="AX505" s="15"/>
      <c r="AY505" s="15"/>
      <c r="AZ505" s="15"/>
    </row>
    <row r="506" spans="1:52" ht="12" customHeight="1" x14ac:dyDescent="0.25">
      <c r="A506" s="3"/>
      <c r="B506" s="14"/>
      <c r="C506" s="14"/>
      <c r="D506" s="14"/>
      <c r="E506" s="14"/>
      <c r="K506" s="14"/>
      <c r="M506" s="14"/>
      <c r="N506" s="14"/>
      <c r="Z506" s="11"/>
      <c r="AM506" s="17"/>
      <c r="AX506" s="15"/>
      <c r="AY506" s="15"/>
      <c r="AZ506" s="15"/>
    </row>
    <row r="507" spans="1:52" ht="12" customHeight="1" x14ac:dyDescent="0.25">
      <c r="A507" s="3"/>
      <c r="B507" s="14"/>
      <c r="C507" s="14"/>
      <c r="D507" s="14"/>
      <c r="E507" s="14"/>
      <c r="K507" s="14"/>
      <c r="M507" s="14"/>
      <c r="N507" s="14"/>
      <c r="Z507" s="11"/>
      <c r="AM507" s="17"/>
      <c r="AX507" s="15"/>
      <c r="AY507" s="15"/>
      <c r="AZ507" s="15"/>
    </row>
    <row r="508" spans="1:52" ht="12" customHeight="1" x14ac:dyDescent="0.25">
      <c r="A508" s="3"/>
      <c r="B508" s="14"/>
      <c r="C508" s="14"/>
      <c r="D508" s="14"/>
      <c r="E508" s="14"/>
      <c r="K508" s="14"/>
      <c r="M508" s="14"/>
      <c r="N508" s="14"/>
      <c r="Z508" s="11"/>
      <c r="AM508" s="17"/>
      <c r="AX508" s="15"/>
      <c r="AY508" s="15"/>
      <c r="AZ508" s="15"/>
    </row>
    <row r="509" spans="1:52" ht="12" customHeight="1" x14ac:dyDescent="0.25">
      <c r="A509" s="3"/>
      <c r="B509" s="14"/>
      <c r="C509" s="14"/>
      <c r="D509" s="14"/>
      <c r="E509" s="14"/>
      <c r="K509" s="14"/>
      <c r="M509" s="14"/>
      <c r="N509" s="14"/>
      <c r="Z509" s="11"/>
      <c r="AM509" s="17"/>
      <c r="AX509" s="15"/>
      <c r="AY509" s="15"/>
      <c r="AZ509" s="15"/>
    </row>
    <row r="510" spans="1:52" ht="12" customHeight="1" x14ac:dyDescent="0.25">
      <c r="A510" s="3"/>
      <c r="B510" s="14"/>
      <c r="C510" s="14"/>
      <c r="D510" s="14"/>
      <c r="E510" s="14"/>
      <c r="K510" s="14"/>
      <c r="M510" s="14"/>
      <c r="N510" s="14"/>
      <c r="Z510" s="11"/>
      <c r="AM510" s="17"/>
      <c r="AX510" s="15"/>
      <c r="AY510" s="15"/>
      <c r="AZ510" s="15"/>
    </row>
    <row r="511" spans="1:52" ht="12" customHeight="1" x14ac:dyDescent="0.25">
      <c r="A511" s="3"/>
      <c r="B511" s="14"/>
      <c r="C511" s="14"/>
      <c r="D511" s="14"/>
      <c r="E511" s="14"/>
      <c r="K511" s="14"/>
      <c r="M511" s="14"/>
      <c r="N511" s="14"/>
      <c r="Z511" s="11"/>
      <c r="AM511" s="17"/>
      <c r="AX511" s="15"/>
      <c r="AY511" s="15"/>
      <c r="AZ511" s="15"/>
    </row>
    <row r="512" spans="1:52" ht="12" customHeight="1" x14ac:dyDescent="0.25">
      <c r="A512" s="3"/>
      <c r="B512" s="14"/>
      <c r="C512" s="14"/>
      <c r="D512" s="14"/>
      <c r="E512" s="14"/>
      <c r="K512" s="14"/>
      <c r="M512" s="14"/>
      <c r="N512" s="14"/>
      <c r="Z512" s="11"/>
      <c r="AM512" s="17"/>
      <c r="AX512" s="15"/>
      <c r="AY512" s="15"/>
      <c r="AZ512" s="15"/>
    </row>
    <row r="513" spans="1:52" ht="12" customHeight="1" x14ac:dyDescent="0.25">
      <c r="A513" s="3"/>
      <c r="B513" s="14"/>
      <c r="C513" s="14"/>
      <c r="D513" s="14"/>
      <c r="E513" s="14"/>
      <c r="K513" s="14"/>
      <c r="M513" s="14"/>
      <c r="N513" s="14"/>
      <c r="Z513" s="11"/>
      <c r="AM513" s="17"/>
      <c r="AX513" s="15"/>
      <c r="AY513" s="15"/>
      <c r="AZ513" s="15"/>
    </row>
    <row r="514" spans="1:52" ht="12" customHeight="1" x14ac:dyDescent="0.25">
      <c r="A514" s="3"/>
      <c r="B514" s="14"/>
      <c r="C514" s="14"/>
      <c r="D514" s="14"/>
      <c r="E514" s="14"/>
      <c r="K514" s="14"/>
      <c r="M514" s="14"/>
      <c r="N514" s="14"/>
      <c r="Z514" s="11"/>
      <c r="AM514" s="17"/>
      <c r="AX514" s="15"/>
      <c r="AY514" s="15"/>
      <c r="AZ514" s="15"/>
    </row>
    <row r="515" spans="1:52" ht="12" customHeight="1" x14ac:dyDescent="0.25">
      <c r="A515" s="3"/>
      <c r="B515" s="14"/>
      <c r="C515" s="14"/>
      <c r="D515" s="14"/>
      <c r="E515" s="14"/>
      <c r="K515" s="14"/>
      <c r="M515" s="14"/>
      <c r="N515" s="14"/>
      <c r="Z515" s="11"/>
      <c r="AM515" s="17"/>
      <c r="AX515" s="15"/>
      <c r="AY515" s="15"/>
      <c r="AZ515" s="15"/>
    </row>
    <row r="516" spans="1:52" ht="12" customHeight="1" x14ac:dyDescent="0.25">
      <c r="A516" s="3"/>
      <c r="B516" s="14"/>
      <c r="C516" s="14"/>
      <c r="D516" s="14"/>
      <c r="E516" s="14"/>
      <c r="K516" s="14"/>
      <c r="M516" s="14"/>
      <c r="N516" s="14"/>
      <c r="Z516" s="11"/>
      <c r="AM516" s="17"/>
      <c r="AX516" s="15"/>
      <c r="AY516" s="15"/>
      <c r="AZ516" s="15"/>
    </row>
    <row r="517" spans="1:52" ht="12" customHeight="1" x14ac:dyDescent="0.25">
      <c r="A517" s="3"/>
      <c r="B517" s="14"/>
      <c r="C517" s="14"/>
      <c r="D517" s="14"/>
      <c r="E517" s="14"/>
      <c r="K517" s="14"/>
      <c r="M517" s="14"/>
      <c r="N517" s="14"/>
      <c r="Z517" s="11"/>
      <c r="AM517" s="17"/>
      <c r="AX517" s="15"/>
      <c r="AY517" s="15"/>
      <c r="AZ517" s="15"/>
    </row>
    <row r="518" spans="1:52" ht="12" customHeight="1" x14ac:dyDescent="0.25">
      <c r="A518" s="3"/>
      <c r="B518" s="14"/>
      <c r="C518" s="14"/>
      <c r="D518" s="14"/>
      <c r="E518" s="14"/>
      <c r="K518" s="14"/>
      <c r="M518" s="14"/>
      <c r="N518" s="14"/>
      <c r="Z518" s="11"/>
      <c r="AM518" s="17"/>
      <c r="AX518" s="15"/>
      <c r="AY518" s="15"/>
      <c r="AZ518" s="15"/>
    </row>
    <row r="519" spans="1:52" ht="12" customHeight="1" x14ac:dyDescent="0.25">
      <c r="A519" s="3"/>
      <c r="B519" s="14"/>
      <c r="C519" s="14"/>
      <c r="D519" s="14"/>
      <c r="E519" s="14"/>
      <c r="K519" s="14"/>
      <c r="M519" s="14"/>
      <c r="N519" s="14"/>
      <c r="Z519" s="11"/>
      <c r="AM519" s="17"/>
      <c r="AX519" s="15"/>
      <c r="AY519" s="15"/>
      <c r="AZ519" s="15"/>
    </row>
    <row r="520" spans="1:52" ht="12" customHeight="1" x14ac:dyDescent="0.25">
      <c r="A520" s="3"/>
      <c r="B520" s="14"/>
      <c r="C520" s="14"/>
      <c r="D520" s="14"/>
      <c r="E520" s="14"/>
      <c r="K520" s="14"/>
      <c r="M520" s="14"/>
      <c r="N520" s="14"/>
      <c r="Z520" s="11"/>
      <c r="AM520" s="17"/>
      <c r="AX520" s="15"/>
      <c r="AY520" s="15"/>
      <c r="AZ520" s="15"/>
    </row>
    <row r="521" spans="1:52" ht="12" customHeight="1" x14ac:dyDescent="0.25">
      <c r="A521" s="3"/>
      <c r="B521" s="14"/>
      <c r="C521" s="14"/>
      <c r="D521" s="14"/>
      <c r="E521" s="14"/>
      <c r="K521" s="14"/>
      <c r="M521" s="14"/>
      <c r="N521" s="14"/>
      <c r="Z521" s="11"/>
      <c r="AM521" s="17"/>
      <c r="AX521" s="15"/>
      <c r="AY521" s="15"/>
      <c r="AZ521" s="15"/>
    </row>
    <row r="522" spans="1:52" ht="12" customHeight="1" x14ac:dyDescent="0.25">
      <c r="A522" s="3"/>
      <c r="B522" s="14"/>
      <c r="C522" s="14"/>
      <c r="D522" s="14"/>
      <c r="E522" s="14"/>
      <c r="K522" s="14"/>
      <c r="M522" s="14"/>
      <c r="N522" s="14"/>
      <c r="Z522" s="11"/>
      <c r="AM522" s="17"/>
      <c r="AX522" s="15"/>
      <c r="AY522" s="15"/>
      <c r="AZ522" s="15"/>
    </row>
    <row r="523" spans="1:52" ht="12" customHeight="1" x14ac:dyDescent="0.25">
      <c r="A523" s="3"/>
      <c r="B523" s="14"/>
      <c r="C523" s="14"/>
      <c r="D523" s="14"/>
      <c r="E523" s="14"/>
      <c r="K523" s="14"/>
      <c r="M523" s="14"/>
      <c r="N523" s="14"/>
      <c r="Z523" s="11"/>
      <c r="AM523" s="17"/>
      <c r="AX523" s="15"/>
      <c r="AY523" s="15"/>
      <c r="AZ523" s="15"/>
    </row>
    <row r="524" spans="1:52" ht="12" customHeight="1" x14ac:dyDescent="0.25">
      <c r="A524" s="3"/>
      <c r="B524" s="14"/>
      <c r="C524" s="14"/>
      <c r="D524" s="14"/>
      <c r="E524" s="14"/>
      <c r="K524" s="14"/>
      <c r="M524" s="14"/>
      <c r="N524" s="14"/>
      <c r="Z524" s="11"/>
      <c r="AM524" s="17"/>
      <c r="AX524" s="15"/>
      <c r="AY524" s="15"/>
      <c r="AZ524" s="15"/>
    </row>
    <row r="525" spans="1:52" ht="12" customHeight="1" x14ac:dyDescent="0.25">
      <c r="A525" s="3"/>
      <c r="B525" s="14"/>
      <c r="C525" s="14"/>
      <c r="D525" s="14"/>
      <c r="E525" s="14"/>
      <c r="K525" s="14"/>
      <c r="M525" s="14"/>
      <c r="N525" s="14"/>
      <c r="Z525" s="11"/>
      <c r="AM525" s="17"/>
      <c r="AX525" s="15"/>
      <c r="AY525" s="15"/>
      <c r="AZ525" s="15"/>
    </row>
    <row r="526" spans="1:52" ht="12" customHeight="1" x14ac:dyDescent="0.25">
      <c r="A526" s="3"/>
      <c r="B526" s="14"/>
      <c r="C526" s="14"/>
      <c r="D526" s="14"/>
      <c r="E526" s="14"/>
      <c r="K526" s="14"/>
      <c r="M526" s="14"/>
      <c r="N526" s="14"/>
      <c r="Z526" s="11"/>
      <c r="AM526" s="17"/>
      <c r="AX526" s="15"/>
      <c r="AY526" s="15"/>
      <c r="AZ526" s="15"/>
    </row>
    <row r="527" spans="1:52" ht="12" customHeight="1" x14ac:dyDescent="0.25">
      <c r="A527" s="3"/>
      <c r="B527" s="14"/>
      <c r="C527" s="14"/>
      <c r="D527" s="14"/>
      <c r="E527" s="14"/>
      <c r="K527" s="14"/>
      <c r="M527" s="14"/>
      <c r="N527" s="14"/>
      <c r="Z527" s="11"/>
      <c r="AM527" s="17"/>
      <c r="AX527" s="15"/>
      <c r="AY527" s="15"/>
      <c r="AZ527" s="15"/>
    </row>
    <row r="528" spans="1:52" ht="12" customHeight="1" x14ac:dyDescent="0.25">
      <c r="A528" s="3"/>
      <c r="B528" s="14"/>
      <c r="C528" s="14"/>
      <c r="D528" s="14"/>
      <c r="E528" s="14"/>
      <c r="K528" s="14"/>
      <c r="M528" s="14"/>
      <c r="N528" s="14"/>
      <c r="Z528" s="11"/>
      <c r="AM528" s="17"/>
      <c r="AX528" s="15"/>
      <c r="AY528" s="15"/>
      <c r="AZ528" s="15"/>
    </row>
    <row r="529" spans="1:52" ht="12" customHeight="1" x14ac:dyDescent="0.25">
      <c r="A529" s="3"/>
      <c r="B529" s="14"/>
      <c r="C529" s="14"/>
      <c r="D529" s="14"/>
      <c r="E529" s="14"/>
      <c r="K529" s="14"/>
      <c r="M529" s="14"/>
      <c r="N529" s="14"/>
      <c r="Z529" s="11"/>
      <c r="AM529" s="17"/>
      <c r="AX529" s="15"/>
      <c r="AY529" s="15"/>
      <c r="AZ529" s="15"/>
    </row>
    <row r="530" spans="1:52" ht="12" customHeight="1" x14ac:dyDescent="0.25">
      <c r="A530" s="3"/>
      <c r="B530" s="14"/>
      <c r="C530" s="14"/>
      <c r="D530" s="14"/>
      <c r="E530" s="14"/>
      <c r="K530" s="14"/>
      <c r="M530" s="14"/>
      <c r="N530" s="14"/>
      <c r="Z530" s="11"/>
      <c r="AM530" s="17"/>
      <c r="AX530" s="15"/>
      <c r="AY530" s="15"/>
      <c r="AZ530" s="15"/>
    </row>
    <row r="531" spans="1:52" ht="12" customHeight="1" x14ac:dyDescent="0.25">
      <c r="A531" s="3"/>
      <c r="B531" s="14"/>
      <c r="C531" s="14"/>
      <c r="D531" s="14"/>
      <c r="E531" s="14"/>
      <c r="K531" s="14"/>
      <c r="M531" s="14"/>
      <c r="N531" s="14"/>
      <c r="Z531" s="11"/>
      <c r="AM531" s="17"/>
      <c r="AX531" s="15"/>
      <c r="AY531" s="15"/>
      <c r="AZ531" s="15"/>
    </row>
    <row r="532" spans="1:52" ht="12" customHeight="1" x14ac:dyDescent="0.25">
      <c r="A532" s="3"/>
      <c r="B532" s="14"/>
      <c r="C532" s="14"/>
      <c r="D532" s="14"/>
      <c r="E532" s="14"/>
      <c r="K532" s="14"/>
      <c r="M532" s="14"/>
      <c r="N532" s="14"/>
      <c r="Z532" s="11"/>
      <c r="AM532" s="17"/>
      <c r="AX532" s="15"/>
      <c r="AY532" s="15"/>
      <c r="AZ532" s="15"/>
    </row>
    <row r="533" spans="1:52" ht="12" customHeight="1" x14ac:dyDescent="0.25">
      <c r="A533" s="3"/>
      <c r="B533" s="14"/>
      <c r="C533" s="14"/>
      <c r="D533" s="14"/>
      <c r="E533" s="14"/>
      <c r="K533" s="14"/>
      <c r="M533" s="14"/>
      <c r="N533" s="14"/>
      <c r="Z533" s="11"/>
      <c r="AM533" s="17"/>
      <c r="AX533" s="15"/>
      <c r="AY533" s="15"/>
      <c r="AZ533" s="15"/>
    </row>
    <row r="534" spans="1:52" ht="12" customHeight="1" x14ac:dyDescent="0.25">
      <c r="A534" s="3"/>
      <c r="B534" s="14"/>
      <c r="C534" s="14"/>
      <c r="D534" s="14"/>
      <c r="E534" s="14"/>
      <c r="K534" s="14"/>
      <c r="M534" s="14"/>
      <c r="N534" s="14"/>
      <c r="Z534" s="11"/>
      <c r="AM534" s="17"/>
      <c r="AX534" s="15"/>
      <c r="AY534" s="15"/>
      <c r="AZ534" s="15"/>
    </row>
    <row r="535" spans="1:52" ht="12" customHeight="1" x14ac:dyDescent="0.25">
      <c r="A535" s="3"/>
      <c r="B535" s="14"/>
      <c r="C535" s="14"/>
      <c r="D535" s="14"/>
      <c r="E535" s="14"/>
      <c r="K535" s="14"/>
      <c r="M535" s="14"/>
      <c r="N535" s="14"/>
      <c r="Z535" s="11"/>
      <c r="AM535" s="17"/>
      <c r="AX535" s="15"/>
      <c r="AY535" s="15"/>
      <c r="AZ535" s="15"/>
    </row>
    <row r="536" spans="1:52" ht="12" customHeight="1" x14ac:dyDescent="0.25">
      <c r="A536" s="3"/>
      <c r="B536" s="14"/>
      <c r="C536" s="14"/>
      <c r="D536" s="14"/>
      <c r="E536" s="14"/>
      <c r="K536" s="14"/>
      <c r="M536" s="14"/>
      <c r="N536" s="14"/>
      <c r="Z536" s="11"/>
      <c r="AM536" s="17"/>
      <c r="AX536" s="15"/>
      <c r="AY536" s="15"/>
      <c r="AZ536" s="15"/>
    </row>
    <row r="537" spans="1:52" ht="12" customHeight="1" x14ac:dyDescent="0.25">
      <c r="A537" s="3"/>
      <c r="B537" s="14"/>
      <c r="C537" s="14"/>
      <c r="D537" s="14"/>
      <c r="E537" s="14"/>
      <c r="K537" s="14"/>
      <c r="M537" s="14"/>
      <c r="N537" s="14"/>
      <c r="Z537" s="11"/>
      <c r="AM537" s="17"/>
      <c r="AX537" s="15"/>
      <c r="AY537" s="15"/>
      <c r="AZ537" s="15"/>
    </row>
    <row r="538" spans="1:52" ht="12" customHeight="1" x14ac:dyDescent="0.25">
      <c r="A538" s="3"/>
      <c r="B538" s="14"/>
      <c r="C538" s="14"/>
      <c r="D538" s="14"/>
      <c r="E538" s="14"/>
      <c r="K538" s="14"/>
      <c r="M538" s="14"/>
      <c r="N538" s="14"/>
      <c r="Z538" s="11"/>
      <c r="AM538" s="17"/>
      <c r="AX538" s="15"/>
      <c r="AY538" s="15"/>
      <c r="AZ538" s="15"/>
    </row>
    <row r="539" spans="1:52" ht="12" customHeight="1" x14ac:dyDescent="0.25">
      <c r="A539" s="3"/>
      <c r="B539" s="14"/>
      <c r="C539" s="14"/>
      <c r="D539" s="14"/>
      <c r="E539" s="14"/>
      <c r="K539" s="14"/>
      <c r="M539" s="14"/>
      <c r="N539" s="14"/>
      <c r="Z539" s="11"/>
      <c r="AM539" s="17"/>
      <c r="AX539" s="15"/>
      <c r="AY539" s="15"/>
      <c r="AZ539" s="15"/>
    </row>
    <row r="540" spans="1:52" ht="12" customHeight="1" x14ac:dyDescent="0.25">
      <c r="A540" s="3"/>
      <c r="B540" s="14"/>
      <c r="C540" s="14"/>
      <c r="D540" s="14"/>
      <c r="E540" s="14"/>
      <c r="K540" s="14"/>
      <c r="M540" s="14"/>
      <c r="N540" s="14"/>
      <c r="Z540" s="11"/>
      <c r="AM540" s="17"/>
      <c r="AX540" s="15"/>
      <c r="AY540" s="15"/>
      <c r="AZ540" s="15"/>
    </row>
    <row r="541" spans="1:52" ht="12" customHeight="1" x14ac:dyDescent="0.25">
      <c r="A541" s="3"/>
      <c r="B541" s="14"/>
      <c r="C541" s="14"/>
      <c r="D541" s="14"/>
      <c r="E541" s="14"/>
      <c r="K541" s="14"/>
      <c r="M541" s="14"/>
      <c r="N541" s="14"/>
      <c r="Z541" s="11"/>
      <c r="AM541" s="17"/>
      <c r="AX541" s="15"/>
      <c r="AY541" s="15"/>
      <c r="AZ541" s="15"/>
    </row>
    <row r="542" spans="1:52" ht="12" customHeight="1" x14ac:dyDescent="0.25">
      <c r="A542" s="3"/>
      <c r="B542" s="14"/>
      <c r="C542" s="14"/>
      <c r="D542" s="14"/>
      <c r="E542" s="14"/>
      <c r="K542" s="14"/>
      <c r="M542" s="14"/>
      <c r="N542" s="14"/>
      <c r="Z542" s="11"/>
      <c r="AM542" s="17"/>
      <c r="AX542" s="15"/>
      <c r="AY542" s="15"/>
      <c r="AZ542" s="15"/>
    </row>
    <row r="543" spans="1:52" ht="12" customHeight="1" x14ac:dyDescent="0.25">
      <c r="A543" s="3"/>
      <c r="B543" s="14"/>
      <c r="C543" s="14"/>
      <c r="D543" s="14"/>
      <c r="E543" s="14"/>
      <c r="K543" s="14"/>
      <c r="M543" s="14"/>
      <c r="N543" s="14"/>
      <c r="Z543" s="11"/>
      <c r="AM543" s="17"/>
      <c r="AX543" s="15"/>
      <c r="AY543" s="15"/>
      <c r="AZ543" s="15"/>
    </row>
    <row r="544" spans="1:52" ht="12" customHeight="1" x14ac:dyDescent="0.25">
      <c r="A544" s="3"/>
      <c r="B544" s="14"/>
      <c r="C544" s="14"/>
      <c r="D544" s="14"/>
      <c r="E544" s="14"/>
      <c r="K544" s="14"/>
      <c r="M544" s="14"/>
      <c r="N544" s="14"/>
      <c r="Z544" s="11"/>
      <c r="AM544" s="17"/>
      <c r="AX544" s="15"/>
      <c r="AY544" s="15"/>
      <c r="AZ544" s="15"/>
    </row>
    <row r="545" spans="1:52" ht="12" customHeight="1" x14ac:dyDescent="0.25">
      <c r="A545" s="3"/>
      <c r="B545" s="14"/>
      <c r="C545" s="14"/>
      <c r="D545" s="14"/>
      <c r="E545" s="14"/>
      <c r="K545" s="14"/>
      <c r="M545" s="14"/>
      <c r="N545" s="14"/>
      <c r="Z545" s="11"/>
      <c r="AM545" s="17"/>
      <c r="AX545" s="15"/>
      <c r="AY545" s="15"/>
      <c r="AZ545" s="15"/>
    </row>
    <row r="546" spans="1:52" ht="12" customHeight="1" x14ac:dyDescent="0.25">
      <c r="A546" s="3"/>
      <c r="B546" s="14"/>
      <c r="C546" s="14"/>
      <c r="D546" s="14"/>
      <c r="E546" s="14"/>
      <c r="K546" s="14"/>
      <c r="M546" s="14"/>
      <c r="N546" s="14"/>
      <c r="Z546" s="11"/>
      <c r="AM546" s="17"/>
      <c r="AX546" s="15"/>
      <c r="AY546" s="15"/>
      <c r="AZ546" s="15"/>
    </row>
    <row r="547" spans="1:52" ht="12" customHeight="1" x14ac:dyDescent="0.25">
      <c r="A547" s="3"/>
      <c r="B547" s="14"/>
      <c r="C547" s="14"/>
      <c r="D547" s="14"/>
      <c r="E547" s="14"/>
      <c r="K547" s="14"/>
      <c r="M547" s="14"/>
      <c r="N547" s="14"/>
      <c r="Z547" s="11"/>
      <c r="AM547" s="17"/>
      <c r="AX547" s="15"/>
      <c r="AY547" s="15"/>
      <c r="AZ547" s="15"/>
    </row>
    <row r="548" spans="1:52" ht="12" customHeight="1" x14ac:dyDescent="0.25">
      <c r="A548" s="3"/>
      <c r="B548" s="14"/>
      <c r="C548" s="14"/>
      <c r="D548" s="14"/>
      <c r="E548" s="14"/>
      <c r="K548" s="14"/>
      <c r="M548" s="14"/>
      <c r="N548" s="14"/>
      <c r="Z548" s="11"/>
      <c r="AM548" s="17"/>
      <c r="AX548" s="15"/>
      <c r="AY548" s="15"/>
      <c r="AZ548" s="15"/>
    </row>
    <row r="549" spans="1:52" ht="12" customHeight="1" x14ac:dyDescent="0.25">
      <c r="A549" s="3"/>
      <c r="B549" s="14"/>
      <c r="C549" s="14"/>
      <c r="D549" s="14"/>
      <c r="E549" s="14"/>
      <c r="K549" s="14"/>
      <c r="M549" s="14"/>
      <c r="N549" s="14"/>
      <c r="Z549" s="11"/>
      <c r="AM549" s="17"/>
      <c r="AX549" s="15"/>
      <c r="AY549" s="15"/>
      <c r="AZ549" s="15"/>
    </row>
    <row r="550" spans="1:52" ht="12" customHeight="1" x14ac:dyDescent="0.25">
      <c r="A550" s="3"/>
      <c r="B550" s="14"/>
      <c r="C550" s="14"/>
      <c r="D550" s="14"/>
      <c r="E550" s="14"/>
      <c r="K550" s="14"/>
      <c r="M550" s="14"/>
      <c r="N550" s="14"/>
      <c r="Z550" s="11"/>
      <c r="AM550" s="17"/>
      <c r="AX550" s="15"/>
      <c r="AY550" s="15"/>
      <c r="AZ550" s="15"/>
    </row>
    <row r="551" spans="1:52" ht="12" customHeight="1" x14ac:dyDescent="0.25">
      <c r="A551" s="3"/>
      <c r="B551" s="14"/>
      <c r="C551" s="14"/>
      <c r="D551" s="14"/>
      <c r="E551" s="14"/>
      <c r="K551" s="14"/>
      <c r="M551" s="14"/>
      <c r="N551" s="14"/>
      <c r="Z551" s="11"/>
      <c r="AM551" s="17"/>
      <c r="AX551" s="15"/>
      <c r="AY551" s="15"/>
      <c r="AZ551" s="15"/>
    </row>
    <row r="552" spans="1:52" ht="12" customHeight="1" x14ac:dyDescent="0.25">
      <c r="A552" s="3"/>
      <c r="B552" s="14"/>
      <c r="C552" s="14"/>
      <c r="D552" s="14"/>
      <c r="E552" s="14"/>
      <c r="K552" s="14"/>
      <c r="M552" s="14"/>
      <c r="N552" s="14"/>
      <c r="Z552" s="11"/>
      <c r="AM552" s="17"/>
      <c r="AX552" s="15"/>
      <c r="AY552" s="15"/>
      <c r="AZ552" s="15"/>
    </row>
    <row r="553" spans="1:52" ht="12" customHeight="1" x14ac:dyDescent="0.25">
      <c r="A553" s="3"/>
      <c r="B553" s="14"/>
      <c r="C553" s="14"/>
      <c r="D553" s="14"/>
      <c r="E553" s="14"/>
      <c r="K553" s="14"/>
      <c r="M553" s="14"/>
      <c r="N553" s="14"/>
      <c r="Z553" s="11"/>
      <c r="AM553" s="17"/>
      <c r="AX553" s="15"/>
      <c r="AY553" s="15"/>
      <c r="AZ553" s="15"/>
    </row>
    <row r="554" spans="1:52" ht="12" customHeight="1" x14ac:dyDescent="0.25">
      <c r="A554" s="3"/>
      <c r="B554" s="14"/>
      <c r="C554" s="14"/>
      <c r="D554" s="14"/>
      <c r="E554" s="14"/>
      <c r="K554" s="14"/>
      <c r="M554" s="14"/>
      <c r="N554" s="14"/>
      <c r="Z554" s="11"/>
      <c r="AM554" s="17"/>
      <c r="AX554" s="15"/>
      <c r="AY554" s="15"/>
      <c r="AZ554" s="15"/>
    </row>
    <row r="555" spans="1:52" ht="12" customHeight="1" x14ac:dyDescent="0.25">
      <c r="A555" s="3"/>
      <c r="B555" s="14"/>
      <c r="C555" s="14"/>
      <c r="D555" s="14"/>
      <c r="E555" s="14"/>
      <c r="K555" s="14"/>
      <c r="M555" s="14"/>
      <c r="N555" s="14"/>
      <c r="Z555" s="11"/>
      <c r="AM555" s="17"/>
      <c r="AX555" s="15"/>
      <c r="AY555" s="15"/>
      <c r="AZ555" s="15"/>
    </row>
    <row r="556" spans="1:52" ht="12" customHeight="1" x14ac:dyDescent="0.25">
      <c r="A556" s="3"/>
      <c r="B556" s="14"/>
      <c r="C556" s="14"/>
      <c r="D556" s="14"/>
      <c r="E556" s="14"/>
      <c r="K556" s="14"/>
      <c r="M556" s="14"/>
      <c r="N556" s="14"/>
      <c r="Z556" s="11"/>
      <c r="AM556" s="17"/>
      <c r="AX556" s="15"/>
      <c r="AY556" s="15"/>
      <c r="AZ556" s="15"/>
    </row>
    <row r="557" spans="1:52" ht="12" customHeight="1" x14ac:dyDescent="0.25">
      <c r="A557" s="3"/>
      <c r="B557" s="14"/>
      <c r="C557" s="14"/>
      <c r="D557" s="14"/>
      <c r="E557" s="14"/>
      <c r="K557" s="14"/>
      <c r="M557" s="14"/>
      <c r="N557" s="14"/>
      <c r="Z557" s="11"/>
      <c r="AM557" s="17"/>
      <c r="AX557" s="15"/>
      <c r="AY557" s="15"/>
      <c r="AZ557" s="15"/>
    </row>
    <row r="558" spans="1:52" ht="12" customHeight="1" x14ac:dyDescent="0.25">
      <c r="A558" s="3"/>
      <c r="B558" s="14"/>
      <c r="C558" s="14"/>
      <c r="D558" s="14"/>
      <c r="E558" s="14"/>
      <c r="K558" s="14"/>
      <c r="M558" s="14"/>
      <c r="N558" s="14"/>
      <c r="Z558" s="11"/>
      <c r="AM558" s="17"/>
      <c r="AX558" s="15"/>
      <c r="AY558" s="15"/>
      <c r="AZ558" s="15"/>
    </row>
    <row r="559" spans="1:52" ht="12" customHeight="1" x14ac:dyDescent="0.25">
      <c r="A559" s="3"/>
      <c r="B559" s="14"/>
      <c r="C559" s="14"/>
      <c r="D559" s="14"/>
      <c r="E559" s="14"/>
      <c r="K559" s="14"/>
      <c r="M559" s="14"/>
      <c r="N559" s="14"/>
      <c r="Z559" s="11"/>
      <c r="AM559" s="17"/>
      <c r="AX559" s="15"/>
      <c r="AY559" s="15"/>
      <c r="AZ559" s="15"/>
    </row>
    <row r="560" spans="1:52" ht="12" customHeight="1" x14ac:dyDescent="0.25">
      <c r="A560" s="3"/>
      <c r="B560" s="14"/>
      <c r="C560" s="14"/>
      <c r="D560" s="14"/>
      <c r="E560" s="14"/>
      <c r="K560" s="14"/>
      <c r="M560" s="14"/>
      <c r="N560" s="14"/>
      <c r="Z560" s="11"/>
      <c r="AM560" s="17"/>
      <c r="AX560" s="15"/>
      <c r="AY560" s="15"/>
      <c r="AZ560" s="15"/>
    </row>
    <row r="561" spans="1:52" ht="12" customHeight="1" x14ac:dyDescent="0.25">
      <c r="A561" s="3"/>
      <c r="B561" s="14"/>
      <c r="C561" s="14"/>
      <c r="D561" s="14"/>
      <c r="E561" s="14"/>
      <c r="K561" s="14"/>
      <c r="M561" s="14"/>
      <c r="N561" s="14"/>
      <c r="Z561" s="11"/>
      <c r="AM561" s="17"/>
      <c r="AX561" s="15"/>
      <c r="AY561" s="15"/>
      <c r="AZ561" s="15"/>
    </row>
    <row r="562" spans="1:52" ht="12" customHeight="1" x14ac:dyDescent="0.25">
      <c r="A562" s="3"/>
      <c r="B562" s="14"/>
      <c r="C562" s="14"/>
      <c r="D562" s="14"/>
      <c r="E562" s="14"/>
      <c r="K562" s="14"/>
      <c r="M562" s="14"/>
      <c r="N562" s="14"/>
      <c r="Z562" s="11"/>
      <c r="AM562" s="17"/>
      <c r="AX562" s="15"/>
      <c r="AY562" s="15"/>
      <c r="AZ562" s="15"/>
    </row>
    <row r="563" spans="1:52" ht="12" customHeight="1" x14ac:dyDescent="0.25">
      <c r="A563" s="3"/>
      <c r="B563" s="14"/>
      <c r="C563" s="14"/>
      <c r="D563" s="14"/>
      <c r="E563" s="14"/>
      <c r="K563" s="14"/>
      <c r="M563" s="14"/>
      <c r="N563" s="14"/>
      <c r="Z563" s="11"/>
      <c r="AM563" s="17"/>
      <c r="AX563" s="15"/>
      <c r="AY563" s="15"/>
      <c r="AZ563" s="15"/>
    </row>
    <row r="564" spans="1:52" ht="12" customHeight="1" x14ac:dyDescent="0.25">
      <c r="A564" s="3"/>
      <c r="B564" s="14"/>
      <c r="C564" s="14"/>
      <c r="D564" s="14"/>
      <c r="E564" s="14"/>
      <c r="K564" s="14"/>
      <c r="M564" s="14"/>
      <c r="N564" s="14"/>
      <c r="Z564" s="11"/>
      <c r="AM564" s="17"/>
      <c r="AX564" s="15"/>
      <c r="AY564" s="15"/>
      <c r="AZ564" s="15"/>
    </row>
    <row r="565" spans="1:52" ht="12" customHeight="1" x14ac:dyDescent="0.25">
      <c r="A565" s="3"/>
      <c r="B565" s="14"/>
      <c r="C565" s="14"/>
      <c r="D565" s="14"/>
      <c r="E565" s="14"/>
      <c r="K565" s="14"/>
      <c r="M565" s="14"/>
      <c r="N565" s="14"/>
      <c r="Z565" s="11"/>
      <c r="AM565" s="17"/>
      <c r="AX565" s="15"/>
      <c r="AY565" s="15"/>
      <c r="AZ565" s="15"/>
    </row>
    <row r="566" spans="1:52" ht="12" customHeight="1" x14ac:dyDescent="0.25">
      <c r="A566" s="3"/>
      <c r="B566" s="14"/>
      <c r="C566" s="14"/>
      <c r="D566" s="14"/>
      <c r="E566" s="14"/>
      <c r="K566" s="14"/>
      <c r="M566" s="14"/>
      <c r="N566" s="14"/>
      <c r="Z566" s="11"/>
      <c r="AM566" s="17"/>
      <c r="AX566" s="15"/>
      <c r="AY566" s="15"/>
      <c r="AZ566" s="15"/>
    </row>
    <row r="567" spans="1:52" ht="12" customHeight="1" x14ac:dyDescent="0.25">
      <c r="A567" s="3"/>
      <c r="B567" s="14"/>
      <c r="C567" s="14"/>
      <c r="D567" s="14"/>
      <c r="E567" s="14"/>
      <c r="K567" s="14"/>
      <c r="M567" s="14"/>
      <c r="N567" s="14"/>
      <c r="Z567" s="11"/>
      <c r="AM567" s="17"/>
      <c r="AX567" s="15"/>
      <c r="AY567" s="15"/>
      <c r="AZ567" s="15"/>
    </row>
    <row r="568" spans="1:52" ht="12" customHeight="1" x14ac:dyDescent="0.25">
      <c r="A568" s="3"/>
      <c r="B568" s="14"/>
      <c r="C568" s="14"/>
      <c r="D568" s="14"/>
      <c r="E568" s="14"/>
      <c r="K568" s="14"/>
      <c r="M568" s="14"/>
      <c r="N568" s="14"/>
      <c r="Z568" s="11"/>
      <c r="AM568" s="17"/>
      <c r="AX568" s="15"/>
      <c r="AY568" s="15"/>
      <c r="AZ568" s="15"/>
    </row>
    <row r="569" spans="1:52" ht="12" customHeight="1" x14ac:dyDescent="0.25">
      <c r="A569" s="3"/>
      <c r="B569" s="14"/>
      <c r="C569" s="14"/>
      <c r="D569" s="14"/>
      <c r="E569" s="14"/>
      <c r="K569" s="14"/>
      <c r="M569" s="14"/>
      <c r="N569" s="14"/>
      <c r="Z569" s="11"/>
      <c r="AM569" s="17"/>
      <c r="AX569" s="15"/>
      <c r="AY569" s="15"/>
      <c r="AZ569" s="15"/>
    </row>
    <row r="570" spans="1:52" ht="12" customHeight="1" x14ac:dyDescent="0.25">
      <c r="A570" s="3"/>
      <c r="B570" s="14"/>
      <c r="C570" s="14"/>
      <c r="D570" s="14"/>
      <c r="E570" s="14"/>
      <c r="K570" s="14"/>
      <c r="M570" s="14"/>
      <c r="N570" s="14"/>
      <c r="Z570" s="11"/>
      <c r="AM570" s="17"/>
      <c r="AX570" s="15"/>
      <c r="AY570" s="15"/>
      <c r="AZ570" s="15"/>
    </row>
    <row r="571" spans="1:52" ht="12" customHeight="1" x14ac:dyDescent="0.25">
      <c r="A571" s="3"/>
      <c r="B571" s="14"/>
      <c r="C571" s="14"/>
      <c r="D571" s="14"/>
      <c r="E571" s="14"/>
      <c r="K571" s="14"/>
      <c r="M571" s="14"/>
      <c r="N571" s="14"/>
      <c r="Z571" s="11"/>
      <c r="AM571" s="17"/>
      <c r="AX571" s="15"/>
      <c r="AY571" s="15"/>
      <c r="AZ571" s="15"/>
    </row>
    <row r="572" spans="1:52" ht="12" customHeight="1" x14ac:dyDescent="0.25">
      <c r="A572" s="3"/>
      <c r="B572" s="14"/>
      <c r="C572" s="14"/>
      <c r="D572" s="14"/>
      <c r="E572" s="14"/>
      <c r="K572" s="14"/>
      <c r="M572" s="14"/>
      <c r="N572" s="14"/>
      <c r="Z572" s="11"/>
      <c r="AM572" s="17"/>
      <c r="AX572" s="15"/>
      <c r="AY572" s="15"/>
      <c r="AZ572" s="15"/>
    </row>
    <row r="573" spans="1:52" ht="12" customHeight="1" x14ac:dyDescent="0.25">
      <c r="A573" s="3"/>
      <c r="B573" s="14"/>
      <c r="C573" s="14"/>
      <c r="D573" s="14"/>
      <c r="E573" s="14"/>
      <c r="K573" s="14"/>
      <c r="M573" s="14"/>
      <c r="N573" s="14"/>
      <c r="Z573" s="11"/>
      <c r="AM573" s="17"/>
      <c r="AX573" s="15"/>
      <c r="AY573" s="15"/>
      <c r="AZ573" s="15"/>
    </row>
    <row r="574" spans="1:52" ht="12" customHeight="1" x14ac:dyDescent="0.25">
      <c r="A574" s="3"/>
      <c r="B574" s="14"/>
      <c r="C574" s="14"/>
      <c r="D574" s="14"/>
      <c r="E574" s="14"/>
      <c r="K574" s="14"/>
      <c r="M574" s="14"/>
      <c r="N574" s="14"/>
      <c r="Z574" s="11"/>
      <c r="AM574" s="17"/>
      <c r="AX574" s="15"/>
      <c r="AY574" s="15"/>
      <c r="AZ574" s="15"/>
    </row>
    <row r="575" spans="1:52" ht="12" customHeight="1" x14ac:dyDescent="0.25">
      <c r="A575" s="3"/>
      <c r="B575" s="14"/>
      <c r="C575" s="14"/>
      <c r="D575" s="14"/>
      <c r="E575" s="14"/>
      <c r="K575" s="14"/>
      <c r="M575" s="14"/>
      <c r="N575" s="14"/>
      <c r="Z575" s="11"/>
      <c r="AM575" s="17"/>
      <c r="AX575" s="15"/>
      <c r="AY575" s="15"/>
      <c r="AZ575" s="15"/>
    </row>
    <row r="576" spans="1:52" ht="12" customHeight="1" x14ac:dyDescent="0.25">
      <c r="A576" s="3"/>
      <c r="B576" s="14"/>
      <c r="C576" s="14"/>
      <c r="D576" s="14"/>
      <c r="E576" s="14"/>
      <c r="K576" s="14"/>
      <c r="M576" s="14"/>
      <c r="N576" s="14"/>
      <c r="Z576" s="11"/>
      <c r="AM576" s="17"/>
      <c r="AX576" s="15"/>
      <c r="AY576" s="15"/>
      <c r="AZ576" s="15"/>
    </row>
    <row r="577" spans="1:52" ht="12" customHeight="1" x14ac:dyDescent="0.25">
      <c r="A577" s="3"/>
      <c r="B577" s="14"/>
      <c r="C577" s="14"/>
      <c r="D577" s="14"/>
      <c r="E577" s="14"/>
      <c r="K577" s="14"/>
      <c r="M577" s="14"/>
      <c r="N577" s="14"/>
      <c r="Z577" s="11"/>
      <c r="AM577" s="17"/>
      <c r="AX577" s="15"/>
      <c r="AY577" s="15"/>
      <c r="AZ577" s="15"/>
    </row>
    <row r="578" spans="1:52" ht="12" customHeight="1" x14ac:dyDescent="0.25">
      <c r="A578" s="3"/>
      <c r="B578" s="14"/>
      <c r="C578" s="14"/>
      <c r="D578" s="14"/>
      <c r="E578" s="14"/>
      <c r="K578" s="14"/>
      <c r="M578" s="14"/>
      <c r="N578" s="14"/>
      <c r="Z578" s="11"/>
      <c r="AM578" s="17"/>
      <c r="AX578" s="15"/>
      <c r="AY578" s="15"/>
      <c r="AZ578" s="15"/>
    </row>
    <row r="579" spans="1:52" ht="12" customHeight="1" x14ac:dyDescent="0.25">
      <c r="A579" s="3"/>
      <c r="B579" s="14"/>
      <c r="C579" s="14"/>
      <c r="D579" s="14"/>
      <c r="E579" s="14"/>
      <c r="K579" s="14"/>
      <c r="M579" s="14"/>
      <c r="N579" s="14"/>
      <c r="Z579" s="11"/>
      <c r="AM579" s="17"/>
      <c r="AX579" s="15"/>
      <c r="AY579" s="15"/>
      <c r="AZ579" s="15"/>
    </row>
    <row r="580" spans="1:52" ht="12" customHeight="1" x14ac:dyDescent="0.25">
      <c r="A580" s="3"/>
      <c r="B580" s="14"/>
      <c r="C580" s="14"/>
      <c r="D580" s="14"/>
      <c r="E580" s="14"/>
      <c r="K580" s="14"/>
      <c r="M580" s="14"/>
      <c r="N580" s="14"/>
      <c r="Z580" s="11"/>
      <c r="AM580" s="17"/>
      <c r="AX580" s="15"/>
      <c r="AY580" s="15"/>
      <c r="AZ580" s="15"/>
    </row>
    <row r="581" spans="1:52" ht="12" customHeight="1" x14ac:dyDescent="0.25">
      <c r="A581" s="3"/>
      <c r="B581" s="14"/>
      <c r="C581" s="14"/>
      <c r="D581" s="14"/>
      <c r="E581" s="14"/>
      <c r="K581" s="14"/>
      <c r="M581" s="14"/>
      <c r="N581" s="14"/>
      <c r="Z581" s="11"/>
      <c r="AM581" s="17"/>
      <c r="AX581" s="15"/>
      <c r="AY581" s="15"/>
      <c r="AZ581" s="15"/>
    </row>
    <row r="582" spans="1:52" ht="12" customHeight="1" x14ac:dyDescent="0.25">
      <c r="A582" s="3"/>
      <c r="B582" s="14"/>
      <c r="C582" s="14"/>
      <c r="D582" s="14"/>
      <c r="E582" s="14"/>
      <c r="K582" s="14"/>
      <c r="M582" s="14"/>
      <c r="N582" s="14"/>
      <c r="Z582" s="11"/>
      <c r="AM582" s="17"/>
      <c r="AX582" s="15"/>
      <c r="AY582" s="15"/>
      <c r="AZ582" s="15"/>
    </row>
    <row r="583" spans="1:52" ht="12" customHeight="1" x14ac:dyDescent="0.25">
      <c r="A583" s="3"/>
      <c r="B583" s="14"/>
      <c r="C583" s="14"/>
      <c r="D583" s="14"/>
      <c r="E583" s="14"/>
      <c r="K583" s="14"/>
      <c r="M583" s="14"/>
      <c r="N583" s="14"/>
      <c r="Z583" s="11"/>
      <c r="AM583" s="17"/>
      <c r="AX583" s="15"/>
      <c r="AY583" s="15"/>
      <c r="AZ583" s="15"/>
    </row>
    <row r="584" spans="1:52" ht="12" customHeight="1" x14ac:dyDescent="0.25">
      <c r="A584" s="3"/>
      <c r="B584" s="14"/>
      <c r="C584" s="14"/>
      <c r="D584" s="14"/>
      <c r="E584" s="14"/>
      <c r="K584" s="14"/>
      <c r="M584" s="14"/>
      <c r="N584" s="14"/>
      <c r="Z584" s="11"/>
      <c r="AM584" s="17"/>
      <c r="AX584" s="15"/>
      <c r="AY584" s="15"/>
      <c r="AZ584" s="15"/>
    </row>
    <row r="585" spans="1:52" ht="12" customHeight="1" x14ac:dyDescent="0.25">
      <c r="A585" s="3"/>
      <c r="B585" s="14"/>
      <c r="C585" s="14"/>
      <c r="D585" s="14"/>
      <c r="E585" s="14"/>
      <c r="K585" s="14"/>
      <c r="M585" s="14"/>
      <c r="N585" s="14"/>
      <c r="Z585" s="11"/>
      <c r="AM585" s="17"/>
      <c r="AX585" s="15"/>
      <c r="AY585" s="15"/>
      <c r="AZ585" s="15"/>
    </row>
    <row r="586" spans="1:52" ht="12" customHeight="1" x14ac:dyDescent="0.25">
      <c r="A586" s="3"/>
      <c r="B586" s="14"/>
      <c r="C586" s="14"/>
      <c r="D586" s="14"/>
      <c r="E586" s="14"/>
      <c r="K586" s="14"/>
      <c r="M586" s="14"/>
      <c r="N586" s="14"/>
      <c r="Z586" s="11"/>
      <c r="AM586" s="17"/>
      <c r="AX586" s="15"/>
      <c r="AY586" s="15"/>
      <c r="AZ586" s="15"/>
    </row>
    <row r="587" spans="1:52" ht="12" customHeight="1" x14ac:dyDescent="0.25">
      <c r="A587" s="3"/>
      <c r="B587" s="14"/>
      <c r="C587" s="14"/>
      <c r="D587" s="14"/>
      <c r="E587" s="14"/>
      <c r="K587" s="14"/>
      <c r="M587" s="14"/>
      <c r="N587" s="14"/>
      <c r="Z587" s="11"/>
      <c r="AM587" s="17"/>
      <c r="AX587" s="15"/>
      <c r="AY587" s="15"/>
      <c r="AZ587" s="15"/>
    </row>
    <row r="588" spans="1:52" ht="12" customHeight="1" x14ac:dyDescent="0.25">
      <c r="A588" s="3"/>
      <c r="B588" s="14"/>
      <c r="C588" s="14"/>
      <c r="D588" s="14"/>
      <c r="E588" s="14"/>
      <c r="K588" s="14"/>
      <c r="M588" s="14"/>
      <c r="N588" s="14"/>
      <c r="Z588" s="11"/>
      <c r="AM588" s="17"/>
      <c r="AX588" s="15"/>
      <c r="AY588" s="15"/>
      <c r="AZ588" s="15"/>
    </row>
    <row r="589" spans="1:52" ht="12" customHeight="1" x14ac:dyDescent="0.25">
      <c r="A589" s="3"/>
      <c r="B589" s="14"/>
      <c r="C589" s="14"/>
      <c r="D589" s="14"/>
      <c r="E589" s="14"/>
      <c r="K589" s="14"/>
      <c r="M589" s="14"/>
      <c r="N589" s="14"/>
      <c r="Z589" s="11"/>
      <c r="AM589" s="17"/>
      <c r="AX589" s="15"/>
      <c r="AY589" s="15"/>
      <c r="AZ589" s="15"/>
    </row>
    <row r="590" spans="1:52" ht="12" customHeight="1" x14ac:dyDescent="0.25">
      <c r="A590" s="3"/>
      <c r="B590" s="14"/>
      <c r="C590" s="14"/>
      <c r="D590" s="14"/>
      <c r="E590" s="14"/>
      <c r="K590" s="14"/>
      <c r="M590" s="14"/>
      <c r="N590" s="14"/>
      <c r="Z590" s="11"/>
      <c r="AM590" s="17"/>
      <c r="AX590" s="15"/>
      <c r="AY590" s="15"/>
      <c r="AZ590" s="15"/>
    </row>
    <row r="591" spans="1:52" ht="12" customHeight="1" x14ac:dyDescent="0.25">
      <c r="A591" s="3"/>
      <c r="B591" s="14"/>
      <c r="C591" s="14"/>
      <c r="D591" s="14"/>
      <c r="E591" s="14"/>
      <c r="K591" s="14"/>
      <c r="M591" s="14"/>
      <c r="N591" s="14"/>
      <c r="Z591" s="11"/>
      <c r="AM591" s="17"/>
      <c r="AX591" s="15"/>
      <c r="AY591" s="15"/>
      <c r="AZ591" s="15"/>
    </row>
    <row r="592" spans="1:52" ht="12" customHeight="1" x14ac:dyDescent="0.25">
      <c r="A592" s="3"/>
      <c r="B592" s="14"/>
      <c r="C592" s="14"/>
      <c r="D592" s="14"/>
      <c r="E592" s="14"/>
      <c r="K592" s="14"/>
      <c r="M592" s="14"/>
      <c r="N592" s="14"/>
      <c r="Z592" s="11"/>
      <c r="AM592" s="17"/>
      <c r="AX592" s="15"/>
      <c r="AY592" s="15"/>
      <c r="AZ592" s="15"/>
    </row>
    <row r="593" spans="1:52" ht="12" customHeight="1" x14ac:dyDescent="0.25">
      <c r="A593" s="3"/>
      <c r="B593" s="14"/>
      <c r="C593" s="14"/>
      <c r="D593" s="14"/>
      <c r="E593" s="14"/>
      <c r="K593" s="14"/>
      <c r="M593" s="14"/>
      <c r="N593" s="14"/>
      <c r="Z593" s="11"/>
      <c r="AM593" s="17"/>
      <c r="AX593" s="15"/>
      <c r="AY593" s="15"/>
      <c r="AZ593" s="15"/>
    </row>
    <row r="594" spans="1:52" ht="12" customHeight="1" x14ac:dyDescent="0.25">
      <c r="A594" s="3"/>
      <c r="B594" s="14"/>
      <c r="C594" s="14"/>
      <c r="D594" s="14"/>
      <c r="E594" s="14"/>
      <c r="K594" s="14"/>
      <c r="M594" s="14"/>
      <c r="N594" s="14"/>
      <c r="Z594" s="11"/>
      <c r="AM594" s="17"/>
      <c r="AX594" s="15"/>
      <c r="AY594" s="15"/>
      <c r="AZ594" s="15"/>
    </row>
    <row r="595" spans="1:52" ht="12" customHeight="1" x14ac:dyDescent="0.25">
      <c r="A595" s="3"/>
      <c r="B595" s="14"/>
      <c r="C595" s="14"/>
      <c r="D595" s="14"/>
      <c r="E595" s="14"/>
      <c r="K595" s="14"/>
      <c r="M595" s="14"/>
      <c r="N595" s="14"/>
      <c r="Z595" s="11"/>
      <c r="AM595" s="17"/>
      <c r="AX595" s="15"/>
      <c r="AY595" s="15"/>
      <c r="AZ595" s="15"/>
    </row>
    <row r="596" spans="1:52" ht="12" customHeight="1" x14ac:dyDescent="0.25">
      <c r="A596" s="3"/>
      <c r="B596" s="14"/>
      <c r="C596" s="14"/>
      <c r="D596" s="14"/>
      <c r="E596" s="14"/>
      <c r="K596" s="14"/>
      <c r="M596" s="14"/>
      <c r="N596" s="14"/>
      <c r="Z596" s="11"/>
      <c r="AM596" s="17"/>
      <c r="AX596" s="15"/>
      <c r="AY596" s="15"/>
      <c r="AZ596" s="15"/>
    </row>
    <row r="597" spans="1:52" ht="12" customHeight="1" x14ac:dyDescent="0.25">
      <c r="A597" s="3"/>
      <c r="B597" s="14"/>
      <c r="C597" s="14"/>
      <c r="D597" s="14"/>
      <c r="E597" s="14"/>
      <c r="K597" s="14"/>
      <c r="M597" s="14"/>
      <c r="N597" s="14"/>
      <c r="Z597" s="11"/>
      <c r="AM597" s="17"/>
      <c r="AX597" s="15"/>
      <c r="AY597" s="15"/>
      <c r="AZ597" s="15"/>
    </row>
    <row r="598" spans="1:52" ht="12" customHeight="1" x14ac:dyDescent="0.25">
      <c r="A598" s="3"/>
      <c r="B598" s="14"/>
      <c r="C598" s="14"/>
      <c r="D598" s="14"/>
      <c r="E598" s="14"/>
      <c r="K598" s="14"/>
      <c r="M598" s="14"/>
      <c r="N598" s="14"/>
      <c r="Z598" s="11"/>
      <c r="AM598" s="17"/>
      <c r="AX598" s="15"/>
      <c r="AY598" s="15"/>
      <c r="AZ598" s="15"/>
    </row>
    <row r="599" spans="1:52" ht="12" customHeight="1" x14ac:dyDescent="0.25">
      <c r="A599" s="3"/>
      <c r="B599" s="14"/>
      <c r="C599" s="14"/>
      <c r="D599" s="14"/>
      <c r="E599" s="14"/>
      <c r="K599" s="14"/>
      <c r="M599" s="14"/>
      <c r="N599" s="14"/>
      <c r="Z599" s="11"/>
      <c r="AM599" s="17"/>
      <c r="AX599" s="15"/>
      <c r="AY599" s="15"/>
      <c r="AZ599" s="15"/>
    </row>
    <row r="600" spans="1:52" ht="12" customHeight="1" x14ac:dyDescent="0.25">
      <c r="A600" s="3"/>
      <c r="B600" s="14"/>
      <c r="C600" s="14"/>
      <c r="D600" s="14"/>
      <c r="E600" s="14"/>
      <c r="K600" s="14"/>
      <c r="M600" s="14"/>
      <c r="N600" s="14"/>
      <c r="Z600" s="11"/>
      <c r="AM600" s="17"/>
      <c r="AX600" s="15"/>
      <c r="AY600" s="15"/>
      <c r="AZ600" s="15"/>
    </row>
    <row r="601" spans="1:52" ht="12" customHeight="1" x14ac:dyDescent="0.25">
      <c r="A601" s="3"/>
      <c r="B601" s="14"/>
      <c r="C601" s="14"/>
      <c r="D601" s="14"/>
      <c r="E601" s="14"/>
      <c r="K601" s="14"/>
      <c r="M601" s="14"/>
      <c r="N601" s="14"/>
      <c r="Z601" s="11"/>
      <c r="AM601" s="17"/>
      <c r="AX601" s="15"/>
      <c r="AY601" s="15"/>
      <c r="AZ601" s="15"/>
    </row>
    <row r="602" spans="1:52" ht="12" customHeight="1" x14ac:dyDescent="0.25">
      <c r="A602" s="3"/>
      <c r="B602" s="14"/>
      <c r="C602" s="14"/>
      <c r="D602" s="14"/>
      <c r="E602" s="14"/>
      <c r="K602" s="14"/>
      <c r="M602" s="14"/>
      <c r="N602" s="14"/>
      <c r="Z602" s="11"/>
      <c r="AM602" s="17"/>
      <c r="AX602" s="15"/>
      <c r="AY602" s="15"/>
      <c r="AZ602" s="15"/>
    </row>
    <row r="603" spans="1:52" ht="12" customHeight="1" x14ac:dyDescent="0.25">
      <c r="A603" s="3"/>
      <c r="B603" s="14"/>
      <c r="C603" s="14"/>
      <c r="D603" s="14"/>
      <c r="E603" s="14"/>
      <c r="K603" s="14"/>
      <c r="M603" s="14"/>
      <c r="N603" s="14"/>
      <c r="Z603" s="11"/>
      <c r="AM603" s="17"/>
      <c r="AX603" s="15"/>
      <c r="AY603" s="15"/>
      <c r="AZ603" s="15"/>
    </row>
    <row r="604" spans="1:52" ht="12" customHeight="1" x14ac:dyDescent="0.25">
      <c r="A604" s="3"/>
      <c r="B604" s="14"/>
      <c r="C604" s="14"/>
      <c r="D604" s="14"/>
      <c r="E604" s="14"/>
      <c r="K604" s="14"/>
      <c r="M604" s="14"/>
      <c r="N604" s="14"/>
      <c r="Z604" s="11"/>
      <c r="AM604" s="17"/>
      <c r="AX604" s="15"/>
      <c r="AY604" s="15"/>
      <c r="AZ604" s="15"/>
    </row>
    <row r="605" spans="1:52" ht="12" customHeight="1" x14ac:dyDescent="0.25">
      <c r="A605" s="3"/>
      <c r="B605" s="14"/>
      <c r="C605" s="14"/>
      <c r="D605" s="14"/>
      <c r="E605" s="14"/>
      <c r="K605" s="14"/>
      <c r="M605" s="14"/>
      <c r="N605" s="14"/>
      <c r="Z605" s="11"/>
      <c r="AM605" s="17"/>
      <c r="AX605" s="15"/>
      <c r="AY605" s="15"/>
      <c r="AZ605" s="15"/>
    </row>
    <row r="606" spans="1:52" ht="12" customHeight="1" x14ac:dyDescent="0.25">
      <c r="A606" s="3"/>
      <c r="B606" s="14"/>
      <c r="C606" s="14"/>
      <c r="D606" s="14"/>
      <c r="E606" s="14"/>
      <c r="K606" s="14"/>
      <c r="M606" s="14"/>
      <c r="N606" s="14"/>
      <c r="Z606" s="11"/>
      <c r="AM606" s="17"/>
      <c r="AX606" s="15"/>
      <c r="AY606" s="15"/>
      <c r="AZ606" s="15"/>
    </row>
    <row r="607" spans="1:52" ht="12" customHeight="1" x14ac:dyDescent="0.25">
      <c r="A607" s="3"/>
      <c r="B607" s="14"/>
      <c r="C607" s="14"/>
      <c r="D607" s="14"/>
      <c r="E607" s="14"/>
      <c r="K607" s="14"/>
      <c r="M607" s="14"/>
      <c r="N607" s="14"/>
      <c r="Z607" s="11"/>
      <c r="AM607" s="17"/>
      <c r="AX607" s="15"/>
      <c r="AY607" s="15"/>
      <c r="AZ607" s="15"/>
    </row>
    <row r="608" spans="1:52" ht="12" customHeight="1" x14ac:dyDescent="0.25">
      <c r="A608" s="3"/>
      <c r="B608" s="14"/>
      <c r="C608" s="14"/>
      <c r="D608" s="14"/>
      <c r="E608" s="14"/>
      <c r="K608" s="14"/>
      <c r="M608" s="14"/>
      <c r="N608" s="14"/>
      <c r="Z608" s="11"/>
      <c r="AM608" s="17"/>
      <c r="AX608" s="15"/>
      <c r="AY608" s="15"/>
      <c r="AZ608" s="15"/>
    </row>
    <row r="609" spans="1:52" ht="12" customHeight="1" x14ac:dyDescent="0.25">
      <c r="A609" s="3"/>
      <c r="B609" s="14"/>
      <c r="C609" s="14"/>
      <c r="D609" s="14"/>
      <c r="E609" s="14"/>
      <c r="K609" s="14"/>
      <c r="M609" s="14"/>
      <c r="N609" s="14"/>
      <c r="Z609" s="11"/>
      <c r="AM609" s="17"/>
      <c r="AX609" s="15"/>
      <c r="AY609" s="15"/>
      <c r="AZ609" s="15"/>
    </row>
    <row r="610" spans="1:52" ht="12" customHeight="1" x14ac:dyDescent="0.25">
      <c r="A610" s="3"/>
      <c r="B610" s="14"/>
      <c r="C610" s="14"/>
      <c r="D610" s="14"/>
      <c r="E610" s="14"/>
      <c r="K610" s="14"/>
      <c r="M610" s="14"/>
      <c r="N610" s="14"/>
      <c r="Z610" s="11"/>
      <c r="AM610" s="17"/>
      <c r="AX610" s="15"/>
      <c r="AY610" s="15"/>
      <c r="AZ610" s="15"/>
    </row>
    <row r="611" spans="1:52" ht="12" customHeight="1" x14ac:dyDescent="0.25">
      <c r="A611" s="3"/>
      <c r="B611" s="14"/>
      <c r="C611" s="14"/>
      <c r="D611" s="14"/>
      <c r="E611" s="14"/>
      <c r="K611" s="14"/>
      <c r="M611" s="14"/>
      <c r="N611" s="14"/>
      <c r="Z611" s="11"/>
      <c r="AM611" s="17"/>
      <c r="AX611" s="15"/>
      <c r="AY611" s="15"/>
      <c r="AZ611" s="15"/>
    </row>
    <row r="612" spans="1:52" ht="12" customHeight="1" x14ac:dyDescent="0.25">
      <c r="A612" s="3"/>
      <c r="B612" s="14"/>
      <c r="C612" s="14"/>
      <c r="D612" s="14"/>
      <c r="E612" s="14"/>
      <c r="K612" s="14"/>
      <c r="M612" s="14"/>
      <c r="N612" s="14"/>
      <c r="Z612" s="11"/>
      <c r="AM612" s="17"/>
      <c r="AX612" s="15"/>
      <c r="AY612" s="15"/>
      <c r="AZ612" s="15"/>
    </row>
    <row r="613" spans="1:52" ht="12" customHeight="1" x14ac:dyDescent="0.25">
      <c r="A613" s="3"/>
      <c r="B613" s="14"/>
      <c r="C613" s="14"/>
      <c r="D613" s="14"/>
      <c r="E613" s="14"/>
      <c r="K613" s="14"/>
      <c r="M613" s="14"/>
      <c r="N613" s="14"/>
      <c r="Z613" s="11"/>
      <c r="AM613" s="17"/>
      <c r="AX613" s="15"/>
      <c r="AY613" s="15"/>
      <c r="AZ613" s="15"/>
    </row>
    <row r="614" spans="1:52" ht="12" customHeight="1" x14ac:dyDescent="0.25">
      <c r="A614" s="3"/>
      <c r="B614" s="14"/>
      <c r="C614" s="14"/>
      <c r="D614" s="14"/>
      <c r="E614" s="14"/>
      <c r="K614" s="14"/>
      <c r="M614" s="14"/>
      <c r="N614" s="14"/>
      <c r="Z614" s="11"/>
      <c r="AM614" s="17"/>
      <c r="AX614" s="15"/>
      <c r="AY614" s="15"/>
      <c r="AZ614" s="15"/>
    </row>
    <row r="615" spans="1:52" ht="12" customHeight="1" x14ac:dyDescent="0.25">
      <c r="A615" s="3"/>
      <c r="B615" s="14"/>
      <c r="C615" s="14"/>
      <c r="D615" s="14"/>
      <c r="E615" s="14"/>
      <c r="K615" s="14"/>
      <c r="M615" s="14"/>
      <c r="N615" s="14"/>
      <c r="Z615" s="11"/>
      <c r="AM615" s="17"/>
      <c r="AX615" s="15"/>
      <c r="AY615" s="15"/>
      <c r="AZ615" s="15"/>
    </row>
    <row r="616" spans="1:52" ht="12" customHeight="1" x14ac:dyDescent="0.25">
      <c r="A616" s="3"/>
      <c r="B616" s="14"/>
      <c r="C616" s="14"/>
      <c r="D616" s="14"/>
      <c r="E616" s="14"/>
      <c r="K616" s="14"/>
      <c r="M616" s="14"/>
      <c r="N616" s="14"/>
      <c r="Z616" s="11"/>
      <c r="AM616" s="17"/>
      <c r="AX616" s="15"/>
      <c r="AY616" s="15"/>
      <c r="AZ616" s="15"/>
    </row>
    <row r="617" spans="1:52" ht="12" customHeight="1" x14ac:dyDescent="0.25">
      <c r="A617" s="3"/>
      <c r="B617" s="14"/>
      <c r="C617" s="14"/>
      <c r="D617" s="14"/>
      <c r="E617" s="14"/>
      <c r="K617" s="14"/>
      <c r="M617" s="14"/>
      <c r="N617" s="14"/>
      <c r="Z617" s="11"/>
      <c r="AM617" s="17"/>
      <c r="AX617" s="15"/>
      <c r="AY617" s="15"/>
      <c r="AZ617" s="15"/>
    </row>
    <row r="618" spans="1:52" ht="12" customHeight="1" x14ac:dyDescent="0.25">
      <c r="A618" s="3"/>
      <c r="B618" s="14"/>
      <c r="C618" s="14"/>
      <c r="D618" s="14"/>
      <c r="E618" s="14"/>
      <c r="K618" s="14"/>
      <c r="M618" s="14"/>
      <c r="N618" s="14"/>
      <c r="Z618" s="11"/>
      <c r="AM618" s="17"/>
      <c r="AX618" s="15"/>
      <c r="AY618" s="15"/>
      <c r="AZ618" s="15"/>
    </row>
    <row r="619" spans="1:52" ht="12" customHeight="1" x14ac:dyDescent="0.25">
      <c r="A619" s="3"/>
      <c r="B619" s="14"/>
      <c r="C619" s="14"/>
      <c r="D619" s="14"/>
      <c r="E619" s="14"/>
      <c r="K619" s="14"/>
      <c r="M619" s="14"/>
      <c r="N619" s="14"/>
      <c r="Z619" s="11"/>
      <c r="AM619" s="17"/>
      <c r="AX619" s="15"/>
      <c r="AY619" s="15"/>
      <c r="AZ619" s="15"/>
    </row>
    <row r="620" spans="1:52" ht="12" customHeight="1" x14ac:dyDescent="0.25">
      <c r="A620" s="3"/>
      <c r="B620" s="14"/>
      <c r="C620" s="14"/>
      <c r="D620" s="14"/>
      <c r="E620" s="14"/>
      <c r="K620" s="14"/>
      <c r="M620" s="14"/>
      <c r="N620" s="14"/>
      <c r="Z620" s="11"/>
      <c r="AM620" s="17"/>
      <c r="AX620" s="15"/>
      <c r="AY620" s="15"/>
      <c r="AZ620" s="15"/>
    </row>
    <row r="621" spans="1:52" ht="12" customHeight="1" x14ac:dyDescent="0.25">
      <c r="A621" s="3"/>
      <c r="B621" s="14"/>
      <c r="C621" s="14"/>
      <c r="D621" s="14"/>
      <c r="E621" s="14"/>
      <c r="K621" s="14"/>
      <c r="M621" s="14"/>
      <c r="N621" s="14"/>
      <c r="Z621" s="11"/>
      <c r="AM621" s="17"/>
      <c r="AX621" s="15"/>
      <c r="AY621" s="15"/>
      <c r="AZ621" s="15"/>
    </row>
    <row r="622" spans="1:52" ht="12" customHeight="1" x14ac:dyDescent="0.25">
      <c r="A622" s="3"/>
      <c r="B622" s="14"/>
      <c r="C622" s="14"/>
      <c r="D622" s="14"/>
      <c r="E622" s="14"/>
      <c r="K622" s="14"/>
      <c r="M622" s="14"/>
      <c r="N622" s="14"/>
      <c r="Z622" s="11"/>
      <c r="AM622" s="17"/>
      <c r="AX622" s="15"/>
      <c r="AY622" s="15"/>
      <c r="AZ622" s="15"/>
    </row>
    <row r="623" spans="1:52" ht="12" customHeight="1" x14ac:dyDescent="0.25">
      <c r="A623" s="3"/>
      <c r="B623" s="14"/>
      <c r="C623" s="14"/>
      <c r="D623" s="14"/>
      <c r="E623" s="14"/>
      <c r="K623" s="14"/>
      <c r="M623" s="14"/>
      <c r="N623" s="14"/>
      <c r="Z623" s="11"/>
      <c r="AM623" s="17"/>
      <c r="AX623" s="15"/>
      <c r="AY623" s="15"/>
      <c r="AZ623" s="15"/>
    </row>
    <row r="624" spans="1:52" ht="12" customHeight="1" x14ac:dyDescent="0.25">
      <c r="A624" s="3"/>
      <c r="B624" s="14"/>
      <c r="C624" s="14"/>
      <c r="D624" s="14"/>
      <c r="E624" s="14"/>
      <c r="K624" s="14"/>
      <c r="M624" s="14"/>
      <c r="N624" s="14"/>
      <c r="Z624" s="11"/>
      <c r="AM624" s="17"/>
      <c r="AX624" s="15"/>
      <c r="AY624" s="15"/>
      <c r="AZ624" s="15"/>
    </row>
    <row r="625" spans="1:52" ht="12" customHeight="1" x14ac:dyDescent="0.25">
      <c r="A625" s="3"/>
      <c r="B625" s="14"/>
      <c r="C625" s="14"/>
      <c r="D625" s="14"/>
      <c r="E625" s="14"/>
      <c r="K625" s="14"/>
      <c r="M625" s="14"/>
      <c r="N625" s="14"/>
      <c r="Z625" s="11"/>
      <c r="AM625" s="17"/>
      <c r="AX625" s="15"/>
      <c r="AY625" s="15"/>
      <c r="AZ625" s="15"/>
    </row>
    <row r="626" spans="1:52" ht="12" customHeight="1" x14ac:dyDescent="0.25">
      <c r="A626" s="3"/>
      <c r="B626" s="14"/>
      <c r="C626" s="14"/>
      <c r="D626" s="14"/>
      <c r="E626" s="14"/>
      <c r="K626" s="14"/>
      <c r="M626" s="14"/>
      <c r="N626" s="14"/>
      <c r="Z626" s="11"/>
      <c r="AM626" s="17"/>
      <c r="AX626" s="15"/>
      <c r="AY626" s="15"/>
      <c r="AZ626" s="15"/>
    </row>
    <row r="627" spans="1:52" ht="12" customHeight="1" x14ac:dyDescent="0.25">
      <c r="A627" s="3"/>
      <c r="B627" s="14"/>
      <c r="C627" s="14"/>
      <c r="D627" s="14"/>
      <c r="E627" s="14"/>
      <c r="K627" s="14"/>
      <c r="M627" s="14"/>
      <c r="N627" s="14"/>
      <c r="Z627" s="11"/>
      <c r="AM627" s="17"/>
      <c r="AX627" s="15"/>
      <c r="AY627" s="15"/>
      <c r="AZ627" s="15"/>
    </row>
    <row r="628" spans="1:52" ht="12" customHeight="1" x14ac:dyDescent="0.25">
      <c r="A628" s="3"/>
      <c r="B628" s="14"/>
      <c r="C628" s="14"/>
      <c r="D628" s="14"/>
      <c r="E628" s="14"/>
      <c r="K628" s="14"/>
      <c r="M628" s="14"/>
      <c r="N628" s="14"/>
      <c r="Z628" s="11"/>
      <c r="AM628" s="17"/>
      <c r="AX628" s="15"/>
      <c r="AY628" s="15"/>
      <c r="AZ628" s="15"/>
    </row>
    <row r="629" spans="1:52" ht="12" customHeight="1" x14ac:dyDescent="0.25">
      <c r="A629" s="3"/>
      <c r="B629" s="14"/>
      <c r="C629" s="14"/>
      <c r="D629" s="14"/>
      <c r="E629" s="14"/>
      <c r="K629" s="14"/>
      <c r="M629" s="14"/>
      <c r="N629" s="14"/>
      <c r="Z629" s="11"/>
      <c r="AM629" s="17"/>
      <c r="AX629" s="15"/>
      <c r="AY629" s="15"/>
      <c r="AZ629" s="15"/>
    </row>
    <row r="630" spans="1:52" ht="12" customHeight="1" x14ac:dyDescent="0.25">
      <c r="A630" s="3"/>
      <c r="B630" s="14"/>
      <c r="C630" s="14"/>
      <c r="D630" s="14"/>
      <c r="E630" s="14"/>
      <c r="K630" s="14"/>
      <c r="M630" s="14"/>
      <c r="N630" s="14"/>
      <c r="Z630" s="11"/>
      <c r="AM630" s="17"/>
      <c r="AX630" s="15"/>
      <c r="AY630" s="15"/>
      <c r="AZ630" s="15"/>
    </row>
    <row r="631" spans="1:52" ht="12" customHeight="1" x14ac:dyDescent="0.25">
      <c r="A631" s="3"/>
      <c r="B631" s="14"/>
      <c r="C631" s="14"/>
      <c r="D631" s="14"/>
      <c r="E631" s="14"/>
      <c r="K631" s="14"/>
      <c r="M631" s="14"/>
      <c r="N631" s="14"/>
      <c r="Z631" s="11"/>
      <c r="AM631" s="17"/>
      <c r="AX631" s="15"/>
      <c r="AY631" s="15"/>
      <c r="AZ631" s="15"/>
    </row>
    <row r="632" spans="1:52" ht="12" customHeight="1" x14ac:dyDescent="0.25">
      <c r="A632" s="3"/>
      <c r="B632" s="14"/>
      <c r="C632" s="14"/>
      <c r="D632" s="14"/>
      <c r="E632" s="14"/>
      <c r="K632" s="14"/>
      <c r="M632" s="14"/>
      <c r="N632" s="14"/>
      <c r="Z632" s="11"/>
      <c r="AM632" s="17"/>
      <c r="AX632" s="15"/>
      <c r="AY632" s="15"/>
      <c r="AZ632" s="15"/>
    </row>
    <row r="633" spans="1:52" ht="12" customHeight="1" x14ac:dyDescent="0.25">
      <c r="A633" s="3"/>
      <c r="B633" s="14"/>
      <c r="C633" s="14"/>
      <c r="D633" s="14"/>
      <c r="E633" s="14"/>
      <c r="K633" s="14"/>
      <c r="M633" s="14"/>
      <c r="N633" s="14"/>
      <c r="Z633" s="11"/>
      <c r="AM633" s="17"/>
      <c r="AX633" s="15"/>
      <c r="AY633" s="15"/>
      <c r="AZ633" s="15"/>
    </row>
    <row r="634" spans="1:52" ht="12" customHeight="1" x14ac:dyDescent="0.25">
      <c r="A634" s="3"/>
      <c r="B634" s="14"/>
      <c r="C634" s="14"/>
      <c r="D634" s="14"/>
      <c r="E634" s="14"/>
      <c r="K634" s="14"/>
      <c r="M634" s="14"/>
      <c r="N634" s="14"/>
      <c r="Z634" s="11"/>
      <c r="AM634" s="17"/>
      <c r="AX634" s="15"/>
      <c r="AY634" s="15"/>
      <c r="AZ634" s="15"/>
    </row>
    <row r="635" spans="1:52" ht="12" customHeight="1" x14ac:dyDescent="0.25">
      <c r="A635" s="3"/>
      <c r="B635" s="14"/>
      <c r="C635" s="14"/>
      <c r="D635" s="14"/>
      <c r="E635" s="14"/>
      <c r="K635" s="14"/>
      <c r="M635" s="14"/>
      <c r="N635" s="14"/>
      <c r="Z635" s="11"/>
      <c r="AM635" s="17"/>
      <c r="AX635" s="15"/>
      <c r="AY635" s="15"/>
      <c r="AZ635" s="15"/>
    </row>
    <row r="636" spans="1:52" ht="12" customHeight="1" x14ac:dyDescent="0.25">
      <c r="A636" s="3"/>
      <c r="B636" s="14"/>
      <c r="C636" s="14"/>
      <c r="D636" s="14"/>
      <c r="E636" s="14"/>
      <c r="K636" s="14"/>
      <c r="M636" s="14"/>
      <c r="N636" s="14"/>
      <c r="Z636" s="11"/>
      <c r="AM636" s="17"/>
      <c r="AX636" s="15"/>
      <c r="AY636" s="15"/>
      <c r="AZ636" s="15"/>
    </row>
    <row r="637" spans="1:52" ht="12" customHeight="1" x14ac:dyDescent="0.25">
      <c r="A637" s="3"/>
      <c r="B637" s="14"/>
      <c r="C637" s="14"/>
      <c r="D637" s="14"/>
      <c r="E637" s="14"/>
      <c r="K637" s="14"/>
      <c r="M637" s="14"/>
      <c r="N637" s="14"/>
      <c r="Z637" s="11"/>
      <c r="AM637" s="17"/>
      <c r="AX637" s="15"/>
      <c r="AY637" s="15"/>
      <c r="AZ637" s="15"/>
    </row>
    <row r="638" spans="1:52" ht="12" customHeight="1" x14ac:dyDescent="0.25">
      <c r="A638" s="3"/>
      <c r="B638" s="14"/>
      <c r="C638" s="14"/>
      <c r="D638" s="14"/>
      <c r="E638" s="14"/>
      <c r="K638" s="14"/>
      <c r="M638" s="14"/>
      <c r="N638" s="14"/>
      <c r="Z638" s="11"/>
      <c r="AM638" s="17"/>
      <c r="AX638" s="15"/>
      <c r="AY638" s="15"/>
      <c r="AZ638" s="15"/>
    </row>
    <row r="639" spans="1:52" ht="12" customHeight="1" x14ac:dyDescent="0.25">
      <c r="A639" s="3"/>
      <c r="B639" s="14"/>
      <c r="C639" s="14"/>
      <c r="D639" s="14"/>
      <c r="E639" s="14"/>
      <c r="K639" s="14"/>
      <c r="M639" s="14"/>
      <c r="N639" s="14"/>
      <c r="Z639" s="11"/>
      <c r="AM639" s="17"/>
      <c r="AX639" s="15"/>
      <c r="AY639" s="15"/>
      <c r="AZ639" s="15"/>
    </row>
    <row r="640" spans="1:52" ht="12" customHeight="1" x14ac:dyDescent="0.25">
      <c r="A640" s="3"/>
      <c r="B640" s="14"/>
      <c r="C640" s="14"/>
      <c r="D640" s="14"/>
      <c r="E640" s="14"/>
      <c r="K640" s="14"/>
      <c r="M640" s="14"/>
      <c r="N640" s="14"/>
      <c r="Z640" s="11"/>
      <c r="AM640" s="17"/>
      <c r="AX640" s="15"/>
      <c r="AY640" s="15"/>
      <c r="AZ640" s="15"/>
    </row>
    <row r="641" spans="1:52" ht="12" customHeight="1" x14ac:dyDescent="0.25">
      <c r="A641" s="3"/>
      <c r="B641" s="14"/>
      <c r="C641" s="14"/>
      <c r="D641" s="14"/>
      <c r="E641" s="14"/>
      <c r="K641" s="14"/>
      <c r="M641" s="14"/>
      <c r="N641" s="14"/>
      <c r="Z641" s="11"/>
      <c r="AM641" s="17"/>
      <c r="AX641" s="15"/>
      <c r="AY641" s="15"/>
      <c r="AZ641" s="15"/>
    </row>
    <row r="642" spans="1:52" ht="12" customHeight="1" x14ac:dyDescent="0.25">
      <c r="A642" s="3"/>
      <c r="B642" s="14"/>
      <c r="C642" s="14"/>
      <c r="D642" s="14"/>
      <c r="E642" s="14"/>
      <c r="K642" s="14"/>
      <c r="M642" s="14"/>
      <c r="N642" s="14"/>
      <c r="Z642" s="11"/>
      <c r="AM642" s="17"/>
      <c r="AX642" s="15"/>
      <c r="AY642" s="15"/>
      <c r="AZ642" s="15"/>
    </row>
    <row r="643" spans="1:52" ht="12" customHeight="1" x14ac:dyDescent="0.25">
      <c r="A643" s="3"/>
      <c r="B643" s="14"/>
      <c r="C643" s="14"/>
      <c r="D643" s="14"/>
      <c r="E643" s="14"/>
      <c r="K643" s="14"/>
      <c r="M643" s="14"/>
      <c r="N643" s="14"/>
      <c r="Z643" s="11"/>
      <c r="AM643" s="17"/>
      <c r="AX643" s="15"/>
      <c r="AY643" s="15"/>
      <c r="AZ643" s="15"/>
    </row>
    <row r="644" spans="1:52" ht="12" customHeight="1" x14ac:dyDescent="0.25">
      <c r="A644" s="3"/>
      <c r="B644" s="14"/>
      <c r="C644" s="14"/>
      <c r="D644" s="14"/>
      <c r="E644" s="14"/>
      <c r="K644" s="14"/>
      <c r="M644" s="14"/>
      <c r="N644" s="14"/>
      <c r="Z644" s="11"/>
      <c r="AM644" s="17"/>
      <c r="AX644" s="15"/>
      <c r="AY644" s="15"/>
      <c r="AZ644" s="15"/>
    </row>
    <row r="645" spans="1:52" ht="12" customHeight="1" x14ac:dyDescent="0.25">
      <c r="A645" s="3"/>
      <c r="B645" s="14"/>
      <c r="C645" s="14"/>
      <c r="D645" s="14"/>
      <c r="E645" s="14"/>
      <c r="K645" s="14"/>
      <c r="M645" s="14"/>
      <c r="N645" s="14"/>
      <c r="Z645" s="11"/>
      <c r="AM645" s="17"/>
      <c r="AX645" s="15"/>
      <c r="AY645" s="15"/>
      <c r="AZ645" s="15"/>
    </row>
    <row r="646" spans="1:52" ht="12" customHeight="1" x14ac:dyDescent="0.25">
      <c r="A646" s="3"/>
      <c r="B646" s="14"/>
      <c r="C646" s="14"/>
      <c r="D646" s="14"/>
      <c r="E646" s="14"/>
      <c r="K646" s="14"/>
      <c r="M646" s="14"/>
      <c r="N646" s="14"/>
      <c r="Z646" s="11"/>
      <c r="AM646" s="17"/>
      <c r="AX646" s="15"/>
      <c r="AY646" s="15"/>
      <c r="AZ646" s="15"/>
    </row>
    <row r="647" spans="1:52" ht="12" customHeight="1" x14ac:dyDescent="0.25">
      <c r="A647" s="3"/>
      <c r="B647" s="14"/>
      <c r="C647" s="14"/>
      <c r="D647" s="14"/>
      <c r="E647" s="14"/>
      <c r="K647" s="14"/>
      <c r="M647" s="14"/>
      <c r="N647" s="14"/>
      <c r="Z647" s="11"/>
      <c r="AM647" s="17"/>
      <c r="AX647" s="15"/>
      <c r="AY647" s="15"/>
      <c r="AZ647" s="15"/>
    </row>
    <row r="648" spans="1:52" ht="12" customHeight="1" x14ac:dyDescent="0.25">
      <c r="A648" s="3"/>
      <c r="B648" s="14"/>
      <c r="C648" s="14"/>
      <c r="D648" s="14"/>
      <c r="E648" s="14"/>
      <c r="K648" s="14"/>
      <c r="M648" s="14"/>
      <c r="N648" s="14"/>
      <c r="Z648" s="11"/>
      <c r="AM648" s="17"/>
      <c r="AX648" s="15"/>
      <c r="AY648" s="15"/>
      <c r="AZ648" s="15"/>
    </row>
    <row r="649" spans="1:52" ht="12" customHeight="1" x14ac:dyDescent="0.25">
      <c r="A649" s="3"/>
      <c r="B649" s="14"/>
      <c r="C649" s="14"/>
      <c r="D649" s="14"/>
      <c r="E649" s="14"/>
      <c r="K649" s="14"/>
      <c r="M649" s="14"/>
      <c r="N649" s="14"/>
      <c r="Z649" s="11"/>
      <c r="AM649" s="17"/>
      <c r="AX649" s="15"/>
      <c r="AY649" s="15"/>
      <c r="AZ649" s="15"/>
    </row>
    <row r="650" spans="1:52" ht="12" customHeight="1" x14ac:dyDescent="0.25">
      <c r="A650" s="3"/>
      <c r="B650" s="14"/>
      <c r="C650" s="14"/>
      <c r="D650" s="14"/>
      <c r="E650" s="14"/>
      <c r="K650" s="14"/>
      <c r="M650" s="14"/>
      <c r="N650" s="14"/>
      <c r="Z650" s="11"/>
      <c r="AM650" s="17"/>
      <c r="AX650" s="15"/>
      <c r="AY650" s="15"/>
      <c r="AZ650" s="15"/>
    </row>
    <row r="651" spans="1:52" ht="12" customHeight="1" x14ac:dyDescent="0.25">
      <c r="A651" s="3"/>
      <c r="B651" s="14"/>
      <c r="C651" s="14"/>
      <c r="D651" s="14"/>
      <c r="E651" s="14"/>
      <c r="K651" s="14"/>
      <c r="M651" s="14"/>
      <c r="N651" s="14"/>
      <c r="Z651" s="11"/>
      <c r="AM651" s="17"/>
      <c r="AX651" s="15"/>
      <c r="AY651" s="15"/>
      <c r="AZ651" s="15"/>
    </row>
    <row r="652" spans="1:52" ht="12" customHeight="1" x14ac:dyDescent="0.25">
      <c r="A652" s="3"/>
      <c r="B652" s="14"/>
      <c r="C652" s="14"/>
      <c r="D652" s="14"/>
      <c r="E652" s="14"/>
      <c r="K652" s="14"/>
      <c r="M652" s="14"/>
      <c r="N652" s="14"/>
      <c r="Z652" s="11"/>
      <c r="AM652" s="17"/>
      <c r="AX652" s="15"/>
      <c r="AY652" s="15"/>
      <c r="AZ652" s="15"/>
    </row>
    <row r="653" spans="1:52" ht="12" customHeight="1" x14ac:dyDescent="0.25">
      <c r="A653" s="3"/>
      <c r="B653" s="14"/>
      <c r="C653" s="14"/>
      <c r="D653" s="14"/>
      <c r="E653" s="14"/>
      <c r="K653" s="14"/>
      <c r="M653" s="14"/>
      <c r="N653" s="14"/>
      <c r="Z653" s="11"/>
      <c r="AM653" s="17"/>
      <c r="AX653" s="15"/>
      <c r="AY653" s="15"/>
      <c r="AZ653" s="15"/>
    </row>
    <row r="654" spans="1:52" ht="12" customHeight="1" x14ac:dyDescent="0.25">
      <c r="A654" s="3"/>
      <c r="B654" s="14"/>
      <c r="C654" s="14"/>
      <c r="D654" s="14"/>
      <c r="E654" s="14"/>
      <c r="K654" s="14"/>
      <c r="M654" s="14"/>
      <c r="N654" s="14"/>
      <c r="Z654" s="11"/>
      <c r="AM654" s="17"/>
      <c r="AX654" s="15"/>
      <c r="AY654" s="15"/>
      <c r="AZ654" s="15"/>
    </row>
    <row r="655" spans="1:52" ht="12" customHeight="1" x14ac:dyDescent="0.25">
      <c r="A655" s="3"/>
      <c r="B655" s="14"/>
      <c r="C655" s="14"/>
      <c r="D655" s="14"/>
      <c r="E655" s="14"/>
      <c r="K655" s="14"/>
      <c r="M655" s="14"/>
      <c r="N655" s="14"/>
      <c r="Z655" s="11"/>
      <c r="AM655" s="17"/>
      <c r="AX655" s="15"/>
      <c r="AY655" s="15"/>
      <c r="AZ655" s="15"/>
    </row>
    <row r="656" spans="1:52" ht="12" customHeight="1" x14ac:dyDescent="0.25">
      <c r="A656" s="3"/>
      <c r="B656" s="14"/>
      <c r="C656" s="14"/>
      <c r="D656" s="14"/>
      <c r="E656" s="14"/>
      <c r="K656" s="14"/>
      <c r="M656" s="14"/>
      <c r="N656" s="14"/>
      <c r="Z656" s="11"/>
      <c r="AM656" s="17"/>
      <c r="AX656" s="15"/>
      <c r="AY656" s="15"/>
      <c r="AZ656" s="15"/>
    </row>
    <row r="657" spans="1:52" ht="12" customHeight="1" x14ac:dyDescent="0.25">
      <c r="A657" s="3"/>
      <c r="B657" s="14"/>
      <c r="C657" s="14"/>
      <c r="D657" s="14"/>
      <c r="E657" s="14"/>
      <c r="K657" s="14"/>
      <c r="M657" s="14"/>
      <c r="N657" s="14"/>
      <c r="Z657" s="11"/>
      <c r="AM657" s="17"/>
      <c r="AX657" s="15"/>
      <c r="AY657" s="15"/>
      <c r="AZ657" s="15"/>
    </row>
    <row r="658" spans="1:52" ht="12" customHeight="1" x14ac:dyDescent="0.25">
      <c r="A658" s="3"/>
      <c r="B658" s="14"/>
      <c r="C658" s="14"/>
      <c r="D658" s="14"/>
      <c r="E658" s="14"/>
      <c r="K658" s="14"/>
      <c r="M658" s="14"/>
      <c r="N658" s="14"/>
      <c r="Z658" s="11"/>
      <c r="AM658" s="17"/>
      <c r="AX658" s="15"/>
      <c r="AY658" s="15"/>
      <c r="AZ658" s="15"/>
    </row>
    <row r="659" spans="1:52" ht="12" customHeight="1" x14ac:dyDescent="0.25">
      <c r="A659" s="3"/>
      <c r="B659" s="14"/>
      <c r="C659" s="14"/>
      <c r="D659" s="14"/>
      <c r="E659" s="14"/>
      <c r="K659" s="14"/>
      <c r="M659" s="14"/>
      <c r="N659" s="14"/>
      <c r="Z659" s="11"/>
      <c r="AM659" s="17"/>
      <c r="AX659" s="15"/>
      <c r="AY659" s="15"/>
      <c r="AZ659" s="15"/>
    </row>
    <row r="660" spans="1:52" ht="12" customHeight="1" x14ac:dyDescent="0.25">
      <c r="A660" s="3"/>
      <c r="B660" s="14"/>
      <c r="C660" s="14"/>
      <c r="D660" s="14"/>
      <c r="E660" s="14"/>
      <c r="K660" s="14"/>
      <c r="M660" s="14"/>
      <c r="N660" s="14"/>
      <c r="Z660" s="11"/>
      <c r="AM660" s="17"/>
      <c r="AX660" s="15"/>
      <c r="AY660" s="15"/>
      <c r="AZ660" s="15"/>
    </row>
    <row r="661" spans="1:52" ht="12" customHeight="1" x14ac:dyDescent="0.25">
      <c r="A661" s="3"/>
      <c r="B661" s="14"/>
      <c r="C661" s="14"/>
      <c r="D661" s="14"/>
      <c r="E661" s="14"/>
      <c r="K661" s="14"/>
      <c r="M661" s="14"/>
      <c r="N661" s="14"/>
      <c r="Z661" s="11"/>
      <c r="AM661" s="17"/>
      <c r="AX661" s="15"/>
      <c r="AY661" s="15"/>
      <c r="AZ661" s="15"/>
    </row>
    <row r="662" spans="1:52" ht="12" customHeight="1" x14ac:dyDescent="0.25">
      <c r="A662" s="3"/>
      <c r="B662" s="14"/>
      <c r="C662" s="14"/>
      <c r="D662" s="14"/>
      <c r="E662" s="14"/>
      <c r="K662" s="14"/>
      <c r="M662" s="14"/>
      <c r="N662" s="14"/>
      <c r="Z662" s="11"/>
      <c r="AM662" s="17"/>
      <c r="AX662" s="15"/>
      <c r="AY662" s="15"/>
      <c r="AZ662" s="15"/>
    </row>
    <row r="663" spans="1:52" ht="12" customHeight="1" x14ac:dyDescent="0.25">
      <c r="A663" s="3"/>
      <c r="B663" s="14"/>
      <c r="C663" s="14"/>
      <c r="D663" s="14"/>
      <c r="E663" s="14"/>
      <c r="K663" s="14"/>
      <c r="M663" s="14"/>
      <c r="N663" s="14"/>
      <c r="Z663" s="11"/>
      <c r="AM663" s="17"/>
      <c r="AX663" s="15"/>
      <c r="AY663" s="15"/>
      <c r="AZ663" s="15"/>
    </row>
    <row r="664" spans="1:52" ht="12" customHeight="1" x14ac:dyDescent="0.25">
      <c r="A664" s="3"/>
      <c r="B664" s="14"/>
      <c r="C664" s="14"/>
      <c r="D664" s="14"/>
      <c r="E664" s="14"/>
      <c r="K664" s="14"/>
      <c r="M664" s="14"/>
      <c r="N664" s="14"/>
      <c r="Z664" s="11"/>
      <c r="AM664" s="17"/>
      <c r="AX664" s="15"/>
      <c r="AY664" s="15"/>
      <c r="AZ664" s="15"/>
    </row>
    <row r="665" spans="1:52" ht="12" customHeight="1" x14ac:dyDescent="0.25">
      <c r="A665" s="3"/>
      <c r="B665" s="14"/>
      <c r="C665" s="14"/>
      <c r="D665" s="14"/>
      <c r="E665" s="14"/>
      <c r="K665" s="14"/>
      <c r="M665" s="14"/>
      <c r="N665" s="14"/>
      <c r="Z665" s="11"/>
      <c r="AM665" s="17"/>
      <c r="AX665" s="15"/>
      <c r="AY665" s="15"/>
      <c r="AZ665" s="15"/>
    </row>
    <row r="666" spans="1:52" ht="12" customHeight="1" x14ac:dyDescent="0.25">
      <c r="A666" s="3"/>
      <c r="B666" s="14"/>
      <c r="C666" s="14"/>
      <c r="D666" s="14"/>
      <c r="E666" s="14"/>
      <c r="K666" s="14"/>
      <c r="M666" s="14"/>
      <c r="N666" s="14"/>
      <c r="Z666" s="11"/>
      <c r="AM666" s="17"/>
      <c r="AX666" s="15"/>
      <c r="AY666" s="15"/>
      <c r="AZ666" s="15"/>
    </row>
    <row r="667" spans="1:52" ht="12" customHeight="1" x14ac:dyDescent="0.25">
      <c r="A667" s="3"/>
      <c r="B667" s="14"/>
      <c r="C667" s="14"/>
      <c r="D667" s="14"/>
      <c r="E667" s="14"/>
      <c r="K667" s="14"/>
      <c r="M667" s="14"/>
      <c r="N667" s="14"/>
      <c r="Z667" s="11"/>
      <c r="AM667" s="17"/>
      <c r="AX667" s="15"/>
      <c r="AY667" s="15"/>
      <c r="AZ667" s="15"/>
    </row>
    <row r="668" spans="1:52" ht="12" customHeight="1" x14ac:dyDescent="0.25">
      <c r="A668" s="3"/>
      <c r="B668" s="14"/>
      <c r="C668" s="14"/>
      <c r="D668" s="14"/>
      <c r="E668" s="14"/>
      <c r="K668" s="14"/>
      <c r="M668" s="14"/>
      <c r="N668" s="14"/>
      <c r="Z668" s="11"/>
      <c r="AM668" s="17"/>
      <c r="AX668" s="15"/>
      <c r="AY668" s="15"/>
      <c r="AZ668" s="15"/>
    </row>
    <row r="669" spans="1:52" ht="12" customHeight="1" x14ac:dyDescent="0.25">
      <c r="A669" s="3"/>
      <c r="B669" s="14"/>
      <c r="C669" s="14"/>
      <c r="D669" s="14"/>
      <c r="E669" s="14"/>
      <c r="K669" s="14"/>
      <c r="M669" s="14"/>
      <c r="N669" s="14"/>
      <c r="Z669" s="11"/>
      <c r="AM669" s="17"/>
      <c r="AX669" s="15"/>
      <c r="AY669" s="15"/>
      <c r="AZ669" s="15"/>
    </row>
    <row r="670" spans="1:52" ht="12" customHeight="1" x14ac:dyDescent="0.25">
      <c r="A670" s="3"/>
      <c r="B670" s="14"/>
      <c r="C670" s="14"/>
      <c r="D670" s="14"/>
      <c r="E670" s="14"/>
      <c r="K670" s="14"/>
      <c r="M670" s="14"/>
      <c r="N670" s="14"/>
      <c r="Z670" s="11"/>
      <c r="AM670" s="17"/>
      <c r="AX670" s="15"/>
      <c r="AY670" s="15"/>
      <c r="AZ670" s="15"/>
    </row>
    <row r="671" spans="1:52" ht="12" customHeight="1" x14ac:dyDescent="0.25">
      <c r="A671" s="3"/>
      <c r="B671" s="14"/>
      <c r="C671" s="14"/>
      <c r="D671" s="14"/>
      <c r="E671" s="14"/>
      <c r="K671" s="14"/>
      <c r="M671" s="14"/>
      <c r="N671" s="14"/>
      <c r="Z671" s="11"/>
      <c r="AM671" s="17"/>
      <c r="AX671" s="15"/>
      <c r="AY671" s="15"/>
      <c r="AZ671" s="15"/>
    </row>
    <row r="672" spans="1:52" ht="12" customHeight="1" x14ac:dyDescent="0.25">
      <c r="A672" s="3"/>
      <c r="B672" s="14"/>
      <c r="C672" s="14"/>
      <c r="D672" s="14"/>
      <c r="E672" s="14"/>
      <c r="K672" s="14"/>
      <c r="M672" s="14"/>
      <c r="N672" s="14"/>
      <c r="Z672" s="11"/>
      <c r="AM672" s="17"/>
      <c r="AX672" s="15"/>
      <c r="AY672" s="15"/>
      <c r="AZ672" s="15"/>
    </row>
    <row r="673" spans="1:52" ht="12" customHeight="1" x14ac:dyDescent="0.25">
      <c r="A673" s="3"/>
      <c r="B673" s="14"/>
      <c r="C673" s="14"/>
      <c r="D673" s="14"/>
      <c r="E673" s="14"/>
      <c r="K673" s="14"/>
      <c r="M673" s="14"/>
      <c r="N673" s="14"/>
      <c r="Z673" s="11"/>
      <c r="AM673" s="17"/>
      <c r="AX673" s="15"/>
      <c r="AY673" s="15"/>
      <c r="AZ673" s="15"/>
    </row>
    <row r="674" spans="1:52" ht="12" customHeight="1" x14ac:dyDescent="0.25">
      <c r="A674" s="3"/>
      <c r="B674" s="14"/>
      <c r="C674" s="14"/>
      <c r="D674" s="14"/>
      <c r="E674" s="14"/>
      <c r="K674" s="14"/>
      <c r="M674" s="14"/>
      <c r="N674" s="14"/>
      <c r="Z674" s="11"/>
      <c r="AM674" s="17"/>
      <c r="AX674" s="15"/>
      <c r="AY674" s="15"/>
      <c r="AZ674" s="15"/>
    </row>
    <row r="675" spans="1:52" ht="12" customHeight="1" x14ac:dyDescent="0.25">
      <c r="A675" s="3"/>
      <c r="B675" s="14"/>
      <c r="C675" s="14"/>
      <c r="D675" s="14"/>
      <c r="E675" s="14"/>
      <c r="K675" s="14"/>
      <c r="M675" s="14"/>
      <c r="N675" s="14"/>
      <c r="Z675" s="11"/>
      <c r="AM675" s="17"/>
      <c r="AX675" s="15"/>
      <c r="AY675" s="15"/>
      <c r="AZ675" s="15"/>
    </row>
    <row r="676" spans="1:52" ht="12" customHeight="1" x14ac:dyDescent="0.25">
      <c r="A676" s="3"/>
      <c r="B676" s="14"/>
      <c r="C676" s="14"/>
      <c r="D676" s="14"/>
      <c r="E676" s="14"/>
      <c r="K676" s="14"/>
      <c r="M676" s="14"/>
      <c r="N676" s="14"/>
      <c r="Z676" s="11"/>
      <c r="AM676" s="17"/>
      <c r="AX676" s="15"/>
      <c r="AY676" s="15"/>
      <c r="AZ676" s="15"/>
    </row>
    <row r="677" spans="1:52" ht="12" customHeight="1" x14ac:dyDescent="0.25">
      <c r="A677" s="3"/>
      <c r="B677" s="14"/>
      <c r="C677" s="14"/>
      <c r="D677" s="14"/>
      <c r="E677" s="14"/>
      <c r="K677" s="14"/>
      <c r="M677" s="14"/>
      <c r="N677" s="14"/>
      <c r="Z677" s="11"/>
      <c r="AM677" s="17"/>
      <c r="AX677" s="15"/>
      <c r="AY677" s="15"/>
      <c r="AZ677" s="15"/>
    </row>
    <row r="678" spans="1:52" ht="12" customHeight="1" x14ac:dyDescent="0.25">
      <c r="A678" s="3"/>
      <c r="B678" s="14"/>
      <c r="C678" s="14"/>
      <c r="D678" s="14"/>
      <c r="E678" s="14"/>
      <c r="K678" s="14"/>
      <c r="M678" s="14"/>
      <c r="N678" s="14"/>
      <c r="Z678" s="11"/>
      <c r="AM678" s="17"/>
      <c r="AX678" s="15"/>
      <c r="AY678" s="15"/>
      <c r="AZ678" s="15"/>
    </row>
    <row r="679" spans="1:52" ht="12" customHeight="1" x14ac:dyDescent="0.25">
      <c r="A679" s="3"/>
      <c r="B679" s="14"/>
      <c r="C679" s="14"/>
      <c r="D679" s="14"/>
      <c r="E679" s="14"/>
      <c r="K679" s="14"/>
      <c r="M679" s="14"/>
      <c r="N679" s="14"/>
      <c r="Z679" s="11"/>
      <c r="AM679" s="17"/>
      <c r="AX679" s="15"/>
      <c r="AY679" s="15"/>
      <c r="AZ679" s="15"/>
    </row>
    <row r="680" spans="1:52" ht="12" customHeight="1" x14ac:dyDescent="0.25">
      <c r="A680" s="3"/>
      <c r="B680" s="14"/>
      <c r="C680" s="14"/>
      <c r="D680" s="14"/>
      <c r="E680" s="14"/>
      <c r="K680" s="14"/>
      <c r="M680" s="14"/>
      <c r="N680" s="14"/>
      <c r="Z680" s="11"/>
      <c r="AM680" s="17"/>
      <c r="AX680" s="15"/>
      <c r="AY680" s="15"/>
      <c r="AZ680" s="15"/>
    </row>
    <row r="681" spans="1:52" ht="12" customHeight="1" x14ac:dyDescent="0.25">
      <c r="A681" s="3"/>
      <c r="B681" s="14"/>
      <c r="C681" s="14"/>
      <c r="D681" s="14"/>
      <c r="E681" s="14"/>
      <c r="K681" s="14"/>
      <c r="M681" s="14"/>
      <c r="N681" s="14"/>
      <c r="Z681" s="11"/>
      <c r="AM681" s="17"/>
      <c r="AX681" s="15"/>
      <c r="AY681" s="15"/>
      <c r="AZ681" s="15"/>
    </row>
    <row r="682" spans="1:52" ht="12" customHeight="1" x14ac:dyDescent="0.25">
      <c r="A682" s="3"/>
      <c r="B682" s="14"/>
      <c r="C682" s="14"/>
      <c r="D682" s="14"/>
      <c r="E682" s="14"/>
      <c r="K682" s="14"/>
      <c r="M682" s="14"/>
      <c r="N682" s="14"/>
      <c r="Z682" s="11"/>
      <c r="AM682" s="17"/>
      <c r="AX682" s="15"/>
      <c r="AY682" s="15"/>
      <c r="AZ682" s="15"/>
    </row>
    <row r="683" spans="1:52" ht="12" customHeight="1" x14ac:dyDescent="0.25">
      <c r="A683" s="3"/>
      <c r="B683" s="14"/>
      <c r="C683" s="14"/>
      <c r="D683" s="14"/>
      <c r="E683" s="14"/>
      <c r="K683" s="14"/>
      <c r="M683" s="14"/>
      <c r="N683" s="14"/>
      <c r="Z683" s="11"/>
      <c r="AM683" s="17"/>
      <c r="AX683" s="15"/>
      <c r="AY683" s="15"/>
      <c r="AZ683" s="15"/>
    </row>
    <row r="684" spans="1:52" ht="12" customHeight="1" x14ac:dyDescent="0.25">
      <c r="A684" s="3"/>
      <c r="B684" s="14"/>
      <c r="C684" s="14"/>
      <c r="D684" s="14"/>
      <c r="E684" s="14"/>
      <c r="K684" s="14"/>
      <c r="M684" s="14"/>
      <c r="N684" s="14"/>
      <c r="Z684" s="11"/>
      <c r="AM684" s="17"/>
      <c r="AX684" s="15"/>
      <c r="AY684" s="15"/>
      <c r="AZ684" s="15"/>
    </row>
    <row r="685" spans="1:52" ht="12" customHeight="1" x14ac:dyDescent="0.25">
      <c r="A685" s="3"/>
      <c r="B685" s="14"/>
      <c r="C685" s="14"/>
      <c r="D685" s="14"/>
      <c r="E685" s="14"/>
      <c r="K685" s="14"/>
      <c r="M685" s="14"/>
      <c r="N685" s="14"/>
      <c r="Z685" s="11"/>
      <c r="AM685" s="17"/>
      <c r="AX685" s="15"/>
      <c r="AY685" s="15"/>
      <c r="AZ685" s="15"/>
    </row>
    <row r="686" spans="1:52" ht="12" customHeight="1" x14ac:dyDescent="0.25">
      <c r="A686" s="3"/>
      <c r="B686" s="14"/>
      <c r="C686" s="14"/>
      <c r="D686" s="14"/>
      <c r="E686" s="14"/>
      <c r="K686" s="14"/>
      <c r="M686" s="14"/>
      <c r="N686" s="14"/>
      <c r="Z686" s="11"/>
      <c r="AM686" s="17"/>
      <c r="AX686" s="15"/>
      <c r="AY686" s="15"/>
      <c r="AZ686" s="15"/>
    </row>
    <row r="687" spans="1:52" ht="12" customHeight="1" x14ac:dyDescent="0.25">
      <c r="A687" s="3"/>
      <c r="B687" s="14"/>
      <c r="C687" s="14"/>
      <c r="D687" s="14"/>
      <c r="E687" s="14"/>
      <c r="K687" s="14"/>
      <c r="M687" s="14"/>
      <c r="N687" s="14"/>
      <c r="Z687" s="11"/>
      <c r="AM687" s="17"/>
      <c r="AX687" s="15"/>
      <c r="AY687" s="15"/>
      <c r="AZ687" s="15"/>
    </row>
    <row r="688" spans="1:52" ht="12" customHeight="1" x14ac:dyDescent="0.25">
      <c r="A688" s="3"/>
      <c r="B688" s="14"/>
      <c r="C688" s="14"/>
      <c r="D688" s="14"/>
      <c r="E688" s="14"/>
      <c r="K688" s="14"/>
      <c r="M688" s="14"/>
      <c r="N688" s="14"/>
      <c r="Z688" s="11"/>
      <c r="AM688" s="17"/>
      <c r="AX688" s="15"/>
      <c r="AY688" s="15"/>
      <c r="AZ688" s="15"/>
    </row>
    <row r="689" spans="1:52" ht="12" customHeight="1" x14ac:dyDescent="0.25">
      <c r="A689" s="3"/>
      <c r="B689" s="14"/>
      <c r="C689" s="14"/>
      <c r="D689" s="14"/>
      <c r="E689" s="14"/>
      <c r="K689" s="14"/>
      <c r="M689" s="14"/>
      <c r="N689" s="14"/>
      <c r="Z689" s="11"/>
      <c r="AM689" s="17"/>
      <c r="AX689" s="15"/>
      <c r="AY689" s="15"/>
      <c r="AZ689" s="15"/>
    </row>
    <row r="690" spans="1:52" ht="12" customHeight="1" x14ac:dyDescent="0.25">
      <c r="A690" s="3"/>
      <c r="B690" s="14"/>
      <c r="C690" s="14"/>
      <c r="D690" s="14"/>
      <c r="E690" s="14"/>
      <c r="K690" s="14"/>
      <c r="M690" s="14"/>
      <c r="N690" s="14"/>
      <c r="Z690" s="11"/>
      <c r="AM690" s="17"/>
      <c r="AX690" s="15"/>
      <c r="AY690" s="15"/>
      <c r="AZ690" s="15"/>
    </row>
    <row r="691" spans="1:52" ht="12" customHeight="1" x14ac:dyDescent="0.25">
      <c r="A691" s="3"/>
      <c r="B691" s="14"/>
      <c r="C691" s="14"/>
      <c r="D691" s="14"/>
      <c r="E691" s="14"/>
      <c r="K691" s="14"/>
      <c r="M691" s="14"/>
      <c r="N691" s="14"/>
      <c r="Z691" s="11"/>
      <c r="AM691" s="17"/>
      <c r="AX691" s="15"/>
      <c r="AY691" s="15"/>
      <c r="AZ691" s="15"/>
    </row>
    <row r="692" spans="1:52" ht="12" customHeight="1" x14ac:dyDescent="0.25">
      <c r="A692" s="3"/>
      <c r="B692" s="14"/>
      <c r="C692" s="14"/>
      <c r="D692" s="14"/>
      <c r="E692" s="14"/>
      <c r="K692" s="14"/>
      <c r="M692" s="14"/>
      <c r="N692" s="14"/>
      <c r="Z692" s="11"/>
      <c r="AM692" s="17"/>
      <c r="AX692" s="15"/>
      <c r="AY692" s="15"/>
      <c r="AZ692" s="15"/>
    </row>
    <row r="693" spans="1:52" ht="12" customHeight="1" x14ac:dyDescent="0.25">
      <c r="A693" s="3"/>
      <c r="B693" s="14"/>
      <c r="C693" s="14"/>
      <c r="D693" s="14"/>
      <c r="E693" s="14"/>
      <c r="K693" s="14"/>
      <c r="M693" s="14"/>
      <c r="N693" s="14"/>
      <c r="Z693" s="11"/>
      <c r="AM693" s="17"/>
      <c r="AX693" s="15"/>
      <c r="AY693" s="15"/>
      <c r="AZ693" s="15"/>
    </row>
    <row r="694" spans="1:52" ht="12" customHeight="1" x14ac:dyDescent="0.25">
      <c r="A694" s="3"/>
      <c r="B694" s="14"/>
      <c r="C694" s="14"/>
      <c r="D694" s="14"/>
      <c r="E694" s="14"/>
      <c r="K694" s="14"/>
      <c r="M694" s="14"/>
      <c r="N694" s="14"/>
      <c r="Z694" s="11"/>
      <c r="AM694" s="17"/>
      <c r="AX694" s="15"/>
      <c r="AY694" s="15"/>
      <c r="AZ694" s="15"/>
    </row>
    <row r="695" spans="1:52" ht="12" customHeight="1" x14ac:dyDescent="0.25">
      <c r="A695" s="3"/>
      <c r="B695" s="14"/>
      <c r="C695" s="14"/>
      <c r="D695" s="14"/>
      <c r="E695" s="14"/>
      <c r="K695" s="14"/>
      <c r="M695" s="14"/>
      <c r="N695" s="14"/>
      <c r="Z695" s="11"/>
      <c r="AM695" s="17"/>
      <c r="AX695" s="15"/>
      <c r="AY695" s="15"/>
      <c r="AZ695" s="15"/>
    </row>
    <row r="696" spans="1:52" ht="12" customHeight="1" x14ac:dyDescent="0.25">
      <c r="A696" s="3"/>
      <c r="B696" s="14"/>
      <c r="C696" s="14"/>
      <c r="D696" s="14"/>
      <c r="E696" s="14"/>
      <c r="K696" s="14"/>
      <c r="M696" s="14"/>
      <c r="N696" s="14"/>
      <c r="Z696" s="11"/>
      <c r="AM696" s="17"/>
      <c r="AX696" s="15"/>
      <c r="AY696" s="15"/>
      <c r="AZ696" s="15"/>
    </row>
    <row r="697" spans="1:52" ht="12" customHeight="1" x14ac:dyDescent="0.25">
      <c r="A697" s="3"/>
      <c r="B697" s="14"/>
      <c r="C697" s="14"/>
      <c r="D697" s="14"/>
      <c r="E697" s="14"/>
      <c r="K697" s="14"/>
      <c r="M697" s="14"/>
      <c r="N697" s="14"/>
      <c r="Z697" s="11"/>
      <c r="AM697" s="17"/>
      <c r="AX697" s="15"/>
      <c r="AY697" s="15"/>
      <c r="AZ697" s="15"/>
    </row>
    <row r="698" spans="1:52" ht="12" customHeight="1" x14ac:dyDescent="0.25">
      <c r="A698" s="3"/>
      <c r="B698" s="14"/>
      <c r="C698" s="14"/>
      <c r="D698" s="14"/>
      <c r="E698" s="14"/>
      <c r="K698" s="14"/>
      <c r="M698" s="14"/>
      <c r="N698" s="14"/>
      <c r="Z698" s="11"/>
      <c r="AM698" s="17"/>
      <c r="AX698" s="15"/>
      <c r="AY698" s="15"/>
      <c r="AZ698" s="15"/>
    </row>
    <row r="699" spans="1:52" ht="12" customHeight="1" x14ac:dyDescent="0.25">
      <c r="A699" s="3"/>
      <c r="B699" s="14"/>
      <c r="C699" s="14"/>
      <c r="D699" s="14"/>
      <c r="E699" s="14"/>
      <c r="K699" s="14"/>
      <c r="M699" s="14"/>
      <c r="N699" s="14"/>
      <c r="Z699" s="11"/>
      <c r="AM699" s="17"/>
      <c r="AX699" s="15"/>
      <c r="AY699" s="15"/>
      <c r="AZ699" s="15"/>
    </row>
    <row r="700" spans="1:52" ht="12" customHeight="1" x14ac:dyDescent="0.25">
      <c r="A700" s="3"/>
      <c r="B700" s="14"/>
      <c r="C700" s="14"/>
      <c r="D700" s="14"/>
      <c r="E700" s="14"/>
      <c r="K700" s="14"/>
      <c r="M700" s="14"/>
      <c r="N700" s="14"/>
      <c r="Z700" s="11"/>
      <c r="AM700" s="17"/>
      <c r="AX700" s="15"/>
      <c r="AY700" s="15"/>
      <c r="AZ700" s="15"/>
    </row>
    <row r="701" spans="1:52" ht="12" customHeight="1" x14ac:dyDescent="0.25">
      <c r="A701" s="3"/>
      <c r="B701" s="14"/>
      <c r="C701" s="14"/>
      <c r="D701" s="14"/>
      <c r="E701" s="14"/>
      <c r="K701" s="14"/>
      <c r="M701" s="14"/>
      <c r="N701" s="14"/>
      <c r="Z701" s="11"/>
      <c r="AM701" s="17"/>
      <c r="AX701" s="15"/>
      <c r="AY701" s="15"/>
      <c r="AZ701" s="15"/>
    </row>
    <row r="702" spans="1:52" ht="12" customHeight="1" x14ac:dyDescent="0.25">
      <c r="A702" s="3"/>
      <c r="B702" s="14"/>
      <c r="C702" s="14"/>
      <c r="D702" s="14"/>
      <c r="E702" s="14"/>
      <c r="K702" s="14"/>
      <c r="M702" s="14"/>
      <c r="N702" s="14"/>
      <c r="Z702" s="11"/>
      <c r="AM702" s="17"/>
      <c r="AX702" s="15"/>
      <c r="AY702" s="15"/>
      <c r="AZ702" s="15"/>
    </row>
    <row r="703" spans="1:52" ht="12" customHeight="1" x14ac:dyDescent="0.25">
      <c r="A703" s="3"/>
      <c r="B703" s="14"/>
      <c r="C703" s="14"/>
      <c r="D703" s="14"/>
      <c r="E703" s="14"/>
      <c r="K703" s="14"/>
      <c r="M703" s="14"/>
      <c r="N703" s="14"/>
      <c r="Z703" s="11"/>
      <c r="AM703" s="17"/>
      <c r="AX703" s="15"/>
      <c r="AY703" s="15"/>
      <c r="AZ703" s="15"/>
    </row>
    <row r="704" spans="1:52" ht="12" customHeight="1" x14ac:dyDescent="0.25">
      <c r="A704" s="3"/>
      <c r="B704" s="14"/>
      <c r="C704" s="14"/>
      <c r="D704" s="14"/>
      <c r="E704" s="14"/>
      <c r="K704" s="14"/>
      <c r="M704" s="14"/>
      <c r="N704" s="14"/>
      <c r="Z704" s="11"/>
      <c r="AM704" s="17"/>
      <c r="AX704" s="15"/>
      <c r="AY704" s="15"/>
      <c r="AZ704" s="15"/>
    </row>
    <row r="705" spans="1:52" ht="12" customHeight="1" x14ac:dyDescent="0.25">
      <c r="A705" s="3"/>
      <c r="B705" s="14"/>
      <c r="C705" s="14"/>
      <c r="D705" s="14"/>
      <c r="E705" s="14"/>
      <c r="K705" s="14"/>
      <c r="M705" s="14"/>
      <c r="N705" s="14"/>
      <c r="Z705" s="11"/>
      <c r="AM705" s="17"/>
      <c r="AX705" s="15"/>
      <c r="AY705" s="15"/>
      <c r="AZ705" s="15"/>
    </row>
    <row r="706" spans="1:52" ht="12" customHeight="1" x14ac:dyDescent="0.25">
      <c r="A706" s="3"/>
      <c r="B706" s="14"/>
      <c r="C706" s="14"/>
      <c r="D706" s="14"/>
      <c r="E706" s="14"/>
      <c r="K706" s="14"/>
      <c r="M706" s="14"/>
      <c r="N706" s="14"/>
      <c r="Z706" s="11"/>
      <c r="AM706" s="17"/>
      <c r="AX706" s="15"/>
      <c r="AY706" s="15"/>
      <c r="AZ706" s="15"/>
    </row>
    <row r="707" spans="1:52" ht="12" customHeight="1" x14ac:dyDescent="0.25">
      <c r="A707" s="3"/>
      <c r="B707" s="14"/>
      <c r="C707" s="14"/>
      <c r="D707" s="14"/>
      <c r="E707" s="14"/>
      <c r="K707" s="14"/>
      <c r="M707" s="14"/>
      <c r="N707" s="14"/>
      <c r="Z707" s="11"/>
      <c r="AM707" s="17"/>
      <c r="AX707" s="15"/>
      <c r="AY707" s="15"/>
      <c r="AZ707" s="15"/>
    </row>
    <row r="708" spans="1:52" ht="12" customHeight="1" x14ac:dyDescent="0.25">
      <c r="A708" s="3"/>
      <c r="B708" s="14"/>
      <c r="C708" s="14"/>
      <c r="D708" s="14"/>
      <c r="E708" s="14"/>
      <c r="K708" s="14"/>
      <c r="M708" s="14"/>
      <c r="N708" s="14"/>
      <c r="Z708" s="11"/>
      <c r="AM708" s="17"/>
      <c r="AX708" s="15"/>
      <c r="AY708" s="15"/>
      <c r="AZ708" s="15"/>
    </row>
    <row r="709" spans="1:52" ht="12" customHeight="1" x14ac:dyDescent="0.25">
      <c r="A709" s="3"/>
      <c r="B709" s="14"/>
      <c r="C709" s="14"/>
      <c r="D709" s="14"/>
      <c r="E709" s="14"/>
      <c r="K709" s="14"/>
      <c r="M709" s="14"/>
      <c r="N709" s="14"/>
      <c r="Z709" s="11"/>
      <c r="AM709" s="17"/>
      <c r="AX709" s="15"/>
      <c r="AY709" s="15"/>
      <c r="AZ709" s="15"/>
    </row>
    <row r="710" spans="1:52" ht="12" customHeight="1" x14ac:dyDescent="0.25">
      <c r="A710" s="3"/>
      <c r="B710" s="14"/>
      <c r="C710" s="14"/>
      <c r="D710" s="14"/>
      <c r="E710" s="14"/>
      <c r="K710" s="14"/>
      <c r="M710" s="14"/>
      <c r="N710" s="14"/>
      <c r="Z710" s="11"/>
      <c r="AM710" s="17"/>
      <c r="AX710" s="15"/>
      <c r="AY710" s="15"/>
      <c r="AZ710" s="15"/>
    </row>
    <row r="711" spans="1:52" ht="12" customHeight="1" x14ac:dyDescent="0.25">
      <c r="A711" s="3"/>
      <c r="B711" s="14"/>
      <c r="C711" s="14"/>
      <c r="D711" s="14"/>
      <c r="E711" s="14"/>
      <c r="K711" s="14"/>
      <c r="M711" s="14"/>
      <c r="N711" s="14"/>
      <c r="Z711" s="11"/>
      <c r="AM711" s="17"/>
      <c r="AX711" s="15"/>
      <c r="AY711" s="15"/>
      <c r="AZ711" s="15"/>
    </row>
    <row r="712" spans="1:52" ht="12" customHeight="1" x14ac:dyDescent="0.25">
      <c r="A712" s="3"/>
      <c r="B712" s="14"/>
      <c r="C712" s="14"/>
      <c r="D712" s="14"/>
      <c r="E712" s="14"/>
      <c r="K712" s="14"/>
      <c r="M712" s="14"/>
      <c r="N712" s="14"/>
      <c r="Z712" s="11"/>
      <c r="AM712" s="17"/>
      <c r="AX712" s="15"/>
      <c r="AY712" s="15"/>
      <c r="AZ712" s="15"/>
    </row>
    <row r="713" spans="1:52" ht="12" customHeight="1" x14ac:dyDescent="0.25">
      <c r="A713" s="3"/>
      <c r="B713" s="14"/>
      <c r="C713" s="14"/>
      <c r="D713" s="14"/>
      <c r="E713" s="14"/>
      <c r="K713" s="14"/>
      <c r="M713" s="14"/>
      <c r="N713" s="14"/>
      <c r="Z713" s="11"/>
      <c r="AM713" s="17"/>
      <c r="AX713" s="15"/>
      <c r="AY713" s="15"/>
      <c r="AZ713" s="15"/>
    </row>
    <row r="714" spans="1:52" ht="12" customHeight="1" x14ac:dyDescent="0.25">
      <c r="A714" s="3"/>
      <c r="B714" s="14"/>
      <c r="C714" s="14"/>
      <c r="D714" s="14"/>
      <c r="E714" s="14"/>
      <c r="K714" s="14"/>
      <c r="M714" s="14"/>
      <c r="N714" s="14"/>
      <c r="Z714" s="11"/>
      <c r="AM714" s="17"/>
      <c r="AX714" s="15"/>
      <c r="AY714" s="15"/>
      <c r="AZ714" s="15"/>
    </row>
    <row r="715" spans="1:52" ht="12" customHeight="1" x14ac:dyDescent="0.25">
      <c r="A715" s="3"/>
      <c r="B715" s="14"/>
      <c r="C715" s="14"/>
      <c r="D715" s="14"/>
      <c r="E715" s="14"/>
      <c r="K715" s="14"/>
      <c r="M715" s="14"/>
      <c r="N715" s="14"/>
      <c r="Z715" s="11"/>
      <c r="AM715" s="17"/>
      <c r="AX715" s="15"/>
      <c r="AY715" s="15"/>
      <c r="AZ715" s="15"/>
    </row>
    <row r="716" spans="1:52" ht="12" customHeight="1" x14ac:dyDescent="0.25">
      <c r="A716" s="3"/>
      <c r="B716" s="14"/>
      <c r="C716" s="14"/>
      <c r="D716" s="14"/>
      <c r="E716" s="14"/>
      <c r="K716" s="14"/>
      <c r="M716" s="14"/>
      <c r="N716" s="14"/>
      <c r="Z716" s="11"/>
      <c r="AM716" s="17"/>
      <c r="AX716" s="15"/>
      <c r="AY716" s="15"/>
      <c r="AZ716" s="15"/>
    </row>
    <row r="717" spans="1:52" ht="12" customHeight="1" x14ac:dyDescent="0.25">
      <c r="A717" s="3"/>
      <c r="B717" s="14"/>
      <c r="C717" s="14"/>
      <c r="D717" s="14"/>
      <c r="E717" s="14"/>
      <c r="K717" s="14"/>
      <c r="M717" s="14"/>
      <c r="N717" s="14"/>
      <c r="Z717" s="11"/>
      <c r="AM717" s="17"/>
      <c r="AX717" s="15"/>
      <c r="AY717" s="15"/>
      <c r="AZ717" s="15"/>
    </row>
    <row r="718" spans="1:52" ht="12" customHeight="1" x14ac:dyDescent="0.25">
      <c r="A718" s="3"/>
      <c r="B718" s="14"/>
      <c r="C718" s="14"/>
      <c r="D718" s="14"/>
      <c r="E718" s="14"/>
      <c r="K718" s="14"/>
      <c r="M718" s="14"/>
      <c r="N718" s="14"/>
      <c r="Z718" s="11"/>
      <c r="AM718" s="17"/>
      <c r="AX718" s="15"/>
      <c r="AY718" s="15"/>
      <c r="AZ718" s="15"/>
    </row>
    <row r="719" spans="1:52" ht="12" customHeight="1" x14ac:dyDescent="0.25">
      <c r="A719" s="3"/>
      <c r="B719" s="14"/>
      <c r="C719" s="14"/>
      <c r="D719" s="14"/>
      <c r="E719" s="14"/>
      <c r="K719" s="14"/>
      <c r="M719" s="14"/>
      <c r="N719" s="14"/>
      <c r="Z719" s="11"/>
      <c r="AM719" s="17"/>
      <c r="AX719" s="15"/>
      <c r="AY719" s="15"/>
      <c r="AZ719" s="15"/>
    </row>
    <row r="720" spans="1:52" ht="12" customHeight="1" x14ac:dyDescent="0.25">
      <c r="A720" s="3"/>
      <c r="B720" s="14"/>
      <c r="C720" s="14"/>
      <c r="D720" s="14"/>
      <c r="E720" s="14"/>
      <c r="K720" s="14"/>
      <c r="M720" s="14"/>
      <c r="N720" s="14"/>
      <c r="Z720" s="11"/>
      <c r="AM720" s="17"/>
      <c r="AX720" s="15"/>
      <c r="AY720" s="15"/>
      <c r="AZ720" s="15"/>
    </row>
    <row r="721" spans="1:52" ht="12" customHeight="1" x14ac:dyDescent="0.25">
      <c r="A721" s="3"/>
      <c r="B721" s="14"/>
      <c r="C721" s="14"/>
      <c r="D721" s="14"/>
      <c r="E721" s="14"/>
      <c r="K721" s="14"/>
      <c r="M721" s="14"/>
      <c r="N721" s="14"/>
      <c r="Z721" s="11"/>
      <c r="AM721" s="17"/>
      <c r="AX721" s="15"/>
      <c r="AY721" s="15"/>
      <c r="AZ721" s="15"/>
    </row>
    <row r="722" spans="1:52" ht="12" customHeight="1" x14ac:dyDescent="0.25">
      <c r="A722" s="3"/>
      <c r="B722" s="14"/>
      <c r="C722" s="14"/>
      <c r="D722" s="14"/>
      <c r="E722" s="14"/>
      <c r="K722" s="14"/>
      <c r="M722" s="14"/>
      <c r="N722" s="14"/>
      <c r="Z722" s="11"/>
      <c r="AM722" s="17"/>
      <c r="AX722" s="15"/>
      <c r="AY722" s="15"/>
      <c r="AZ722" s="15"/>
    </row>
    <row r="723" spans="1:52" ht="12" customHeight="1" x14ac:dyDescent="0.25">
      <c r="A723" s="3"/>
      <c r="B723" s="14"/>
      <c r="C723" s="14"/>
      <c r="D723" s="14"/>
      <c r="E723" s="14"/>
      <c r="K723" s="14"/>
      <c r="M723" s="14"/>
      <c r="N723" s="14"/>
      <c r="Z723" s="11"/>
      <c r="AM723" s="17"/>
      <c r="AX723" s="15"/>
      <c r="AY723" s="15"/>
      <c r="AZ723" s="15"/>
    </row>
    <row r="724" spans="1:52" ht="12" customHeight="1" x14ac:dyDescent="0.25">
      <c r="A724" s="3"/>
      <c r="B724" s="14"/>
      <c r="C724" s="14"/>
      <c r="D724" s="14"/>
      <c r="E724" s="14"/>
      <c r="K724" s="14"/>
      <c r="M724" s="14"/>
      <c r="N724" s="14"/>
      <c r="Z724" s="11"/>
      <c r="AM724" s="17"/>
      <c r="AX724" s="15"/>
      <c r="AY724" s="15"/>
      <c r="AZ724" s="15"/>
    </row>
    <row r="725" spans="1:52" ht="12" customHeight="1" x14ac:dyDescent="0.25">
      <c r="A725" s="3"/>
      <c r="B725" s="14"/>
      <c r="C725" s="14"/>
      <c r="D725" s="14"/>
      <c r="E725" s="14"/>
      <c r="K725" s="14"/>
      <c r="M725" s="14"/>
      <c r="N725" s="14"/>
      <c r="Z725" s="11"/>
      <c r="AM725" s="17"/>
      <c r="AX725" s="15"/>
      <c r="AY725" s="15"/>
      <c r="AZ725" s="15"/>
    </row>
    <row r="726" spans="1:52" ht="12" customHeight="1" x14ac:dyDescent="0.25">
      <c r="A726" s="3"/>
      <c r="B726" s="14"/>
      <c r="C726" s="14"/>
      <c r="D726" s="14"/>
      <c r="E726" s="14"/>
      <c r="K726" s="14"/>
      <c r="M726" s="14"/>
      <c r="N726" s="14"/>
      <c r="Z726" s="11"/>
      <c r="AM726" s="17"/>
      <c r="AX726" s="15"/>
      <c r="AY726" s="15"/>
      <c r="AZ726" s="15"/>
    </row>
    <row r="727" spans="1:52" ht="12" customHeight="1" x14ac:dyDescent="0.25">
      <c r="A727" s="3"/>
      <c r="B727" s="14"/>
      <c r="C727" s="14"/>
      <c r="D727" s="14"/>
      <c r="E727" s="14"/>
      <c r="K727" s="14"/>
      <c r="M727" s="14"/>
      <c r="N727" s="14"/>
      <c r="Z727" s="11"/>
      <c r="AM727" s="17"/>
      <c r="AX727" s="15"/>
      <c r="AY727" s="15"/>
      <c r="AZ727" s="15"/>
    </row>
    <row r="728" spans="1:52" ht="12" customHeight="1" x14ac:dyDescent="0.25">
      <c r="A728" s="3"/>
      <c r="B728" s="14"/>
      <c r="C728" s="14"/>
      <c r="D728" s="14"/>
      <c r="E728" s="14"/>
      <c r="K728" s="14"/>
      <c r="M728" s="14"/>
      <c r="N728" s="14"/>
      <c r="Z728" s="11"/>
      <c r="AM728" s="17"/>
      <c r="AX728" s="15"/>
      <c r="AY728" s="15"/>
      <c r="AZ728" s="15"/>
    </row>
    <row r="729" spans="1:52" ht="12" customHeight="1" x14ac:dyDescent="0.25">
      <c r="A729" s="3"/>
      <c r="B729" s="14"/>
      <c r="C729" s="14"/>
      <c r="D729" s="14"/>
      <c r="E729" s="14"/>
      <c r="K729" s="14"/>
      <c r="M729" s="14"/>
      <c r="N729" s="14"/>
      <c r="Z729" s="11"/>
      <c r="AM729" s="17"/>
      <c r="AX729" s="15"/>
      <c r="AY729" s="15"/>
      <c r="AZ729" s="15"/>
    </row>
    <row r="730" spans="1:52" ht="12" customHeight="1" x14ac:dyDescent="0.25">
      <c r="A730" s="3"/>
      <c r="B730" s="14"/>
      <c r="C730" s="14"/>
      <c r="D730" s="14"/>
      <c r="E730" s="14"/>
      <c r="K730" s="14"/>
      <c r="M730" s="14"/>
      <c r="N730" s="14"/>
      <c r="Z730" s="11"/>
      <c r="AM730" s="17"/>
      <c r="AX730" s="15"/>
      <c r="AY730" s="15"/>
      <c r="AZ730" s="15"/>
    </row>
    <row r="731" spans="1:52" ht="12" customHeight="1" x14ac:dyDescent="0.25">
      <c r="A731" s="3"/>
      <c r="B731" s="14"/>
      <c r="C731" s="14"/>
      <c r="D731" s="14"/>
      <c r="E731" s="14"/>
      <c r="K731" s="14"/>
      <c r="M731" s="14"/>
      <c r="N731" s="14"/>
      <c r="Z731" s="11"/>
      <c r="AM731" s="17"/>
      <c r="AX731" s="15"/>
      <c r="AY731" s="15"/>
      <c r="AZ731" s="15"/>
    </row>
    <row r="732" spans="1:52" ht="12" customHeight="1" x14ac:dyDescent="0.25">
      <c r="A732" s="3"/>
      <c r="B732" s="14"/>
      <c r="C732" s="14"/>
      <c r="D732" s="14"/>
      <c r="E732" s="14"/>
      <c r="K732" s="14"/>
      <c r="M732" s="14"/>
      <c r="N732" s="14"/>
      <c r="Z732" s="11"/>
      <c r="AM732" s="17"/>
      <c r="AX732" s="15"/>
      <c r="AY732" s="15"/>
      <c r="AZ732" s="15"/>
    </row>
    <row r="733" spans="1:52" ht="12" customHeight="1" x14ac:dyDescent="0.25">
      <c r="A733" s="3"/>
      <c r="B733" s="14"/>
      <c r="C733" s="14"/>
      <c r="D733" s="14"/>
      <c r="E733" s="14"/>
      <c r="K733" s="14"/>
      <c r="M733" s="14"/>
      <c r="N733" s="14"/>
      <c r="Z733" s="11"/>
      <c r="AM733" s="17"/>
      <c r="AX733" s="15"/>
      <c r="AY733" s="15"/>
      <c r="AZ733" s="15"/>
    </row>
    <row r="734" spans="1:52" ht="12" customHeight="1" x14ac:dyDescent="0.25">
      <c r="A734" s="3"/>
      <c r="B734" s="14"/>
      <c r="C734" s="14"/>
      <c r="D734" s="14"/>
      <c r="E734" s="14"/>
      <c r="K734" s="14"/>
      <c r="M734" s="14"/>
      <c r="N734" s="14"/>
      <c r="Z734" s="11"/>
      <c r="AM734" s="17"/>
      <c r="AX734" s="15"/>
      <c r="AY734" s="15"/>
      <c r="AZ734" s="15"/>
    </row>
    <row r="735" spans="1:52" ht="12" customHeight="1" x14ac:dyDescent="0.25">
      <c r="A735" s="3"/>
      <c r="B735" s="14"/>
      <c r="C735" s="14"/>
      <c r="D735" s="14"/>
      <c r="E735" s="14"/>
      <c r="K735" s="14"/>
      <c r="M735" s="14"/>
      <c r="N735" s="14"/>
      <c r="Z735" s="11"/>
      <c r="AM735" s="17"/>
      <c r="AX735" s="15"/>
      <c r="AY735" s="15"/>
      <c r="AZ735" s="15"/>
    </row>
    <row r="736" spans="1:52" ht="12" customHeight="1" x14ac:dyDescent="0.25">
      <c r="A736" s="3"/>
      <c r="B736" s="14"/>
      <c r="C736" s="14"/>
      <c r="D736" s="14"/>
      <c r="E736" s="14"/>
      <c r="K736" s="14"/>
      <c r="M736" s="14"/>
      <c r="N736" s="14"/>
      <c r="Z736" s="11"/>
      <c r="AM736" s="17"/>
      <c r="AX736" s="15"/>
      <c r="AY736" s="15"/>
      <c r="AZ736" s="15"/>
    </row>
    <row r="737" spans="1:52" ht="12" customHeight="1" x14ac:dyDescent="0.25">
      <c r="A737" s="3"/>
      <c r="B737" s="14"/>
      <c r="C737" s="14"/>
      <c r="D737" s="14"/>
      <c r="E737" s="14"/>
      <c r="K737" s="14"/>
      <c r="M737" s="14"/>
      <c r="N737" s="14"/>
      <c r="Z737" s="11"/>
      <c r="AM737" s="17"/>
      <c r="AX737" s="15"/>
      <c r="AY737" s="15"/>
      <c r="AZ737" s="15"/>
    </row>
    <row r="738" spans="1:52" ht="12" customHeight="1" x14ac:dyDescent="0.25">
      <c r="A738" s="3"/>
      <c r="B738" s="14"/>
      <c r="C738" s="14"/>
      <c r="D738" s="14"/>
      <c r="E738" s="14"/>
      <c r="K738" s="14"/>
      <c r="M738" s="14"/>
      <c r="N738" s="14"/>
      <c r="Z738" s="11"/>
      <c r="AM738" s="17"/>
      <c r="AX738" s="15"/>
      <c r="AY738" s="15"/>
      <c r="AZ738" s="15"/>
    </row>
    <row r="739" spans="1:52" ht="12" customHeight="1" x14ac:dyDescent="0.25">
      <c r="A739" s="3"/>
      <c r="B739" s="14"/>
      <c r="C739" s="14"/>
      <c r="D739" s="14"/>
      <c r="E739" s="14"/>
      <c r="K739" s="14"/>
      <c r="M739" s="14"/>
      <c r="N739" s="14"/>
      <c r="Z739" s="11"/>
      <c r="AM739" s="17"/>
      <c r="AX739" s="15"/>
      <c r="AY739" s="15"/>
      <c r="AZ739" s="15"/>
    </row>
    <row r="740" spans="1:52" ht="12" customHeight="1" x14ac:dyDescent="0.25">
      <c r="A740" s="3"/>
      <c r="B740" s="14"/>
      <c r="C740" s="14"/>
      <c r="D740" s="14"/>
      <c r="E740" s="14"/>
      <c r="K740" s="14"/>
      <c r="M740" s="14"/>
      <c r="N740" s="14"/>
      <c r="Z740" s="11"/>
      <c r="AM740" s="17"/>
      <c r="AX740" s="15"/>
      <c r="AY740" s="15"/>
      <c r="AZ740" s="15"/>
    </row>
    <row r="741" spans="1:52" ht="12" customHeight="1" x14ac:dyDescent="0.25">
      <c r="A741" s="3"/>
      <c r="B741" s="14"/>
      <c r="C741" s="14"/>
      <c r="D741" s="14"/>
      <c r="E741" s="14"/>
      <c r="K741" s="14"/>
      <c r="M741" s="14"/>
      <c r="N741" s="14"/>
      <c r="Z741" s="11"/>
      <c r="AM741" s="17"/>
      <c r="AX741" s="15"/>
      <c r="AY741" s="15"/>
      <c r="AZ741" s="15"/>
    </row>
    <row r="742" spans="1:52" ht="12" customHeight="1" x14ac:dyDescent="0.25">
      <c r="A742" s="3"/>
      <c r="B742" s="14"/>
      <c r="C742" s="14"/>
      <c r="D742" s="14"/>
      <c r="E742" s="14"/>
      <c r="K742" s="14"/>
      <c r="M742" s="14"/>
      <c r="N742" s="14"/>
      <c r="Z742" s="11"/>
      <c r="AM742" s="17"/>
      <c r="AX742" s="15"/>
      <c r="AY742" s="15"/>
      <c r="AZ742" s="15"/>
    </row>
    <row r="743" spans="1:52" ht="12" customHeight="1" x14ac:dyDescent="0.25">
      <c r="A743" s="3"/>
      <c r="B743" s="14"/>
      <c r="C743" s="14"/>
      <c r="D743" s="14"/>
      <c r="E743" s="14"/>
      <c r="K743" s="14"/>
      <c r="M743" s="14"/>
      <c r="N743" s="14"/>
      <c r="Z743" s="11"/>
      <c r="AM743" s="17"/>
      <c r="AX743" s="15"/>
      <c r="AY743" s="15"/>
      <c r="AZ743" s="15"/>
    </row>
    <row r="744" spans="1:52" ht="12" customHeight="1" x14ac:dyDescent="0.25">
      <c r="A744" s="3"/>
      <c r="B744" s="14"/>
      <c r="C744" s="14"/>
      <c r="D744" s="14"/>
      <c r="E744" s="14"/>
      <c r="K744" s="14"/>
      <c r="M744" s="14"/>
      <c r="N744" s="14"/>
      <c r="Z744" s="11"/>
      <c r="AM744" s="17"/>
      <c r="AX744" s="15"/>
      <c r="AY744" s="15"/>
      <c r="AZ744" s="15"/>
    </row>
    <row r="745" spans="1:52" ht="12" customHeight="1" x14ac:dyDescent="0.25">
      <c r="A745" s="3"/>
      <c r="B745" s="14"/>
      <c r="C745" s="14"/>
      <c r="D745" s="14"/>
      <c r="E745" s="14"/>
      <c r="K745" s="14"/>
      <c r="M745" s="14"/>
      <c r="N745" s="14"/>
      <c r="Z745" s="11"/>
      <c r="AM745" s="17"/>
      <c r="AX745" s="15"/>
      <c r="AY745" s="15"/>
      <c r="AZ745" s="15"/>
    </row>
    <row r="746" spans="1:52" ht="12" customHeight="1" x14ac:dyDescent="0.25">
      <c r="A746" s="3"/>
      <c r="B746" s="14"/>
      <c r="C746" s="14"/>
      <c r="D746" s="14"/>
      <c r="E746" s="14"/>
      <c r="K746" s="14"/>
      <c r="M746" s="14"/>
      <c r="N746" s="14"/>
      <c r="Z746" s="11"/>
      <c r="AM746" s="17"/>
      <c r="AX746" s="15"/>
      <c r="AY746" s="15"/>
      <c r="AZ746" s="15"/>
    </row>
    <row r="747" spans="1:52" ht="12" customHeight="1" x14ac:dyDescent="0.25">
      <c r="A747" s="3"/>
      <c r="B747" s="14"/>
      <c r="C747" s="14"/>
      <c r="D747" s="14"/>
      <c r="E747" s="14"/>
      <c r="K747" s="14"/>
      <c r="M747" s="14"/>
      <c r="N747" s="14"/>
      <c r="Z747" s="11"/>
      <c r="AM747" s="17"/>
      <c r="AX747" s="15"/>
      <c r="AY747" s="15"/>
      <c r="AZ747" s="15"/>
    </row>
    <row r="748" spans="1:52" ht="12" customHeight="1" x14ac:dyDescent="0.25">
      <c r="A748" s="3"/>
      <c r="B748" s="14"/>
      <c r="C748" s="14"/>
      <c r="D748" s="14"/>
      <c r="E748" s="14"/>
      <c r="K748" s="14"/>
      <c r="M748" s="14"/>
      <c r="N748" s="14"/>
      <c r="Z748" s="11"/>
      <c r="AM748" s="17"/>
      <c r="AX748" s="15"/>
      <c r="AY748" s="15"/>
      <c r="AZ748" s="15"/>
    </row>
    <row r="749" spans="1:52" ht="12" customHeight="1" x14ac:dyDescent="0.25">
      <c r="A749" s="3"/>
      <c r="B749" s="14"/>
      <c r="C749" s="14"/>
      <c r="D749" s="14"/>
      <c r="E749" s="14"/>
      <c r="K749" s="14"/>
      <c r="M749" s="14"/>
      <c r="N749" s="14"/>
      <c r="Z749" s="11"/>
      <c r="AM749" s="17"/>
      <c r="AX749" s="15"/>
      <c r="AY749" s="15"/>
      <c r="AZ749" s="15"/>
    </row>
    <row r="750" spans="1:52" ht="12" customHeight="1" x14ac:dyDescent="0.25">
      <c r="A750" s="3"/>
      <c r="B750" s="14"/>
      <c r="C750" s="14"/>
      <c r="D750" s="14"/>
      <c r="E750" s="14"/>
      <c r="K750" s="14"/>
      <c r="M750" s="14"/>
      <c r="N750" s="14"/>
      <c r="Z750" s="11"/>
      <c r="AM750" s="17"/>
      <c r="AX750" s="15"/>
      <c r="AY750" s="15"/>
      <c r="AZ750" s="15"/>
    </row>
    <row r="751" spans="1:52" ht="12" customHeight="1" x14ac:dyDescent="0.25">
      <c r="A751" s="3"/>
      <c r="B751" s="14"/>
      <c r="C751" s="14"/>
      <c r="D751" s="14"/>
      <c r="E751" s="14"/>
      <c r="K751" s="14"/>
      <c r="M751" s="14"/>
      <c r="N751" s="14"/>
      <c r="Z751" s="11"/>
      <c r="AM751" s="17"/>
      <c r="AX751" s="15"/>
      <c r="AY751" s="15"/>
      <c r="AZ751" s="15"/>
    </row>
    <row r="752" spans="1:52" ht="12" customHeight="1" x14ac:dyDescent="0.25">
      <c r="A752" s="3"/>
      <c r="B752" s="14"/>
      <c r="C752" s="14"/>
      <c r="D752" s="14"/>
      <c r="E752" s="14"/>
      <c r="K752" s="14"/>
      <c r="M752" s="14"/>
      <c r="N752" s="14"/>
      <c r="Z752" s="11"/>
      <c r="AM752" s="17"/>
      <c r="AX752" s="15"/>
      <c r="AY752" s="15"/>
      <c r="AZ752" s="15"/>
    </row>
    <row r="753" spans="1:52" ht="12" customHeight="1" x14ac:dyDescent="0.25">
      <c r="A753" s="3"/>
      <c r="B753" s="14"/>
      <c r="C753" s="14"/>
      <c r="D753" s="14"/>
      <c r="E753" s="14"/>
      <c r="K753" s="14"/>
      <c r="M753" s="14"/>
      <c r="N753" s="14"/>
      <c r="Z753" s="11"/>
      <c r="AM753" s="17"/>
      <c r="AX753" s="15"/>
      <c r="AY753" s="15"/>
      <c r="AZ753" s="15"/>
    </row>
    <row r="754" spans="1:52" ht="12" customHeight="1" x14ac:dyDescent="0.25">
      <c r="A754" s="3"/>
      <c r="B754" s="14"/>
      <c r="C754" s="14"/>
      <c r="D754" s="14"/>
      <c r="E754" s="14"/>
      <c r="K754" s="14"/>
      <c r="M754" s="14"/>
      <c r="N754" s="14"/>
      <c r="Z754" s="11"/>
      <c r="AM754" s="17"/>
      <c r="AX754" s="15"/>
      <c r="AY754" s="15"/>
      <c r="AZ754" s="15"/>
    </row>
    <row r="755" spans="1:52" ht="12" customHeight="1" x14ac:dyDescent="0.25">
      <c r="A755" s="3"/>
      <c r="B755" s="14"/>
      <c r="C755" s="14"/>
      <c r="D755" s="14"/>
      <c r="E755" s="14"/>
      <c r="K755" s="14"/>
      <c r="M755" s="14"/>
      <c r="N755" s="14"/>
      <c r="Z755" s="11"/>
      <c r="AM755" s="17"/>
      <c r="AX755" s="15"/>
      <c r="AY755" s="15"/>
      <c r="AZ755" s="15"/>
    </row>
    <row r="756" spans="1:52" ht="12" customHeight="1" x14ac:dyDescent="0.25">
      <c r="A756" s="3"/>
      <c r="B756" s="14"/>
      <c r="C756" s="14"/>
      <c r="D756" s="14"/>
      <c r="E756" s="14"/>
      <c r="K756" s="14"/>
      <c r="M756" s="14"/>
      <c r="N756" s="14"/>
      <c r="Z756" s="11"/>
      <c r="AM756" s="17"/>
      <c r="AX756" s="15"/>
      <c r="AY756" s="15"/>
      <c r="AZ756" s="15"/>
    </row>
    <row r="757" spans="1:52" ht="12" customHeight="1" x14ac:dyDescent="0.25">
      <c r="A757" s="3"/>
      <c r="B757" s="14"/>
      <c r="C757" s="14"/>
      <c r="D757" s="14"/>
      <c r="E757" s="14"/>
      <c r="K757" s="14"/>
      <c r="M757" s="14"/>
      <c r="N757" s="14"/>
      <c r="Z757" s="11"/>
      <c r="AM757" s="17"/>
      <c r="AX757" s="15"/>
      <c r="AY757" s="15"/>
      <c r="AZ757" s="15"/>
    </row>
    <row r="758" spans="1:52" ht="12" customHeight="1" x14ac:dyDescent="0.25">
      <c r="A758" s="3"/>
      <c r="B758" s="14"/>
      <c r="C758" s="14"/>
      <c r="D758" s="14"/>
      <c r="E758" s="14"/>
      <c r="K758" s="14"/>
      <c r="M758" s="14"/>
      <c r="N758" s="14"/>
      <c r="Z758" s="11"/>
      <c r="AM758" s="17"/>
      <c r="AX758" s="15"/>
      <c r="AY758" s="15"/>
      <c r="AZ758" s="15"/>
    </row>
    <row r="759" spans="1:52" ht="12" customHeight="1" x14ac:dyDescent="0.25">
      <c r="A759" s="3"/>
      <c r="B759" s="14"/>
      <c r="C759" s="14"/>
      <c r="D759" s="14"/>
      <c r="E759" s="14"/>
      <c r="K759" s="14"/>
      <c r="M759" s="14"/>
      <c r="N759" s="14"/>
      <c r="Z759" s="11"/>
      <c r="AM759" s="17"/>
      <c r="AX759" s="15"/>
      <c r="AY759" s="15"/>
      <c r="AZ759" s="15"/>
    </row>
    <row r="760" spans="1:52" ht="12" customHeight="1" x14ac:dyDescent="0.25">
      <c r="A760" s="3"/>
      <c r="B760" s="14"/>
      <c r="C760" s="14"/>
      <c r="D760" s="14"/>
      <c r="E760" s="14"/>
      <c r="K760" s="14"/>
      <c r="M760" s="14"/>
      <c r="N760" s="14"/>
      <c r="Z760" s="11"/>
      <c r="AM760" s="17"/>
      <c r="AX760" s="15"/>
      <c r="AY760" s="15"/>
      <c r="AZ760" s="15"/>
    </row>
    <row r="761" spans="1:52" ht="12" customHeight="1" x14ac:dyDescent="0.25">
      <c r="A761" s="3"/>
      <c r="B761" s="14"/>
      <c r="C761" s="14"/>
      <c r="D761" s="14"/>
      <c r="E761" s="14"/>
      <c r="K761" s="14"/>
      <c r="M761" s="14"/>
      <c r="N761" s="14"/>
      <c r="Z761" s="11"/>
      <c r="AM761" s="17"/>
      <c r="AX761" s="15"/>
      <c r="AY761" s="15"/>
      <c r="AZ761" s="15"/>
    </row>
    <row r="762" spans="1:52" ht="12" customHeight="1" x14ac:dyDescent="0.25">
      <c r="A762" s="3"/>
      <c r="B762" s="14"/>
      <c r="C762" s="14"/>
      <c r="D762" s="14"/>
      <c r="E762" s="14"/>
      <c r="K762" s="14"/>
      <c r="M762" s="14"/>
      <c r="N762" s="14"/>
      <c r="Z762" s="11"/>
      <c r="AM762" s="17"/>
      <c r="AX762" s="15"/>
      <c r="AY762" s="15"/>
      <c r="AZ762" s="15"/>
    </row>
    <row r="763" spans="1:52" ht="12" customHeight="1" x14ac:dyDescent="0.25">
      <c r="A763" s="3"/>
      <c r="B763" s="14"/>
      <c r="C763" s="14"/>
      <c r="D763" s="14"/>
      <c r="E763" s="14"/>
      <c r="K763" s="14"/>
      <c r="M763" s="14"/>
      <c r="N763" s="14"/>
      <c r="Z763" s="11"/>
      <c r="AM763" s="17"/>
      <c r="AX763" s="15"/>
      <c r="AY763" s="15"/>
      <c r="AZ763" s="15"/>
    </row>
    <row r="764" spans="1:52" ht="12" customHeight="1" x14ac:dyDescent="0.25">
      <c r="A764" s="3"/>
      <c r="B764" s="14"/>
      <c r="C764" s="14"/>
      <c r="D764" s="14"/>
      <c r="E764" s="14"/>
      <c r="K764" s="14"/>
      <c r="M764" s="14"/>
      <c r="N764" s="14"/>
      <c r="Z764" s="11"/>
      <c r="AM764" s="17"/>
      <c r="AX764" s="15"/>
      <c r="AY764" s="15"/>
      <c r="AZ764" s="15"/>
    </row>
    <row r="765" spans="1:52" ht="12" customHeight="1" x14ac:dyDescent="0.25">
      <c r="A765" s="3"/>
      <c r="B765" s="14"/>
      <c r="C765" s="14"/>
      <c r="D765" s="14"/>
      <c r="E765" s="14"/>
      <c r="K765" s="14"/>
      <c r="M765" s="14"/>
      <c r="N765" s="14"/>
      <c r="Z765" s="11"/>
      <c r="AM765" s="17"/>
      <c r="AX765" s="15"/>
      <c r="AY765" s="15"/>
      <c r="AZ765" s="15"/>
    </row>
    <row r="766" spans="1:52" ht="12" customHeight="1" x14ac:dyDescent="0.25">
      <c r="A766" s="3"/>
      <c r="B766" s="14"/>
      <c r="C766" s="14"/>
      <c r="D766" s="14"/>
      <c r="E766" s="14"/>
      <c r="K766" s="14"/>
      <c r="M766" s="14"/>
      <c r="N766" s="14"/>
      <c r="Z766" s="11"/>
      <c r="AM766" s="17"/>
      <c r="AX766" s="15"/>
      <c r="AY766" s="15"/>
      <c r="AZ766" s="15"/>
    </row>
    <row r="767" spans="1:52" ht="12" customHeight="1" x14ac:dyDescent="0.25">
      <c r="A767" s="3"/>
      <c r="B767" s="14"/>
      <c r="C767" s="14"/>
      <c r="D767" s="14"/>
      <c r="E767" s="14"/>
      <c r="K767" s="14"/>
      <c r="M767" s="14"/>
      <c r="N767" s="14"/>
      <c r="Z767" s="11"/>
      <c r="AM767" s="17"/>
      <c r="AX767" s="15"/>
      <c r="AY767" s="15"/>
      <c r="AZ767" s="15"/>
    </row>
    <row r="768" spans="1:52" ht="12" customHeight="1" x14ac:dyDescent="0.25">
      <c r="A768" s="3"/>
      <c r="B768" s="14"/>
      <c r="C768" s="14"/>
      <c r="D768" s="14"/>
      <c r="E768" s="14"/>
      <c r="K768" s="14"/>
      <c r="M768" s="14"/>
      <c r="N768" s="14"/>
      <c r="Z768" s="11"/>
      <c r="AM768" s="17"/>
      <c r="AX768" s="15"/>
      <c r="AY768" s="15"/>
      <c r="AZ768" s="15"/>
    </row>
    <row r="769" spans="1:52" ht="12" customHeight="1" x14ac:dyDescent="0.25">
      <c r="A769" s="3"/>
      <c r="B769" s="14"/>
      <c r="C769" s="14"/>
      <c r="D769" s="14"/>
      <c r="E769" s="14"/>
      <c r="K769" s="14"/>
      <c r="M769" s="14"/>
      <c r="N769" s="14"/>
      <c r="Z769" s="11"/>
      <c r="AM769" s="17"/>
      <c r="AX769" s="15"/>
      <c r="AY769" s="15"/>
      <c r="AZ769" s="15"/>
    </row>
    <row r="770" spans="1:52" ht="12" customHeight="1" x14ac:dyDescent="0.25">
      <c r="A770" s="3"/>
      <c r="B770" s="14"/>
      <c r="C770" s="14"/>
      <c r="D770" s="14"/>
      <c r="E770" s="14"/>
      <c r="K770" s="14"/>
      <c r="M770" s="14"/>
      <c r="N770" s="14"/>
      <c r="Z770" s="11"/>
      <c r="AM770" s="17"/>
      <c r="AX770" s="15"/>
      <c r="AY770" s="15"/>
      <c r="AZ770" s="15"/>
    </row>
    <row r="771" spans="1:52" ht="12" customHeight="1" x14ac:dyDescent="0.25">
      <c r="A771" s="3"/>
      <c r="B771" s="14"/>
      <c r="C771" s="14"/>
      <c r="D771" s="14"/>
      <c r="E771" s="14"/>
      <c r="K771" s="14"/>
      <c r="M771" s="14"/>
      <c r="N771" s="14"/>
      <c r="Z771" s="11"/>
      <c r="AM771" s="17"/>
      <c r="AX771" s="15"/>
      <c r="AY771" s="15"/>
      <c r="AZ771" s="15"/>
    </row>
    <row r="772" spans="1:52" ht="12" customHeight="1" x14ac:dyDescent="0.25">
      <c r="A772" s="3"/>
      <c r="B772" s="14"/>
      <c r="C772" s="14"/>
      <c r="D772" s="14"/>
      <c r="E772" s="14"/>
      <c r="K772" s="14"/>
      <c r="M772" s="14"/>
      <c r="N772" s="14"/>
      <c r="Z772" s="11"/>
      <c r="AM772" s="17"/>
      <c r="AX772" s="15"/>
      <c r="AY772" s="15"/>
      <c r="AZ772" s="15"/>
    </row>
    <row r="773" spans="1:52" ht="12" customHeight="1" x14ac:dyDescent="0.25">
      <c r="A773" s="3"/>
      <c r="B773" s="14"/>
      <c r="C773" s="14"/>
      <c r="D773" s="14"/>
      <c r="E773" s="14"/>
      <c r="K773" s="14"/>
      <c r="M773" s="14"/>
      <c r="N773" s="14"/>
      <c r="Z773" s="11"/>
      <c r="AM773" s="17"/>
      <c r="AX773" s="15"/>
      <c r="AY773" s="15"/>
      <c r="AZ773" s="15"/>
    </row>
    <row r="774" spans="1:52" ht="12" customHeight="1" x14ac:dyDescent="0.25">
      <c r="A774" s="3"/>
      <c r="B774" s="14"/>
      <c r="C774" s="14"/>
      <c r="D774" s="14"/>
      <c r="E774" s="14"/>
      <c r="K774" s="14"/>
      <c r="M774" s="14"/>
      <c r="N774" s="14"/>
      <c r="Z774" s="11"/>
      <c r="AM774" s="17"/>
      <c r="AX774" s="15"/>
      <c r="AY774" s="15"/>
      <c r="AZ774" s="15"/>
    </row>
    <row r="775" spans="1:52" ht="12" customHeight="1" x14ac:dyDescent="0.25">
      <c r="A775" s="3"/>
      <c r="B775" s="14"/>
      <c r="C775" s="14"/>
      <c r="D775" s="14"/>
      <c r="E775" s="14"/>
      <c r="K775" s="14"/>
      <c r="M775" s="14"/>
      <c r="N775" s="14"/>
      <c r="Z775" s="11"/>
      <c r="AM775" s="17"/>
      <c r="AX775" s="15"/>
      <c r="AY775" s="15"/>
      <c r="AZ775" s="15"/>
    </row>
    <row r="776" spans="1:52" ht="12" customHeight="1" x14ac:dyDescent="0.25">
      <c r="A776" s="3"/>
      <c r="B776" s="14"/>
      <c r="C776" s="14"/>
      <c r="D776" s="14"/>
      <c r="E776" s="14"/>
      <c r="K776" s="14"/>
      <c r="M776" s="14"/>
      <c r="N776" s="14"/>
      <c r="Z776" s="11"/>
      <c r="AM776" s="17"/>
      <c r="AX776" s="15"/>
      <c r="AY776" s="15"/>
      <c r="AZ776" s="15"/>
    </row>
    <row r="777" spans="1:52" ht="12" customHeight="1" x14ac:dyDescent="0.25">
      <c r="A777" s="3"/>
      <c r="B777" s="14"/>
      <c r="C777" s="14"/>
      <c r="D777" s="14"/>
      <c r="E777" s="14"/>
      <c r="K777" s="14"/>
      <c r="M777" s="14"/>
      <c r="N777" s="14"/>
      <c r="Z777" s="11"/>
      <c r="AM777" s="17"/>
      <c r="AX777" s="15"/>
      <c r="AY777" s="15"/>
      <c r="AZ777" s="15"/>
    </row>
    <row r="778" spans="1:52" ht="12" customHeight="1" x14ac:dyDescent="0.25">
      <c r="A778" s="3"/>
      <c r="B778" s="14"/>
      <c r="C778" s="14"/>
      <c r="D778" s="14"/>
      <c r="E778" s="14"/>
      <c r="K778" s="14"/>
      <c r="M778" s="14"/>
      <c r="N778" s="14"/>
      <c r="Z778" s="11"/>
      <c r="AM778" s="17"/>
      <c r="AX778" s="15"/>
      <c r="AY778" s="15"/>
      <c r="AZ778" s="15"/>
    </row>
    <row r="779" spans="1:52" ht="12" customHeight="1" x14ac:dyDescent="0.25">
      <c r="A779" s="3"/>
      <c r="B779" s="14"/>
      <c r="C779" s="14"/>
      <c r="D779" s="14"/>
      <c r="E779" s="14"/>
      <c r="K779" s="14"/>
      <c r="M779" s="14"/>
      <c r="N779" s="14"/>
      <c r="Z779" s="11"/>
      <c r="AM779" s="17"/>
      <c r="AX779" s="15"/>
      <c r="AY779" s="15"/>
      <c r="AZ779" s="15"/>
    </row>
    <row r="780" spans="1:52" ht="12" customHeight="1" x14ac:dyDescent="0.25">
      <c r="A780" s="3"/>
      <c r="B780" s="14"/>
      <c r="C780" s="14"/>
      <c r="D780" s="14"/>
      <c r="E780" s="14"/>
      <c r="K780" s="14"/>
      <c r="M780" s="14"/>
      <c r="N780" s="14"/>
      <c r="Z780" s="11"/>
      <c r="AM780" s="17"/>
      <c r="AX780" s="15"/>
      <c r="AY780" s="15"/>
      <c r="AZ780" s="15"/>
    </row>
    <row r="781" spans="1:52" ht="12" customHeight="1" x14ac:dyDescent="0.25">
      <c r="A781" s="3"/>
      <c r="B781" s="14"/>
      <c r="C781" s="14"/>
      <c r="D781" s="14"/>
      <c r="E781" s="14"/>
      <c r="K781" s="14"/>
      <c r="M781" s="14"/>
      <c r="N781" s="14"/>
      <c r="Z781" s="11"/>
      <c r="AM781" s="17"/>
      <c r="AX781" s="15"/>
      <c r="AY781" s="15"/>
      <c r="AZ781" s="15"/>
    </row>
    <row r="782" spans="1:52" ht="12" customHeight="1" x14ac:dyDescent="0.25">
      <c r="A782" s="3"/>
      <c r="B782" s="14"/>
      <c r="C782" s="14"/>
      <c r="D782" s="14"/>
      <c r="E782" s="14"/>
      <c r="K782" s="14"/>
      <c r="M782" s="14"/>
      <c r="N782" s="14"/>
      <c r="Z782" s="11"/>
      <c r="AM782" s="17"/>
      <c r="AX782" s="15"/>
      <c r="AY782" s="15"/>
      <c r="AZ782" s="15"/>
    </row>
    <row r="783" spans="1:52" ht="12" customHeight="1" x14ac:dyDescent="0.25">
      <c r="A783" s="3"/>
      <c r="B783" s="14"/>
      <c r="C783" s="14"/>
      <c r="D783" s="14"/>
      <c r="E783" s="14"/>
      <c r="K783" s="14"/>
      <c r="M783" s="14"/>
      <c r="N783" s="14"/>
      <c r="Z783" s="11"/>
      <c r="AM783" s="17"/>
      <c r="AX783" s="15"/>
      <c r="AY783" s="15"/>
      <c r="AZ783" s="15"/>
    </row>
    <row r="784" spans="1:52" ht="12" customHeight="1" x14ac:dyDescent="0.25">
      <c r="A784" s="3"/>
      <c r="B784" s="14"/>
      <c r="C784" s="14"/>
      <c r="D784" s="14"/>
      <c r="E784" s="14"/>
      <c r="K784" s="14"/>
      <c r="M784" s="14"/>
      <c r="N784" s="14"/>
      <c r="Z784" s="11"/>
      <c r="AM784" s="17"/>
      <c r="AX784" s="15"/>
      <c r="AY784" s="15"/>
      <c r="AZ784" s="15"/>
    </row>
    <row r="785" spans="1:52" ht="12" customHeight="1" x14ac:dyDescent="0.25">
      <c r="A785" s="3"/>
      <c r="B785" s="14"/>
      <c r="C785" s="14"/>
      <c r="D785" s="14"/>
      <c r="E785" s="14"/>
      <c r="K785" s="14"/>
      <c r="M785" s="14"/>
      <c r="N785" s="14"/>
      <c r="Z785" s="11"/>
      <c r="AM785" s="17"/>
      <c r="AX785" s="15"/>
      <c r="AY785" s="15"/>
      <c r="AZ785" s="15"/>
    </row>
    <row r="786" spans="1:52" ht="12" customHeight="1" x14ac:dyDescent="0.25">
      <c r="A786" s="3"/>
      <c r="B786" s="14"/>
      <c r="C786" s="14"/>
      <c r="D786" s="14"/>
      <c r="E786" s="14"/>
      <c r="K786" s="14"/>
      <c r="M786" s="14"/>
      <c r="N786" s="14"/>
      <c r="Z786" s="11"/>
      <c r="AM786" s="17"/>
      <c r="AX786" s="15"/>
      <c r="AY786" s="15"/>
      <c r="AZ786" s="15"/>
    </row>
    <row r="787" spans="1:52" ht="12" customHeight="1" x14ac:dyDescent="0.25">
      <c r="A787" s="3"/>
      <c r="B787" s="14"/>
      <c r="C787" s="14"/>
      <c r="D787" s="14"/>
      <c r="E787" s="14"/>
      <c r="K787" s="14"/>
      <c r="M787" s="14"/>
      <c r="N787" s="14"/>
      <c r="Z787" s="11"/>
      <c r="AM787" s="17"/>
      <c r="AX787" s="15"/>
      <c r="AY787" s="15"/>
      <c r="AZ787" s="15"/>
    </row>
    <row r="788" spans="1:52" ht="12" customHeight="1" x14ac:dyDescent="0.25">
      <c r="A788" s="3"/>
      <c r="B788" s="14"/>
      <c r="C788" s="14"/>
      <c r="D788" s="14"/>
      <c r="E788" s="14"/>
      <c r="K788" s="14"/>
      <c r="M788" s="14"/>
      <c r="N788" s="14"/>
      <c r="Z788" s="11"/>
      <c r="AM788" s="17"/>
      <c r="AX788" s="15"/>
      <c r="AY788" s="15"/>
      <c r="AZ788" s="15"/>
    </row>
    <row r="789" spans="1:52" ht="12" customHeight="1" x14ac:dyDescent="0.25">
      <c r="A789" s="3"/>
      <c r="B789" s="14"/>
      <c r="C789" s="14"/>
      <c r="D789" s="14"/>
      <c r="E789" s="14"/>
      <c r="K789" s="14"/>
      <c r="M789" s="14"/>
      <c r="N789" s="14"/>
      <c r="Z789" s="11"/>
      <c r="AM789" s="17"/>
      <c r="AX789" s="15"/>
      <c r="AY789" s="15"/>
      <c r="AZ789" s="15"/>
    </row>
    <row r="790" spans="1:52" ht="12" customHeight="1" x14ac:dyDescent="0.25">
      <c r="A790" s="3"/>
      <c r="B790" s="14"/>
      <c r="C790" s="14"/>
      <c r="D790" s="14"/>
      <c r="E790" s="14"/>
      <c r="K790" s="14"/>
      <c r="M790" s="14"/>
      <c r="N790" s="14"/>
      <c r="Z790" s="11"/>
      <c r="AM790" s="17"/>
      <c r="AX790" s="15"/>
      <c r="AY790" s="15"/>
      <c r="AZ790" s="15"/>
    </row>
    <row r="791" spans="1:52" ht="12" customHeight="1" x14ac:dyDescent="0.25">
      <c r="A791" s="3"/>
      <c r="B791" s="14"/>
      <c r="C791" s="14"/>
      <c r="D791" s="14"/>
      <c r="E791" s="14"/>
      <c r="K791" s="14"/>
      <c r="M791" s="14"/>
      <c r="N791" s="14"/>
      <c r="Z791" s="11"/>
      <c r="AM791" s="17"/>
      <c r="AX791" s="15"/>
      <c r="AY791" s="15"/>
      <c r="AZ791" s="15"/>
    </row>
    <row r="792" spans="1:52" ht="12" customHeight="1" x14ac:dyDescent="0.25">
      <c r="A792" s="3"/>
      <c r="B792" s="14"/>
      <c r="C792" s="14"/>
      <c r="D792" s="14"/>
      <c r="E792" s="14"/>
      <c r="K792" s="14"/>
      <c r="M792" s="14"/>
      <c r="N792" s="14"/>
      <c r="Z792" s="11"/>
      <c r="AM792" s="17"/>
      <c r="AX792" s="15"/>
      <c r="AY792" s="15"/>
      <c r="AZ792" s="15"/>
    </row>
    <row r="793" spans="1:52" ht="12" customHeight="1" x14ac:dyDescent="0.25">
      <c r="A793" s="3"/>
      <c r="B793" s="14"/>
      <c r="C793" s="14"/>
      <c r="D793" s="14"/>
      <c r="E793" s="14"/>
      <c r="K793" s="14"/>
      <c r="M793" s="14"/>
      <c r="N793" s="14"/>
      <c r="Z793" s="11"/>
      <c r="AM793" s="17"/>
      <c r="AX793" s="15"/>
      <c r="AY793" s="15"/>
      <c r="AZ793" s="15"/>
    </row>
    <row r="794" spans="1:52" ht="12" customHeight="1" x14ac:dyDescent="0.25">
      <c r="A794" s="3"/>
      <c r="B794" s="14"/>
      <c r="C794" s="14"/>
      <c r="D794" s="14"/>
      <c r="E794" s="14"/>
      <c r="K794" s="14"/>
      <c r="M794" s="14"/>
      <c r="N794" s="14"/>
      <c r="Z794" s="11"/>
      <c r="AM794" s="17"/>
      <c r="AX794" s="15"/>
      <c r="AY794" s="15"/>
      <c r="AZ794" s="15"/>
    </row>
    <row r="795" spans="1:52" ht="12" customHeight="1" x14ac:dyDescent="0.25">
      <c r="A795" s="3"/>
      <c r="B795" s="14"/>
      <c r="C795" s="14"/>
      <c r="D795" s="14"/>
      <c r="E795" s="14"/>
      <c r="K795" s="14"/>
      <c r="M795" s="14"/>
      <c r="N795" s="14"/>
      <c r="Z795" s="11"/>
      <c r="AM795" s="17"/>
      <c r="AX795" s="15"/>
      <c r="AY795" s="15"/>
      <c r="AZ795" s="15"/>
    </row>
    <row r="796" spans="1:52" ht="12" customHeight="1" x14ac:dyDescent="0.25">
      <c r="A796" s="3"/>
      <c r="B796" s="14"/>
      <c r="C796" s="14"/>
      <c r="D796" s="14"/>
      <c r="E796" s="14"/>
      <c r="K796" s="14"/>
      <c r="M796" s="14"/>
      <c r="N796" s="14"/>
      <c r="Z796" s="11"/>
      <c r="AM796" s="17"/>
      <c r="AX796" s="15"/>
      <c r="AY796" s="15"/>
      <c r="AZ796" s="15"/>
    </row>
    <row r="797" spans="1:52" ht="12" customHeight="1" x14ac:dyDescent="0.25">
      <c r="A797" s="3"/>
      <c r="B797" s="14"/>
      <c r="C797" s="14"/>
      <c r="D797" s="14"/>
      <c r="E797" s="14"/>
      <c r="K797" s="14"/>
      <c r="M797" s="14"/>
      <c r="N797" s="14"/>
      <c r="Z797" s="11"/>
      <c r="AM797" s="17"/>
      <c r="AX797" s="15"/>
      <c r="AY797" s="15"/>
      <c r="AZ797" s="15"/>
    </row>
    <row r="798" spans="1:52" ht="12" customHeight="1" x14ac:dyDescent="0.25">
      <c r="A798" s="3"/>
      <c r="B798" s="14"/>
      <c r="C798" s="14"/>
      <c r="D798" s="14"/>
      <c r="E798" s="14"/>
      <c r="K798" s="14"/>
      <c r="M798" s="14"/>
      <c r="N798" s="14"/>
      <c r="Z798" s="11"/>
      <c r="AM798" s="17"/>
      <c r="AX798" s="15"/>
      <c r="AY798" s="15"/>
      <c r="AZ798" s="15"/>
    </row>
    <row r="799" spans="1:52" ht="12" customHeight="1" x14ac:dyDescent="0.25">
      <c r="A799" s="3"/>
      <c r="B799" s="14"/>
      <c r="C799" s="14"/>
      <c r="D799" s="14"/>
      <c r="E799" s="14"/>
      <c r="K799" s="14"/>
      <c r="M799" s="14"/>
      <c r="N799" s="14"/>
      <c r="Z799" s="11"/>
      <c r="AM799" s="17"/>
      <c r="AX799" s="15"/>
      <c r="AY799" s="15"/>
      <c r="AZ799" s="15"/>
    </row>
    <row r="800" spans="1:52" ht="12" customHeight="1" x14ac:dyDescent="0.25">
      <c r="A800" s="3"/>
      <c r="B800" s="14"/>
      <c r="C800" s="14"/>
      <c r="D800" s="14"/>
      <c r="E800" s="14"/>
      <c r="K800" s="14"/>
      <c r="M800" s="14"/>
      <c r="N800" s="14"/>
      <c r="Z800" s="11"/>
      <c r="AM800" s="17"/>
      <c r="AX800" s="15"/>
      <c r="AY800" s="15"/>
      <c r="AZ800" s="15"/>
    </row>
    <row r="801" spans="1:52" ht="12" customHeight="1" x14ac:dyDescent="0.25">
      <c r="A801" s="3"/>
      <c r="B801" s="14"/>
      <c r="C801" s="14"/>
      <c r="D801" s="14"/>
      <c r="E801" s="14"/>
      <c r="K801" s="14"/>
      <c r="M801" s="14"/>
      <c r="N801" s="14"/>
      <c r="Z801" s="11"/>
      <c r="AM801" s="17"/>
      <c r="AX801" s="15"/>
      <c r="AY801" s="15"/>
      <c r="AZ801" s="15"/>
    </row>
    <row r="802" spans="1:52" ht="12" customHeight="1" x14ac:dyDescent="0.25">
      <c r="A802" s="3"/>
      <c r="B802" s="14"/>
      <c r="C802" s="14"/>
      <c r="D802" s="14"/>
      <c r="E802" s="14"/>
      <c r="K802" s="14"/>
      <c r="M802" s="14"/>
      <c r="N802" s="14"/>
      <c r="Z802" s="11"/>
      <c r="AM802" s="17"/>
      <c r="AX802" s="15"/>
      <c r="AY802" s="15"/>
      <c r="AZ802" s="15"/>
    </row>
    <row r="803" spans="1:52" ht="12" customHeight="1" x14ac:dyDescent="0.25">
      <c r="A803" s="3"/>
      <c r="B803" s="14"/>
      <c r="C803" s="14"/>
      <c r="D803" s="14"/>
      <c r="E803" s="14"/>
      <c r="K803" s="14"/>
      <c r="M803" s="14"/>
      <c r="N803" s="14"/>
      <c r="Z803" s="11"/>
      <c r="AM803" s="17"/>
      <c r="AX803" s="15"/>
      <c r="AY803" s="15"/>
      <c r="AZ803" s="15"/>
    </row>
    <row r="804" spans="1:52" ht="12" customHeight="1" x14ac:dyDescent="0.25">
      <c r="A804" s="3"/>
      <c r="B804" s="14"/>
      <c r="C804" s="14"/>
      <c r="D804" s="14"/>
      <c r="E804" s="14"/>
      <c r="K804" s="14"/>
      <c r="M804" s="14"/>
      <c r="N804" s="14"/>
      <c r="Z804" s="11"/>
      <c r="AM804" s="17"/>
      <c r="AX804" s="15"/>
      <c r="AY804" s="15"/>
      <c r="AZ804" s="15"/>
    </row>
    <row r="805" spans="1:52" ht="12" customHeight="1" x14ac:dyDescent="0.25">
      <c r="A805" s="3"/>
      <c r="B805" s="14"/>
      <c r="C805" s="14"/>
      <c r="D805" s="14"/>
      <c r="E805" s="14"/>
      <c r="K805" s="14"/>
      <c r="M805" s="14"/>
      <c r="N805" s="14"/>
      <c r="Z805" s="11"/>
      <c r="AM805" s="17"/>
      <c r="AX805" s="15"/>
      <c r="AY805" s="15"/>
      <c r="AZ805" s="15"/>
    </row>
    <row r="806" spans="1:52" ht="12" customHeight="1" x14ac:dyDescent="0.25">
      <c r="A806" s="3"/>
      <c r="B806" s="14"/>
      <c r="C806" s="14"/>
      <c r="D806" s="14"/>
      <c r="E806" s="14"/>
      <c r="K806" s="14"/>
      <c r="M806" s="14"/>
      <c r="N806" s="14"/>
      <c r="Z806" s="11"/>
      <c r="AM806" s="17"/>
      <c r="AX806" s="15"/>
      <c r="AY806" s="15"/>
      <c r="AZ806" s="15"/>
    </row>
    <row r="807" spans="1:52" ht="12" customHeight="1" x14ac:dyDescent="0.25">
      <c r="A807" s="3"/>
      <c r="B807" s="14"/>
      <c r="C807" s="14"/>
      <c r="D807" s="14"/>
      <c r="E807" s="14"/>
      <c r="K807" s="14"/>
      <c r="M807" s="14"/>
      <c r="N807" s="14"/>
      <c r="Z807" s="11"/>
      <c r="AM807" s="17"/>
      <c r="AX807" s="15"/>
      <c r="AY807" s="15"/>
      <c r="AZ807" s="15"/>
    </row>
    <row r="808" spans="1:52" ht="12" customHeight="1" x14ac:dyDescent="0.25">
      <c r="A808" s="3"/>
      <c r="B808" s="14"/>
      <c r="C808" s="14"/>
      <c r="D808" s="14"/>
      <c r="E808" s="14"/>
      <c r="K808" s="14"/>
      <c r="M808" s="14"/>
      <c r="N808" s="14"/>
      <c r="Z808" s="11"/>
      <c r="AM808" s="17"/>
      <c r="AX808" s="15"/>
      <c r="AY808" s="15"/>
      <c r="AZ808" s="15"/>
    </row>
    <row r="809" spans="1:52" ht="12" customHeight="1" x14ac:dyDescent="0.25">
      <c r="A809" s="3"/>
      <c r="B809" s="14"/>
      <c r="C809" s="14"/>
      <c r="D809" s="14"/>
      <c r="E809" s="14"/>
      <c r="K809" s="14"/>
      <c r="M809" s="14"/>
      <c r="N809" s="14"/>
      <c r="Z809" s="11"/>
      <c r="AM809" s="17"/>
      <c r="AX809" s="15"/>
      <c r="AY809" s="15"/>
      <c r="AZ809" s="15"/>
    </row>
    <row r="810" spans="1:52" ht="12" customHeight="1" x14ac:dyDescent="0.25">
      <c r="A810" s="3"/>
      <c r="B810" s="14"/>
      <c r="C810" s="14"/>
      <c r="D810" s="14"/>
      <c r="E810" s="14"/>
      <c r="K810" s="14"/>
      <c r="M810" s="14"/>
      <c r="N810" s="14"/>
      <c r="Z810" s="11"/>
      <c r="AM810" s="17"/>
      <c r="AX810" s="15"/>
      <c r="AY810" s="15"/>
      <c r="AZ810" s="15"/>
    </row>
    <row r="811" spans="1:52" ht="12" customHeight="1" x14ac:dyDescent="0.25">
      <c r="A811" s="3"/>
      <c r="B811" s="14"/>
      <c r="C811" s="14"/>
      <c r="D811" s="14"/>
      <c r="E811" s="14"/>
      <c r="K811" s="14"/>
      <c r="M811" s="14"/>
      <c r="N811" s="14"/>
      <c r="Z811" s="11"/>
      <c r="AM811" s="17"/>
      <c r="AX811" s="15"/>
      <c r="AY811" s="15"/>
      <c r="AZ811" s="15"/>
    </row>
    <row r="812" spans="1:52" ht="12" customHeight="1" x14ac:dyDescent="0.25">
      <c r="A812" s="3"/>
      <c r="B812" s="14"/>
      <c r="C812" s="14"/>
      <c r="D812" s="14"/>
      <c r="E812" s="14"/>
      <c r="K812" s="14"/>
      <c r="M812" s="14"/>
      <c r="N812" s="14"/>
      <c r="Z812" s="11"/>
      <c r="AM812" s="17"/>
      <c r="AX812" s="15"/>
      <c r="AY812" s="15"/>
      <c r="AZ812" s="15"/>
    </row>
    <row r="813" spans="1:52" ht="12" customHeight="1" x14ac:dyDescent="0.25">
      <c r="A813" s="3"/>
      <c r="B813" s="14"/>
      <c r="C813" s="14"/>
      <c r="D813" s="14"/>
      <c r="E813" s="14"/>
      <c r="K813" s="14"/>
      <c r="M813" s="14"/>
      <c r="N813" s="14"/>
      <c r="Z813" s="11"/>
      <c r="AM813" s="17"/>
      <c r="AX813" s="15"/>
      <c r="AY813" s="15"/>
      <c r="AZ813" s="15"/>
    </row>
    <row r="814" spans="1:52" ht="12" customHeight="1" x14ac:dyDescent="0.25">
      <c r="A814" s="3"/>
      <c r="B814" s="14"/>
      <c r="C814" s="14"/>
      <c r="D814" s="14"/>
      <c r="E814" s="14"/>
      <c r="K814" s="14"/>
      <c r="M814" s="14"/>
      <c r="N814" s="14"/>
      <c r="Z814" s="11"/>
      <c r="AM814" s="17"/>
      <c r="AX814" s="15"/>
      <c r="AY814" s="15"/>
      <c r="AZ814" s="15"/>
    </row>
    <row r="815" spans="1:52" ht="12" customHeight="1" x14ac:dyDescent="0.25">
      <c r="A815" s="3"/>
      <c r="B815" s="14"/>
      <c r="C815" s="14"/>
      <c r="D815" s="14"/>
      <c r="E815" s="14"/>
      <c r="K815" s="14"/>
      <c r="M815" s="14"/>
      <c r="N815" s="14"/>
      <c r="Z815" s="11"/>
      <c r="AM815" s="17"/>
      <c r="AX815" s="15"/>
      <c r="AY815" s="15"/>
      <c r="AZ815" s="15"/>
    </row>
    <row r="816" spans="1:52" ht="12" customHeight="1" x14ac:dyDescent="0.25">
      <c r="A816" s="3"/>
      <c r="B816" s="14"/>
      <c r="C816" s="14"/>
      <c r="D816" s="14"/>
      <c r="E816" s="14"/>
      <c r="K816" s="14"/>
      <c r="M816" s="14"/>
      <c r="N816" s="14"/>
      <c r="Z816" s="11"/>
      <c r="AM816" s="17"/>
      <c r="AX816" s="15"/>
      <c r="AY816" s="15"/>
      <c r="AZ816" s="15"/>
    </row>
    <row r="817" spans="1:52" ht="12" customHeight="1" x14ac:dyDescent="0.25">
      <c r="A817" s="3"/>
      <c r="B817" s="14"/>
      <c r="C817" s="14"/>
      <c r="D817" s="14"/>
      <c r="E817" s="14"/>
      <c r="K817" s="14"/>
      <c r="M817" s="14"/>
      <c r="N817" s="14"/>
      <c r="Z817" s="11"/>
      <c r="AM817" s="17"/>
      <c r="AX817" s="15"/>
      <c r="AY817" s="15"/>
      <c r="AZ817" s="15"/>
    </row>
    <row r="818" spans="1:52" ht="12" customHeight="1" x14ac:dyDescent="0.25">
      <c r="A818" s="3"/>
      <c r="B818" s="14"/>
      <c r="C818" s="14"/>
      <c r="D818" s="14"/>
      <c r="E818" s="14"/>
      <c r="K818" s="14"/>
      <c r="M818" s="14"/>
      <c r="N818" s="14"/>
      <c r="Z818" s="11"/>
      <c r="AM818" s="17"/>
      <c r="AX818" s="15"/>
      <c r="AY818" s="15"/>
      <c r="AZ818" s="15"/>
    </row>
    <row r="819" spans="1:52" ht="12" customHeight="1" x14ac:dyDescent="0.25">
      <c r="A819" s="3"/>
      <c r="B819" s="14"/>
      <c r="C819" s="14"/>
      <c r="D819" s="14"/>
      <c r="E819" s="14"/>
      <c r="K819" s="14"/>
      <c r="M819" s="14"/>
      <c r="N819" s="14"/>
      <c r="Z819" s="11"/>
      <c r="AM819" s="17"/>
      <c r="AX819" s="15"/>
      <c r="AY819" s="15"/>
      <c r="AZ819" s="15"/>
    </row>
    <row r="820" spans="1:52" ht="12" customHeight="1" x14ac:dyDescent="0.25">
      <c r="A820" s="3"/>
      <c r="B820" s="14"/>
      <c r="C820" s="14"/>
      <c r="D820" s="14"/>
      <c r="E820" s="14"/>
      <c r="K820" s="14"/>
      <c r="M820" s="14"/>
      <c r="N820" s="14"/>
      <c r="Z820" s="11"/>
      <c r="AM820" s="17"/>
      <c r="AX820" s="15"/>
      <c r="AY820" s="15"/>
      <c r="AZ820" s="15"/>
    </row>
    <row r="821" spans="1:52" ht="12" customHeight="1" x14ac:dyDescent="0.25">
      <c r="A821" s="3"/>
      <c r="B821" s="14"/>
      <c r="C821" s="14"/>
      <c r="D821" s="14"/>
      <c r="E821" s="14"/>
      <c r="K821" s="14"/>
      <c r="M821" s="14"/>
      <c r="N821" s="14"/>
      <c r="Z821" s="11"/>
      <c r="AM821" s="17"/>
      <c r="AX821" s="15"/>
      <c r="AY821" s="15"/>
      <c r="AZ821" s="15"/>
    </row>
    <row r="822" spans="1:52" ht="12" customHeight="1" x14ac:dyDescent="0.25">
      <c r="A822" s="3"/>
      <c r="B822" s="14"/>
      <c r="C822" s="14"/>
      <c r="D822" s="14"/>
      <c r="E822" s="14"/>
      <c r="K822" s="14"/>
      <c r="M822" s="14"/>
      <c r="N822" s="14"/>
      <c r="Z822" s="11"/>
      <c r="AM822" s="17"/>
      <c r="AX822" s="15"/>
      <c r="AY822" s="15"/>
      <c r="AZ822" s="15"/>
    </row>
    <row r="823" spans="1:52" ht="12" customHeight="1" x14ac:dyDescent="0.25">
      <c r="A823" s="3"/>
      <c r="B823" s="14"/>
      <c r="C823" s="14"/>
      <c r="D823" s="14"/>
      <c r="E823" s="14"/>
      <c r="K823" s="14"/>
      <c r="M823" s="14"/>
      <c r="N823" s="14"/>
      <c r="Z823" s="11"/>
      <c r="AM823" s="17"/>
      <c r="AX823" s="15"/>
      <c r="AY823" s="15"/>
      <c r="AZ823" s="15"/>
    </row>
    <row r="824" spans="1:52" ht="12" customHeight="1" x14ac:dyDescent="0.25">
      <c r="A824" s="3"/>
      <c r="B824" s="14"/>
      <c r="C824" s="14"/>
      <c r="D824" s="14"/>
      <c r="E824" s="14"/>
      <c r="K824" s="14"/>
      <c r="M824" s="14"/>
      <c r="N824" s="14"/>
      <c r="Z824" s="11"/>
      <c r="AM824" s="17"/>
      <c r="AX824" s="15"/>
      <c r="AY824" s="15"/>
      <c r="AZ824" s="15"/>
    </row>
    <row r="825" spans="1:52" ht="12" customHeight="1" x14ac:dyDescent="0.25">
      <c r="A825" s="3"/>
      <c r="B825" s="14"/>
      <c r="C825" s="14"/>
      <c r="D825" s="14"/>
      <c r="E825" s="14"/>
      <c r="K825" s="14"/>
      <c r="M825" s="14"/>
      <c r="N825" s="14"/>
      <c r="Z825" s="11"/>
      <c r="AM825" s="17"/>
      <c r="AX825" s="15"/>
      <c r="AY825" s="15"/>
      <c r="AZ825" s="15"/>
    </row>
    <row r="826" spans="1:52" ht="12" customHeight="1" x14ac:dyDescent="0.25">
      <c r="A826" s="3"/>
      <c r="B826" s="14"/>
      <c r="C826" s="14"/>
      <c r="D826" s="14"/>
      <c r="E826" s="14"/>
      <c r="K826" s="14"/>
      <c r="M826" s="14"/>
      <c r="N826" s="14"/>
      <c r="Z826" s="11"/>
      <c r="AM826" s="17"/>
      <c r="AX826" s="15"/>
      <c r="AY826" s="15"/>
      <c r="AZ826" s="15"/>
    </row>
    <row r="827" spans="1:52" ht="12" customHeight="1" x14ac:dyDescent="0.25">
      <c r="A827" s="3"/>
      <c r="B827" s="14"/>
      <c r="C827" s="14"/>
      <c r="D827" s="14"/>
      <c r="E827" s="14"/>
      <c r="K827" s="14"/>
      <c r="M827" s="14"/>
      <c r="N827" s="14"/>
      <c r="Z827" s="11"/>
      <c r="AM827" s="17"/>
      <c r="AX827" s="15"/>
      <c r="AY827" s="15"/>
      <c r="AZ827" s="15"/>
    </row>
    <row r="828" spans="1:52" ht="12" customHeight="1" x14ac:dyDescent="0.25">
      <c r="A828" s="3"/>
      <c r="B828" s="14"/>
      <c r="C828" s="14"/>
      <c r="D828" s="14"/>
      <c r="E828" s="14"/>
      <c r="K828" s="14"/>
      <c r="M828" s="14"/>
      <c r="N828" s="14"/>
      <c r="Z828" s="11"/>
      <c r="AM828" s="17"/>
      <c r="AX828" s="15"/>
      <c r="AY828" s="15"/>
      <c r="AZ828" s="15"/>
    </row>
    <row r="829" spans="1:52" ht="12" customHeight="1" x14ac:dyDescent="0.25">
      <c r="A829" s="3"/>
      <c r="B829" s="14"/>
      <c r="C829" s="14"/>
      <c r="D829" s="14"/>
      <c r="E829" s="14"/>
      <c r="K829" s="14"/>
      <c r="M829" s="14"/>
      <c r="N829" s="14"/>
      <c r="Z829" s="11"/>
      <c r="AM829" s="17"/>
      <c r="AX829" s="15"/>
      <c r="AY829" s="15"/>
      <c r="AZ829" s="15"/>
    </row>
    <row r="830" spans="1:52" ht="12" customHeight="1" x14ac:dyDescent="0.25">
      <c r="A830" s="3"/>
      <c r="B830" s="14"/>
      <c r="C830" s="14"/>
      <c r="D830" s="14"/>
      <c r="E830" s="14"/>
      <c r="K830" s="14"/>
      <c r="M830" s="14"/>
      <c r="N830" s="14"/>
      <c r="Z830" s="11"/>
      <c r="AM830" s="17"/>
      <c r="AX830" s="15"/>
      <c r="AY830" s="15"/>
      <c r="AZ830" s="15"/>
    </row>
    <row r="831" spans="1:52" ht="12" customHeight="1" x14ac:dyDescent="0.25">
      <c r="A831" s="3"/>
      <c r="B831" s="14"/>
      <c r="C831" s="14"/>
      <c r="D831" s="14"/>
      <c r="E831" s="14"/>
      <c r="K831" s="14"/>
      <c r="M831" s="14"/>
      <c r="N831" s="14"/>
      <c r="Z831" s="11"/>
      <c r="AM831" s="17"/>
      <c r="AX831" s="15"/>
      <c r="AY831" s="15"/>
      <c r="AZ831" s="15"/>
    </row>
    <row r="832" spans="1:52" ht="12" customHeight="1" x14ac:dyDescent="0.25">
      <c r="A832" s="3"/>
      <c r="B832" s="14"/>
      <c r="C832" s="14"/>
      <c r="D832" s="14"/>
      <c r="E832" s="14"/>
      <c r="K832" s="14"/>
      <c r="M832" s="14"/>
      <c r="N832" s="14"/>
      <c r="Z832" s="11"/>
      <c r="AM832" s="17"/>
      <c r="AX832" s="15"/>
      <c r="AY832" s="15"/>
      <c r="AZ832" s="15"/>
    </row>
    <row r="833" spans="1:52" ht="12" customHeight="1" x14ac:dyDescent="0.25">
      <c r="A833" s="3"/>
      <c r="B833" s="14"/>
      <c r="C833" s="14"/>
      <c r="D833" s="14"/>
      <c r="E833" s="14"/>
      <c r="K833" s="14"/>
      <c r="M833" s="14"/>
      <c r="N833" s="14"/>
      <c r="Z833" s="11"/>
      <c r="AM833" s="17"/>
      <c r="AX833" s="15"/>
      <c r="AY833" s="15"/>
      <c r="AZ833" s="15"/>
    </row>
    <row r="834" spans="1:52" ht="12" customHeight="1" x14ac:dyDescent="0.25">
      <c r="A834" s="3"/>
      <c r="B834" s="14"/>
      <c r="C834" s="14"/>
      <c r="D834" s="14"/>
      <c r="E834" s="14"/>
      <c r="K834" s="14"/>
      <c r="M834" s="14"/>
      <c r="N834" s="14"/>
      <c r="Z834" s="11"/>
      <c r="AM834" s="17"/>
      <c r="AX834" s="15"/>
      <c r="AY834" s="15"/>
      <c r="AZ834" s="15"/>
    </row>
    <row r="835" spans="1:52" ht="12" customHeight="1" x14ac:dyDescent="0.25">
      <c r="A835" s="3"/>
      <c r="B835" s="14"/>
      <c r="C835" s="14"/>
      <c r="D835" s="14"/>
      <c r="E835" s="14"/>
      <c r="K835" s="14"/>
      <c r="M835" s="14"/>
      <c r="N835" s="14"/>
      <c r="Z835" s="11"/>
      <c r="AM835" s="17"/>
      <c r="AX835" s="15"/>
      <c r="AY835" s="15"/>
      <c r="AZ835" s="15"/>
    </row>
    <row r="836" spans="1:52" ht="12" customHeight="1" x14ac:dyDescent="0.25">
      <c r="A836" s="3"/>
      <c r="B836" s="14"/>
      <c r="C836" s="14"/>
      <c r="D836" s="14"/>
      <c r="E836" s="14"/>
      <c r="K836" s="14"/>
      <c r="M836" s="14"/>
      <c r="N836" s="14"/>
      <c r="Z836" s="11"/>
      <c r="AM836" s="17"/>
      <c r="AX836" s="15"/>
      <c r="AY836" s="15"/>
      <c r="AZ836" s="15"/>
    </row>
    <row r="837" spans="1:52" ht="12" customHeight="1" x14ac:dyDescent="0.25">
      <c r="A837" s="3"/>
      <c r="B837" s="14"/>
      <c r="C837" s="14"/>
      <c r="D837" s="14"/>
      <c r="E837" s="14"/>
      <c r="K837" s="14"/>
      <c r="M837" s="14"/>
      <c r="N837" s="14"/>
      <c r="Z837" s="11"/>
      <c r="AM837" s="17"/>
      <c r="AX837" s="15"/>
      <c r="AY837" s="15"/>
      <c r="AZ837" s="15"/>
    </row>
    <row r="838" spans="1:52" ht="12" customHeight="1" x14ac:dyDescent="0.25">
      <c r="A838" s="3"/>
      <c r="B838" s="14"/>
      <c r="C838" s="14"/>
      <c r="D838" s="14"/>
      <c r="E838" s="14"/>
      <c r="K838" s="14"/>
      <c r="M838" s="14"/>
      <c r="N838" s="14"/>
      <c r="Z838" s="11"/>
      <c r="AM838" s="17"/>
      <c r="AX838" s="15"/>
      <c r="AY838" s="15"/>
      <c r="AZ838" s="15"/>
    </row>
    <row r="839" spans="1:52" ht="12" customHeight="1" x14ac:dyDescent="0.25">
      <c r="A839" s="3"/>
      <c r="B839" s="14"/>
      <c r="C839" s="14"/>
      <c r="D839" s="14"/>
      <c r="E839" s="14"/>
      <c r="K839" s="14"/>
      <c r="M839" s="14"/>
      <c r="N839" s="14"/>
      <c r="Z839" s="11"/>
      <c r="AM839" s="17"/>
      <c r="AX839" s="15"/>
      <c r="AY839" s="15"/>
      <c r="AZ839" s="15"/>
    </row>
    <row r="840" spans="1:52" ht="12" customHeight="1" x14ac:dyDescent="0.25">
      <c r="A840" s="3"/>
      <c r="B840" s="14"/>
      <c r="C840" s="14"/>
      <c r="D840" s="14"/>
      <c r="E840" s="14"/>
      <c r="K840" s="14"/>
      <c r="M840" s="14"/>
      <c r="N840" s="14"/>
      <c r="Z840" s="11"/>
      <c r="AM840" s="17"/>
      <c r="AX840" s="15"/>
      <c r="AY840" s="15"/>
      <c r="AZ840" s="15"/>
    </row>
    <row r="841" spans="1:52" ht="12" customHeight="1" x14ac:dyDescent="0.25">
      <c r="A841" s="3"/>
      <c r="B841" s="14"/>
      <c r="C841" s="14"/>
      <c r="D841" s="14"/>
      <c r="E841" s="14"/>
      <c r="K841" s="14"/>
      <c r="M841" s="14"/>
      <c r="N841" s="14"/>
      <c r="Z841" s="11"/>
      <c r="AM841" s="17"/>
      <c r="AX841" s="15"/>
      <c r="AY841" s="15"/>
      <c r="AZ841" s="15"/>
    </row>
    <row r="842" spans="1:52" ht="12" customHeight="1" x14ac:dyDescent="0.25">
      <c r="A842" s="3"/>
      <c r="B842" s="14"/>
      <c r="C842" s="14"/>
      <c r="D842" s="14"/>
      <c r="E842" s="14"/>
      <c r="K842" s="14"/>
      <c r="M842" s="14"/>
      <c r="N842" s="14"/>
      <c r="Z842" s="11"/>
      <c r="AM842" s="17"/>
      <c r="AX842" s="15"/>
      <c r="AY842" s="15"/>
      <c r="AZ842" s="15"/>
    </row>
    <row r="843" spans="1:52" ht="12" customHeight="1" x14ac:dyDescent="0.25">
      <c r="A843" s="3"/>
      <c r="B843" s="14"/>
      <c r="C843" s="14"/>
      <c r="D843" s="14"/>
      <c r="E843" s="14"/>
      <c r="K843" s="14"/>
      <c r="M843" s="14"/>
      <c r="N843" s="14"/>
      <c r="Z843" s="11"/>
      <c r="AM843" s="17"/>
      <c r="AX843" s="15"/>
      <c r="AY843" s="15"/>
      <c r="AZ843" s="15"/>
    </row>
    <row r="844" spans="1:52" ht="12" customHeight="1" x14ac:dyDescent="0.25">
      <c r="A844" s="3"/>
      <c r="B844" s="14"/>
      <c r="C844" s="14"/>
      <c r="D844" s="14"/>
      <c r="E844" s="14"/>
      <c r="K844" s="14"/>
      <c r="M844" s="14"/>
      <c r="N844" s="14"/>
      <c r="Z844" s="11"/>
      <c r="AM844" s="17"/>
      <c r="AX844" s="15"/>
      <c r="AY844" s="15"/>
      <c r="AZ844" s="15"/>
    </row>
    <row r="845" spans="1:52" ht="12" customHeight="1" x14ac:dyDescent="0.25">
      <c r="A845" s="3"/>
      <c r="B845" s="14"/>
      <c r="C845" s="14"/>
      <c r="D845" s="14"/>
      <c r="E845" s="14"/>
      <c r="K845" s="14"/>
      <c r="M845" s="14"/>
      <c r="N845" s="14"/>
      <c r="Z845" s="11"/>
      <c r="AM845" s="17"/>
      <c r="AX845" s="15"/>
      <c r="AY845" s="15"/>
      <c r="AZ845" s="15"/>
    </row>
    <row r="846" spans="1:52" ht="12" customHeight="1" x14ac:dyDescent="0.25">
      <c r="A846" s="3"/>
      <c r="B846" s="14"/>
      <c r="C846" s="14"/>
      <c r="D846" s="14"/>
      <c r="E846" s="14"/>
      <c r="K846" s="14"/>
      <c r="M846" s="14"/>
      <c r="N846" s="14"/>
      <c r="Z846" s="11"/>
      <c r="AM846" s="17"/>
      <c r="AX846" s="15"/>
      <c r="AY846" s="15"/>
      <c r="AZ846" s="15"/>
    </row>
    <row r="847" spans="1:52" ht="12" customHeight="1" x14ac:dyDescent="0.25">
      <c r="A847" s="3"/>
      <c r="B847" s="14"/>
      <c r="C847" s="14"/>
      <c r="D847" s="14"/>
      <c r="E847" s="14"/>
      <c r="K847" s="14"/>
      <c r="M847" s="14"/>
      <c r="N847" s="14"/>
      <c r="Z847" s="11"/>
      <c r="AM847" s="17"/>
      <c r="AX847" s="15"/>
      <c r="AY847" s="15"/>
      <c r="AZ847" s="15"/>
    </row>
    <row r="848" spans="1:52" ht="12" customHeight="1" x14ac:dyDescent="0.25">
      <c r="A848" s="3"/>
      <c r="B848" s="14"/>
      <c r="C848" s="14"/>
      <c r="D848" s="14"/>
      <c r="E848" s="14"/>
      <c r="K848" s="14"/>
      <c r="M848" s="14"/>
      <c r="N848" s="14"/>
      <c r="Z848" s="11"/>
      <c r="AM848" s="17"/>
      <c r="AX848" s="15"/>
      <c r="AY848" s="15"/>
      <c r="AZ848" s="15"/>
    </row>
    <row r="849" spans="1:52" ht="12" customHeight="1" x14ac:dyDescent="0.25">
      <c r="A849" s="3"/>
      <c r="B849" s="14"/>
      <c r="C849" s="14"/>
      <c r="D849" s="14"/>
      <c r="E849" s="14"/>
      <c r="K849" s="14"/>
      <c r="M849" s="14"/>
      <c r="N849" s="14"/>
      <c r="Z849" s="11"/>
      <c r="AM849" s="17"/>
      <c r="AX849" s="15"/>
      <c r="AY849" s="15"/>
      <c r="AZ849" s="15"/>
    </row>
    <row r="850" spans="1:52" ht="12" customHeight="1" x14ac:dyDescent="0.25">
      <c r="A850" s="3"/>
      <c r="B850" s="14"/>
      <c r="C850" s="14"/>
      <c r="D850" s="14"/>
      <c r="E850" s="14"/>
      <c r="K850" s="14"/>
      <c r="M850" s="14"/>
      <c r="N850" s="14"/>
      <c r="Z850" s="11"/>
      <c r="AM850" s="17"/>
      <c r="AX850" s="15"/>
      <c r="AY850" s="15"/>
      <c r="AZ850" s="15"/>
    </row>
    <row r="851" spans="1:52" ht="12" customHeight="1" x14ac:dyDescent="0.25">
      <c r="A851" s="3"/>
      <c r="B851" s="14"/>
      <c r="C851" s="14"/>
      <c r="D851" s="14"/>
      <c r="E851" s="14"/>
      <c r="K851" s="14"/>
      <c r="M851" s="14"/>
      <c r="N851" s="14"/>
      <c r="Z851" s="11"/>
      <c r="AM851" s="17"/>
      <c r="AX851" s="15"/>
      <c r="AY851" s="15"/>
      <c r="AZ851" s="15"/>
    </row>
    <row r="852" spans="1:52" ht="12" customHeight="1" x14ac:dyDescent="0.25">
      <c r="A852" s="3"/>
      <c r="B852" s="14"/>
      <c r="C852" s="14"/>
      <c r="D852" s="14"/>
      <c r="E852" s="14"/>
      <c r="K852" s="14"/>
      <c r="M852" s="14"/>
      <c r="N852" s="14"/>
      <c r="Z852" s="11"/>
      <c r="AM852" s="17"/>
      <c r="AX852" s="15"/>
      <c r="AY852" s="15"/>
      <c r="AZ852" s="15"/>
    </row>
    <row r="853" spans="1:52" ht="12" customHeight="1" x14ac:dyDescent="0.25">
      <c r="A853" s="3"/>
      <c r="B853" s="14"/>
      <c r="C853" s="14"/>
      <c r="D853" s="14"/>
      <c r="E853" s="14"/>
      <c r="K853" s="14"/>
      <c r="M853" s="14"/>
      <c r="N853" s="14"/>
      <c r="Z853" s="11"/>
      <c r="AM853" s="17"/>
      <c r="AX853" s="15"/>
      <c r="AY853" s="15"/>
      <c r="AZ853" s="15"/>
    </row>
    <row r="854" spans="1:52" ht="12" customHeight="1" x14ac:dyDescent="0.25">
      <c r="A854" s="3"/>
      <c r="B854" s="14"/>
      <c r="C854" s="14"/>
      <c r="D854" s="14"/>
      <c r="E854" s="14"/>
      <c r="K854" s="14"/>
      <c r="M854" s="14"/>
      <c r="N854" s="14"/>
      <c r="Z854" s="11"/>
      <c r="AM854" s="17"/>
      <c r="AX854" s="15"/>
      <c r="AY854" s="15"/>
      <c r="AZ854" s="15"/>
    </row>
    <row r="855" spans="1:52" ht="12" customHeight="1" x14ac:dyDescent="0.25">
      <c r="A855" s="3"/>
      <c r="B855" s="14"/>
      <c r="C855" s="14"/>
      <c r="D855" s="14"/>
      <c r="E855" s="14"/>
      <c r="K855" s="14"/>
      <c r="M855" s="14"/>
      <c r="N855" s="14"/>
      <c r="Z855" s="11"/>
      <c r="AM855" s="17"/>
      <c r="AX855" s="15"/>
      <c r="AY855" s="15"/>
      <c r="AZ855" s="15"/>
    </row>
    <row r="856" spans="1:52" ht="12" customHeight="1" x14ac:dyDescent="0.25">
      <c r="A856" s="3"/>
      <c r="B856" s="14"/>
      <c r="C856" s="14"/>
      <c r="D856" s="14"/>
      <c r="E856" s="14"/>
      <c r="K856" s="14"/>
      <c r="M856" s="14"/>
      <c r="N856" s="14"/>
      <c r="Z856" s="11"/>
      <c r="AM856" s="17"/>
      <c r="AX856" s="15"/>
      <c r="AY856" s="15"/>
      <c r="AZ856" s="15"/>
    </row>
    <row r="857" spans="1:52" ht="12" customHeight="1" x14ac:dyDescent="0.25">
      <c r="A857" s="3"/>
      <c r="B857" s="14"/>
      <c r="C857" s="14"/>
      <c r="D857" s="14"/>
      <c r="E857" s="14"/>
      <c r="K857" s="14"/>
      <c r="M857" s="14"/>
      <c r="N857" s="14"/>
      <c r="Z857" s="11"/>
      <c r="AM857" s="17"/>
      <c r="AX857" s="15"/>
      <c r="AY857" s="15"/>
      <c r="AZ857" s="15"/>
    </row>
    <row r="858" spans="1:52" ht="12" customHeight="1" x14ac:dyDescent="0.25">
      <c r="A858" s="3"/>
      <c r="B858" s="14"/>
      <c r="C858" s="14"/>
      <c r="D858" s="14"/>
      <c r="E858" s="14"/>
      <c r="K858" s="14"/>
      <c r="M858" s="14"/>
      <c r="N858" s="14"/>
      <c r="Z858" s="11"/>
      <c r="AM858" s="17"/>
      <c r="AX858" s="15"/>
      <c r="AY858" s="15"/>
      <c r="AZ858" s="15"/>
    </row>
    <row r="859" spans="1:52" ht="12" customHeight="1" x14ac:dyDescent="0.25">
      <c r="A859" s="3"/>
      <c r="B859" s="14"/>
      <c r="C859" s="14"/>
      <c r="D859" s="14"/>
      <c r="E859" s="14"/>
      <c r="K859" s="14"/>
      <c r="M859" s="14"/>
      <c r="N859" s="14"/>
      <c r="Z859" s="11"/>
      <c r="AM859" s="17"/>
      <c r="AX859" s="15"/>
      <c r="AY859" s="15"/>
      <c r="AZ859" s="15"/>
    </row>
    <row r="860" spans="1:52" ht="12" customHeight="1" x14ac:dyDescent="0.25">
      <c r="A860" s="3"/>
      <c r="B860" s="14"/>
      <c r="C860" s="14"/>
      <c r="D860" s="14"/>
      <c r="E860" s="14"/>
      <c r="K860" s="14"/>
      <c r="M860" s="14"/>
      <c r="N860" s="14"/>
      <c r="Z860" s="11"/>
      <c r="AM860" s="17"/>
      <c r="AX860" s="15"/>
      <c r="AY860" s="15"/>
      <c r="AZ860" s="15"/>
    </row>
    <row r="861" spans="1:52" ht="12" customHeight="1" x14ac:dyDescent="0.25">
      <c r="A861" s="3"/>
      <c r="B861" s="14"/>
      <c r="C861" s="14"/>
      <c r="D861" s="14"/>
      <c r="E861" s="14"/>
      <c r="K861" s="14"/>
      <c r="M861" s="14"/>
      <c r="N861" s="14"/>
      <c r="Z861" s="11"/>
      <c r="AM861" s="17"/>
      <c r="AX861" s="15"/>
      <c r="AY861" s="15"/>
      <c r="AZ861" s="15"/>
    </row>
    <row r="862" spans="1:52" ht="12" customHeight="1" x14ac:dyDescent="0.25">
      <c r="A862" s="3"/>
      <c r="B862" s="14"/>
      <c r="C862" s="14"/>
      <c r="D862" s="14"/>
      <c r="E862" s="14"/>
      <c r="K862" s="14"/>
      <c r="M862" s="14"/>
      <c r="N862" s="14"/>
      <c r="Z862" s="11"/>
      <c r="AM862" s="17"/>
      <c r="AX862" s="15"/>
      <c r="AY862" s="15"/>
      <c r="AZ862" s="15"/>
    </row>
    <row r="863" spans="1:52" ht="12" customHeight="1" x14ac:dyDescent="0.25">
      <c r="A863" s="3"/>
      <c r="B863" s="14"/>
      <c r="C863" s="14"/>
      <c r="D863" s="14"/>
      <c r="E863" s="14"/>
      <c r="K863" s="14"/>
      <c r="M863" s="14"/>
      <c r="N863" s="14"/>
      <c r="Z863" s="11"/>
      <c r="AM863" s="17"/>
      <c r="AX863" s="15"/>
      <c r="AY863" s="15"/>
      <c r="AZ863" s="15"/>
    </row>
    <row r="864" spans="1:52" ht="12" customHeight="1" x14ac:dyDescent="0.25">
      <c r="A864" s="3"/>
      <c r="B864" s="14"/>
      <c r="C864" s="14"/>
      <c r="D864" s="14"/>
      <c r="E864" s="14"/>
      <c r="K864" s="14"/>
      <c r="M864" s="14"/>
      <c r="N864" s="14"/>
      <c r="Z864" s="11"/>
      <c r="AM864" s="17"/>
      <c r="AX864" s="15"/>
      <c r="AY864" s="15"/>
      <c r="AZ864" s="15"/>
    </row>
    <row r="865" spans="1:52" ht="12" customHeight="1" x14ac:dyDescent="0.25">
      <c r="A865" s="3"/>
      <c r="B865" s="14"/>
      <c r="C865" s="14"/>
      <c r="D865" s="14"/>
      <c r="E865" s="14"/>
      <c r="K865" s="14"/>
      <c r="M865" s="14"/>
      <c r="N865" s="14"/>
      <c r="Z865" s="11"/>
      <c r="AM865" s="17"/>
      <c r="AX865" s="15"/>
      <c r="AY865" s="15"/>
      <c r="AZ865" s="15"/>
    </row>
    <row r="866" spans="1:52" ht="12" customHeight="1" x14ac:dyDescent="0.25">
      <c r="A866" s="3"/>
      <c r="B866" s="14"/>
      <c r="C866" s="14"/>
      <c r="D866" s="14"/>
      <c r="E866" s="14"/>
      <c r="K866" s="14"/>
      <c r="M866" s="14"/>
      <c r="N866" s="14"/>
      <c r="Z866" s="11"/>
      <c r="AM866" s="17"/>
      <c r="AX866" s="15"/>
      <c r="AY866" s="15"/>
      <c r="AZ866" s="15"/>
    </row>
    <row r="867" spans="1:52" ht="12" customHeight="1" x14ac:dyDescent="0.25">
      <c r="A867" s="3"/>
      <c r="B867" s="14"/>
      <c r="C867" s="14"/>
      <c r="D867" s="14"/>
      <c r="E867" s="14"/>
      <c r="K867" s="14"/>
      <c r="M867" s="14"/>
      <c r="N867" s="14"/>
      <c r="Z867" s="11"/>
      <c r="AM867" s="17"/>
      <c r="AX867" s="15"/>
      <c r="AY867" s="15"/>
      <c r="AZ867" s="15"/>
    </row>
    <row r="868" spans="1:52" ht="12" customHeight="1" x14ac:dyDescent="0.25">
      <c r="A868" s="3"/>
      <c r="B868" s="14"/>
      <c r="C868" s="14"/>
      <c r="D868" s="14"/>
      <c r="E868" s="14"/>
      <c r="K868" s="14"/>
      <c r="M868" s="14"/>
      <c r="N868" s="14"/>
      <c r="Z868" s="11"/>
      <c r="AM868" s="17"/>
      <c r="AX868" s="15"/>
      <c r="AY868" s="15"/>
      <c r="AZ868" s="15"/>
    </row>
    <row r="869" spans="1:52" ht="12" customHeight="1" x14ac:dyDescent="0.25">
      <c r="A869" s="3"/>
      <c r="B869" s="14"/>
      <c r="C869" s="14"/>
      <c r="D869" s="14"/>
      <c r="E869" s="14"/>
      <c r="K869" s="14"/>
      <c r="M869" s="14"/>
      <c r="N869" s="14"/>
      <c r="Z869" s="11"/>
      <c r="AM869" s="17"/>
      <c r="AX869" s="15"/>
      <c r="AY869" s="15"/>
      <c r="AZ869" s="15"/>
    </row>
    <row r="870" spans="1:52" ht="12" customHeight="1" x14ac:dyDescent="0.25">
      <c r="A870" s="3"/>
      <c r="B870" s="14"/>
      <c r="C870" s="14"/>
      <c r="D870" s="14"/>
      <c r="E870" s="14"/>
      <c r="K870" s="14"/>
      <c r="M870" s="14"/>
      <c r="N870" s="14"/>
      <c r="Z870" s="11"/>
      <c r="AM870" s="17"/>
      <c r="AX870" s="15"/>
      <c r="AY870" s="15"/>
      <c r="AZ870" s="15"/>
    </row>
    <row r="871" spans="1:52" ht="12" customHeight="1" x14ac:dyDescent="0.25">
      <c r="A871" s="3"/>
      <c r="B871" s="14"/>
      <c r="C871" s="14"/>
      <c r="D871" s="14"/>
      <c r="E871" s="14"/>
      <c r="K871" s="14"/>
      <c r="M871" s="14"/>
      <c r="N871" s="14"/>
      <c r="Z871" s="11"/>
      <c r="AM871" s="17"/>
      <c r="AX871" s="15"/>
      <c r="AY871" s="15"/>
      <c r="AZ871" s="15"/>
    </row>
    <row r="872" spans="1:52" ht="12" customHeight="1" x14ac:dyDescent="0.25">
      <c r="A872" s="3"/>
      <c r="B872" s="14"/>
      <c r="C872" s="14"/>
      <c r="D872" s="14"/>
      <c r="E872" s="14"/>
      <c r="K872" s="14"/>
      <c r="M872" s="14"/>
      <c r="N872" s="14"/>
      <c r="Z872" s="11"/>
      <c r="AM872" s="17"/>
      <c r="AX872" s="15"/>
      <c r="AY872" s="15"/>
      <c r="AZ872" s="15"/>
    </row>
    <row r="873" spans="1:52" ht="12" customHeight="1" x14ac:dyDescent="0.25">
      <c r="A873" s="3"/>
      <c r="B873" s="14"/>
      <c r="C873" s="14"/>
      <c r="D873" s="14"/>
      <c r="E873" s="14"/>
      <c r="K873" s="14"/>
      <c r="M873" s="14"/>
      <c r="N873" s="14"/>
      <c r="Z873" s="11"/>
      <c r="AM873" s="17"/>
      <c r="AX873" s="15"/>
      <c r="AY873" s="15"/>
      <c r="AZ873" s="15"/>
    </row>
    <row r="874" spans="1:52" ht="12" customHeight="1" x14ac:dyDescent="0.25">
      <c r="A874" s="3"/>
      <c r="B874" s="14"/>
      <c r="C874" s="14"/>
      <c r="D874" s="14"/>
      <c r="E874" s="14"/>
      <c r="K874" s="14"/>
      <c r="M874" s="14"/>
      <c r="N874" s="14"/>
      <c r="Z874" s="11"/>
      <c r="AM874" s="17"/>
      <c r="AX874" s="15"/>
      <c r="AY874" s="15"/>
      <c r="AZ874" s="15"/>
    </row>
    <row r="875" spans="1:52" ht="12" customHeight="1" x14ac:dyDescent="0.25">
      <c r="A875" s="3"/>
      <c r="B875" s="14"/>
      <c r="C875" s="14"/>
      <c r="D875" s="14"/>
      <c r="E875" s="14"/>
      <c r="K875" s="14"/>
      <c r="M875" s="14"/>
      <c r="N875" s="14"/>
      <c r="Z875" s="11"/>
      <c r="AM875" s="17"/>
      <c r="AX875" s="15"/>
      <c r="AY875" s="15"/>
      <c r="AZ875" s="15"/>
    </row>
    <row r="876" spans="1:52" ht="12" customHeight="1" x14ac:dyDescent="0.25">
      <c r="A876" s="3"/>
      <c r="B876" s="14"/>
      <c r="C876" s="14"/>
      <c r="D876" s="14"/>
      <c r="E876" s="14"/>
      <c r="K876" s="14"/>
      <c r="M876" s="14"/>
      <c r="N876" s="14"/>
      <c r="Z876" s="11"/>
      <c r="AM876" s="17"/>
      <c r="AX876" s="15"/>
      <c r="AY876" s="15"/>
      <c r="AZ876" s="15"/>
    </row>
    <row r="877" spans="1:52" ht="12" customHeight="1" x14ac:dyDescent="0.25">
      <c r="A877" s="3"/>
      <c r="B877" s="14"/>
      <c r="C877" s="14"/>
      <c r="D877" s="14"/>
      <c r="E877" s="14"/>
      <c r="K877" s="14"/>
      <c r="M877" s="14"/>
      <c r="N877" s="14"/>
      <c r="Z877" s="11"/>
      <c r="AM877" s="17"/>
      <c r="AX877" s="15"/>
      <c r="AY877" s="15"/>
      <c r="AZ877" s="15"/>
    </row>
    <row r="878" spans="1:52" ht="12" customHeight="1" x14ac:dyDescent="0.25">
      <c r="A878" s="3"/>
      <c r="B878" s="14"/>
      <c r="C878" s="14"/>
      <c r="D878" s="14"/>
      <c r="E878" s="14"/>
      <c r="K878" s="14"/>
      <c r="M878" s="14"/>
      <c r="N878" s="14"/>
      <c r="Z878" s="11"/>
      <c r="AM878" s="17"/>
      <c r="AX878" s="15"/>
      <c r="AY878" s="15"/>
      <c r="AZ878" s="15"/>
    </row>
    <row r="879" spans="1:52" ht="12" customHeight="1" x14ac:dyDescent="0.25">
      <c r="A879" s="3"/>
      <c r="B879" s="14"/>
      <c r="C879" s="14"/>
      <c r="D879" s="14"/>
      <c r="E879" s="14"/>
      <c r="K879" s="14"/>
      <c r="M879" s="14"/>
      <c r="N879" s="14"/>
      <c r="Z879" s="11"/>
      <c r="AM879" s="17"/>
      <c r="AX879" s="15"/>
      <c r="AY879" s="15"/>
      <c r="AZ879" s="15"/>
    </row>
    <row r="880" spans="1:52" ht="12" customHeight="1" x14ac:dyDescent="0.25">
      <c r="A880" s="3"/>
      <c r="B880" s="14"/>
      <c r="C880" s="14"/>
      <c r="D880" s="14"/>
      <c r="E880" s="14"/>
      <c r="K880" s="14"/>
      <c r="M880" s="14"/>
      <c r="N880" s="14"/>
      <c r="Z880" s="11"/>
      <c r="AM880" s="17"/>
      <c r="AX880" s="15"/>
      <c r="AY880" s="15"/>
      <c r="AZ880" s="15"/>
    </row>
    <row r="881" spans="1:52" ht="12" customHeight="1" x14ac:dyDescent="0.25">
      <c r="A881" s="3"/>
      <c r="B881" s="14"/>
      <c r="C881" s="14"/>
      <c r="D881" s="14"/>
      <c r="E881" s="14"/>
      <c r="K881" s="14"/>
      <c r="M881" s="14"/>
      <c r="N881" s="14"/>
      <c r="Z881" s="11"/>
      <c r="AM881" s="17"/>
      <c r="AX881" s="15"/>
      <c r="AY881" s="15"/>
      <c r="AZ881" s="15"/>
    </row>
    <row r="882" spans="1:52" ht="12" customHeight="1" x14ac:dyDescent="0.25">
      <c r="A882" s="3"/>
      <c r="B882" s="14"/>
      <c r="C882" s="14"/>
      <c r="D882" s="14"/>
      <c r="E882" s="14"/>
      <c r="K882" s="14"/>
      <c r="M882" s="14"/>
      <c r="N882" s="14"/>
      <c r="Z882" s="11"/>
      <c r="AM882" s="17"/>
      <c r="AX882" s="15"/>
      <c r="AY882" s="15"/>
      <c r="AZ882" s="15"/>
    </row>
    <row r="883" spans="1:52" ht="12" customHeight="1" x14ac:dyDescent="0.25">
      <c r="A883" s="3"/>
      <c r="B883" s="14"/>
      <c r="C883" s="14"/>
      <c r="D883" s="14"/>
      <c r="E883" s="14"/>
      <c r="K883" s="14"/>
      <c r="M883" s="14"/>
      <c r="N883" s="14"/>
      <c r="Z883" s="11"/>
      <c r="AM883" s="17"/>
      <c r="AX883" s="15"/>
      <c r="AY883" s="15"/>
      <c r="AZ883" s="15"/>
    </row>
    <row r="884" spans="1:52" ht="12" customHeight="1" x14ac:dyDescent="0.25">
      <c r="A884" s="3"/>
      <c r="B884" s="14"/>
      <c r="C884" s="14"/>
      <c r="D884" s="14"/>
      <c r="E884" s="14"/>
      <c r="K884" s="14"/>
      <c r="M884" s="14"/>
      <c r="N884" s="14"/>
      <c r="Z884" s="11"/>
      <c r="AM884" s="17"/>
      <c r="AX884" s="15"/>
      <c r="AY884" s="15"/>
      <c r="AZ884" s="15"/>
    </row>
    <row r="885" spans="1:52" ht="12" customHeight="1" x14ac:dyDescent="0.25">
      <c r="A885" s="3"/>
      <c r="B885" s="14"/>
      <c r="C885" s="14"/>
      <c r="D885" s="14"/>
      <c r="E885" s="14"/>
      <c r="K885" s="14"/>
      <c r="M885" s="14"/>
      <c r="N885" s="14"/>
      <c r="Z885" s="11"/>
      <c r="AM885" s="17"/>
      <c r="AX885" s="15"/>
      <c r="AY885" s="15"/>
      <c r="AZ885" s="15"/>
    </row>
    <row r="886" spans="1:52" ht="12" customHeight="1" x14ac:dyDescent="0.25">
      <c r="A886" s="3"/>
      <c r="B886" s="14"/>
      <c r="C886" s="14"/>
      <c r="D886" s="14"/>
      <c r="E886" s="14"/>
      <c r="K886" s="14"/>
      <c r="M886" s="14"/>
      <c r="N886" s="14"/>
      <c r="Z886" s="11"/>
      <c r="AM886" s="17"/>
      <c r="AX886" s="15"/>
      <c r="AY886" s="15"/>
      <c r="AZ886" s="15"/>
    </row>
    <row r="887" spans="1:52" ht="12" customHeight="1" x14ac:dyDescent="0.25">
      <c r="A887" s="3"/>
      <c r="B887" s="14"/>
      <c r="C887" s="14"/>
      <c r="D887" s="14"/>
      <c r="E887" s="14"/>
      <c r="K887" s="14"/>
      <c r="M887" s="14"/>
      <c r="N887" s="14"/>
      <c r="Z887" s="11"/>
      <c r="AM887" s="17"/>
      <c r="AX887" s="15"/>
      <c r="AY887" s="15"/>
      <c r="AZ887" s="15"/>
    </row>
    <row r="888" spans="1:52" ht="12" customHeight="1" x14ac:dyDescent="0.25">
      <c r="A888" s="3"/>
      <c r="B888" s="14"/>
      <c r="C888" s="14"/>
      <c r="D888" s="14"/>
      <c r="E888" s="14"/>
      <c r="K888" s="14"/>
      <c r="M888" s="14"/>
      <c r="N888" s="14"/>
      <c r="Z888" s="11"/>
      <c r="AM888" s="17"/>
      <c r="AX888" s="15"/>
      <c r="AY888" s="15"/>
      <c r="AZ888" s="15"/>
    </row>
    <row r="889" spans="1:52" ht="12" customHeight="1" x14ac:dyDescent="0.25">
      <c r="A889" s="3"/>
      <c r="B889" s="14"/>
      <c r="C889" s="14"/>
      <c r="D889" s="14"/>
      <c r="E889" s="14"/>
      <c r="K889" s="14"/>
      <c r="M889" s="14"/>
      <c r="N889" s="14"/>
      <c r="Z889" s="11"/>
      <c r="AM889" s="17"/>
      <c r="AX889" s="15"/>
      <c r="AY889" s="15"/>
      <c r="AZ889" s="15"/>
    </row>
    <row r="890" spans="1:52" ht="12" customHeight="1" x14ac:dyDescent="0.25">
      <c r="A890" s="3"/>
      <c r="B890" s="14"/>
      <c r="C890" s="14"/>
      <c r="D890" s="14"/>
      <c r="E890" s="14"/>
      <c r="K890" s="14"/>
      <c r="M890" s="14"/>
      <c r="N890" s="14"/>
      <c r="Z890" s="11"/>
      <c r="AM890" s="17"/>
      <c r="AX890" s="15"/>
      <c r="AY890" s="15"/>
      <c r="AZ890" s="15"/>
    </row>
    <row r="891" spans="1:52" ht="12" customHeight="1" x14ac:dyDescent="0.25">
      <c r="A891" s="3"/>
      <c r="B891" s="14"/>
      <c r="C891" s="14"/>
      <c r="D891" s="14"/>
      <c r="E891" s="14"/>
      <c r="K891" s="14"/>
      <c r="M891" s="14"/>
      <c r="N891" s="14"/>
      <c r="Z891" s="11"/>
      <c r="AM891" s="17"/>
      <c r="AX891" s="15"/>
      <c r="AY891" s="15"/>
      <c r="AZ891" s="15"/>
    </row>
    <row r="892" spans="1:52" ht="12" customHeight="1" x14ac:dyDescent="0.25">
      <c r="A892" s="3"/>
      <c r="B892" s="14"/>
      <c r="C892" s="14"/>
      <c r="D892" s="14"/>
      <c r="E892" s="14"/>
      <c r="K892" s="14"/>
      <c r="M892" s="14"/>
      <c r="N892" s="14"/>
      <c r="Z892" s="11"/>
      <c r="AM892" s="17"/>
      <c r="AX892" s="15"/>
      <c r="AY892" s="15"/>
      <c r="AZ892" s="15"/>
    </row>
    <row r="893" spans="1:52" ht="12" customHeight="1" x14ac:dyDescent="0.25">
      <c r="A893" s="3"/>
      <c r="B893" s="14"/>
      <c r="C893" s="14"/>
      <c r="D893" s="14"/>
      <c r="E893" s="14"/>
      <c r="K893" s="14"/>
      <c r="M893" s="14"/>
      <c r="N893" s="14"/>
      <c r="Z893" s="11"/>
      <c r="AM893" s="17"/>
      <c r="AX893" s="15"/>
      <c r="AY893" s="15"/>
      <c r="AZ893" s="15"/>
    </row>
    <row r="894" spans="1:52" ht="12" customHeight="1" x14ac:dyDescent="0.25">
      <c r="A894" s="3"/>
      <c r="B894" s="14"/>
      <c r="C894" s="14"/>
      <c r="D894" s="14"/>
      <c r="E894" s="14"/>
      <c r="K894" s="14"/>
      <c r="M894" s="14"/>
      <c r="N894" s="14"/>
      <c r="Z894" s="11"/>
      <c r="AM894" s="17"/>
      <c r="AX894" s="15"/>
      <c r="AY894" s="15"/>
      <c r="AZ894" s="15"/>
    </row>
    <row r="895" spans="1:52" ht="12" customHeight="1" x14ac:dyDescent="0.25">
      <c r="A895" s="3"/>
      <c r="B895" s="14"/>
      <c r="C895" s="14"/>
      <c r="D895" s="14"/>
      <c r="E895" s="14"/>
      <c r="K895" s="14"/>
      <c r="M895" s="14"/>
      <c r="N895" s="14"/>
      <c r="Z895" s="11"/>
      <c r="AM895" s="17"/>
      <c r="AX895" s="15"/>
      <c r="AY895" s="15"/>
      <c r="AZ895" s="15"/>
    </row>
    <row r="896" spans="1:52" ht="12" customHeight="1" x14ac:dyDescent="0.25">
      <c r="A896" s="3"/>
      <c r="B896" s="14"/>
      <c r="C896" s="14"/>
      <c r="D896" s="14"/>
      <c r="E896" s="14"/>
      <c r="K896" s="14"/>
      <c r="M896" s="14"/>
      <c r="N896" s="14"/>
      <c r="Z896" s="11"/>
      <c r="AM896" s="17"/>
      <c r="AX896" s="15"/>
      <c r="AY896" s="15"/>
      <c r="AZ896" s="15"/>
    </row>
    <row r="897" spans="1:52" ht="12" customHeight="1" x14ac:dyDescent="0.25">
      <c r="A897" s="3"/>
      <c r="B897" s="14"/>
      <c r="C897" s="14"/>
      <c r="D897" s="14"/>
      <c r="E897" s="14"/>
      <c r="K897" s="14"/>
      <c r="M897" s="14"/>
      <c r="N897" s="14"/>
      <c r="Z897" s="11"/>
      <c r="AM897" s="17"/>
      <c r="AX897" s="15"/>
      <c r="AY897" s="15"/>
      <c r="AZ897" s="15"/>
    </row>
    <row r="898" spans="1:52" ht="12" customHeight="1" x14ac:dyDescent="0.25">
      <c r="A898" s="3"/>
      <c r="B898" s="14"/>
      <c r="C898" s="14"/>
      <c r="D898" s="14"/>
      <c r="E898" s="14"/>
      <c r="K898" s="14"/>
      <c r="M898" s="14"/>
      <c r="N898" s="14"/>
      <c r="Z898" s="11"/>
      <c r="AM898" s="17"/>
      <c r="AX898" s="15"/>
      <c r="AY898" s="15"/>
      <c r="AZ898" s="15"/>
    </row>
    <row r="899" spans="1:52" ht="12" customHeight="1" x14ac:dyDescent="0.25">
      <c r="A899" s="3"/>
      <c r="B899" s="14"/>
      <c r="C899" s="14"/>
      <c r="D899" s="14"/>
      <c r="E899" s="14"/>
      <c r="K899" s="14"/>
      <c r="M899" s="14"/>
      <c r="N899" s="14"/>
      <c r="Z899" s="11"/>
      <c r="AM899" s="17"/>
      <c r="AX899" s="15"/>
      <c r="AY899" s="15"/>
      <c r="AZ899" s="15"/>
    </row>
    <row r="900" spans="1:52" ht="12" customHeight="1" x14ac:dyDescent="0.25">
      <c r="A900" s="3"/>
      <c r="B900" s="14"/>
      <c r="C900" s="14"/>
      <c r="D900" s="14"/>
      <c r="E900" s="14"/>
      <c r="K900" s="14"/>
      <c r="M900" s="14"/>
      <c r="N900" s="14"/>
      <c r="Z900" s="11"/>
      <c r="AM900" s="17"/>
      <c r="AX900" s="15"/>
      <c r="AY900" s="15"/>
      <c r="AZ900" s="15"/>
    </row>
    <row r="901" spans="1:52" ht="12" customHeight="1" x14ac:dyDescent="0.25">
      <c r="A901" s="3"/>
      <c r="B901" s="14"/>
      <c r="C901" s="14"/>
      <c r="D901" s="14"/>
      <c r="E901" s="14"/>
      <c r="K901" s="14"/>
      <c r="M901" s="14"/>
      <c r="N901" s="14"/>
      <c r="Z901" s="11"/>
      <c r="AM901" s="17"/>
      <c r="AX901" s="15"/>
      <c r="AY901" s="15"/>
      <c r="AZ901" s="15"/>
    </row>
    <row r="902" spans="1:52" ht="12" customHeight="1" x14ac:dyDescent="0.25">
      <c r="A902" s="3"/>
      <c r="B902" s="14"/>
      <c r="C902" s="14"/>
      <c r="D902" s="14"/>
      <c r="E902" s="14"/>
      <c r="K902" s="14"/>
      <c r="M902" s="14"/>
      <c r="N902" s="14"/>
      <c r="Z902" s="11"/>
      <c r="AM902" s="17"/>
      <c r="AX902" s="15"/>
      <c r="AY902" s="15"/>
      <c r="AZ902" s="15"/>
    </row>
    <row r="903" spans="1:52" ht="12" customHeight="1" x14ac:dyDescent="0.25">
      <c r="A903" s="3"/>
      <c r="B903" s="14"/>
      <c r="C903" s="14"/>
      <c r="D903" s="14"/>
      <c r="E903" s="14"/>
      <c r="K903" s="14"/>
      <c r="M903" s="14"/>
      <c r="N903" s="14"/>
      <c r="Z903" s="11"/>
      <c r="AM903" s="17"/>
      <c r="AX903" s="15"/>
      <c r="AY903" s="15"/>
      <c r="AZ903" s="15"/>
    </row>
    <row r="904" spans="1:52" ht="12" customHeight="1" x14ac:dyDescent="0.25">
      <c r="A904" s="3"/>
      <c r="B904" s="14"/>
      <c r="C904" s="14"/>
      <c r="D904" s="14"/>
      <c r="E904" s="14"/>
      <c r="K904" s="14"/>
      <c r="M904" s="14"/>
      <c r="N904" s="14"/>
      <c r="Z904" s="11"/>
      <c r="AM904" s="17"/>
      <c r="AX904" s="15"/>
      <c r="AY904" s="15"/>
      <c r="AZ904" s="15"/>
    </row>
    <row r="905" spans="1:52" ht="12" customHeight="1" x14ac:dyDescent="0.25">
      <c r="A905" s="3"/>
      <c r="B905" s="14"/>
      <c r="C905" s="14"/>
      <c r="D905" s="14"/>
      <c r="E905" s="14"/>
      <c r="K905" s="14"/>
      <c r="M905" s="14"/>
      <c r="N905" s="14"/>
      <c r="Z905" s="11"/>
      <c r="AM905" s="17"/>
      <c r="AX905" s="15"/>
      <c r="AY905" s="15"/>
      <c r="AZ905" s="15"/>
    </row>
    <row r="906" spans="1:52" ht="12" customHeight="1" x14ac:dyDescent="0.25">
      <c r="A906" s="3"/>
      <c r="B906" s="14"/>
      <c r="C906" s="14"/>
      <c r="D906" s="14"/>
      <c r="E906" s="14"/>
      <c r="K906" s="14"/>
      <c r="M906" s="14"/>
      <c r="N906" s="14"/>
      <c r="Z906" s="11"/>
      <c r="AM906" s="17"/>
      <c r="AX906" s="15"/>
      <c r="AY906" s="15"/>
      <c r="AZ906" s="15"/>
    </row>
    <row r="907" spans="1:52" ht="12" customHeight="1" x14ac:dyDescent="0.25">
      <c r="A907" s="3"/>
      <c r="B907" s="14"/>
      <c r="C907" s="14"/>
      <c r="D907" s="14"/>
      <c r="E907" s="14"/>
      <c r="K907" s="14"/>
      <c r="M907" s="14"/>
      <c r="N907" s="14"/>
      <c r="Z907" s="11"/>
      <c r="AM907" s="17"/>
      <c r="AX907" s="15"/>
      <c r="AY907" s="15"/>
      <c r="AZ907" s="15"/>
    </row>
    <row r="908" spans="1:52" ht="12" customHeight="1" x14ac:dyDescent="0.25">
      <c r="A908" s="3"/>
      <c r="B908" s="14"/>
      <c r="C908" s="14"/>
      <c r="D908" s="14"/>
      <c r="E908" s="14"/>
      <c r="K908" s="14"/>
      <c r="M908" s="14"/>
      <c r="N908" s="14"/>
      <c r="Z908" s="11"/>
      <c r="AM908" s="17"/>
      <c r="AX908" s="15"/>
      <c r="AY908" s="15"/>
      <c r="AZ908" s="15"/>
    </row>
    <row r="909" spans="1:52" ht="12" customHeight="1" x14ac:dyDescent="0.25">
      <c r="A909" s="3"/>
      <c r="B909" s="14"/>
      <c r="C909" s="14"/>
      <c r="D909" s="14"/>
      <c r="E909" s="14"/>
      <c r="K909" s="14"/>
      <c r="M909" s="14"/>
      <c r="N909" s="14"/>
      <c r="Z909" s="11"/>
      <c r="AM909" s="17"/>
      <c r="AX909" s="15"/>
      <c r="AY909" s="15"/>
      <c r="AZ909" s="15"/>
    </row>
    <row r="910" spans="1:52" ht="12" customHeight="1" x14ac:dyDescent="0.25">
      <c r="A910" s="3"/>
      <c r="B910" s="14"/>
      <c r="C910" s="14"/>
      <c r="D910" s="14"/>
      <c r="E910" s="14"/>
      <c r="K910" s="14"/>
      <c r="M910" s="14"/>
      <c r="N910" s="14"/>
      <c r="Z910" s="11"/>
      <c r="AM910" s="17"/>
      <c r="AX910" s="15"/>
      <c r="AY910" s="15"/>
      <c r="AZ910" s="15"/>
    </row>
    <row r="911" spans="1:52" ht="12" customHeight="1" x14ac:dyDescent="0.25">
      <c r="A911" s="3"/>
      <c r="B911" s="14"/>
      <c r="C911" s="14"/>
      <c r="D911" s="14"/>
      <c r="E911" s="14"/>
      <c r="K911" s="14"/>
      <c r="M911" s="14"/>
      <c r="N911" s="14"/>
      <c r="Z911" s="11"/>
      <c r="AM911" s="17"/>
      <c r="AX911" s="15"/>
      <c r="AY911" s="15"/>
      <c r="AZ911" s="15"/>
    </row>
    <row r="912" spans="1:52" ht="12" customHeight="1" x14ac:dyDescent="0.25">
      <c r="A912" s="3"/>
      <c r="B912" s="14"/>
      <c r="C912" s="14"/>
      <c r="D912" s="14"/>
      <c r="E912" s="14"/>
      <c r="K912" s="14"/>
      <c r="M912" s="14"/>
      <c r="N912" s="14"/>
      <c r="Z912" s="11"/>
      <c r="AM912" s="17"/>
      <c r="AX912" s="15"/>
      <c r="AY912" s="15"/>
      <c r="AZ912" s="15"/>
    </row>
    <row r="913" spans="1:52" ht="12" customHeight="1" x14ac:dyDescent="0.25">
      <c r="A913" s="3"/>
      <c r="B913" s="14"/>
      <c r="C913" s="14"/>
      <c r="D913" s="14"/>
      <c r="E913" s="14"/>
      <c r="K913" s="14"/>
      <c r="M913" s="14"/>
      <c r="N913" s="14"/>
      <c r="Z913" s="11"/>
      <c r="AM913" s="17"/>
      <c r="AX913" s="15"/>
      <c r="AY913" s="15"/>
      <c r="AZ913" s="15"/>
    </row>
    <row r="914" spans="1:52" ht="12" customHeight="1" x14ac:dyDescent="0.25">
      <c r="A914" s="3"/>
      <c r="B914" s="14"/>
      <c r="C914" s="14"/>
      <c r="D914" s="14"/>
      <c r="E914" s="14"/>
      <c r="K914" s="14"/>
      <c r="M914" s="14"/>
      <c r="N914" s="14"/>
      <c r="Z914" s="11"/>
      <c r="AM914" s="17"/>
      <c r="AX914" s="15"/>
      <c r="AY914" s="15"/>
      <c r="AZ914" s="15"/>
    </row>
    <row r="915" spans="1:52" ht="12" customHeight="1" x14ac:dyDescent="0.25">
      <c r="A915" s="3"/>
      <c r="B915" s="14"/>
      <c r="C915" s="14"/>
      <c r="D915" s="14"/>
      <c r="E915" s="14"/>
      <c r="K915" s="14"/>
      <c r="M915" s="14"/>
      <c r="N915" s="14"/>
      <c r="Z915" s="11"/>
      <c r="AM915" s="17"/>
      <c r="AX915" s="15"/>
      <c r="AY915" s="15"/>
      <c r="AZ915" s="15"/>
    </row>
    <row r="916" spans="1:52" ht="12" customHeight="1" x14ac:dyDescent="0.25">
      <c r="A916" s="3"/>
      <c r="B916" s="14"/>
      <c r="C916" s="14"/>
      <c r="D916" s="14"/>
      <c r="E916" s="14"/>
      <c r="K916" s="14"/>
      <c r="M916" s="14"/>
      <c r="N916" s="14"/>
      <c r="Z916" s="11"/>
      <c r="AM916" s="17"/>
      <c r="AX916" s="15"/>
      <c r="AY916" s="15"/>
      <c r="AZ916" s="15"/>
    </row>
    <row r="917" spans="1:52" ht="12" customHeight="1" x14ac:dyDescent="0.25">
      <c r="A917" s="3"/>
      <c r="B917" s="14"/>
      <c r="C917" s="14"/>
      <c r="D917" s="14"/>
      <c r="E917" s="14"/>
      <c r="K917" s="14"/>
      <c r="M917" s="14"/>
      <c r="N917" s="14"/>
      <c r="Z917" s="11"/>
      <c r="AM917" s="17"/>
      <c r="AX917" s="15"/>
      <c r="AY917" s="15"/>
      <c r="AZ917" s="15"/>
    </row>
    <row r="918" spans="1:52" ht="12" customHeight="1" x14ac:dyDescent="0.25">
      <c r="A918" s="3"/>
      <c r="B918" s="14"/>
      <c r="C918" s="14"/>
      <c r="D918" s="14"/>
      <c r="E918" s="14"/>
      <c r="K918" s="14"/>
      <c r="M918" s="14"/>
      <c r="N918" s="14"/>
      <c r="Z918" s="11"/>
      <c r="AM918" s="17"/>
      <c r="AX918" s="15"/>
      <c r="AY918" s="15"/>
      <c r="AZ918" s="15"/>
    </row>
    <row r="919" spans="1:52" ht="12" customHeight="1" x14ac:dyDescent="0.25">
      <c r="A919" s="3"/>
      <c r="B919" s="14"/>
      <c r="C919" s="14"/>
      <c r="D919" s="14"/>
      <c r="E919" s="14"/>
      <c r="K919" s="14"/>
      <c r="M919" s="14"/>
      <c r="N919" s="14"/>
      <c r="Z919" s="11"/>
      <c r="AM919" s="17"/>
      <c r="AX919" s="15"/>
      <c r="AY919" s="15"/>
      <c r="AZ919" s="15"/>
    </row>
    <row r="920" spans="1:52" ht="12" customHeight="1" x14ac:dyDescent="0.25">
      <c r="A920" s="3"/>
      <c r="B920" s="14"/>
      <c r="C920" s="14"/>
      <c r="D920" s="14"/>
      <c r="E920" s="14"/>
      <c r="K920" s="14"/>
      <c r="M920" s="14"/>
      <c r="N920" s="14"/>
      <c r="Z920" s="11"/>
      <c r="AM920" s="17"/>
      <c r="AX920" s="15"/>
      <c r="AY920" s="15"/>
      <c r="AZ920" s="15"/>
    </row>
    <row r="921" spans="1:52" ht="12" customHeight="1" x14ac:dyDescent="0.25">
      <c r="A921" s="3"/>
      <c r="B921" s="14"/>
      <c r="C921" s="14"/>
      <c r="D921" s="14"/>
      <c r="E921" s="14"/>
      <c r="K921" s="14"/>
      <c r="M921" s="14"/>
      <c r="N921" s="14"/>
      <c r="Z921" s="11"/>
      <c r="AM921" s="17"/>
      <c r="AX921" s="15"/>
      <c r="AY921" s="15"/>
      <c r="AZ921" s="15"/>
    </row>
    <row r="922" spans="1:52" ht="12" customHeight="1" x14ac:dyDescent="0.25">
      <c r="A922" s="3"/>
      <c r="B922" s="14"/>
      <c r="C922" s="14"/>
      <c r="D922" s="14"/>
      <c r="E922" s="14"/>
      <c r="K922" s="14"/>
      <c r="M922" s="14"/>
      <c r="N922" s="14"/>
      <c r="Z922" s="11"/>
      <c r="AM922" s="17"/>
      <c r="AX922" s="15"/>
      <c r="AY922" s="15"/>
      <c r="AZ922" s="15"/>
    </row>
    <row r="923" spans="1:52" ht="12" customHeight="1" x14ac:dyDescent="0.25">
      <c r="A923" s="3"/>
      <c r="B923" s="14"/>
      <c r="C923" s="14"/>
      <c r="D923" s="14"/>
      <c r="E923" s="14"/>
      <c r="K923" s="14"/>
      <c r="M923" s="14"/>
      <c r="N923" s="14"/>
      <c r="Z923" s="11"/>
      <c r="AM923" s="17"/>
      <c r="AX923" s="15"/>
      <c r="AY923" s="15"/>
      <c r="AZ923" s="15"/>
    </row>
    <row r="924" spans="1:52" ht="12" customHeight="1" x14ac:dyDescent="0.25">
      <c r="A924" s="3"/>
      <c r="B924" s="14"/>
      <c r="C924" s="14"/>
      <c r="D924" s="14"/>
      <c r="E924" s="14"/>
      <c r="K924" s="14"/>
      <c r="M924" s="14"/>
      <c r="N924" s="14"/>
      <c r="Z924" s="11"/>
      <c r="AM924" s="17"/>
      <c r="AX924" s="15"/>
      <c r="AY924" s="15"/>
      <c r="AZ924" s="15"/>
    </row>
    <row r="925" spans="1:52" ht="12" customHeight="1" x14ac:dyDescent="0.25">
      <c r="A925" s="3"/>
      <c r="B925" s="14"/>
      <c r="C925" s="14"/>
      <c r="D925" s="14"/>
      <c r="E925" s="14"/>
      <c r="K925" s="14"/>
      <c r="M925" s="14"/>
      <c r="N925" s="14"/>
      <c r="Z925" s="11"/>
      <c r="AM925" s="17"/>
      <c r="AX925" s="15"/>
      <c r="AY925" s="15"/>
      <c r="AZ925" s="15"/>
    </row>
    <row r="926" spans="1:52" ht="12" customHeight="1" x14ac:dyDescent="0.25">
      <c r="A926" s="3"/>
      <c r="B926" s="14"/>
      <c r="C926" s="14"/>
      <c r="D926" s="14"/>
      <c r="E926" s="14"/>
      <c r="K926" s="14"/>
      <c r="M926" s="14"/>
      <c r="N926" s="14"/>
      <c r="Z926" s="11"/>
      <c r="AM926" s="17"/>
      <c r="AX926" s="15"/>
      <c r="AY926" s="15"/>
      <c r="AZ926" s="15"/>
    </row>
    <row r="927" spans="1:52" ht="12" customHeight="1" x14ac:dyDescent="0.25">
      <c r="A927" s="3"/>
      <c r="B927" s="14"/>
      <c r="C927" s="14"/>
      <c r="D927" s="14"/>
      <c r="E927" s="14"/>
      <c r="K927" s="14"/>
      <c r="M927" s="14"/>
      <c r="N927" s="14"/>
      <c r="Z927" s="11"/>
      <c r="AM927" s="17"/>
      <c r="AX927" s="15"/>
      <c r="AY927" s="15"/>
      <c r="AZ927" s="15"/>
    </row>
    <row r="928" spans="1:52" ht="12" customHeight="1" x14ac:dyDescent="0.25">
      <c r="A928" s="3"/>
      <c r="B928" s="14"/>
      <c r="C928" s="14"/>
      <c r="D928" s="14"/>
      <c r="E928" s="14"/>
      <c r="K928" s="14"/>
      <c r="M928" s="14"/>
      <c r="N928" s="14"/>
      <c r="Z928" s="11"/>
      <c r="AM928" s="17"/>
      <c r="AX928" s="15"/>
      <c r="AY928" s="15"/>
      <c r="AZ928" s="15"/>
    </row>
    <row r="929" spans="1:52" ht="12" customHeight="1" x14ac:dyDescent="0.25">
      <c r="A929" s="3"/>
      <c r="B929" s="14"/>
      <c r="C929" s="14"/>
      <c r="D929" s="14"/>
      <c r="E929" s="14"/>
      <c r="K929" s="14"/>
      <c r="M929" s="14"/>
      <c r="N929" s="14"/>
      <c r="Z929" s="11"/>
      <c r="AM929" s="17"/>
      <c r="AX929" s="15"/>
      <c r="AY929" s="15"/>
      <c r="AZ929" s="15"/>
    </row>
    <row r="930" spans="1:52" ht="12" customHeight="1" x14ac:dyDescent="0.25">
      <c r="A930" s="3"/>
      <c r="B930" s="14"/>
      <c r="C930" s="14"/>
      <c r="D930" s="14"/>
      <c r="E930" s="14"/>
      <c r="K930" s="14"/>
      <c r="M930" s="14"/>
      <c r="N930" s="14"/>
      <c r="Z930" s="11"/>
      <c r="AM930" s="17"/>
      <c r="AX930" s="15"/>
      <c r="AY930" s="15"/>
      <c r="AZ930" s="15"/>
    </row>
    <row r="931" spans="1:52" ht="12" customHeight="1" x14ac:dyDescent="0.25">
      <c r="A931" s="3"/>
      <c r="B931" s="14"/>
      <c r="C931" s="14"/>
      <c r="D931" s="14"/>
      <c r="E931" s="14"/>
      <c r="K931" s="14"/>
      <c r="M931" s="14"/>
      <c r="N931" s="14"/>
      <c r="Z931" s="11"/>
      <c r="AM931" s="17"/>
      <c r="AX931" s="15"/>
      <c r="AY931" s="15"/>
      <c r="AZ931" s="15"/>
    </row>
    <row r="932" spans="1:52" ht="12" customHeight="1" x14ac:dyDescent="0.25">
      <c r="A932" s="3"/>
      <c r="B932" s="14"/>
      <c r="C932" s="14"/>
      <c r="D932" s="14"/>
      <c r="E932" s="14"/>
      <c r="K932" s="14"/>
      <c r="M932" s="14"/>
      <c r="N932" s="14"/>
      <c r="Z932" s="11"/>
      <c r="AM932" s="17"/>
      <c r="AX932" s="15"/>
      <c r="AY932" s="15"/>
      <c r="AZ932" s="15"/>
    </row>
    <row r="933" spans="1:52" ht="12" customHeight="1" x14ac:dyDescent="0.25">
      <c r="A933" s="3"/>
      <c r="B933" s="14"/>
      <c r="C933" s="14"/>
      <c r="D933" s="14"/>
      <c r="E933" s="14"/>
      <c r="K933" s="14"/>
      <c r="M933" s="14"/>
      <c r="N933" s="14"/>
      <c r="Z933" s="11"/>
      <c r="AM933" s="17"/>
      <c r="AX933" s="15"/>
      <c r="AY933" s="15"/>
      <c r="AZ933" s="15"/>
    </row>
    <row r="934" spans="1:52" ht="12" customHeight="1" x14ac:dyDescent="0.25">
      <c r="A934" s="3"/>
      <c r="B934" s="14"/>
      <c r="C934" s="14"/>
      <c r="D934" s="14"/>
      <c r="E934" s="14"/>
      <c r="K934" s="14"/>
      <c r="M934" s="14"/>
      <c r="N934" s="14"/>
      <c r="Z934" s="11"/>
      <c r="AM934" s="17"/>
      <c r="AX934" s="15"/>
      <c r="AY934" s="15"/>
      <c r="AZ934" s="15"/>
    </row>
    <row r="935" spans="1:52" ht="12" customHeight="1" x14ac:dyDescent="0.25">
      <c r="A935" s="3"/>
      <c r="B935" s="14"/>
      <c r="C935" s="14"/>
      <c r="D935" s="14"/>
      <c r="E935" s="14"/>
      <c r="K935" s="14"/>
      <c r="M935" s="14"/>
      <c r="N935" s="14"/>
      <c r="Z935" s="11"/>
      <c r="AM935" s="17"/>
      <c r="AX935" s="15"/>
      <c r="AY935" s="15"/>
      <c r="AZ935" s="15"/>
    </row>
    <row r="936" spans="1:52" ht="12" customHeight="1" x14ac:dyDescent="0.25">
      <c r="A936" s="3"/>
      <c r="B936" s="14"/>
      <c r="C936" s="14"/>
      <c r="D936" s="14"/>
      <c r="E936" s="14"/>
      <c r="K936" s="14"/>
      <c r="M936" s="14"/>
      <c r="N936" s="14"/>
      <c r="Z936" s="11"/>
      <c r="AM936" s="17"/>
      <c r="AX936" s="15"/>
      <c r="AY936" s="15"/>
      <c r="AZ936" s="15"/>
    </row>
    <row r="937" spans="1:52" ht="12" customHeight="1" x14ac:dyDescent="0.25">
      <c r="A937" s="3"/>
      <c r="B937" s="14"/>
      <c r="C937" s="14"/>
      <c r="D937" s="14"/>
      <c r="E937" s="14"/>
      <c r="K937" s="14"/>
      <c r="M937" s="14"/>
      <c r="N937" s="14"/>
      <c r="Z937" s="11"/>
      <c r="AM937" s="17"/>
      <c r="AX937" s="15"/>
      <c r="AY937" s="15"/>
      <c r="AZ937" s="15"/>
    </row>
    <row r="938" spans="1:52" ht="12" customHeight="1" x14ac:dyDescent="0.25">
      <c r="A938" s="3"/>
      <c r="B938" s="14"/>
      <c r="C938" s="14"/>
      <c r="D938" s="14"/>
      <c r="E938" s="14"/>
      <c r="K938" s="14"/>
      <c r="M938" s="14"/>
      <c r="N938" s="14"/>
      <c r="Z938" s="11"/>
      <c r="AM938" s="17"/>
      <c r="AX938" s="15"/>
      <c r="AY938" s="15"/>
      <c r="AZ938" s="15"/>
    </row>
    <row r="939" spans="1:52" ht="12" customHeight="1" x14ac:dyDescent="0.25">
      <c r="A939" s="3"/>
      <c r="B939" s="14"/>
      <c r="C939" s="14"/>
      <c r="D939" s="14"/>
      <c r="E939" s="14"/>
      <c r="K939" s="14"/>
      <c r="M939" s="14"/>
      <c r="N939" s="14"/>
      <c r="Z939" s="11"/>
      <c r="AM939" s="17"/>
      <c r="AX939" s="15"/>
      <c r="AY939" s="15"/>
      <c r="AZ939" s="15"/>
    </row>
    <row r="940" spans="1:52" ht="12" customHeight="1" x14ac:dyDescent="0.25">
      <c r="A940" s="3"/>
      <c r="B940" s="14"/>
      <c r="C940" s="14"/>
      <c r="D940" s="14"/>
      <c r="E940" s="14"/>
      <c r="K940" s="14"/>
      <c r="M940" s="14"/>
      <c r="N940" s="14"/>
      <c r="Z940" s="11"/>
      <c r="AM940" s="17"/>
      <c r="AX940" s="15"/>
      <c r="AY940" s="15"/>
      <c r="AZ940" s="15"/>
    </row>
    <row r="941" spans="1:52" ht="12" customHeight="1" x14ac:dyDescent="0.25">
      <c r="A941" s="3"/>
      <c r="B941" s="14"/>
      <c r="C941" s="14"/>
      <c r="D941" s="14"/>
      <c r="E941" s="14"/>
      <c r="K941" s="14"/>
      <c r="M941" s="14"/>
      <c r="N941" s="14"/>
      <c r="Z941" s="11"/>
      <c r="AM941" s="17"/>
      <c r="AX941" s="15"/>
      <c r="AY941" s="15"/>
      <c r="AZ941" s="15"/>
    </row>
    <row r="942" spans="1:52" ht="12" customHeight="1" x14ac:dyDescent="0.25">
      <c r="A942" s="3"/>
      <c r="B942" s="14"/>
      <c r="C942" s="14"/>
      <c r="D942" s="14"/>
      <c r="E942" s="14"/>
      <c r="K942" s="14"/>
      <c r="M942" s="14"/>
      <c r="N942" s="14"/>
      <c r="Z942" s="11"/>
      <c r="AM942" s="17"/>
      <c r="AX942" s="15"/>
      <c r="AY942" s="15"/>
      <c r="AZ942" s="15"/>
    </row>
    <row r="943" spans="1:52" ht="12" customHeight="1" x14ac:dyDescent="0.25">
      <c r="A943" s="3"/>
      <c r="B943" s="14"/>
      <c r="C943" s="14"/>
      <c r="D943" s="14"/>
      <c r="E943" s="14"/>
      <c r="K943" s="14"/>
      <c r="M943" s="14"/>
      <c r="N943" s="14"/>
      <c r="Z943" s="11"/>
      <c r="AM943" s="17"/>
      <c r="AX943" s="15"/>
      <c r="AY943" s="15"/>
      <c r="AZ943" s="15"/>
    </row>
    <row r="944" spans="1:52" ht="12" customHeight="1" x14ac:dyDescent="0.25">
      <c r="A944" s="3"/>
      <c r="B944" s="14"/>
      <c r="C944" s="14"/>
      <c r="D944" s="14"/>
      <c r="E944" s="14"/>
      <c r="K944" s="14"/>
      <c r="M944" s="14"/>
      <c r="N944" s="14"/>
      <c r="Z944" s="11"/>
      <c r="AM944" s="17"/>
      <c r="AX944" s="15"/>
      <c r="AY944" s="15"/>
      <c r="AZ944" s="15"/>
    </row>
    <row r="945" spans="1:52" ht="12" customHeight="1" x14ac:dyDescent="0.25">
      <c r="A945" s="3"/>
      <c r="B945" s="14"/>
      <c r="C945" s="14"/>
      <c r="D945" s="14"/>
      <c r="E945" s="14"/>
      <c r="K945" s="14"/>
      <c r="M945" s="14"/>
      <c r="N945" s="14"/>
      <c r="Z945" s="11"/>
      <c r="AM945" s="17"/>
      <c r="AX945" s="15"/>
      <c r="AY945" s="15"/>
      <c r="AZ945" s="15"/>
    </row>
    <row r="946" spans="1:52" ht="12" customHeight="1" x14ac:dyDescent="0.25">
      <c r="A946" s="3"/>
      <c r="B946" s="14"/>
      <c r="C946" s="14"/>
      <c r="D946" s="14"/>
      <c r="E946" s="14"/>
      <c r="K946" s="14"/>
      <c r="M946" s="14"/>
      <c r="N946" s="14"/>
      <c r="Z946" s="11"/>
      <c r="AM946" s="17"/>
      <c r="AX946" s="15"/>
      <c r="AY946" s="15"/>
      <c r="AZ946" s="15"/>
    </row>
    <row r="947" spans="1:52" ht="12" customHeight="1" x14ac:dyDescent="0.25">
      <c r="A947" s="3"/>
      <c r="B947" s="14"/>
      <c r="C947" s="14"/>
      <c r="D947" s="14"/>
      <c r="E947" s="14"/>
      <c r="K947" s="14"/>
      <c r="M947" s="14"/>
      <c r="N947" s="14"/>
      <c r="Z947" s="11"/>
      <c r="AM947" s="17"/>
      <c r="AX947" s="15"/>
      <c r="AY947" s="15"/>
      <c r="AZ947" s="15"/>
    </row>
    <row r="948" spans="1:52" ht="12" customHeight="1" x14ac:dyDescent="0.25">
      <c r="A948" s="3"/>
      <c r="B948" s="14"/>
      <c r="C948" s="14"/>
      <c r="D948" s="14"/>
      <c r="E948" s="14"/>
      <c r="K948" s="14"/>
      <c r="M948" s="14"/>
      <c r="N948" s="14"/>
      <c r="Z948" s="11"/>
      <c r="AM948" s="17"/>
      <c r="AX948" s="15"/>
      <c r="AY948" s="15"/>
      <c r="AZ948" s="15"/>
    </row>
    <row r="949" spans="1:52" ht="12" customHeight="1" x14ac:dyDescent="0.25">
      <c r="A949" s="3"/>
      <c r="B949" s="14"/>
      <c r="C949" s="14"/>
      <c r="D949" s="14"/>
      <c r="E949" s="14"/>
      <c r="K949" s="14"/>
      <c r="M949" s="14"/>
      <c r="N949" s="14"/>
      <c r="Z949" s="11"/>
      <c r="AM949" s="17"/>
      <c r="AX949" s="15"/>
      <c r="AY949" s="15"/>
      <c r="AZ949" s="15"/>
    </row>
    <row r="950" spans="1:52" ht="12" customHeight="1" x14ac:dyDescent="0.25">
      <c r="A950" s="3"/>
      <c r="B950" s="14"/>
      <c r="C950" s="14"/>
      <c r="D950" s="14"/>
      <c r="E950" s="14"/>
      <c r="K950" s="14"/>
      <c r="M950" s="14"/>
      <c r="N950" s="14"/>
      <c r="Z950" s="11"/>
      <c r="AM950" s="17"/>
      <c r="AX950" s="15"/>
      <c r="AY950" s="15"/>
      <c r="AZ950" s="15"/>
    </row>
    <row r="951" spans="1:52" ht="12" customHeight="1" x14ac:dyDescent="0.25">
      <c r="A951" s="3"/>
      <c r="B951" s="14"/>
      <c r="C951" s="14"/>
      <c r="D951" s="14"/>
      <c r="E951" s="14"/>
      <c r="K951" s="14"/>
      <c r="M951" s="14"/>
      <c r="N951" s="14"/>
      <c r="Z951" s="11"/>
      <c r="AM951" s="17"/>
      <c r="AX951" s="15"/>
      <c r="AY951" s="15"/>
      <c r="AZ951" s="15"/>
    </row>
    <row r="952" spans="1:52" ht="12" customHeight="1" x14ac:dyDescent="0.25">
      <c r="A952" s="3"/>
      <c r="B952" s="14"/>
      <c r="C952" s="14"/>
      <c r="D952" s="14"/>
      <c r="E952" s="14"/>
      <c r="K952" s="14"/>
      <c r="M952" s="14"/>
      <c r="N952" s="14"/>
      <c r="Z952" s="11"/>
      <c r="AM952" s="17"/>
      <c r="AX952" s="15"/>
      <c r="AY952" s="15"/>
      <c r="AZ952" s="15"/>
    </row>
    <row r="953" spans="1:52" ht="12" customHeight="1" x14ac:dyDescent="0.25">
      <c r="A953" s="3"/>
      <c r="B953" s="14"/>
      <c r="C953" s="14"/>
      <c r="D953" s="14"/>
      <c r="E953" s="14"/>
      <c r="K953" s="14"/>
      <c r="M953" s="14"/>
      <c r="N953" s="14"/>
      <c r="Z953" s="11"/>
      <c r="AM953" s="17"/>
      <c r="AX953" s="15"/>
      <c r="AY953" s="15"/>
      <c r="AZ953" s="15"/>
    </row>
    <row r="954" spans="1:52" ht="12" customHeight="1" x14ac:dyDescent="0.25">
      <c r="A954" s="3"/>
      <c r="B954" s="14"/>
      <c r="C954" s="14"/>
      <c r="D954" s="14"/>
      <c r="E954" s="14"/>
      <c r="K954" s="14"/>
      <c r="M954" s="14"/>
      <c r="N954" s="14"/>
      <c r="Z954" s="11"/>
      <c r="AM954" s="17"/>
      <c r="AX954" s="15"/>
      <c r="AY954" s="15"/>
      <c r="AZ954" s="15"/>
    </row>
    <row r="955" spans="1:52" ht="12" customHeight="1" x14ac:dyDescent="0.25">
      <c r="A955" s="3"/>
      <c r="B955" s="14"/>
      <c r="C955" s="14"/>
      <c r="D955" s="14"/>
      <c r="E955" s="14"/>
      <c r="K955" s="14"/>
      <c r="M955" s="14"/>
      <c r="N955" s="14"/>
      <c r="Z955" s="11"/>
      <c r="AM955" s="17"/>
      <c r="AX955" s="15"/>
      <c r="AY955" s="15"/>
      <c r="AZ955" s="15"/>
    </row>
    <row r="956" spans="1:52" ht="12" customHeight="1" x14ac:dyDescent="0.25">
      <c r="A956" s="3"/>
      <c r="B956" s="14"/>
      <c r="C956" s="14"/>
      <c r="D956" s="14"/>
      <c r="E956" s="14"/>
      <c r="K956" s="14"/>
      <c r="M956" s="14"/>
      <c r="N956" s="14"/>
      <c r="Z956" s="11"/>
      <c r="AM956" s="17"/>
      <c r="AX956" s="15"/>
      <c r="AY956" s="15"/>
      <c r="AZ956" s="15"/>
    </row>
    <row r="957" spans="1:52" ht="12" customHeight="1" x14ac:dyDescent="0.25">
      <c r="A957" s="3"/>
      <c r="B957" s="14"/>
      <c r="C957" s="14"/>
      <c r="D957" s="14"/>
      <c r="E957" s="14"/>
      <c r="K957" s="14"/>
      <c r="M957" s="14"/>
      <c r="N957" s="14"/>
      <c r="Z957" s="11"/>
      <c r="AM957" s="17"/>
      <c r="AX957" s="15"/>
      <c r="AY957" s="15"/>
      <c r="AZ957" s="15"/>
    </row>
    <row r="958" spans="1:52" ht="12" customHeight="1" x14ac:dyDescent="0.25">
      <c r="A958" s="3"/>
      <c r="B958" s="14"/>
      <c r="C958" s="14"/>
      <c r="D958" s="14"/>
      <c r="E958" s="14"/>
      <c r="K958" s="14"/>
      <c r="M958" s="14"/>
      <c r="N958" s="14"/>
      <c r="Z958" s="11"/>
      <c r="AM958" s="17"/>
      <c r="AX958" s="15"/>
      <c r="AY958" s="15"/>
      <c r="AZ958" s="15"/>
    </row>
    <row r="959" spans="1:52" ht="12" customHeight="1" x14ac:dyDescent="0.25">
      <c r="A959" s="3"/>
      <c r="B959" s="14"/>
      <c r="C959" s="14"/>
      <c r="D959" s="14"/>
      <c r="E959" s="14"/>
      <c r="K959" s="14"/>
      <c r="M959" s="14"/>
      <c r="N959" s="14"/>
      <c r="Z959" s="11"/>
      <c r="AM959" s="17"/>
      <c r="AX959" s="15"/>
      <c r="AY959" s="15"/>
      <c r="AZ959" s="15"/>
    </row>
    <row r="960" spans="1:52" ht="12" customHeight="1" x14ac:dyDescent="0.25">
      <c r="A960" s="3"/>
      <c r="B960" s="14"/>
      <c r="C960" s="14"/>
      <c r="D960" s="14"/>
      <c r="E960" s="14"/>
      <c r="K960" s="14"/>
      <c r="M960" s="14"/>
      <c r="N960" s="14"/>
      <c r="Z960" s="11"/>
      <c r="AM960" s="17"/>
      <c r="AX960" s="15"/>
      <c r="AY960" s="15"/>
      <c r="AZ960" s="15"/>
    </row>
    <row r="961" spans="1:52" ht="12" customHeight="1" x14ac:dyDescent="0.25">
      <c r="A961" s="3"/>
      <c r="B961" s="14"/>
      <c r="C961" s="14"/>
      <c r="D961" s="14"/>
      <c r="E961" s="14"/>
      <c r="K961" s="14"/>
      <c r="M961" s="14"/>
      <c r="N961" s="14"/>
      <c r="Z961" s="11"/>
      <c r="AM961" s="17"/>
      <c r="AX961" s="15"/>
      <c r="AY961" s="15"/>
      <c r="AZ961" s="15"/>
    </row>
    <row r="962" spans="1:52" ht="12" customHeight="1" x14ac:dyDescent="0.25">
      <c r="A962" s="3"/>
      <c r="B962" s="14"/>
      <c r="C962" s="14"/>
      <c r="D962" s="14"/>
      <c r="E962" s="14"/>
      <c r="K962" s="14"/>
      <c r="M962" s="14"/>
      <c r="N962" s="14"/>
      <c r="Z962" s="11"/>
      <c r="AM962" s="17"/>
      <c r="AX962" s="15"/>
      <c r="AY962" s="15"/>
      <c r="AZ962" s="15"/>
    </row>
    <row r="963" spans="1:52" ht="12" customHeight="1" x14ac:dyDescent="0.25">
      <c r="A963" s="3"/>
      <c r="B963" s="14"/>
      <c r="C963" s="14"/>
      <c r="D963" s="14"/>
      <c r="E963" s="14"/>
      <c r="K963" s="14"/>
      <c r="M963" s="14"/>
      <c r="N963" s="14"/>
      <c r="Z963" s="11"/>
      <c r="AM963" s="17"/>
      <c r="AX963" s="15"/>
      <c r="AY963" s="15"/>
      <c r="AZ963" s="15"/>
    </row>
    <row r="964" spans="1:52" ht="12" customHeight="1" x14ac:dyDescent="0.25">
      <c r="A964" s="3"/>
      <c r="B964" s="14"/>
      <c r="C964" s="14"/>
      <c r="D964" s="14"/>
      <c r="E964" s="14"/>
      <c r="K964" s="14"/>
      <c r="M964" s="14"/>
      <c r="N964" s="14"/>
      <c r="Z964" s="11"/>
      <c r="AM964" s="17"/>
      <c r="AX964" s="15"/>
      <c r="AY964" s="15"/>
      <c r="AZ964" s="15"/>
    </row>
    <row r="965" spans="1:52" ht="12" customHeight="1" x14ac:dyDescent="0.25">
      <c r="A965" s="3"/>
      <c r="B965" s="14"/>
      <c r="C965" s="14"/>
      <c r="D965" s="14"/>
      <c r="E965" s="14"/>
      <c r="K965" s="14"/>
      <c r="M965" s="14"/>
      <c r="N965" s="14"/>
      <c r="Z965" s="11"/>
      <c r="AM965" s="17"/>
      <c r="AX965" s="15"/>
      <c r="AY965" s="15"/>
      <c r="AZ965" s="15"/>
    </row>
    <row r="966" spans="1:52" ht="12" customHeight="1" x14ac:dyDescent="0.25">
      <c r="A966" s="3"/>
      <c r="B966" s="14"/>
      <c r="C966" s="14"/>
      <c r="D966" s="14"/>
      <c r="E966" s="14"/>
      <c r="K966" s="14"/>
      <c r="M966" s="14"/>
      <c r="N966" s="14"/>
      <c r="Z966" s="11"/>
      <c r="AM966" s="17"/>
      <c r="AX966" s="15"/>
      <c r="AY966" s="15"/>
      <c r="AZ966" s="15"/>
    </row>
    <row r="967" spans="1:52" ht="12" customHeight="1" x14ac:dyDescent="0.25">
      <c r="A967" s="3"/>
      <c r="B967" s="14"/>
      <c r="C967" s="14"/>
      <c r="D967" s="14"/>
      <c r="E967" s="14"/>
      <c r="K967" s="14"/>
      <c r="M967" s="14"/>
      <c r="N967" s="14"/>
      <c r="Z967" s="11"/>
      <c r="AM967" s="17"/>
      <c r="AX967" s="15"/>
      <c r="AY967" s="15"/>
      <c r="AZ967" s="15"/>
    </row>
    <row r="968" spans="1:52" ht="12" customHeight="1" x14ac:dyDescent="0.25">
      <c r="A968" s="3"/>
      <c r="B968" s="14"/>
      <c r="C968" s="14"/>
      <c r="D968" s="14"/>
      <c r="E968" s="14"/>
      <c r="K968" s="14"/>
      <c r="M968" s="14"/>
      <c r="N968" s="14"/>
      <c r="Z968" s="11"/>
      <c r="AM968" s="17"/>
      <c r="AX968" s="15"/>
      <c r="AY968" s="15"/>
      <c r="AZ968" s="15"/>
    </row>
    <row r="969" spans="1:52" ht="12" customHeight="1" x14ac:dyDescent="0.25">
      <c r="A969" s="3"/>
      <c r="B969" s="14"/>
      <c r="C969" s="14"/>
      <c r="D969" s="14"/>
      <c r="E969" s="14"/>
      <c r="K969" s="14"/>
      <c r="M969" s="14"/>
      <c r="N969" s="14"/>
      <c r="Z969" s="11"/>
      <c r="AM969" s="17"/>
      <c r="AX969" s="15"/>
      <c r="AY969" s="15"/>
      <c r="AZ969" s="15"/>
    </row>
    <row r="970" spans="1:52" ht="12" customHeight="1" x14ac:dyDescent="0.25">
      <c r="A970" s="3"/>
      <c r="B970" s="14"/>
      <c r="C970" s="14"/>
      <c r="D970" s="14"/>
      <c r="E970" s="14"/>
      <c r="K970" s="14"/>
      <c r="M970" s="14"/>
      <c r="N970" s="14"/>
      <c r="Z970" s="11"/>
      <c r="AM970" s="17"/>
      <c r="AX970" s="15"/>
      <c r="AY970" s="15"/>
      <c r="AZ970" s="15"/>
    </row>
    <row r="971" spans="1:52" ht="12" customHeight="1" x14ac:dyDescent="0.25">
      <c r="A971" s="3"/>
      <c r="B971" s="14"/>
      <c r="C971" s="14"/>
      <c r="D971" s="14"/>
      <c r="E971" s="14"/>
      <c r="K971" s="14"/>
      <c r="M971" s="14"/>
      <c r="N971" s="14"/>
      <c r="Z971" s="11"/>
      <c r="AM971" s="17"/>
      <c r="AX971" s="15"/>
      <c r="AY971" s="15"/>
      <c r="AZ971" s="15"/>
    </row>
    <row r="972" spans="1:52" ht="12" customHeight="1" x14ac:dyDescent="0.25">
      <c r="A972" s="3"/>
      <c r="B972" s="14"/>
      <c r="C972" s="14"/>
      <c r="D972" s="14"/>
      <c r="E972" s="14"/>
      <c r="K972" s="14"/>
      <c r="M972" s="14"/>
      <c r="N972" s="14"/>
      <c r="Z972" s="11"/>
      <c r="AM972" s="17"/>
      <c r="AX972" s="15"/>
      <c r="AY972" s="15"/>
      <c r="AZ972" s="15"/>
    </row>
    <row r="973" spans="1:52" ht="12" customHeight="1" x14ac:dyDescent="0.25">
      <c r="A973" s="3"/>
      <c r="B973" s="14"/>
      <c r="C973" s="14"/>
      <c r="D973" s="14"/>
      <c r="E973" s="14"/>
      <c r="K973" s="14"/>
      <c r="M973" s="14"/>
      <c r="N973" s="14"/>
      <c r="Z973" s="11"/>
      <c r="AM973" s="17"/>
      <c r="AX973" s="15"/>
      <c r="AY973" s="15"/>
      <c r="AZ973" s="15"/>
    </row>
    <row r="974" spans="1:52" ht="12" customHeight="1" x14ac:dyDescent="0.25">
      <c r="A974" s="3"/>
      <c r="B974" s="14"/>
      <c r="C974" s="14"/>
      <c r="D974" s="14"/>
      <c r="E974" s="14"/>
      <c r="K974" s="14"/>
      <c r="M974" s="14"/>
      <c r="N974" s="14"/>
      <c r="Z974" s="11"/>
      <c r="AM974" s="17"/>
      <c r="AX974" s="15"/>
      <c r="AY974" s="15"/>
      <c r="AZ974" s="15"/>
    </row>
    <row r="975" spans="1:52" ht="12" customHeight="1" x14ac:dyDescent="0.25">
      <c r="A975" s="3"/>
      <c r="B975" s="14"/>
      <c r="C975" s="14"/>
      <c r="D975" s="14"/>
      <c r="E975" s="14"/>
      <c r="K975" s="14"/>
      <c r="M975" s="14"/>
      <c r="N975" s="14"/>
      <c r="Z975" s="11"/>
      <c r="AM975" s="17"/>
      <c r="AX975" s="15"/>
      <c r="AY975" s="15"/>
      <c r="AZ975" s="15"/>
    </row>
    <row r="976" spans="1:52" ht="12" customHeight="1" x14ac:dyDescent="0.25">
      <c r="A976" s="3"/>
      <c r="B976" s="14"/>
      <c r="C976" s="14"/>
      <c r="D976" s="14"/>
      <c r="E976" s="14"/>
      <c r="K976" s="14"/>
      <c r="M976" s="14"/>
      <c r="N976" s="14"/>
      <c r="Z976" s="11"/>
      <c r="AM976" s="17"/>
      <c r="AX976" s="15"/>
      <c r="AY976" s="15"/>
      <c r="AZ976" s="15"/>
    </row>
    <row r="977" spans="1:52" ht="12" customHeight="1" x14ac:dyDescent="0.25">
      <c r="A977" s="3"/>
      <c r="B977" s="14"/>
      <c r="C977" s="14"/>
      <c r="D977" s="14"/>
      <c r="E977" s="14"/>
      <c r="K977" s="14"/>
      <c r="M977" s="14"/>
      <c r="N977" s="14"/>
      <c r="Z977" s="11"/>
      <c r="AM977" s="17"/>
      <c r="AX977" s="15"/>
      <c r="AY977" s="15"/>
      <c r="AZ977" s="15"/>
    </row>
    <row r="978" spans="1:52" ht="12" customHeight="1" x14ac:dyDescent="0.25">
      <c r="A978" s="3"/>
      <c r="B978" s="14"/>
      <c r="C978" s="14"/>
      <c r="D978" s="14"/>
      <c r="E978" s="14"/>
      <c r="K978" s="14"/>
      <c r="M978" s="14"/>
      <c r="N978" s="14"/>
      <c r="Z978" s="11"/>
      <c r="AM978" s="17"/>
      <c r="AX978" s="15"/>
      <c r="AY978" s="15"/>
      <c r="AZ978" s="15"/>
    </row>
    <row r="979" spans="1:52" ht="12" customHeight="1" x14ac:dyDescent="0.25">
      <c r="A979" s="3"/>
      <c r="B979" s="14"/>
      <c r="C979" s="14"/>
      <c r="D979" s="14"/>
      <c r="E979" s="14"/>
      <c r="K979" s="14"/>
      <c r="M979" s="14"/>
      <c r="N979" s="14"/>
      <c r="Z979" s="11"/>
      <c r="AM979" s="17"/>
      <c r="AX979" s="15"/>
      <c r="AY979" s="15"/>
      <c r="AZ979" s="15"/>
    </row>
    <row r="980" spans="1:52" ht="12" customHeight="1" x14ac:dyDescent="0.25">
      <c r="A980" s="3"/>
      <c r="B980" s="14"/>
      <c r="C980" s="14"/>
      <c r="D980" s="14"/>
      <c r="E980" s="14"/>
      <c r="K980" s="14"/>
      <c r="M980" s="14"/>
      <c r="N980" s="14"/>
      <c r="Z980" s="11"/>
      <c r="AM980" s="17"/>
      <c r="AX980" s="15"/>
      <c r="AY980" s="15"/>
      <c r="AZ980" s="15"/>
    </row>
    <row r="981" spans="1:52" ht="12" customHeight="1" x14ac:dyDescent="0.25">
      <c r="A981" s="3"/>
      <c r="B981" s="14"/>
      <c r="C981" s="14"/>
      <c r="D981" s="14"/>
      <c r="E981" s="14"/>
      <c r="K981" s="14"/>
      <c r="M981" s="14"/>
      <c r="N981" s="14"/>
      <c r="Z981" s="11"/>
      <c r="AM981" s="17"/>
      <c r="AX981" s="15"/>
      <c r="AY981" s="15"/>
      <c r="AZ981" s="15"/>
    </row>
    <row r="982" spans="1:52" ht="12" customHeight="1" x14ac:dyDescent="0.25">
      <c r="A982" s="3"/>
      <c r="B982" s="14"/>
      <c r="C982" s="14"/>
      <c r="D982" s="14"/>
      <c r="E982" s="14"/>
      <c r="K982" s="14"/>
      <c r="M982" s="14"/>
      <c r="N982" s="14"/>
      <c r="Z982" s="11"/>
      <c r="AM982" s="17"/>
      <c r="AX982" s="15"/>
      <c r="AY982" s="15"/>
      <c r="AZ982" s="15"/>
    </row>
    <row r="983" spans="1:52" ht="12" customHeight="1" x14ac:dyDescent="0.25">
      <c r="A983" s="3"/>
      <c r="B983" s="14"/>
      <c r="C983" s="14"/>
      <c r="D983" s="14"/>
      <c r="E983" s="14"/>
      <c r="K983" s="14"/>
      <c r="M983" s="14"/>
      <c r="N983" s="14"/>
      <c r="Z983" s="11"/>
      <c r="AM983" s="17"/>
      <c r="AX983" s="15"/>
      <c r="AY983" s="15"/>
      <c r="AZ983" s="15"/>
    </row>
    <row r="984" spans="1:52" ht="12" customHeight="1" x14ac:dyDescent="0.25">
      <c r="A984" s="3"/>
      <c r="B984" s="14"/>
      <c r="C984" s="14"/>
      <c r="D984" s="14"/>
      <c r="E984" s="14"/>
      <c r="K984" s="14"/>
      <c r="M984" s="14"/>
      <c r="N984" s="14"/>
      <c r="Z984" s="11"/>
      <c r="AM984" s="17"/>
      <c r="AX984" s="15"/>
      <c r="AY984" s="15"/>
      <c r="AZ984" s="15"/>
    </row>
    <row r="985" spans="1:52" ht="12" customHeight="1" x14ac:dyDescent="0.25">
      <c r="A985" s="3"/>
      <c r="B985" s="14"/>
      <c r="C985" s="14"/>
      <c r="D985" s="14"/>
      <c r="E985" s="14"/>
      <c r="K985" s="14"/>
      <c r="M985" s="14"/>
      <c r="N985" s="14"/>
      <c r="Z985" s="11"/>
      <c r="AM985" s="17"/>
      <c r="AX985" s="15"/>
      <c r="AY985" s="15"/>
      <c r="AZ985" s="15"/>
    </row>
    <row r="986" spans="1:52" ht="12" customHeight="1" x14ac:dyDescent="0.25">
      <c r="A986" s="3"/>
      <c r="B986" s="14"/>
      <c r="C986" s="14"/>
      <c r="D986" s="14"/>
      <c r="E986" s="14"/>
      <c r="K986" s="14"/>
      <c r="M986" s="14"/>
      <c r="N986" s="14"/>
      <c r="Z986" s="11"/>
      <c r="AM986" s="17"/>
      <c r="AX986" s="15"/>
      <c r="AY986" s="15"/>
      <c r="AZ986" s="15"/>
    </row>
    <row r="987" spans="1:52" ht="12" customHeight="1" x14ac:dyDescent="0.25">
      <c r="A987" s="3"/>
      <c r="B987" s="14"/>
      <c r="C987" s="14"/>
      <c r="D987" s="14"/>
      <c r="E987" s="14"/>
      <c r="K987" s="14"/>
      <c r="M987" s="14"/>
      <c r="N987" s="14"/>
      <c r="Z987" s="11"/>
      <c r="AM987" s="17"/>
      <c r="AX987" s="15"/>
      <c r="AY987" s="15"/>
      <c r="AZ987" s="15"/>
    </row>
    <row r="988" spans="1:52" ht="12" customHeight="1" x14ac:dyDescent="0.25">
      <c r="A988" s="3"/>
      <c r="B988" s="14"/>
      <c r="C988" s="14"/>
      <c r="D988" s="14"/>
      <c r="E988" s="14"/>
      <c r="K988" s="14"/>
      <c r="M988" s="14"/>
      <c r="N988" s="14"/>
      <c r="Z988" s="11"/>
      <c r="AM988" s="17"/>
      <c r="AX988" s="15"/>
      <c r="AY988" s="15"/>
      <c r="AZ988" s="15"/>
    </row>
    <row r="989" spans="1:52" ht="12" customHeight="1" x14ac:dyDescent="0.25">
      <c r="A989" s="3"/>
      <c r="B989" s="14"/>
      <c r="C989" s="14"/>
      <c r="D989" s="14"/>
      <c r="E989" s="14"/>
      <c r="K989" s="14"/>
      <c r="M989" s="14"/>
      <c r="N989" s="14"/>
      <c r="Z989" s="11"/>
      <c r="AM989" s="17"/>
      <c r="AX989" s="15"/>
      <c r="AY989" s="15"/>
      <c r="AZ989" s="15"/>
    </row>
    <row r="990" spans="1:52" ht="12" customHeight="1" x14ac:dyDescent="0.25">
      <c r="A990" s="3"/>
      <c r="B990" s="14"/>
      <c r="C990" s="14"/>
      <c r="D990" s="14"/>
      <c r="E990" s="14"/>
      <c r="K990" s="14"/>
      <c r="M990" s="14"/>
      <c r="N990" s="14"/>
      <c r="Z990" s="11"/>
      <c r="AM990" s="17"/>
      <c r="AX990" s="15"/>
      <c r="AY990" s="15"/>
      <c r="AZ990" s="15"/>
    </row>
    <row r="991" spans="1:52" ht="12" customHeight="1" x14ac:dyDescent="0.25">
      <c r="A991" s="3"/>
      <c r="B991" s="14"/>
      <c r="C991" s="14"/>
      <c r="D991" s="14"/>
      <c r="E991" s="14"/>
      <c r="K991" s="14"/>
      <c r="M991" s="14"/>
      <c r="N991" s="14"/>
      <c r="Z991" s="11"/>
      <c r="AM991" s="17"/>
      <c r="AX991" s="15"/>
      <c r="AY991" s="15"/>
      <c r="AZ991" s="15"/>
    </row>
    <row r="992" spans="1:52" ht="12" customHeight="1" x14ac:dyDescent="0.25">
      <c r="A992" s="3"/>
      <c r="B992" s="14"/>
      <c r="C992" s="14"/>
      <c r="D992" s="14"/>
      <c r="E992" s="14"/>
      <c r="K992" s="14"/>
      <c r="M992" s="14"/>
      <c r="N992" s="14"/>
      <c r="Z992" s="11"/>
      <c r="AM992" s="17"/>
      <c r="AX992" s="15"/>
      <c r="AY992" s="15"/>
      <c r="AZ992" s="15"/>
    </row>
    <row r="993" spans="1:52" ht="12" customHeight="1" x14ac:dyDescent="0.25">
      <c r="A993" s="3"/>
      <c r="B993" s="14"/>
      <c r="C993" s="14"/>
      <c r="D993" s="14"/>
      <c r="E993" s="14"/>
      <c r="K993" s="14"/>
      <c r="M993" s="14"/>
      <c r="N993" s="14"/>
      <c r="Z993" s="11"/>
      <c r="AM993" s="17"/>
      <c r="AX993" s="15"/>
      <c r="AY993" s="15"/>
      <c r="AZ993" s="15"/>
    </row>
    <row r="994" spans="1:52" ht="12" customHeight="1" x14ac:dyDescent="0.25">
      <c r="A994" s="3"/>
      <c r="B994" s="14"/>
      <c r="C994" s="14"/>
      <c r="D994" s="14"/>
      <c r="E994" s="14"/>
      <c r="K994" s="14"/>
      <c r="M994" s="14"/>
      <c r="N994" s="14"/>
      <c r="Z994" s="11"/>
      <c r="AM994" s="17"/>
      <c r="AX994" s="15"/>
      <c r="AY994" s="15"/>
      <c r="AZ994" s="15"/>
    </row>
    <row r="995" spans="1:52" ht="12" customHeight="1" x14ac:dyDescent="0.25">
      <c r="A995" s="3"/>
      <c r="B995" s="14"/>
      <c r="C995" s="14"/>
      <c r="D995" s="14"/>
      <c r="E995" s="14"/>
      <c r="K995" s="14"/>
      <c r="M995" s="14"/>
      <c r="N995" s="14"/>
      <c r="Z995" s="11"/>
      <c r="AM995" s="17"/>
      <c r="AX995" s="15"/>
      <c r="AY995" s="15"/>
      <c r="AZ995" s="15"/>
    </row>
    <row r="996" spans="1:52" ht="12" customHeight="1" x14ac:dyDescent="0.25">
      <c r="A996" s="3"/>
      <c r="B996" s="14"/>
      <c r="C996" s="14"/>
      <c r="D996" s="14"/>
      <c r="E996" s="14"/>
      <c r="K996" s="14"/>
      <c r="M996" s="14"/>
      <c r="N996" s="14"/>
      <c r="Z996" s="11"/>
      <c r="AM996" s="17"/>
      <c r="AX996" s="15"/>
      <c r="AY996" s="15"/>
      <c r="AZ996" s="15"/>
    </row>
    <row r="997" spans="1:52" ht="12" customHeight="1" x14ac:dyDescent="0.25">
      <c r="A997" s="3"/>
      <c r="B997" s="14"/>
      <c r="C997" s="14"/>
      <c r="D997" s="14"/>
      <c r="E997" s="14"/>
      <c r="K997" s="14"/>
      <c r="M997" s="14"/>
      <c r="N997" s="14"/>
      <c r="Z997" s="11"/>
      <c r="AM997" s="17"/>
      <c r="AX997" s="15"/>
      <c r="AY997" s="15"/>
      <c r="AZ997" s="15"/>
    </row>
    <row r="998" spans="1:52" ht="12" customHeight="1" x14ac:dyDescent="0.25">
      <c r="A998" s="3"/>
      <c r="B998" s="14"/>
      <c r="C998" s="14"/>
      <c r="D998" s="14"/>
      <c r="E998" s="14"/>
      <c r="K998" s="14"/>
      <c r="M998" s="14"/>
      <c r="N998" s="14"/>
      <c r="Z998" s="11"/>
      <c r="AM998" s="17"/>
      <c r="AX998" s="15"/>
      <c r="AY998" s="15"/>
      <c r="AZ998" s="15"/>
    </row>
    <row r="999" spans="1:52" ht="12" customHeight="1" x14ac:dyDescent="0.25">
      <c r="A999" s="3"/>
      <c r="B999" s="14"/>
      <c r="C999" s="14"/>
      <c r="D999" s="14"/>
      <c r="E999" s="14"/>
      <c r="K999" s="14"/>
      <c r="M999" s="14"/>
      <c r="N999" s="14"/>
      <c r="Z999" s="11"/>
      <c r="AM999" s="17"/>
      <c r="AX999" s="15"/>
      <c r="AY999" s="15"/>
      <c r="AZ999" s="15"/>
    </row>
    <row r="1000" spans="1:52" ht="12" customHeight="1" x14ac:dyDescent="0.25">
      <c r="A1000" s="3"/>
      <c r="B1000" s="14"/>
      <c r="C1000" s="14"/>
      <c r="D1000" s="14"/>
      <c r="E1000" s="14"/>
      <c r="K1000" s="14"/>
      <c r="M1000" s="14"/>
      <c r="N1000" s="14"/>
      <c r="Z1000" s="11"/>
      <c r="AM1000" s="17"/>
      <c r="AX1000" s="15"/>
      <c r="AY1000" s="15"/>
      <c r="AZ1000" s="15"/>
    </row>
    <row r="1001" spans="1:52" ht="12" customHeight="1" x14ac:dyDescent="0.25">
      <c r="A1001" s="3"/>
      <c r="B1001" s="14"/>
      <c r="C1001" s="14"/>
      <c r="D1001" s="14"/>
      <c r="E1001" s="14"/>
      <c r="K1001" s="14"/>
      <c r="M1001" s="14"/>
      <c r="N1001" s="14"/>
      <c r="Z1001" s="11"/>
      <c r="AM1001" s="17"/>
      <c r="AX1001" s="15"/>
      <c r="AY1001" s="15"/>
      <c r="AZ1001" s="15"/>
    </row>
    <row r="1002" spans="1:52" ht="12" customHeight="1" x14ac:dyDescent="0.25">
      <c r="A1002" s="3"/>
      <c r="B1002" s="14"/>
      <c r="C1002" s="14"/>
      <c r="D1002" s="14"/>
      <c r="E1002" s="14"/>
      <c r="K1002" s="14"/>
      <c r="M1002" s="14"/>
      <c r="N1002" s="14"/>
      <c r="Z1002" s="11"/>
      <c r="AM1002" s="17"/>
      <c r="AX1002" s="15"/>
      <c r="AY1002" s="15"/>
      <c r="AZ1002" s="15"/>
    </row>
    <row r="1003" spans="1:52" ht="12" customHeight="1" x14ac:dyDescent="0.25">
      <c r="A1003" s="3"/>
      <c r="B1003" s="14"/>
      <c r="C1003" s="14"/>
      <c r="D1003" s="14"/>
      <c r="E1003" s="14"/>
      <c r="K1003" s="14"/>
      <c r="M1003" s="14"/>
      <c r="N1003" s="14"/>
      <c r="Z1003" s="11"/>
      <c r="AM1003" s="17"/>
      <c r="AX1003" s="15"/>
      <c r="AY1003" s="15"/>
      <c r="AZ1003" s="15"/>
    </row>
    <row r="1004" spans="1:52" ht="12" customHeight="1" x14ac:dyDescent="0.25">
      <c r="A1004" s="3"/>
      <c r="B1004" s="14"/>
      <c r="C1004" s="14"/>
      <c r="D1004" s="14"/>
      <c r="E1004" s="14"/>
      <c r="K1004" s="14"/>
      <c r="M1004" s="14"/>
      <c r="N1004" s="14"/>
      <c r="Z1004" s="11"/>
      <c r="AM1004" s="17"/>
      <c r="AX1004" s="15"/>
      <c r="AY1004" s="15"/>
      <c r="AZ1004" s="15"/>
    </row>
    <row r="1005" spans="1:52" ht="12" customHeight="1" x14ac:dyDescent="0.25">
      <c r="A1005" s="3"/>
      <c r="B1005" s="14"/>
      <c r="C1005" s="14"/>
      <c r="D1005" s="14"/>
      <c r="E1005" s="14"/>
      <c r="K1005" s="14"/>
      <c r="M1005" s="14"/>
      <c r="N1005" s="14"/>
      <c r="Z1005" s="11"/>
      <c r="AM1005" s="17"/>
      <c r="AX1005" s="15"/>
      <c r="AY1005" s="15"/>
      <c r="AZ1005" s="15"/>
    </row>
    <row r="1006" spans="1:52" ht="12" customHeight="1" x14ac:dyDescent="0.25">
      <c r="A1006" s="3"/>
      <c r="B1006" s="14"/>
      <c r="C1006" s="14"/>
      <c r="D1006" s="14"/>
      <c r="E1006" s="14"/>
      <c r="K1006" s="14"/>
      <c r="M1006" s="14"/>
      <c r="N1006" s="14"/>
      <c r="Z1006" s="11"/>
      <c r="AM1006" s="17"/>
      <c r="AX1006" s="15"/>
      <c r="AY1006" s="15"/>
      <c r="AZ1006" s="15"/>
    </row>
    <row r="1007" spans="1:52" ht="12" customHeight="1" x14ac:dyDescent="0.25">
      <c r="A1007" s="3"/>
      <c r="B1007" s="14"/>
      <c r="C1007" s="14"/>
      <c r="D1007" s="14"/>
      <c r="E1007" s="14"/>
      <c r="K1007" s="14"/>
      <c r="M1007" s="14"/>
      <c r="N1007" s="14"/>
      <c r="Z1007" s="11"/>
      <c r="AM1007" s="17"/>
      <c r="AX1007" s="15"/>
      <c r="AY1007" s="15"/>
      <c r="AZ1007" s="15"/>
    </row>
    <row r="1008" spans="1:52" ht="12" customHeight="1" x14ac:dyDescent="0.25">
      <c r="A1008" s="3"/>
      <c r="B1008" s="14"/>
      <c r="C1008" s="14"/>
      <c r="D1008" s="14"/>
      <c r="E1008" s="14"/>
      <c r="K1008" s="14"/>
      <c r="M1008" s="14"/>
      <c r="N1008" s="14"/>
      <c r="Z1008" s="11"/>
      <c r="AM1008" s="17"/>
      <c r="AX1008" s="15"/>
      <c r="AY1008" s="15"/>
      <c r="AZ1008" s="15"/>
    </row>
    <row r="1009" spans="1:52" ht="12" customHeight="1" x14ac:dyDescent="0.25">
      <c r="A1009" s="3"/>
      <c r="B1009" s="14"/>
      <c r="C1009" s="14"/>
      <c r="D1009" s="14"/>
      <c r="E1009" s="14"/>
      <c r="K1009" s="14"/>
      <c r="M1009" s="14"/>
      <c r="N1009" s="14"/>
      <c r="Z1009" s="11"/>
      <c r="AM1009" s="17"/>
      <c r="AX1009" s="15"/>
      <c r="AY1009" s="15"/>
      <c r="AZ1009" s="15"/>
    </row>
    <row r="1010" spans="1:52" ht="12" customHeight="1" x14ac:dyDescent="0.25">
      <c r="A1010" s="3"/>
      <c r="B1010" s="14"/>
      <c r="C1010" s="14"/>
      <c r="D1010" s="14"/>
      <c r="E1010" s="14"/>
      <c r="K1010" s="14"/>
      <c r="M1010" s="14"/>
      <c r="N1010" s="14"/>
      <c r="Z1010" s="11"/>
      <c r="AM1010" s="17"/>
      <c r="AX1010" s="15"/>
      <c r="AY1010" s="15"/>
      <c r="AZ1010" s="15"/>
    </row>
    <row r="1011" spans="1:52" ht="12" customHeight="1" x14ac:dyDescent="0.25">
      <c r="A1011" s="3"/>
      <c r="B1011" s="14"/>
      <c r="C1011" s="14"/>
      <c r="D1011" s="14"/>
      <c r="E1011" s="14"/>
      <c r="K1011" s="14"/>
      <c r="M1011" s="14"/>
      <c r="N1011" s="14"/>
      <c r="Z1011" s="11"/>
      <c r="AM1011" s="17"/>
      <c r="AX1011" s="15"/>
      <c r="AY1011" s="15"/>
      <c r="AZ1011" s="15"/>
    </row>
    <row r="1012" spans="1:52" ht="12" customHeight="1" x14ac:dyDescent="0.25">
      <c r="A1012" s="3"/>
      <c r="B1012" s="14"/>
      <c r="C1012" s="14"/>
      <c r="D1012" s="14"/>
      <c r="E1012" s="14"/>
      <c r="K1012" s="14"/>
      <c r="M1012" s="14"/>
      <c r="N1012" s="14"/>
      <c r="Z1012" s="11"/>
      <c r="AM1012" s="17"/>
      <c r="AX1012" s="15"/>
      <c r="AY1012" s="15"/>
      <c r="AZ1012" s="15"/>
    </row>
    <row r="1013" spans="1:52" ht="12" customHeight="1" x14ac:dyDescent="0.25">
      <c r="A1013" s="3"/>
      <c r="B1013" s="14"/>
      <c r="C1013" s="14"/>
      <c r="D1013" s="14"/>
      <c r="E1013" s="14"/>
      <c r="K1013" s="14"/>
      <c r="M1013" s="14"/>
      <c r="N1013" s="14"/>
      <c r="Z1013" s="11"/>
      <c r="AM1013" s="17"/>
      <c r="AX1013" s="15"/>
      <c r="AY1013" s="15"/>
      <c r="AZ1013" s="15"/>
    </row>
    <row r="1014" spans="1:52" ht="12" customHeight="1" x14ac:dyDescent="0.25">
      <c r="A1014" s="3"/>
      <c r="B1014" s="14"/>
      <c r="C1014" s="14"/>
      <c r="D1014" s="14"/>
      <c r="E1014" s="14"/>
      <c r="K1014" s="14"/>
      <c r="M1014" s="14"/>
      <c r="N1014" s="14"/>
      <c r="Z1014" s="11"/>
      <c r="AM1014" s="17"/>
      <c r="AX1014" s="15"/>
      <c r="AY1014" s="15"/>
      <c r="AZ1014" s="15"/>
    </row>
    <row r="1015" spans="1:52" ht="12" customHeight="1" x14ac:dyDescent="0.25">
      <c r="A1015" s="3"/>
      <c r="B1015" s="14"/>
      <c r="C1015" s="14"/>
      <c r="D1015" s="14"/>
      <c r="E1015" s="14"/>
      <c r="K1015" s="14"/>
      <c r="M1015" s="14"/>
      <c r="N1015" s="14"/>
      <c r="Z1015" s="11"/>
      <c r="AM1015" s="17"/>
      <c r="AX1015" s="15"/>
      <c r="AY1015" s="15"/>
      <c r="AZ1015" s="15"/>
    </row>
    <row r="1016" spans="1:52" ht="12" customHeight="1" x14ac:dyDescent="0.25">
      <c r="A1016" s="3"/>
      <c r="B1016" s="14"/>
      <c r="C1016" s="14"/>
      <c r="D1016" s="14"/>
      <c r="E1016" s="14"/>
      <c r="K1016" s="14"/>
      <c r="M1016" s="14"/>
      <c r="N1016" s="14"/>
      <c r="Z1016" s="11"/>
      <c r="AM1016" s="17"/>
      <c r="AX1016" s="15"/>
      <c r="AY1016" s="15"/>
      <c r="AZ1016" s="15"/>
    </row>
    <row r="1017" spans="1:52" ht="12" customHeight="1" x14ac:dyDescent="0.25">
      <c r="A1017" s="3"/>
      <c r="B1017" s="14"/>
      <c r="C1017" s="14"/>
      <c r="D1017" s="14"/>
      <c r="E1017" s="14"/>
      <c r="K1017" s="14"/>
      <c r="M1017" s="14"/>
      <c r="N1017" s="14"/>
      <c r="Z1017" s="11"/>
      <c r="AM1017" s="17"/>
      <c r="AX1017" s="15"/>
      <c r="AY1017" s="15"/>
      <c r="AZ1017" s="15"/>
    </row>
    <row r="1018" spans="1:52" ht="12" customHeight="1" x14ac:dyDescent="0.25">
      <c r="A1018" s="3"/>
      <c r="B1018" s="14"/>
      <c r="C1018" s="14"/>
      <c r="D1018" s="14"/>
      <c r="E1018" s="14"/>
      <c r="K1018" s="14"/>
      <c r="M1018" s="14"/>
      <c r="N1018" s="14"/>
      <c r="Z1018" s="11"/>
      <c r="AM1018" s="17"/>
      <c r="AX1018" s="15"/>
      <c r="AY1018" s="15"/>
      <c r="AZ1018" s="15"/>
    </row>
    <row r="1019" spans="1:52" ht="12" customHeight="1" x14ac:dyDescent="0.25">
      <c r="A1019" s="3"/>
      <c r="B1019" s="14"/>
      <c r="C1019" s="14"/>
      <c r="D1019" s="14"/>
      <c r="E1019" s="14"/>
      <c r="K1019" s="14"/>
      <c r="M1019" s="14"/>
      <c r="N1019" s="14"/>
      <c r="Z1019" s="11"/>
      <c r="AM1019" s="17"/>
      <c r="AX1019" s="15"/>
      <c r="AY1019" s="15"/>
      <c r="AZ1019" s="15"/>
    </row>
    <row r="1020" spans="1:52" ht="12" customHeight="1" x14ac:dyDescent="0.25">
      <c r="A1020" s="3"/>
      <c r="B1020" s="14"/>
      <c r="C1020" s="14"/>
      <c r="D1020" s="14"/>
      <c r="E1020" s="14"/>
      <c r="K1020" s="14"/>
      <c r="M1020" s="14"/>
      <c r="N1020" s="14"/>
      <c r="Z1020" s="11"/>
      <c r="AM1020" s="17"/>
      <c r="AX1020" s="15"/>
      <c r="AY1020" s="15"/>
      <c r="AZ1020" s="15"/>
    </row>
    <row r="1021" spans="1:52" ht="12" customHeight="1" x14ac:dyDescent="0.25">
      <c r="A1021" s="3"/>
      <c r="B1021" s="14"/>
      <c r="C1021" s="14"/>
      <c r="D1021" s="14"/>
      <c r="E1021" s="14"/>
      <c r="K1021" s="14"/>
      <c r="M1021" s="14"/>
      <c r="N1021" s="14"/>
      <c r="Z1021" s="11"/>
      <c r="AM1021" s="17"/>
      <c r="AX1021" s="15"/>
      <c r="AY1021" s="15"/>
      <c r="AZ1021" s="15"/>
    </row>
    <row r="1022" spans="1:52" ht="12" customHeight="1" x14ac:dyDescent="0.25">
      <c r="A1022" s="3"/>
      <c r="B1022" s="14"/>
      <c r="C1022" s="14"/>
      <c r="D1022" s="14"/>
      <c r="E1022" s="14"/>
      <c r="K1022" s="14"/>
      <c r="M1022" s="14"/>
      <c r="N1022" s="14"/>
      <c r="Z1022" s="11"/>
      <c r="AM1022" s="17"/>
      <c r="AX1022" s="15"/>
      <c r="AY1022" s="15"/>
      <c r="AZ1022" s="15"/>
    </row>
    <row r="1023" spans="1:52" ht="12" customHeight="1" x14ac:dyDescent="0.25">
      <c r="A1023" s="3"/>
      <c r="B1023" s="14"/>
      <c r="C1023" s="14"/>
      <c r="D1023" s="14"/>
      <c r="E1023" s="14"/>
      <c r="K1023" s="14"/>
      <c r="M1023" s="14"/>
      <c r="N1023" s="14"/>
      <c r="Z1023" s="11"/>
      <c r="AM1023" s="17"/>
      <c r="AX1023" s="15"/>
      <c r="AY1023" s="15"/>
      <c r="AZ1023" s="15"/>
    </row>
    <row r="1024" spans="1:52" ht="12" customHeight="1" x14ac:dyDescent="0.25">
      <c r="A1024" s="3"/>
      <c r="B1024" s="14"/>
      <c r="C1024" s="14"/>
      <c r="D1024" s="14"/>
      <c r="E1024" s="14"/>
      <c r="K1024" s="14"/>
      <c r="M1024" s="14"/>
      <c r="N1024" s="14"/>
      <c r="Z1024" s="11"/>
      <c r="AM1024" s="17"/>
      <c r="AX1024" s="15"/>
      <c r="AY1024" s="15"/>
      <c r="AZ1024" s="15"/>
    </row>
    <row r="1025" spans="1:52" ht="12" customHeight="1" x14ac:dyDescent="0.25">
      <c r="A1025" s="3"/>
      <c r="B1025" s="14"/>
      <c r="C1025" s="14"/>
      <c r="D1025" s="14"/>
      <c r="E1025" s="14"/>
      <c r="K1025" s="14"/>
      <c r="M1025" s="14"/>
      <c r="N1025" s="14"/>
      <c r="Z1025" s="11"/>
      <c r="AM1025" s="17"/>
      <c r="AX1025" s="15"/>
      <c r="AY1025" s="15"/>
      <c r="AZ1025" s="15"/>
    </row>
    <row r="1026" spans="1:52" ht="12" customHeight="1" x14ac:dyDescent="0.25">
      <c r="A1026" s="3"/>
      <c r="B1026" s="14"/>
      <c r="C1026" s="14"/>
      <c r="D1026" s="14"/>
      <c r="E1026" s="14"/>
      <c r="K1026" s="14"/>
      <c r="M1026" s="14"/>
      <c r="N1026" s="14"/>
      <c r="Z1026" s="11"/>
      <c r="AM1026" s="17"/>
      <c r="AX1026" s="15"/>
      <c r="AY1026" s="15"/>
      <c r="AZ1026" s="15"/>
    </row>
    <row r="1027" spans="1:52" ht="12" customHeight="1" x14ac:dyDescent="0.25">
      <c r="A1027" s="3"/>
      <c r="B1027" s="14"/>
      <c r="C1027" s="14"/>
      <c r="D1027" s="14"/>
      <c r="E1027" s="14"/>
      <c r="K1027" s="14"/>
      <c r="M1027" s="14"/>
      <c r="N1027" s="14"/>
      <c r="Z1027" s="11"/>
      <c r="AM1027" s="17"/>
      <c r="AX1027" s="15"/>
      <c r="AY1027" s="15"/>
      <c r="AZ1027" s="15"/>
    </row>
    <row r="1028" spans="1:52" ht="12" customHeight="1" x14ac:dyDescent="0.25">
      <c r="A1028" s="3"/>
      <c r="B1028" s="14"/>
      <c r="C1028" s="14"/>
      <c r="D1028" s="14"/>
      <c r="E1028" s="14"/>
      <c r="K1028" s="14"/>
      <c r="M1028" s="14"/>
      <c r="N1028" s="14"/>
      <c r="Z1028" s="11"/>
      <c r="AM1028" s="17"/>
      <c r="AX1028" s="15"/>
      <c r="AY1028" s="15"/>
      <c r="AZ1028" s="15"/>
    </row>
    <row r="1029" spans="1:52" ht="12" customHeight="1" x14ac:dyDescent="0.25">
      <c r="A1029" s="3"/>
      <c r="B1029" s="14"/>
      <c r="C1029" s="14"/>
      <c r="D1029" s="14"/>
      <c r="E1029" s="14"/>
      <c r="K1029" s="14"/>
      <c r="M1029" s="14"/>
      <c r="N1029" s="14"/>
      <c r="Z1029" s="11"/>
      <c r="AM1029" s="17"/>
      <c r="AX1029" s="15"/>
      <c r="AY1029" s="15"/>
      <c r="AZ1029" s="15"/>
    </row>
    <row r="1030" spans="1:52" ht="12" customHeight="1" x14ac:dyDescent="0.25">
      <c r="A1030" s="3"/>
      <c r="B1030" s="14"/>
      <c r="C1030" s="14"/>
      <c r="D1030" s="14"/>
      <c r="E1030" s="14"/>
      <c r="K1030" s="14"/>
      <c r="M1030" s="14"/>
      <c r="N1030" s="14"/>
      <c r="Z1030" s="11"/>
      <c r="AM1030" s="17"/>
      <c r="AX1030" s="15"/>
      <c r="AY1030" s="15"/>
      <c r="AZ1030" s="15"/>
    </row>
    <row r="1031" spans="1:52" ht="12" customHeight="1" x14ac:dyDescent="0.25">
      <c r="A1031" s="3"/>
      <c r="B1031" s="14"/>
      <c r="C1031" s="14"/>
      <c r="D1031" s="14"/>
      <c r="E1031" s="14"/>
      <c r="K1031" s="14"/>
      <c r="M1031" s="14"/>
      <c r="N1031" s="14"/>
      <c r="Z1031" s="11"/>
      <c r="AM1031" s="17"/>
      <c r="AX1031" s="15"/>
      <c r="AY1031" s="15"/>
      <c r="AZ1031" s="15"/>
    </row>
    <row r="1032" spans="1:52" ht="12" customHeight="1" x14ac:dyDescent="0.25">
      <c r="A1032" s="3"/>
      <c r="B1032" s="14"/>
      <c r="C1032" s="14"/>
      <c r="D1032" s="14"/>
      <c r="E1032" s="14"/>
      <c r="K1032" s="14"/>
      <c r="M1032" s="14"/>
      <c r="N1032" s="14"/>
      <c r="Z1032" s="11"/>
      <c r="AM1032" s="17"/>
      <c r="AX1032" s="15"/>
      <c r="AY1032" s="15"/>
      <c r="AZ1032" s="15"/>
    </row>
    <row r="1033" spans="1:52" ht="12" customHeight="1" x14ac:dyDescent="0.25">
      <c r="A1033" s="3"/>
      <c r="B1033" s="14"/>
      <c r="C1033" s="14"/>
      <c r="D1033" s="14"/>
      <c r="E1033" s="14"/>
      <c r="K1033" s="14"/>
      <c r="M1033" s="14"/>
      <c r="N1033" s="14"/>
      <c r="Z1033" s="11"/>
      <c r="AM1033" s="17"/>
      <c r="AX1033" s="15"/>
      <c r="AY1033" s="15"/>
      <c r="AZ1033" s="15"/>
    </row>
    <row r="1034" spans="1:52" ht="12" customHeight="1" x14ac:dyDescent="0.25">
      <c r="A1034" s="3"/>
      <c r="B1034" s="14"/>
      <c r="C1034" s="14"/>
      <c r="D1034" s="14"/>
      <c r="E1034" s="14"/>
      <c r="K1034" s="14"/>
      <c r="M1034" s="14"/>
      <c r="N1034" s="14"/>
      <c r="Z1034" s="11"/>
      <c r="AM1034" s="17"/>
      <c r="AX1034" s="15"/>
      <c r="AY1034" s="15"/>
      <c r="AZ1034" s="15"/>
    </row>
    <row r="1035" spans="1:52" ht="12" customHeight="1" x14ac:dyDescent="0.25">
      <c r="A1035" s="3"/>
      <c r="B1035" s="14"/>
      <c r="C1035" s="14"/>
      <c r="D1035" s="14"/>
      <c r="E1035" s="14"/>
      <c r="K1035" s="14"/>
      <c r="M1035" s="14"/>
      <c r="N1035" s="14"/>
      <c r="Z1035" s="11"/>
      <c r="AM1035" s="17"/>
      <c r="AX1035" s="15"/>
      <c r="AY1035" s="15"/>
      <c r="AZ1035" s="15"/>
    </row>
    <row r="1036" spans="1:52" ht="12" customHeight="1" x14ac:dyDescent="0.25">
      <c r="A1036" s="3"/>
      <c r="B1036" s="14"/>
      <c r="C1036" s="14"/>
      <c r="D1036" s="14"/>
      <c r="E1036" s="14"/>
      <c r="K1036" s="14"/>
      <c r="M1036" s="14"/>
      <c r="N1036" s="14"/>
      <c r="Z1036" s="11"/>
      <c r="AM1036" s="17"/>
      <c r="AX1036" s="15"/>
      <c r="AY1036" s="15"/>
      <c r="AZ1036" s="15"/>
    </row>
    <row r="1037" spans="1:52" ht="12" customHeight="1" x14ac:dyDescent="0.25">
      <c r="A1037" s="3"/>
      <c r="B1037" s="14"/>
      <c r="C1037" s="14"/>
      <c r="D1037" s="14"/>
      <c r="E1037" s="14"/>
      <c r="K1037" s="14"/>
      <c r="M1037" s="14"/>
      <c r="N1037" s="14"/>
      <c r="Z1037" s="11"/>
      <c r="AM1037" s="17"/>
      <c r="AX1037" s="15"/>
      <c r="AY1037" s="15"/>
      <c r="AZ1037" s="15"/>
    </row>
    <row r="1038" spans="1:52" ht="12" customHeight="1" x14ac:dyDescent="0.25">
      <c r="A1038" s="3"/>
      <c r="B1038" s="14"/>
      <c r="C1038" s="14"/>
      <c r="D1038" s="14"/>
      <c r="E1038" s="14"/>
      <c r="K1038" s="14"/>
      <c r="M1038" s="14"/>
      <c r="N1038" s="14"/>
      <c r="Z1038" s="11"/>
      <c r="AM1038" s="17"/>
      <c r="AX1038" s="15"/>
      <c r="AY1038" s="15"/>
      <c r="AZ1038" s="15"/>
    </row>
    <row r="1039" spans="1:52" ht="12" customHeight="1" x14ac:dyDescent="0.25">
      <c r="A1039" s="3"/>
      <c r="B1039" s="14"/>
      <c r="C1039" s="14"/>
      <c r="D1039" s="14"/>
      <c r="E1039" s="14"/>
      <c r="K1039" s="14"/>
      <c r="M1039" s="14"/>
      <c r="N1039" s="14"/>
      <c r="Z1039" s="11"/>
      <c r="AM1039" s="17"/>
      <c r="AX1039" s="15"/>
      <c r="AY1039" s="15"/>
      <c r="AZ1039" s="15"/>
    </row>
    <row r="1040" spans="1:52" ht="12" customHeight="1" x14ac:dyDescent="0.25">
      <c r="A1040" s="3"/>
      <c r="B1040" s="14"/>
      <c r="C1040" s="14"/>
      <c r="D1040" s="14"/>
      <c r="E1040" s="14"/>
      <c r="K1040" s="14"/>
      <c r="M1040" s="14"/>
      <c r="N1040" s="14"/>
      <c r="Z1040" s="11"/>
      <c r="AM1040" s="17"/>
      <c r="AX1040" s="15"/>
      <c r="AY1040" s="15"/>
      <c r="AZ1040" s="15"/>
    </row>
    <row r="1041" spans="1:52" ht="12" customHeight="1" x14ac:dyDescent="0.25">
      <c r="A1041" s="3"/>
      <c r="B1041" s="14"/>
      <c r="C1041" s="14"/>
      <c r="D1041" s="14"/>
      <c r="E1041" s="14"/>
      <c r="K1041" s="14"/>
      <c r="M1041" s="14"/>
      <c r="N1041" s="14"/>
      <c r="Z1041" s="11"/>
      <c r="AM1041" s="17"/>
      <c r="AX1041" s="15"/>
      <c r="AY1041" s="15"/>
      <c r="AZ1041" s="15"/>
    </row>
    <row r="1042" spans="1:52" ht="12" customHeight="1" x14ac:dyDescent="0.25">
      <c r="A1042" s="3"/>
      <c r="B1042" s="14"/>
      <c r="C1042" s="14"/>
      <c r="D1042" s="14"/>
      <c r="E1042" s="14"/>
      <c r="K1042" s="14"/>
      <c r="M1042" s="14"/>
      <c r="N1042" s="14"/>
      <c r="Z1042" s="11"/>
      <c r="AM1042" s="17"/>
      <c r="AX1042" s="15"/>
      <c r="AY1042" s="15"/>
      <c r="AZ1042" s="15"/>
    </row>
    <row r="1043" spans="1:52" ht="12" customHeight="1" x14ac:dyDescent="0.25">
      <c r="A1043" s="3"/>
      <c r="B1043" s="14"/>
      <c r="C1043" s="14"/>
      <c r="D1043" s="14"/>
      <c r="E1043" s="14"/>
      <c r="K1043" s="14"/>
      <c r="M1043" s="14"/>
      <c r="N1043" s="14"/>
      <c r="Z1043" s="11"/>
      <c r="AM1043" s="17"/>
      <c r="AX1043" s="15"/>
      <c r="AY1043" s="15"/>
      <c r="AZ1043" s="15"/>
    </row>
    <row r="1044" spans="1:52" ht="12" customHeight="1" x14ac:dyDescent="0.25">
      <c r="A1044" s="3"/>
      <c r="B1044" s="14"/>
      <c r="C1044" s="14"/>
      <c r="D1044" s="14"/>
      <c r="E1044" s="14"/>
      <c r="K1044" s="14"/>
      <c r="M1044" s="14"/>
      <c r="N1044" s="14"/>
      <c r="Z1044" s="11"/>
      <c r="AM1044" s="17"/>
      <c r="AX1044" s="15"/>
      <c r="AY1044" s="15"/>
      <c r="AZ1044" s="15"/>
    </row>
    <row r="1045" spans="1:52" ht="12" customHeight="1" x14ac:dyDescent="0.25">
      <c r="A1045" s="3"/>
      <c r="B1045" s="14"/>
      <c r="C1045" s="14"/>
      <c r="D1045" s="14"/>
      <c r="E1045" s="14"/>
      <c r="K1045" s="14"/>
      <c r="M1045" s="14"/>
      <c r="N1045" s="14"/>
      <c r="Z1045" s="11"/>
      <c r="AM1045" s="17"/>
      <c r="AX1045" s="15"/>
      <c r="AY1045" s="15"/>
      <c r="AZ1045" s="15"/>
    </row>
    <row r="1046" spans="1:52" ht="12" customHeight="1" x14ac:dyDescent="0.25">
      <c r="A1046" s="3"/>
      <c r="B1046" s="14"/>
      <c r="C1046" s="14"/>
      <c r="D1046" s="14"/>
      <c r="E1046" s="14"/>
      <c r="K1046" s="14"/>
      <c r="M1046" s="14"/>
      <c r="N1046" s="14"/>
      <c r="Z1046" s="11"/>
      <c r="AM1046" s="17"/>
      <c r="AX1046" s="15"/>
      <c r="AY1046" s="15"/>
      <c r="AZ1046" s="15"/>
    </row>
    <row r="1047" spans="1:52" ht="12" customHeight="1" x14ac:dyDescent="0.25">
      <c r="A1047" s="3"/>
      <c r="B1047" s="14"/>
      <c r="C1047" s="14"/>
      <c r="D1047" s="14"/>
      <c r="E1047" s="14"/>
      <c r="K1047" s="14"/>
      <c r="M1047" s="14"/>
      <c r="N1047" s="14"/>
      <c r="Z1047" s="11"/>
      <c r="AM1047" s="17"/>
      <c r="AX1047" s="15"/>
      <c r="AY1047" s="15"/>
      <c r="AZ1047" s="15"/>
    </row>
    <row r="1048" spans="1:52" ht="12" customHeight="1" x14ac:dyDescent="0.25">
      <c r="A1048" s="3"/>
      <c r="B1048" s="14"/>
      <c r="C1048" s="14"/>
      <c r="D1048" s="14"/>
      <c r="E1048" s="14"/>
      <c r="K1048" s="14"/>
      <c r="M1048" s="14"/>
      <c r="N1048" s="14"/>
      <c r="Z1048" s="11"/>
      <c r="AM1048" s="17"/>
      <c r="AX1048" s="15"/>
      <c r="AY1048" s="15"/>
      <c r="AZ1048" s="15"/>
    </row>
    <row r="1049" spans="1:52" ht="12" customHeight="1" x14ac:dyDescent="0.25">
      <c r="A1049" s="3"/>
      <c r="B1049" s="14"/>
      <c r="C1049" s="14"/>
      <c r="D1049" s="14"/>
      <c r="E1049" s="14"/>
      <c r="K1049" s="14"/>
      <c r="M1049" s="14"/>
      <c r="N1049" s="14"/>
      <c r="Z1049" s="11"/>
      <c r="AM1049" s="17"/>
      <c r="AX1049" s="15"/>
      <c r="AY1049" s="15"/>
      <c r="AZ1049" s="15"/>
    </row>
    <row r="1050" spans="1:52" ht="12" customHeight="1" x14ac:dyDescent="0.25">
      <c r="A1050" s="3"/>
      <c r="B1050" s="14"/>
      <c r="C1050" s="14"/>
      <c r="D1050" s="14"/>
      <c r="E1050" s="14"/>
      <c r="K1050" s="14"/>
      <c r="M1050" s="14"/>
      <c r="N1050" s="14"/>
      <c r="Z1050" s="11"/>
      <c r="AM1050" s="17"/>
      <c r="AX1050" s="15"/>
      <c r="AY1050" s="15"/>
      <c r="AZ1050" s="15"/>
    </row>
    <row r="1051" spans="1:52" ht="12" customHeight="1" x14ac:dyDescent="0.25">
      <c r="A1051" s="3"/>
      <c r="B1051" s="14"/>
      <c r="C1051" s="14"/>
      <c r="D1051" s="14"/>
      <c r="E1051" s="14"/>
      <c r="K1051" s="14"/>
      <c r="M1051" s="14"/>
      <c r="N1051" s="14"/>
      <c r="Z1051" s="11"/>
      <c r="AM1051" s="17"/>
      <c r="AX1051" s="15"/>
      <c r="AY1051" s="15"/>
      <c r="AZ1051" s="15"/>
    </row>
    <row r="1052" spans="1:52" ht="12" customHeight="1" x14ac:dyDescent="0.25">
      <c r="A1052" s="3"/>
      <c r="B1052" s="14"/>
      <c r="C1052" s="14"/>
      <c r="D1052" s="14"/>
      <c r="E1052" s="14"/>
      <c r="K1052" s="14"/>
      <c r="M1052" s="14"/>
      <c r="N1052" s="14"/>
      <c r="Z1052" s="11"/>
      <c r="AM1052" s="17"/>
      <c r="AX1052" s="15"/>
      <c r="AY1052" s="15"/>
      <c r="AZ1052" s="15"/>
    </row>
    <row r="1053" spans="1:52" ht="12" customHeight="1" x14ac:dyDescent="0.25">
      <c r="A1053" s="3"/>
      <c r="B1053" s="14"/>
      <c r="C1053" s="14"/>
      <c r="D1053" s="14"/>
      <c r="E1053" s="14"/>
      <c r="K1053" s="14"/>
      <c r="M1053" s="14"/>
      <c r="N1053" s="14"/>
      <c r="Z1053" s="11"/>
      <c r="AM1053" s="17"/>
      <c r="AX1053" s="15"/>
      <c r="AY1053" s="15"/>
      <c r="AZ1053" s="15"/>
    </row>
    <row r="1054" spans="1:52" ht="12" customHeight="1" x14ac:dyDescent="0.25">
      <c r="A1054" s="3"/>
      <c r="B1054" s="14"/>
      <c r="C1054" s="14"/>
      <c r="D1054" s="14"/>
      <c r="E1054" s="14"/>
      <c r="K1054" s="14"/>
      <c r="M1054" s="14"/>
      <c r="N1054" s="14"/>
      <c r="Z1054" s="11"/>
      <c r="AM1054" s="17"/>
      <c r="AX1054" s="15"/>
      <c r="AY1054" s="15"/>
      <c r="AZ1054" s="15"/>
    </row>
    <row r="1055" spans="1:52" ht="12" customHeight="1" x14ac:dyDescent="0.25">
      <c r="A1055" s="3"/>
      <c r="B1055" s="14"/>
      <c r="C1055" s="14"/>
      <c r="D1055" s="14"/>
      <c r="E1055" s="14"/>
      <c r="K1055" s="14"/>
      <c r="M1055" s="14"/>
      <c r="N1055" s="14"/>
      <c r="Z1055" s="11"/>
      <c r="AM1055" s="17"/>
      <c r="AX1055" s="15"/>
      <c r="AY1055" s="15"/>
      <c r="AZ1055" s="15"/>
    </row>
    <row r="1056" spans="1:52" ht="12" customHeight="1" x14ac:dyDescent="0.25">
      <c r="A1056" s="3"/>
      <c r="B1056" s="14"/>
      <c r="C1056" s="14"/>
      <c r="D1056" s="14"/>
      <c r="E1056" s="14"/>
      <c r="K1056" s="14"/>
      <c r="M1056" s="14"/>
      <c r="N1056" s="14"/>
      <c r="Z1056" s="11"/>
      <c r="AM1056" s="17"/>
      <c r="AX1056" s="15"/>
      <c r="AY1056" s="15"/>
      <c r="AZ1056" s="15"/>
    </row>
    <row r="1057" spans="1:52" ht="12" customHeight="1" x14ac:dyDescent="0.25">
      <c r="A1057" s="3"/>
      <c r="B1057" s="14"/>
      <c r="C1057" s="14"/>
      <c r="D1057" s="14"/>
      <c r="E1057" s="14"/>
      <c r="K1057" s="14"/>
      <c r="M1057" s="14"/>
      <c r="N1057" s="14"/>
      <c r="Z1057" s="11"/>
      <c r="AM1057" s="17"/>
      <c r="AX1057" s="15"/>
      <c r="AY1057" s="15"/>
      <c r="AZ1057" s="15"/>
    </row>
    <row r="1058" spans="1:52" ht="12" customHeight="1" x14ac:dyDescent="0.25">
      <c r="A1058" s="3"/>
      <c r="B1058" s="14"/>
      <c r="C1058" s="14"/>
      <c r="D1058" s="14"/>
      <c r="E1058" s="14"/>
      <c r="K1058" s="14"/>
      <c r="M1058" s="14"/>
      <c r="N1058" s="14"/>
      <c r="Z1058" s="11"/>
      <c r="AM1058" s="17"/>
      <c r="AX1058" s="15"/>
      <c r="AY1058" s="15"/>
      <c r="AZ1058" s="15"/>
    </row>
    <row r="1059" spans="1:52" ht="12" customHeight="1" x14ac:dyDescent="0.25">
      <c r="A1059" s="3"/>
      <c r="B1059" s="14"/>
      <c r="C1059" s="14"/>
      <c r="D1059" s="14"/>
      <c r="E1059" s="14"/>
      <c r="K1059" s="14"/>
      <c r="M1059" s="14"/>
      <c r="N1059" s="14"/>
      <c r="Z1059" s="11"/>
      <c r="AM1059" s="17"/>
      <c r="AX1059" s="15"/>
      <c r="AY1059" s="15"/>
      <c r="AZ1059" s="15"/>
    </row>
    <row r="1060" spans="1:52" ht="12" customHeight="1" x14ac:dyDescent="0.25">
      <c r="A1060" s="3"/>
      <c r="B1060" s="14"/>
      <c r="C1060" s="14"/>
      <c r="D1060" s="14"/>
      <c r="E1060" s="14"/>
      <c r="K1060" s="14"/>
      <c r="M1060" s="14"/>
      <c r="N1060" s="14"/>
      <c r="Z1060" s="11"/>
      <c r="AM1060" s="17"/>
      <c r="AX1060" s="15"/>
      <c r="AY1060" s="15"/>
      <c r="AZ1060" s="15"/>
    </row>
    <row r="1061" spans="1:52" ht="12" customHeight="1" x14ac:dyDescent="0.25">
      <c r="A1061" s="3"/>
      <c r="B1061" s="14"/>
      <c r="C1061" s="14"/>
      <c r="D1061" s="14"/>
      <c r="E1061" s="14"/>
      <c r="K1061" s="14"/>
      <c r="M1061" s="14"/>
      <c r="N1061" s="14"/>
      <c r="Z1061" s="11"/>
      <c r="AM1061" s="17"/>
      <c r="AX1061" s="15"/>
      <c r="AY1061" s="15"/>
      <c r="AZ1061" s="15"/>
    </row>
    <row r="1062" spans="1:52" ht="12" customHeight="1" x14ac:dyDescent="0.25">
      <c r="A1062" s="3"/>
      <c r="B1062" s="14"/>
      <c r="C1062" s="14"/>
      <c r="D1062" s="14"/>
      <c r="E1062" s="14"/>
      <c r="K1062" s="14"/>
      <c r="M1062" s="14"/>
      <c r="N1062" s="14"/>
      <c r="Z1062" s="11"/>
      <c r="AM1062" s="17"/>
      <c r="AX1062" s="15"/>
      <c r="AY1062" s="15"/>
      <c r="AZ1062" s="15"/>
    </row>
    <row r="1063" spans="1:52" ht="12" customHeight="1" x14ac:dyDescent="0.25">
      <c r="A1063" s="3"/>
      <c r="B1063" s="14"/>
      <c r="C1063" s="14"/>
      <c r="D1063" s="14"/>
      <c r="E1063" s="14"/>
      <c r="K1063" s="14"/>
      <c r="M1063" s="14"/>
      <c r="N1063" s="14"/>
      <c r="Z1063" s="11"/>
      <c r="AM1063" s="17"/>
      <c r="AX1063" s="15"/>
      <c r="AY1063" s="15"/>
      <c r="AZ1063" s="15"/>
    </row>
    <row r="1064" spans="1:52" ht="12" customHeight="1" x14ac:dyDescent="0.25">
      <c r="A1064" s="3"/>
      <c r="B1064" s="14"/>
      <c r="C1064" s="14"/>
      <c r="D1064" s="14"/>
      <c r="E1064" s="14"/>
      <c r="K1064" s="14"/>
      <c r="M1064" s="14"/>
      <c r="N1064" s="14"/>
      <c r="Z1064" s="11"/>
      <c r="AM1064" s="17"/>
      <c r="AX1064" s="15"/>
      <c r="AY1064" s="15"/>
      <c r="AZ1064" s="15"/>
    </row>
    <row r="1065" spans="1:52" ht="12" customHeight="1" x14ac:dyDescent="0.25">
      <c r="A1065" s="3"/>
      <c r="B1065" s="14"/>
      <c r="C1065" s="14"/>
      <c r="D1065" s="14"/>
      <c r="E1065" s="14"/>
      <c r="K1065" s="14"/>
      <c r="M1065" s="14"/>
      <c r="N1065" s="14"/>
      <c r="Z1065" s="11"/>
      <c r="AM1065" s="17"/>
      <c r="AX1065" s="15"/>
      <c r="AY1065" s="15"/>
      <c r="AZ1065" s="15"/>
    </row>
    <row r="1066" spans="1:52" ht="12" customHeight="1" x14ac:dyDescent="0.25">
      <c r="A1066" s="3"/>
      <c r="B1066" s="14"/>
      <c r="C1066" s="14"/>
      <c r="D1066" s="14"/>
      <c r="E1066" s="14"/>
      <c r="K1066" s="14"/>
      <c r="M1066" s="14"/>
      <c r="N1066" s="14"/>
      <c r="Z1066" s="11"/>
      <c r="AM1066" s="17"/>
      <c r="AX1066" s="15"/>
      <c r="AY1066" s="15"/>
      <c r="AZ1066" s="15"/>
    </row>
    <row r="1067" spans="1:52" ht="12" customHeight="1" x14ac:dyDescent="0.25">
      <c r="A1067" s="3"/>
      <c r="B1067" s="14"/>
      <c r="C1067" s="14"/>
      <c r="D1067" s="14"/>
      <c r="E1067" s="14"/>
      <c r="K1067" s="14"/>
      <c r="M1067" s="14"/>
      <c r="N1067" s="14"/>
      <c r="Z1067" s="11"/>
      <c r="AM1067" s="17"/>
      <c r="AX1067" s="15"/>
      <c r="AY1067" s="15"/>
      <c r="AZ1067" s="15"/>
    </row>
    <row r="1068" spans="1:52" ht="12" customHeight="1" x14ac:dyDescent="0.25">
      <c r="A1068" s="3"/>
      <c r="B1068" s="14"/>
      <c r="C1068" s="14"/>
      <c r="D1068" s="14"/>
      <c r="E1068" s="14"/>
      <c r="K1068" s="14"/>
      <c r="M1068" s="14"/>
      <c r="N1068" s="14"/>
      <c r="Z1068" s="11"/>
      <c r="AM1068" s="17"/>
      <c r="AX1068" s="15"/>
      <c r="AY1068" s="15"/>
      <c r="AZ1068" s="15"/>
    </row>
    <row r="1069" spans="1:52" ht="12" customHeight="1" x14ac:dyDescent="0.25">
      <c r="A1069" s="3"/>
      <c r="B1069" s="14"/>
      <c r="C1069" s="14"/>
      <c r="D1069" s="14"/>
      <c r="E1069" s="14"/>
      <c r="K1069" s="14"/>
      <c r="M1069" s="14"/>
      <c r="N1069" s="14"/>
      <c r="Z1069" s="11"/>
      <c r="AM1069" s="17"/>
      <c r="AX1069" s="15"/>
      <c r="AY1069" s="15"/>
      <c r="AZ1069" s="15"/>
    </row>
    <row r="1070" spans="1:52" ht="12" customHeight="1" x14ac:dyDescent="0.25">
      <c r="A1070" s="3"/>
      <c r="B1070" s="14"/>
      <c r="C1070" s="14"/>
      <c r="D1070" s="14"/>
      <c r="E1070" s="14"/>
      <c r="K1070" s="14"/>
      <c r="M1070" s="14"/>
      <c r="N1070" s="14"/>
      <c r="Z1070" s="11"/>
      <c r="AM1070" s="17"/>
      <c r="AX1070" s="15"/>
      <c r="AY1070" s="15"/>
      <c r="AZ1070" s="15"/>
    </row>
    <row r="1071" spans="1:52" ht="12" customHeight="1" x14ac:dyDescent="0.25">
      <c r="A1071" s="3"/>
      <c r="B1071" s="14"/>
      <c r="C1071" s="14"/>
      <c r="D1071" s="14"/>
      <c r="E1071" s="14"/>
      <c r="K1071" s="14"/>
      <c r="M1071" s="14"/>
      <c r="N1071" s="14"/>
      <c r="Z1071" s="11"/>
      <c r="AM1071" s="17"/>
      <c r="AX1071" s="15"/>
      <c r="AY1071" s="15"/>
      <c r="AZ1071" s="15"/>
    </row>
    <row r="1072" spans="1:52" ht="12" customHeight="1" x14ac:dyDescent="0.25">
      <c r="A1072" s="3"/>
      <c r="B1072" s="14"/>
      <c r="C1072" s="14"/>
      <c r="D1072" s="14"/>
      <c r="E1072" s="14"/>
      <c r="K1072" s="14"/>
      <c r="M1072" s="14"/>
      <c r="N1072" s="14"/>
      <c r="Z1072" s="11"/>
      <c r="AM1072" s="17"/>
      <c r="AX1072" s="15"/>
      <c r="AY1072" s="15"/>
      <c r="AZ1072" s="15"/>
    </row>
    <row r="1073" spans="1:52" ht="12" customHeight="1" x14ac:dyDescent="0.25">
      <c r="A1073" s="3"/>
      <c r="B1073" s="14"/>
      <c r="C1073" s="14"/>
      <c r="D1073" s="14"/>
      <c r="E1073" s="14"/>
      <c r="K1073" s="14"/>
      <c r="M1073" s="14"/>
      <c r="N1073" s="14"/>
      <c r="Z1073" s="11"/>
      <c r="AM1073" s="17"/>
      <c r="AX1073" s="15"/>
      <c r="AY1073" s="15"/>
      <c r="AZ1073" s="15"/>
    </row>
    <row r="1074" spans="1:52" ht="12" customHeight="1" x14ac:dyDescent="0.25">
      <c r="A1074" s="3"/>
      <c r="B1074" s="14"/>
      <c r="C1074" s="14"/>
      <c r="D1074" s="14"/>
      <c r="E1074" s="14"/>
      <c r="K1074" s="14"/>
      <c r="M1074" s="14"/>
      <c r="N1074" s="14"/>
      <c r="Z1074" s="11"/>
      <c r="AM1074" s="17"/>
      <c r="AX1074" s="15"/>
      <c r="AY1074" s="15"/>
      <c r="AZ1074" s="15"/>
    </row>
    <row r="1075" spans="1:52" ht="12" customHeight="1" x14ac:dyDescent="0.25">
      <c r="A1075" s="3"/>
      <c r="B1075" s="14"/>
      <c r="C1075" s="14"/>
      <c r="D1075" s="14"/>
      <c r="E1075" s="14"/>
      <c r="K1075" s="14"/>
      <c r="M1075" s="14"/>
      <c r="N1075" s="14"/>
      <c r="Z1075" s="11"/>
      <c r="AM1075" s="17"/>
      <c r="AX1075" s="15"/>
      <c r="AY1075" s="15"/>
      <c r="AZ1075" s="15"/>
    </row>
    <row r="1076" spans="1:52" ht="12" customHeight="1" x14ac:dyDescent="0.25">
      <c r="A1076" s="3"/>
      <c r="B1076" s="14"/>
      <c r="C1076" s="14"/>
      <c r="D1076" s="14"/>
      <c r="E1076" s="14"/>
      <c r="K1076" s="14"/>
      <c r="M1076" s="14"/>
      <c r="N1076" s="14"/>
      <c r="Z1076" s="11"/>
      <c r="AM1076" s="17"/>
      <c r="AX1076" s="15"/>
      <c r="AY1076" s="15"/>
      <c r="AZ1076" s="15"/>
    </row>
    <row r="1077" spans="1:52" ht="12" customHeight="1" x14ac:dyDescent="0.25">
      <c r="A1077" s="3"/>
      <c r="B1077" s="14"/>
      <c r="C1077" s="14"/>
      <c r="D1077" s="14"/>
      <c r="E1077" s="14"/>
      <c r="K1077" s="14"/>
      <c r="M1077" s="14"/>
      <c r="N1077" s="14"/>
      <c r="Z1077" s="11"/>
      <c r="AM1077" s="17"/>
      <c r="AX1077" s="15"/>
      <c r="AY1077" s="15"/>
      <c r="AZ1077" s="15"/>
    </row>
    <row r="1078" spans="1:52" ht="12" customHeight="1" x14ac:dyDescent="0.25">
      <c r="A1078" s="3"/>
      <c r="B1078" s="14"/>
      <c r="C1078" s="14"/>
      <c r="D1078" s="14"/>
      <c r="E1078" s="14"/>
      <c r="K1078" s="14"/>
      <c r="M1078" s="14"/>
      <c r="N1078" s="14"/>
      <c r="Z1078" s="11"/>
      <c r="AM1078" s="17"/>
      <c r="AX1078" s="15"/>
      <c r="AY1078" s="15"/>
      <c r="AZ1078" s="15"/>
    </row>
    <row r="1079" spans="1:52" ht="12" customHeight="1" x14ac:dyDescent="0.25">
      <c r="A1079" s="3"/>
      <c r="B1079" s="14"/>
      <c r="C1079" s="14"/>
      <c r="D1079" s="14"/>
      <c r="E1079" s="14"/>
      <c r="K1079" s="14"/>
      <c r="M1079" s="14"/>
      <c r="N1079" s="14"/>
      <c r="Z1079" s="11"/>
      <c r="AM1079" s="17"/>
      <c r="AX1079" s="15"/>
      <c r="AY1079" s="15"/>
      <c r="AZ1079" s="15"/>
    </row>
    <row r="1080" spans="1:52" ht="12" customHeight="1" x14ac:dyDescent="0.25">
      <c r="A1080" s="3"/>
      <c r="B1080" s="14"/>
      <c r="C1080" s="14"/>
      <c r="D1080" s="14"/>
      <c r="E1080" s="14"/>
      <c r="K1080" s="14"/>
      <c r="M1080" s="14"/>
      <c r="N1080" s="14"/>
      <c r="Z1080" s="11"/>
      <c r="AM1080" s="17"/>
      <c r="AX1080" s="15"/>
      <c r="AY1080" s="15"/>
      <c r="AZ1080" s="15"/>
    </row>
    <row r="1081" spans="1:52" ht="12" customHeight="1" x14ac:dyDescent="0.25">
      <c r="A1081" s="3"/>
      <c r="B1081" s="14"/>
      <c r="C1081" s="14"/>
      <c r="D1081" s="14"/>
      <c r="E1081" s="14"/>
      <c r="K1081" s="14"/>
      <c r="M1081" s="14"/>
      <c r="N1081" s="14"/>
      <c r="Z1081" s="11"/>
      <c r="AM1081" s="17"/>
      <c r="AX1081" s="15"/>
      <c r="AY1081" s="15"/>
      <c r="AZ1081" s="15"/>
    </row>
    <row r="1082" spans="1:52" ht="12" customHeight="1" x14ac:dyDescent="0.25">
      <c r="A1082" s="3"/>
      <c r="B1082" s="14"/>
      <c r="C1082" s="14"/>
      <c r="D1082" s="14"/>
      <c r="E1082" s="14"/>
      <c r="K1082" s="14"/>
      <c r="M1082" s="14"/>
      <c r="N1082" s="14"/>
      <c r="Z1082" s="11"/>
      <c r="AM1082" s="17"/>
      <c r="AX1082" s="15"/>
      <c r="AY1082" s="15"/>
      <c r="AZ1082" s="15"/>
    </row>
    <row r="1083" spans="1:52" ht="12" customHeight="1" x14ac:dyDescent="0.25">
      <c r="A1083" s="3"/>
      <c r="B1083" s="14"/>
      <c r="C1083" s="14"/>
      <c r="D1083" s="14"/>
      <c r="E1083" s="14"/>
      <c r="K1083" s="14"/>
      <c r="M1083" s="14"/>
      <c r="N1083" s="14"/>
      <c r="Z1083" s="11"/>
      <c r="AM1083" s="17"/>
      <c r="AX1083" s="15"/>
      <c r="AY1083" s="15"/>
      <c r="AZ1083" s="15"/>
    </row>
    <row r="1084" spans="1:52" ht="12" customHeight="1" x14ac:dyDescent="0.25">
      <c r="A1084" s="3"/>
      <c r="B1084" s="14"/>
      <c r="C1084" s="14"/>
      <c r="D1084" s="14"/>
      <c r="E1084" s="14"/>
      <c r="K1084" s="14"/>
      <c r="M1084" s="14"/>
      <c r="N1084" s="14"/>
      <c r="Z1084" s="11"/>
      <c r="AM1084" s="17"/>
      <c r="AX1084" s="15"/>
      <c r="AY1084" s="15"/>
      <c r="AZ1084" s="15"/>
    </row>
    <row r="1085" spans="1:52" ht="12" customHeight="1" x14ac:dyDescent="0.25">
      <c r="A1085" s="3"/>
      <c r="B1085" s="14"/>
      <c r="C1085" s="14"/>
      <c r="D1085" s="14"/>
      <c r="E1085" s="14"/>
      <c r="K1085" s="14"/>
      <c r="M1085" s="14"/>
      <c r="N1085" s="14"/>
      <c r="Z1085" s="11"/>
      <c r="AM1085" s="17"/>
      <c r="AX1085" s="15"/>
      <c r="AY1085" s="15"/>
      <c r="AZ1085" s="15"/>
    </row>
    <row r="1086" spans="1:52" ht="12" customHeight="1" x14ac:dyDescent="0.25">
      <c r="A1086" s="3"/>
      <c r="B1086" s="14"/>
      <c r="C1086" s="14"/>
      <c r="D1086" s="14"/>
      <c r="E1086" s="14"/>
      <c r="K1086" s="14"/>
      <c r="M1086" s="14"/>
      <c r="N1086" s="14"/>
      <c r="Z1086" s="11"/>
      <c r="AM1086" s="17"/>
      <c r="AX1086" s="15"/>
      <c r="AY1086" s="15"/>
      <c r="AZ1086" s="15"/>
    </row>
    <row r="1087" spans="1:52" ht="12" customHeight="1" x14ac:dyDescent="0.25">
      <c r="A1087" s="3"/>
      <c r="B1087" s="14"/>
      <c r="C1087" s="14"/>
      <c r="D1087" s="14"/>
      <c r="E1087" s="14"/>
      <c r="K1087" s="14"/>
      <c r="M1087" s="14"/>
      <c r="N1087" s="14"/>
      <c r="Z1087" s="11"/>
      <c r="AM1087" s="17"/>
      <c r="AX1087" s="15"/>
      <c r="AY1087" s="15"/>
      <c r="AZ1087" s="15"/>
    </row>
    <row r="1088" spans="1:52" ht="12" customHeight="1" x14ac:dyDescent="0.25">
      <c r="A1088" s="3"/>
      <c r="B1088" s="14"/>
      <c r="C1088" s="14"/>
      <c r="D1088" s="14"/>
      <c r="E1088" s="14"/>
      <c r="K1088" s="14"/>
      <c r="M1088" s="14"/>
      <c r="N1088" s="14"/>
      <c r="Z1088" s="11"/>
      <c r="AM1088" s="17"/>
      <c r="AX1088" s="15"/>
      <c r="AY1088" s="15"/>
      <c r="AZ1088" s="15"/>
    </row>
    <row r="1089" spans="1:52" ht="12" customHeight="1" x14ac:dyDescent="0.25">
      <c r="A1089" s="3"/>
      <c r="B1089" s="14"/>
      <c r="C1089" s="14"/>
      <c r="D1089" s="14"/>
      <c r="E1089" s="14"/>
      <c r="K1089" s="14"/>
      <c r="M1089" s="14"/>
      <c r="N1089" s="14"/>
      <c r="Z1089" s="11"/>
      <c r="AM1089" s="17"/>
      <c r="AX1089" s="15"/>
      <c r="AY1089" s="15"/>
      <c r="AZ1089" s="15"/>
    </row>
    <row r="1090" spans="1:52" ht="12" customHeight="1" x14ac:dyDescent="0.25">
      <c r="A1090" s="3"/>
      <c r="B1090" s="14"/>
      <c r="C1090" s="14"/>
      <c r="D1090" s="14"/>
      <c r="E1090" s="14"/>
      <c r="K1090" s="14"/>
      <c r="M1090" s="14"/>
      <c r="N1090" s="14"/>
      <c r="Z1090" s="11"/>
      <c r="AM1090" s="17"/>
      <c r="AX1090" s="15"/>
      <c r="AY1090" s="15"/>
      <c r="AZ1090" s="15"/>
    </row>
    <row r="1091" spans="1:52" ht="12" customHeight="1" x14ac:dyDescent="0.25">
      <c r="A1091" s="3"/>
      <c r="B1091" s="14"/>
      <c r="C1091" s="14"/>
      <c r="D1091" s="14"/>
      <c r="E1091" s="14"/>
      <c r="K1091" s="14"/>
      <c r="M1091" s="14"/>
      <c r="N1091" s="14"/>
      <c r="Z1091" s="11"/>
      <c r="AM1091" s="17"/>
      <c r="AX1091" s="15"/>
      <c r="AY1091" s="15"/>
      <c r="AZ1091" s="15"/>
    </row>
    <row r="1092" spans="1:52" ht="12" customHeight="1" x14ac:dyDescent="0.25">
      <c r="A1092" s="3"/>
      <c r="B1092" s="14"/>
      <c r="C1092" s="14"/>
      <c r="D1092" s="14"/>
      <c r="E1092" s="14"/>
      <c r="K1092" s="14"/>
      <c r="M1092" s="14"/>
      <c r="N1092" s="14"/>
      <c r="Z1092" s="11"/>
      <c r="AM1092" s="17"/>
      <c r="AX1092" s="15"/>
      <c r="AY1092" s="15"/>
      <c r="AZ1092" s="15"/>
    </row>
    <row r="1093" spans="1:52" ht="12" customHeight="1" x14ac:dyDescent="0.25">
      <c r="A1093" s="3"/>
      <c r="B1093" s="14"/>
      <c r="C1093" s="14"/>
      <c r="D1093" s="14"/>
      <c r="E1093" s="14"/>
      <c r="K1093" s="14"/>
      <c r="M1093" s="14"/>
      <c r="N1093" s="14"/>
      <c r="Z1093" s="11"/>
      <c r="AM1093" s="17"/>
      <c r="AX1093" s="15"/>
      <c r="AY1093" s="15"/>
      <c r="AZ1093" s="15"/>
    </row>
    <row r="1094" spans="1:52" ht="12" customHeight="1" x14ac:dyDescent="0.25">
      <c r="A1094" s="3"/>
      <c r="B1094" s="14"/>
      <c r="C1094" s="14"/>
      <c r="D1094" s="14"/>
      <c r="E1094" s="14"/>
      <c r="K1094" s="14"/>
      <c r="M1094" s="14"/>
      <c r="N1094" s="14"/>
      <c r="Z1094" s="11"/>
      <c r="AM1094" s="17"/>
      <c r="AX1094" s="15"/>
      <c r="AY1094" s="15"/>
      <c r="AZ1094" s="15"/>
    </row>
    <row r="1095" spans="1:52" ht="12" customHeight="1" x14ac:dyDescent="0.25">
      <c r="A1095" s="3"/>
      <c r="B1095" s="14"/>
      <c r="C1095" s="14"/>
      <c r="D1095" s="14"/>
      <c r="E1095" s="14"/>
      <c r="K1095" s="14"/>
      <c r="M1095" s="14"/>
      <c r="N1095" s="14"/>
      <c r="Z1095" s="11"/>
      <c r="AM1095" s="17"/>
      <c r="AX1095" s="15"/>
      <c r="AY1095" s="15"/>
      <c r="AZ1095" s="15"/>
    </row>
    <row r="1096" spans="1:52" ht="12" customHeight="1" x14ac:dyDescent="0.25">
      <c r="A1096" s="3"/>
      <c r="B1096" s="14"/>
      <c r="C1096" s="14"/>
      <c r="D1096" s="14"/>
      <c r="E1096" s="14"/>
      <c r="K1096" s="14"/>
      <c r="M1096" s="14"/>
      <c r="N1096" s="14"/>
      <c r="Z1096" s="11"/>
      <c r="AM1096" s="17"/>
      <c r="AX1096" s="15"/>
      <c r="AY1096" s="15"/>
      <c r="AZ1096" s="15"/>
    </row>
    <row r="1097" spans="1:52" ht="12" customHeight="1" x14ac:dyDescent="0.25">
      <c r="A1097" s="3"/>
      <c r="B1097" s="14"/>
      <c r="C1097" s="14"/>
      <c r="D1097" s="14"/>
      <c r="E1097" s="14"/>
      <c r="K1097" s="14"/>
      <c r="M1097" s="14"/>
      <c r="N1097" s="14"/>
      <c r="Z1097" s="11"/>
      <c r="AM1097" s="17"/>
      <c r="AX1097" s="15"/>
      <c r="AY1097" s="15"/>
      <c r="AZ1097" s="15"/>
    </row>
    <row r="1098" spans="1:52" ht="12" customHeight="1" x14ac:dyDescent="0.25">
      <c r="A1098" s="3"/>
      <c r="B1098" s="14"/>
      <c r="C1098" s="14"/>
      <c r="D1098" s="14"/>
      <c r="E1098" s="14"/>
      <c r="K1098" s="14"/>
      <c r="M1098" s="14"/>
      <c r="N1098" s="14"/>
      <c r="Z1098" s="11"/>
      <c r="AM1098" s="17"/>
      <c r="AX1098" s="15"/>
      <c r="AY1098" s="15"/>
      <c r="AZ1098" s="15"/>
    </row>
    <row r="1099" spans="1:52" ht="12" customHeight="1" x14ac:dyDescent="0.25">
      <c r="A1099" s="3"/>
      <c r="B1099" s="14"/>
      <c r="C1099" s="14"/>
      <c r="D1099" s="14"/>
      <c r="E1099" s="14"/>
      <c r="K1099" s="14"/>
      <c r="M1099" s="14"/>
      <c r="N1099" s="14"/>
      <c r="Z1099" s="11"/>
      <c r="AM1099" s="17"/>
      <c r="AX1099" s="15"/>
      <c r="AY1099" s="15"/>
      <c r="AZ1099" s="15"/>
    </row>
    <row r="1100" spans="1:52" ht="12" customHeight="1" x14ac:dyDescent="0.25">
      <c r="A1100" s="3"/>
      <c r="B1100" s="14"/>
      <c r="C1100" s="14"/>
      <c r="D1100" s="14"/>
      <c r="E1100" s="14"/>
      <c r="K1100" s="14"/>
      <c r="M1100" s="14"/>
      <c r="N1100" s="14"/>
      <c r="Z1100" s="11"/>
      <c r="AM1100" s="17"/>
      <c r="AX1100" s="15"/>
      <c r="AY1100" s="15"/>
      <c r="AZ1100" s="15"/>
    </row>
    <row r="1101" spans="1:52" ht="12" customHeight="1" x14ac:dyDescent="0.25">
      <c r="A1101" s="3"/>
      <c r="B1101" s="14"/>
      <c r="C1101" s="14"/>
      <c r="D1101" s="14"/>
      <c r="E1101" s="14"/>
      <c r="K1101" s="14"/>
      <c r="M1101" s="14"/>
      <c r="N1101" s="14"/>
      <c r="Z1101" s="11"/>
      <c r="AM1101" s="17"/>
      <c r="AX1101" s="15"/>
      <c r="AY1101" s="15"/>
      <c r="AZ1101" s="15"/>
    </row>
    <row r="1102" spans="1:52" ht="12" customHeight="1" x14ac:dyDescent="0.25">
      <c r="A1102" s="3"/>
      <c r="B1102" s="14"/>
      <c r="C1102" s="14"/>
      <c r="D1102" s="14"/>
      <c r="E1102" s="14"/>
      <c r="K1102" s="14"/>
      <c r="M1102" s="14"/>
      <c r="N1102" s="14"/>
      <c r="Z1102" s="11"/>
      <c r="AM1102" s="17"/>
      <c r="AX1102" s="15"/>
      <c r="AY1102" s="15"/>
      <c r="AZ1102" s="15"/>
    </row>
    <row r="1103" spans="1:52" ht="12" customHeight="1" x14ac:dyDescent="0.25">
      <c r="A1103" s="3"/>
      <c r="B1103" s="14"/>
      <c r="C1103" s="14"/>
      <c r="D1103" s="14"/>
      <c r="E1103" s="14"/>
      <c r="K1103" s="14"/>
      <c r="M1103" s="14"/>
      <c r="N1103" s="14"/>
      <c r="Z1103" s="11"/>
      <c r="AM1103" s="17"/>
      <c r="AX1103" s="15"/>
      <c r="AY1103" s="15"/>
      <c r="AZ1103" s="15"/>
    </row>
    <row r="1104" spans="1:52" ht="12" customHeight="1" x14ac:dyDescent="0.25">
      <c r="A1104" s="3"/>
      <c r="B1104" s="14"/>
      <c r="C1104" s="14"/>
      <c r="D1104" s="14"/>
      <c r="E1104" s="14"/>
      <c r="K1104" s="14"/>
      <c r="M1104" s="14"/>
      <c r="N1104" s="14"/>
      <c r="Z1104" s="11"/>
      <c r="AM1104" s="17"/>
      <c r="AX1104" s="15"/>
      <c r="AY1104" s="15"/>
      <c r="AZ1104" s="15"/>
    </row>
    <row r="1105" spans="1:52" ht="12" customHeight="1" x14ac:dyDescent="0.25">
      <c r="A1105" s="3"/>
      <c r="B1105" s="14"/>
      <c r="C1105" s="14"/>
      <c r="D1105" s="14"/>
      <c r="E1105" s="14"/>
      <c r="K1105" s="14"/>
      <c r="M1105" s="14"/>
      <c r="N1105" s="14"/>
      <c r="Z1105" s="11"/>
      <c r="AM1105" s="17"/>
      <c r="AX1105" s="15"/>
      <c r="AY1105" s="15"/>
      <c r="AZ1105" s="15"/>
    </row>
    <row r="1106" spans="1:52" ht="12" customHeight="1" x14ac:dyDescent="0.25">
      <c r="A1106" s="3"/>
      <c r="B1106" s="14"/>
      <c r="C1106" s="14"/>
      <c r="D1106" s="14"/>
      <c r="E1106" s="14"/>
      <c r="K1106" s="14"/>
      <c r="M1106" s="14"/>
      <c r="N1106" s="14"/>
      <c r="Z1106" s="11"/>
      <c r="AM1106" s="17"/>
      <c r="AX1106" s="15"/>
      <c r="AY1106" s="15"/>
      <c r="AZ1106" s="15"/>
    </row>
    <row r="1107" spans="1:52" ht="12" customHeight="1" x14ac:dyDescent="0.25">
      <c r="A1107" s="3"/>
      <c r="B1107" s="14"/>
      <c r="C1107" s="14"/>
      <c r="D1107" s="14"/>
      <c r="E1107" s="14"/>
      <c r="K1107" s="14"/>
      <c r="M1107" s="14"/>
      <c r="N1107" s="14"/>
      <c r="Z1107" s="11"/>
      <c r="AM1107" s="17"/>
      <c r="AX1107" s="15"/>
      <c r="AY1107" s="15"/>
      <c r="AZ1107" s="15"/>
    </row>
    <row r="1108" spans="1:52" ht="12" customHeight="1" x14ac:dyDescent="0.25">
      <c r="A1108" s="3"/>
      <c r="B1108" s="14"/>
      <c r="C1108" s="14"/>
      <c r="D1108" s="14"/>
      <c r="E1108" s="14"/>
      <c r="K1108" s="14"/>
      <c r="M1108" s="14"/>
      <c r="N1108" s="14"/>
      <c r="Z1108" s="11"/>
      <c r="AM1108" s="17"/>
      <c r="AX1108" s="15"/>
      <c r="AY1108" s="15"/>
      <c r="AZ1108" s="15"/>
    </row>
    <row r="1109" spans="1:52" ht="12" customHeight="1" x14ac:dyDescent="0.25">
      <c r="A1109" s="3"/>
      <c r="B1109" s="14"/>
      <c r="C1109" s="14"/>
      <c r="D1109" s="14"/>
      <c r="E1109" s="14"/>
      <c r="K1109" s="14"/>
      <c r="M1109" s="14"/>
      <c r="N1109" s="14"/>
      <c r="Z1109" s="11"/>
      <c r="AM1109" s="17"/>
      <c r="AX1109" s="15"/>
      <c r="AY1109" s="15"/>
      <c r="AZ1109" s="15"/>
    </row>
    <row r="1110" spans="1:52" ht="12" customHeight="1" x14ac:dyDescent="0.25">
      <c r="A1110" s="3"/>
      <c r="B1110" s="14"/>
      <c r="C1110" s="14"/>
      <c r="D1110" s="14"/>
      <c r="E1110" s="14"/>
      <c r="K1110" s="14"/>
      <c r="M1110" s="14"/>
      <c r="N1110" s="14"/>
      <c r="Z1110" s="11"/>
      <c r="AM1110" s="17"/>
      <c r="AX1110" s="15"/>
      <c r="AY1110" s="15"/>
      <c r="AZ1110" s="15"/>
    </row>
    <row r="1111" spans="1:52" ht="12" customHeight="1" x14ac:dyDescent="0.25">
      <c r="A1111" s="3"/>
      <c r="B1111" s="14"/>
      <c r="C1111" s="14"/>
      <c r="D1111" s="14"/>
      <c r="E1111" s="14"/>
      <c r="K1111" s="14"/>
      <c r="M1111" s="14"/>
      <c r="N1111" s="14"/>
      <c r="Z1111" s="11"/>
      <c r="AM1111" s="17"/>
      <c r="AX1111" s="15"/>
      <c r="AY1111" s="15"/>
      <c r="AZ1111" s="15"/>
    </row>
    <row r="1112" spans="1:52" ht="12" customHeight="1" x14ac:dyDescent="0.25">
      <c r="A1112" s="3"/>
      <c r="B1112" s="14"/>
      <c r="C1112" s="14"/>
      <c r="D1112" s="14"/>
      <c r="E1112" s="14"/>
      <c r="K1112" s="14"/>
      <c r="M1112" s="14"/>
      <c r="N1112" s="14"/>
      <c r="Z1112" s="11"/>
      <c r="AM1112" s="17"/>
      <c r="AX1112" s="15"/>
      <c r="AY1112" s="15"/>
      <c r="AZ1112" s="15"/>
    </row>
    <row r="1113" spans="1:52" ht="12" customHeight="1" x14ac:dyDescent="0.25">
      <c r="A1113" s="3"/>
      <c r="B1113" s="14"/>
      <c r="C1113" s="14"/>
      <c r="D1113" s="14"/>
      <c r="E1113" s="14"/>
      <c r="K1113" s="14"/>
      <c r="M1113" s="14"/>
      <c r="N1113" s="14"/>
      <c r="Z1113" s="11"/>
      <c r="AM1113" s="17"/>
      <c r="AX1113" s="15"/>
      <c r="AY1113" s="15"/>
      <c r="AZ1113" s="15"/>
    </row>
    <row r="1114" spans="1:52" ht="12" customHeight="1" x14ac:dyDescent="0.25">
      <c r="A1114" s="3"/>
      <c r="B1114" s="14"/>
      <c r="C1114" s="14"/>
      <c r="D1114" s="14"/>
      <c r="E1114" s="14"/>
      <c r="K1114" s="14"/>
      <c r="M1114" s="14"/>
      <c r="N1114" s="14"/>
      <c r="Z1114" s="11"/>
      <c r="AM1114" s="17"/>
      <c r="AX1114" s="15"/>
      <c r="AY1114" s="15"/>
      <c r="AZ1114" s="15"/>
    </row>
    <row r="1115" spans="1:52" ht="12" customHeight="1" x14ac:dyDescent="0.25">
      <c r="A1115" s="3"/>
      <c r="B1115" s="14"/>
      <c r="C1115" s="14"/>
      <c r="D1115" s="14"/>
      <c r="E1115" s="14"/>
      <c r="K1115" s="14"/>
      <c r="M1115" s="14"/>
      <c r="N1115" s="14"/>
      <c r="Z1115" s="11"/>
      <c r="AM1115" s="17"/>
      <c r="AX1115" s="15"/>
      <c r="AY1115" s="15"/>
      <c r="AZ1115" s="15"/>
    </row>
    <row r="1116" spans="1:52" ht="12" customHeight="1" x14ac:dyDescent="0.25">
      <c r="A1116" s="3"/>
      <c r="B1116" s="14"/>
      <c r="C1116" s="14"/>
      <c r="D1116" s="14"/>
      <c r="E1116" s="14"/>
      <c r="K1116" s="14"/>
      <c r="M1116" s="14"/>
      <c r="N1116" s="14"/>
      <c r="Z1116" s="11"/>
      <c r="AM1116" s="17"/>
      <c r="AX1116" s="15"/>
      <c r="AY1116" s="15"/>
      <c r="AZ1116" s="15"/>
    </row>
    <row r="1117" spans="1:52" ht="12" customHeight="1" x14ac:dyDescent="0.25">
      <c r="A1117" s="3"/>
      <c r="B1117" s="14"/>
      <c r="C1117" s="14"/>
      <c r="D1117" s="14"/>
      <c r="E1117" s="14"/>
      <c r="K1117" s="14"/>
      <c r="M1117" s="14"/>
      <c r="N1117" s="14"/>
      <c r="Z1117" s="11"/>
      <c r="AM1117" s="17"/>
      <c r="AX1117" s="15"/>
      <c r="AY1117" s="15"/>
      <c r="AZ1117" s="15"/>
    </row>
    <row r="1118" spans="1:52" ht="12" customHeight="1" x14ac:dyDescent="0.25">
      <c r="A1118" s="3"/>
      <c r="B1118" s="14"/>
      <c r="C1118" s="14"/>
      <c r="D1118" s="14"/>
      <c r="E1118" s="14"/>
      <c r="K1118" s="14"/>
      <c r="M1118" s="14"/>
      <c r="N1118" s="14"/>
      <c r="Z1118" s="11"/>
      <c r="AM1118" s="17"/>
      <c r="AX1118" s="15"/>
      <c r="AY1118" s="15"/>
      <c r="AZ1118" s="15"/>
    </row>
    <row r="1119" spans="1:52" ht="12" customHeight="1" x14ac:dyDescent="0.25">
      <c r="A1119" s="3"/>
      <c r="B1119" s="14"/>
      <c r="C1119" s="14"/>
      <c r="D1119" s="14"/>
      <c r="E1119" s="14"/>
      <c r="K1119" s="14"/>
      <c r="M1119" s="14"/>
      <c r="N1119" s="14"/>
      <c r="Z1119" s="11"/>
      <c r="AM1119" s="17"/>
      <c r="AX1119" s="15"/>
      <c r="AY1119" s="15"/>
      <c r="AZ1119" s="15"/>
    </row>
    <row r="1120" spans="1:52" ht="12" customHeight="1" x14ac:dyDescent="0.25">
      <c r="A1120" s="3"/>
      <c r="B1120" s="14"/>
      <c r="C1120" s="14"/>
      <c r="D1120" s="14"/>
      <c r="E1120" s="14"/>
      <c r="K1120" s="14"/>
      <c r="M1120" s="14"/>
      <c r="N1120" s="14"/>
      <c r="Z1120" s="11"/>
      <c r="AM1120" s="17"/>
      <c r="AX1120" s="15"/>
      <c r="AY1120" s="15"/>
      <c r="AZ1120" s="15"/>
    </row>
    <row r="1121" spans="1:52" ht="12" customHeight="1" x14ac:dyDescent="0.25">
      <c r="A1121" s="3"/>
      <c r="B1121" s="14"/>
      <c r="C1121" s="14"/>
      <c r="D1121" s="14"/>
      <c r="E1121" s="14"/>
      <c r="K1121" s="14"/>
      <c r="M1121" s="14"/>
      <c r="N1121" s="14"/>
      <c r="Z1121" s="11"/>
      <c r="AM1121" s="17"/>
      <c r="AX1121" s="15"/>
      <c r="AY1121" s="15"/>
      <c r="AZ1121" s="15"/>
    </row>
    <row r="1122" spans="1:52" ht="12" customHeight="1" x14ac:dyDescent="0.25">
      <c r="A1122" s="3"/>
      <c r="B1122" s="14"/>
      <c r="C1122" s="14"/>
      <c r="D1122" s="14"/>
      <c r="E1122" s="14"/>
      <c r="K1122" s="14"/>
      <c r="M1122" s="14"/>
      <c r="N1122" s="14"/>
      <c r="Z1122" s="11"/>
      <c r="AM1122" s="17"/>
      <c r="AX1122" s="15"/>
      <c r="AY1122" s="15"/>
      <c r="AZ1122" s="15"/>
    </row>
    <row r="1123" spans="1:52" ht="12" customHeight="1" x14ac:dyDescent="0.25">
      <c r="A1123" s="3"/>
      <c r="B1123" s="14"/>
      <c r="C1123" s="14"/>
      <c r="D1123" s="14"/>
      <c r="E1123" s="14"/>
      <c r="K1123" s="14"/>
      <c r="M1123" s="14"/>
      <c r="N1123" s="14"/>
      <c r="Z1123" s="11"/>
      <c r="AM1123" s="17"/>
      <c r="AX1123" s="15"/>
      <c r="AY1123" s="15"/>
      <c r="AZ1123" s="15"/>
    </row>
    <row r="1124" spans="1:52" ht="12" customHeight="1" x14ac:dyDescent="0.25">
      <c r="A1124" s="3"/>
      <c r="B1124" s="14"/>
      <c r="C1124" s="14"/>
      <c r="D1124" s="14"/>
      <c r="E1124" s="14"/>
      <c r="K1124" s="14"/>
      <c r="M1124" s="14"/>
      <c r="N1124" s="14"/>
      <c r="Z1124" s="11"/>
      <c r="AM1124" s="17"/>
      <c r="AX1124" s="15"/>
      <c r="AY1124" s="15"/>
      <c r="AZ1124" s="15"/>
    </row>
    <row r="1125" spans="1:52" ht="12" customHeight="1" x14ac:dyDescent="0.25">
      <c r="A1125" s="3"/>
      <c r="B1125" s="14"/>
      <c r="C1125" s="14"/>
      <c r="D1125" s="14"/>
      <c r="E1125" s="14"/>
      <c r="K1125" s="14"/>
      <c r="M1125" s="14"/>
      <c r="N1125" s="14"/>
      <c r="Z1125" s="11"/>
      <c r="AM1125" s="17"/>
      <c r="AX1125" s="15"/>
      <c r="AY1125" s="15"/>
      <c r="AZ1125" s="15"/>
    </row>
    <row r="1126" spans="1:52" ht="12" customHeight="1" x14ac:dyDescent="0.25">
      <c r="A1126" s="3"/>
      <c r="B1126" s="14"/>
      <c r="C1126" s="14"/>
      <c r="D1126" s="14"/>
      <c r="E1126" s="14"/>
      <c r="K1126" s="14"/>
      <c r="M1126" s="14"/>
      <c r="N1126" s="14"/>
      <c r="Z1126" s="11"/>
      <c r="AM1126" s="17"/>
      <c r="AX1126" s="15"/>
      <c r="AY1126" s="15"/>
      <c r="AZ1126" s="15"/>
    </row>
    <row r="1127" spans="1:52" ht="12" customHeight="1" x14ac:dyDescent="0.25">
      <c r="A1127" s="3"/>
      <c r="B1127" s="14"/>
      <c r="C1127" s="14"/>
      <c r="D1127" s="14"/>
      <c r="E1127" s="14"/>
      <c r="K1127" s="14"/>
      <c r="M1127" s="14"/>
      <c r="N1127" s="14"/>
      <c r="Z1127" s="11"/>
      <c r="AM1127" s="17"/>
      <c r="AX1127" s="15"/>
      <c r="AY1127" s="15"/>
      <c r="AZ1127" s="15"/>
    </row>
    <row r="1128" spans="1:52" ht="12" customHeight="1" x14ac:dyDescent="0.25">
      <c r="A1128" s="3"/>
      <c r="B1128" s="14"/>
      <c r="C1128" s="14"/>
      <c r="D1128" s="14"/>
      <c r="E1128" s="14"/>
      <c r="K1128" s="14"/>
      <c r="M1128" s="14"/>
      <c r="N1128" s="14"/>
      <c r="Z1128" s="11"/>
      <c r="AM1128" s="17"/>
      <c r="AX1128" s="15"/>
      <c r="AY1128" s="15"/>
      <c r="AZ1128" s="15"/>
    </row>
    <row r="1129" spans="1:52" ht="12" customHeight="1" x14ac:dyDescent="0.25">
      <c r="A1129" s="3"/>
      <c r="B1129" s="14"/>
      <c r="C1129" s="14"/>
      <c r="D1129" s="14"/>
      <c r="E1129" s="14"/>
      <c r="K1129" s="14"/>
      <c r="M1129" s="14"/>
      <c r="N1129" s="14"/>
      <c r="Z1129" s="11"/>
      <c r="AM1129" s="17"/>
      <c r="AX1129" s="15"/>
      <c r="AY1129" s="15"/>
      <c r="AZ1129" s="15"/>
    </row>
    <row r="1130" spans="1:52" ht="12" customHeight="1" x14ac:dyDescent="0.25">
      <c r="A1130" s="3"/>
      <c r="B1130" s="14"/>
      <c r="C1130" s="14"/>
      <c r="D1130" s="14"/>
      <c r="E1130" s="14"/>
      <c r="K1130" s="14"/>
      <c r="M1130" s="14"/>
      <c r="N1130" s="14"/>
      <c r="Z1130" s="11"/>
      <c r="AM1130" s="17"/>
      <c r="AX1130" s="15"/>
      <c r="AY1130" s="15"/>
      <c r="AZ1130" s="15"/>
    </row>
    <row r="1131" spans="1:52" ht="12" customHeight="1" x14ac:dyDescent="0.25">
      <c r="A1131" s="3"/>
      <c r="B1131" s="14"/>
      <c r="C1131" s="14"/>
      <c r="D1131" s="14"/>
      <c r="E1131" s="14"/>
      <c r="K1131" s="14"/>
      <c r="M1131" s="14"/>
      <c r="N1131" s="14"/>
      <c r="Z1131" s="11"/>
      <c r="AM1131" s="17"/>
      <c r="AX1131" s="15"/>
      <c r="AY1131" s="15"/>
      <c r="AZ1131" s="15"/>
    </row>
    <row r="1132" spans="1:52" ht="12" customHeight="1" x14ac:dyDescent="0.25">
      <c r="A1132" s="3"/>
      <c r="B1132" s="14"/>
      <c r="C1132" s="14"/>
      <c r="D1132" s="14"/>
      <c r="E1132" s="14"/>
      <c r="K1132" s="14"/>
      <c r="M1132" s="14"/>
      <c r="N1132" s="14"/>
      <c r="Z1132" s="11"/>
      <c r="AM1132" s="17"/>
      <c r="AX1132" s="15"/>
      <c r="AY1132" s="15"/>
      <c r="AZ1132" s="15"/>
    </row>
    <row r="1133" spans="1:52" ht="12" customHeight="1" x14ac:dyDescent="0.25">
      <c r="A1133" s="3"/>
      <c r="B1133" s="14"/>
      <c r="C1133" s="14"/>
      <c r="D1133" s="14"/>
      <c r="E1133" s="14"/>
      <c r="K1133" s="14"/>
      <c r="M1133" s="14"/>
      <c r="N1133" s="14"/>
      <c r="Z1133" s="11"/>
      <c r="AM1133" s="17"/>
      <c r="AX1133" s="15"/>
      <c r="AY1133" s="15"/>
      <c r="AZ1133" s="15"/>
    </row>
    <row r="1134" spans="1:52" ht="12" customHeight="1" x14ac:dyDescent="0.25">
      <c r="A1134" s="3"/>
      <c r="B1134" s="14"/>
      <c r="C1134" s="14"/>
      <c r="D1134" s="14"/>
      <c r="E1134" s="14"/>
      <c r="K1134" s="14"/>
      <c r="M1134" s="14"/>
      <c r="N1134" s="14"/>
      <c r="Z1134" s="11"/>
      <c r="AM1134" s="17"/>
      <c r="AX1134" s="15"/>
      <c r="AY1134" s="15"/>
      <c r="AZ1134" s="15"/>
    </row>
    <row r="1135" spans="1:52" ht="12" customHeight="1" x14ac:dyDescent="0.25">
      <c r="A1135" s="3"/>
      <c r="B1135" s="14"/>
      <c r="C1135" s="14"/>
      <c r="D1135" s="14"/>
      <c r="E1135" s="14"/>
      <c r="K1135" s="14"/>
      <c r="M1135" s="14"/>
      <c r="N1135" s="14"/>
      <c r="Z1135" s="11"/>
      <c r="AM1135" s="17"/>
      <c r="AX1135" s="15"/>
      <c r="AY1135" s="15"/>
      <c r="AZ1135" s="15"/>
    </row>
    <row r="1136" spans="1:52" ht="12" customHeight="1" x14ac:dyDescent="0.25">
      <c r="A1136" s="3"/>
      <c r="B1136" s="14"/>
      <c r="C1136" s="14"/>
      <c r="D1136" s="14"/>
      <c r="E1136" s="14"/>
      <c r="K1136" s="14"/>
      <c r="M1136" s="14"/>
      <c r="N1136" s="14"/>
      <c r="Z1136" s="11"/>
      <c r="AM1136" s="17"/>
      <c r="AX1136" s="15"/>
      <c r="AY1136" s="15"/>
      <c r="AZ1136" s="15"/>
    </row>
    <row r="1137" spans="1:52" ht="12" customHeight="1" x14ac:dyDescent="0.25">
      <c r="A1137" s="3"/>
      <c r="B1137" s="14"/>
      <c r="C1137" s="14"/>
      <c r="D1137" s="14"/>
      <c r="E1137" s="14"/>
      <c r="K1137" s="14"/>
      <c r="M1137" s="14"/>
      <c r="N1137" s="14"/>
      <c r="Z1137" s="11"/>
      <c r="AM1137" s="17"/>
      <c r="AX1137" s="15"/>
      <c r="AY1137" s="15"/>
      <c r="AZ1137" s="15"/>
    </row>
    <row r="1138" spans="1:52" ht="12" customHeight="1" x14ac:dyDescent="0.25">
      <c r="A1138" s="3"/>
      <c r="B1138" s="14"/>
      <c r="C1138" s="14"/>
      <c r="D1138" s="14"/>
      <c r="E1138" s="14"/>
      <c r="K1138" s="14"/>
      <c r="M1138" s="14"/>
      <c r="N1138" s="14"/>
      <c r="Z1138" s="11"/>
      <c r="AM1138" s="17"/>
      <c r="AX1138" s="15"/>
      <c r="AY1138" s="15"/>
      <c r="AZ1138" s="15"/>
    </row>
    <row r="1139" spans="1:52" ht="12" customHeight="1" x14ac:dyDescent="0.25">
      <c r="A1139" s="3"/>
      <c r="B1139" s="14"/>
      <c r="C1139" s="14"/>
      <c r="D1139" s="14"/>
      <c r="E1139" s="14"/>
      <c r="K1139" s="14"/>
      <c r="M1139" s="14"/>
      <c r="N1139" s="14"/>
      <c r="Z1139" s="11"/>
      <c r="AM1139" s="17"/>
      <c r="AX1139" s="15"/>
      <c r="AY1139" s="15"/>
      <c r="AZ1139" s="15"/>
    </row>
    <row r="1140" spans="1:52" ht="12" customHeight="1" x14ac:dyDescent="0.25">
      <c r="A1140" s="3"/>
      <c r="B1140" s="14"/>
      <c r="C1140" s="14"/>
      <c r="D1140" s="14"/>
      <c r="E1140" s="14"/>
      <c r="K1140" s="14"/>
      <c r="M1140" s="14"/>
      <c r="N1140" s="14"/>
      <c r="Z1140" s="11"/>
      <c r="AM1140" s="17"/>
      <c r="AX1140" s="15"/>
      <c r="AY1140" s="15"/>
      <c r="AZ1140" s="15"/>
    </row>
    <row r="1141" spans="1:52" ht="12" customHeight="1" x14ac:dyDescent="0.25">
      <c r="A1141" s="3"/>
      <c r="B1141" s="14"/>
      <c r="C1141" s="14"/>
      <c r="D1141" s="14"/>
      <c r="E1141" s="14"/>
      <c r="K1141" s="14"/>
      <c r="M1141" s="14"/>
      <c r="N1141" s="14"/>
      <c r="Z1141" s="11"/>
      <c r="AM1141" s="17"/>
      <c r="AX1141" s="15"/>
      <c r="AY1141" s="15"/>
      <c r="AZ1141" s="15"/>
    </row>
    <row r="1142" spans="1:52" ht="12" customHeight="1" x14ac:dyDescent="0.25">
      <c r="A1142" s="3"/>
      <c r="B1142" s="14"/>
      <c r="C1142" s="14"/>
      <c r="D1142" s="14"/>
      <c r="E1142" s="14"/>
      <c r="K1142" s="14"/>
      <c r="M1142" s="14"/>
      <c r="N1142" s="14"/>
      <c r="Z1142" s="11"/>
      <c r="AM1142" s="17"/>
      <c r="AX1142" s="15"/>
      <c r="AY1142" s="15"/>
      <c r="AZ1142" s="15"/>
    </row>
    <row r="1143" spans="1:52" ht="12" customHeight="1" x14ac:dyDescent="0.25">
      <c r="A1143" s="3"/>
      <c r="B1143" s="14"/>
      <c r="C1143" s="14"/>
      <c r="D1143" s="14"/>
      <c r="E1143" s="14"/>
      <c r="K1143" s="14"/>
      <c r="M1143" s="14"/>
      <c r="N1143" s="14"/>
      <c r="Z1143" s="11"/>
      <c r="AM1143" s="17"/>
      <c r="AX1143" s="15"/>
      <c r="AY1143" s="15"/>
      <c r="AZ1143" s="15"/>
    </row>
    <row r="1144" spans="1:52" ht="12" customHeight="1" x14ac:dyDescent="0.25">
      <c r="A1144" s="3"/>
      <c r="B1144" s="14"/>
      <c r="C1144" s="14"/>
      <c r="D1144" s="14"/>
      <c r="E1144" s="14"/>
      <c r="K1144" s="14"/>
      <c r="M1144" s="14"/>
      <c r="N1144" s="14"/>
      <c r="Z1144" s="11"/>
      <c r="AM1144" s="17"/>
      <c r="AX1144" s="15"/>
      <c r="AY1144" s="15"/>
      <c r="AZ1144" s="15"/>
    </row>
    <row r="1145" spans="1:52" ht="12" customHeight="1" x14ac:dyDescent="0.25">
      <c r="A1145" s="3"/>
      <c r="B1145" s="14"/>
      <c r="C1145" s="14"/>
      <c r="D1145" s="14"/>
      <c r="E1145" s="14"/>
      <c r="K1145" s="14"/>
      <c r="M1145" s="14"/>
      <c r="N1145" s="14"/>
      <c r="Z1145" s="11"/>
      <c r="AM1145" s="17"/>
      <c r="AX1145" s="15"/>
      <c r="AY1145" s="15"/>
      <c r="AZ1145" s="15"/>
    </row>
    <row r="1146" spans="1:52" ht="12" customHeight="1" x14ac:dyDescent="0.25">
      <c r="A1146" s="3"/>
      <c r="B1146" s="14"/>
      <c r="C1146" s="14"/>
      <c r="D1146" s="14"/>
      <c r="E1146" s="14"/>
      <c r="K1146" s="14"/>
      <c r="M1146" s="14"/>
      <c r="N1146" s="14"/>
      <c r="Z1146" s="11"/>
      <c r="AM1146" s="17"/>
      <c r="AX1146" s="15"/>
      <c r="AY1146" s="15"/>
      <c r="AZ1146" s="15"/>
    </row>
    <row r="1147" spans="1:52" ht="12" customHeight="1" x14ac:dyDescent="0.25">
      <c r="A1147" s="3"/>
      <c r="B1147" s="14"/>
      <c r="C1147" s="14"/>
      <c r="D1147" s="14"/>
      <c r="E1147" s="14"/>
      <c r="K1147" s="14"/>
      <c r="M1147" s="14"/>
      <c r="N1147" s="14"/>
      <c r="Z1147" s="11"/>
      <c r="AM1147" s="17"/>
      <c r="AX1147" s="15"/>
      <c r="AY1147" s="15"/>
      <c r="AZ1147" s="15"/>
    </row>
    <row r="1148" spans="1:52" ht="12" customHeight="1" x14ac:dyDescent="0.25">
      <c r="A1148" s="3"/>
      <c r="B1148" s="14"/>
      <c r="C1148" s="14"/>
      <c r="D1148" s="14"/>
      <c r="E1148" s="14"/>
      <c r="K1148" s="14"/>
      <c r="M1148" s="14"/>
      <c r="N1148" s="14"/>
      <c r="Z1148" s="11"/>
      <c r="AM1148" s="17"/>
      <c r="AX1148" s="15"/>
      <c r="AY1148" s="15"/>
      <c r="AZ1148" s="15"/>
    </row>
    <row r="1149" spans="1:52" ht="12" customHeight="1" x14ac:dyDescent="0.25">
      <c r="A1149" s="3"/>
      <c r="B1149" s="14"/>
      <c r="C1149" s="14"/>
      <c r="D1149" s="14"/>
      <c r="E1149" s="14"/>
      <c r="K1149" s="14"/>
      <c r="M1149" s="14"/>
      <c r="N1149" s="14"/>
      <c r="Z1149" s="11"/>
      <c r="AM1149" s="17"/>
      <c r="AX1149" s="15"/>
      <c r="AY1149" s="15"/>
      <c r="AZ1149" s="15"/>
    </row>
    <row r="1150" spans="1:52" ht="12" customHeight="1" x14ac:dyDescent="0.25">
      <c r="A1150" s="3"/>
      <c r="B1150" s="14"/>
      <c r="C1150" s="14"/>
      <c r="D1150" s="14"/>
      <c r="E1150" s="14"/>
      <c r="K1150" s="14"/>
      <c r="M1150" s="14"/>
      <c r="N1150" s="14"/>
      <c r="Z1150" s="11"/>
      <c r="AM1150" s="17"/>
      <c r="AX1150" s="15"/>
      <c r="AY1150" s="15"/>
      <c r="AZ1150" s="15"/>
    </row>
    <row r="1151" spans="1:52" ht="12" customHeight="1" x14ac:dyDescent="0.25">
      <c r="A1151" s="3"/>
      <c r="B1151" s="14"/>
      <c r="C1151" s="14"/>
      <c r="D1151" s="14"/>
      <c r="E1151" s="14"/>
      <c r="K1151" s="14"/>
      <c r="M1151" s="14"/>
      <c r="N1151" s="14"/>
      <c r="Z1151" s="11"/>
      <c r="AM1151" s="17"/>
      <c r="AX1151" s="15"/>
      <c r="AY1151" s="15"/>
      <c r="AZ1151" s="15"/>
    </row>
    <row r="1152" spans="1:52" ht="12" customHeight="1" x14ac:dyDescent="0.25">
      <c r="A1152" s="3"/>
      <c r="B1152" s="14"/>
      <c r="C1152" s="14"/>
      <c r="D1152" s="14"/>
      <c r="E1152" s="14"/>
      <c r="K1152" s="14"/>
      <c r="M1152" s="14"/>
      <c r="N1152" s="14"/>
      <c r="Z1152" s="11"/>
      <c r="AM1152" s="17"/>
      <c r="AX1152" s="15"/>
      <c r="AY1152" s="15"/>
      <c r="AZ1152" s="15"/>
    </row>
    <row r="1153" spans="1:52" ht="12" customHeight="1" x14ac:dyDescent="0.25">
      <c r="A1153" s="3"/>
      <c r="B1153" s="14"/>
      <c r="C1153" s="14"/>
      <c r="D1153" s="14"/>
      <c r="E1153" s="14"/>
      <c r="K1153" s="14"/>
      <c r="M1153" s="14"/>
      <c r="N1153" s="14"/>
      <c r="Z1153" s="11"/>
      <c r="AM1153" s="17"/>
      <c r="AX1153" s="15"/>
      <c r="AY1153" s="15"/>
      <c r="AZ1153" s="15"/>
    </row>
    <row r="1154" spans="1:52" ht="12" customHeight="1" x14ac:dyDescent="0.25">
      <c r="A1154" s="3"/>
      <c r="B1154" s="14"/>
      <c r="C1154" s="14"/>
      <c r="D1154" s="14"/>
      <c r="E1154" s="14"/>
      <c r="K1154" s="14"/>
      <c r="M1154" s="14"/>
      <c r="N1154" s="14"/>
      <c r="Z1154" s="11"/>
      <c r="AM1154" s="17"/>
      <c r="AX1154" s="15"/>
      <c r="AY1154" s="15"/>
      <c r="AZ1154" s="15"/>
    </row>
    <row r="1155" spans="1:52" ht="12" customHeight="1" x14ac:dyDescent="0.25">
      <c r="A1155" s="3"/>
      <c r="B1155" s="14"/>
      <c r="C1155" s="14"/>
      <c r="D1155" s="14"/>
      <c r="E1155" s="14"/>
      <c r="K1155" s="14"/>
      <c r="M1155" s="14"/>
      <c r="N1155" s="14"/>
      <c r="Z1155" s="11"/>
      <c r="AM1155" s="17"/>
      <c r="AX1155" s="15"/>
      <c r="AY1155" s="15"/>
      <c r="AZ1155" s="15"/>
    </row>
    <row r="1156" spans="1:52" ht="12" customHeight="1" x14ac:dyDescent="0.25">
      <c r="A1156" s="3"/>
      <c r="B1156" s="14"/>
      <c r="C1156" s="14"/>
      <c r="D1156" s="14"/>
      <c r="E1156" s="14"/>
      <c r="K1156" s="14"/>
      <c r="M1156" s="14"/>
      <c r="N1156" s="14"/>
      <c r="Z1156" s="11"/>
      <c r="AM1156" s="17"/>
      <c r="AX1156" s="15"/>
      <c r="AY1156" s="15"/>
      <c r="AZ1156" s="15"/>
    </row>
    <row r="1157" spans="1:52" ht="12" customHeight="1" x14ac:dyDescent="0.25">
      <c r="A1157" s="3"/>
      <c r="B1157" s="14"/>
      <c r="C1157" s="14"/>
      <c r="D1157" s="14"/>
      <c r="E1157" s="14"/>
      <c r="K1157" s="14"/>
      <c r="M1157" s="14"/>
      <c r="N1157" s="14"/>
      <c r="Z1157" s="11"/>
      <c r="AM1157" s="17"/>
      <c r="AX1157" s="15"/>
      <c r="AY1157" s="15"/>
      <c r="AZ1157" s="15"/>
    </row>
    <row r="1158" spans="1:52" ht="12" customHeight="1" x14ac:dyDescent="0.25">
      <c r="A1158" s="3"/>
      <c r="B1158" s="14"/>
      <c r="C1158" s="14"/>
      <c r="D1158" s="14"/>
      <c r="E1158" s="14"/>
      <c r="K1158" s="14"/>
      <c r="M1158" s="14"/>
      <c r="N1158" s="14"/>
      <c r="Z1158" s="11"/>
      <c r="AM1158" s="17"/>
      <c r="AX1158" s="15"/>
      <c r="AY1158" s="15"/>
      <c r="AZ1158" s="15"/>
    </row>
    <row r="1159" spans="1:52" ht="12" customHeight="1" x14ac:dyDescent="0.25">
      <c r="A1159" s="3"/>
      <c r="B1159" s="14"/>
      <c r="C1159" s="14"/>
      <c r="D1159" s="14"/>
      <c r="E1159" s="14"/>
      <c r="K1159" s="14"/>
      <c r="M1159" s="14"/>
      <c r="N1159" s="14"/>
      <c r="Z1159" s="11"/>
      <c r="AM1159" s="17"/>
      <c r="AX1159" s="15"/>
      <c r="AY1159" s="15"/>
      <c r="AZ1159" s="15"/>
    </row>
    <row r="1160" spans="1:52" ht="12" customHeight="1" x14ac:dyDescent="0.25">
      <c r="A1160" s="3"/>
      <c r="B1160" s="14"/>
      <c r="C1160" s="14"/>
      <c r="D1160" s="14"/>
      <c r="E1160" s="14"/>
      <c r="K1160" s="14"/>
      <c r="M1160" s="14"/>
      <c r="N1160" s="14"/>
      <c r="Z1160" s="11"/>
      <c r="AM1160" s="17"/>
      <c r="AX1160" s="15"/>
      <c r="AY1160" s="15"/>
      <c r="AZ1160" s="15"/>
    </row>
    <row r="1161" spans="1:52" ht="12" customHeight="1" x14ac:dyDescent="0.25">
      <c r="A1161" s="3"/>
      <c r="B1161" s="14"/>
      <c r="C1161" s="14"/>
      <c r="D1161" s="14"/>
      <c r="E1161" s="14"/>
      <c r="K1161" s="14"/>
      <c r="M1161" s="14"/>
      <c r="N1161" s="14"/>
      <c r="Z1161" s="11"/>
      <c r="AM1161" s="17"/>
      <c r="AX1161" s="15"/>
      <c r="AY1161" s="15"/>
      <c r="AZ1161" s="15"/>
    </row>
    <row r="1162" spans="1:52" ht="12" customHeight="1" x14ac:dyDescent="0.25">
      <c r="A1162" s="3"/>
      <c r="B1162" s="14"/>
      <c r="C1162" s="14"/>
      <c r="D1162" s="14"/>
      <c r="E1162" s="14"/>
      <c r="K1162" s="14"/>
      <c r="M1162" s="14"/>
      <c r="N1162" s="14"/>
      <c r="Z1162" s="11"/>
      <c r="AM1162" s="17"/>
      <c r="AX1162" s="15"/>
      <c r="AY1162" s="15"/>
      <c r="AZ1162" s="15"/>
    </row>
    <row r="1163" spans="1:52" ht="12" customHeight="1" x14ac:dyDescent="0.25">
      <c r="A1163" s="3"/>
      <c r="B1163" s="14"/>
      <c r="C1163" s="14"/>
      <c r="D1163" s="14"/>
      <c r="E1163" s="14"/>
      <c r="K1163" s="14"/>
      <c r="M1163" s="14"/>
      <c r="N1163" s="14"/>
      <c r="Z1163" s="11"/>
      <c r="AM1163" s="17"/>
      <c r="AX1163" s="15"/>
      <c r="AY1163" s="15"/>
      <c r="AZ1163" s="15"/>
    </row>
    <row r="1164" spans="1:52" ht="12" customHeight="1" x14ac:dyDescent="0.25">
      <c r="A1164" s="3"/>
      <c r="B1164" s="14"/>
      <c r="C1164" s="14"/>
      <c r="D1164" s="14"/>
      <c r="E1164" s="14"/>
      <c r="K1164" s="14"/>
      <c r="M1164" s="14"/>
      <c r="N1164" s="14"/>
      <c r="Z1164" s="11"/>
      <c r="AM1164" s="17"/>
      <c r="AX1164" s="15"/>
      <c r="AY1164" s="15"/>
      <c r="AZ1164" s="15"/>
    </row>
    <row r="1165" spans="1:52" ht="12" customHeight="1" x14ac:dyDescent="0.25">
      <c r="A1165" s="3"/>
      <c r="B1165" s="14"/>
      <c r="C1165" s="14"/>
      <c r="D1165" s="14"/>
      <c r="E1165" s="14"/>
      <c r="K1165" s="14"/>
      <c r="M1165" s="14"/>
      <c r="N1165" s="14"/>
      <c r="Z1165" s="11"/>
      <c r="AM1165" s="17"/>
      <c r="AX1165" s="15"/>
      <c r="AY1165" s="15"/>
      <c r="AZ1165" s="15"/>
    </row>
    <row r="1166" spans="1:52" ht="12" customHeight="1" x14ac:dyDescent="0.25">
      <c r="A1166" s="3"/>
      <c r="B1166" s="14"/>
      <c r="C1166" s="14"/>
      <c r="D1166" s="14"/>
      <c r="E1166" s="14"/>
      <c r="K1166" s="14"/>
      <c r="M1166" s="14"/>
      <c r="N1166" s="14"/>
      <c r="Z1166" s="11"/>
      <c r="AM1166" s="17"/>
      <c r="AX1166" s="15"/>
      <c r="AY1166" s="15"/>
      <c r="AZ1166" s="15"/>
    </row>
    <row r="1167" spans="1:52" ht="12" customHeight="1" x14ac:dyDescent="0.25">
      <c r="A1167" s="3"/>
      <c r="B1167" s="14"/>
      <c r="C1167" s="14"/>
      <c r="D1167" s="14"/>
      <c r="E1167" s="14"/>
      <c r="K1167" s="14"/>
      <c r="M1167" s="14"/>
      <c r="N1167" s="14"/>
      <c r="Z1167" s="11"/>
      <c r="AM1167" s="17"/>
      <c r="AX1167" s="15"/>
      <c r="AY1167" s="15"/>
      <c r="AZ1167" s="15"/>
    </row>
    <row r="1168" spans="1:52" ht="12" customHeight="1" x14ac:dyDescent="0.25">
      <c r="A1168" s="3"/>
      <c r="B1168" s="14"/>
      <c r="C1168" s="14"/>
      <c r="D1168" s="14"/>
      <c r="E1168" s="14"/>
      <c r="K1168" s="14"/>
      <c r="M1168" s="14"/>
      <c r="N1168" s="14"/>
      <c r="Z1168" s="11"/>
      <c r="AM1168" s="17"/>
      <c r="AX1168" s="15"/>
      <c r="AY1168" s="15"/>
      <c r="AZ1168" s="15"/>
    </row>
    <row r="1169" spans="1:52" ht="12" customHeight="1" x14ac:dyDescent="0.25">
      <c r="A1169" s="3"/>
      <c r="B1169" s="14"/>
      <c r="C1169" s="14"/>
      <c r="D1169" s="14"/>
      <c r="E1169" s="14"/>
      <c r="K1169" s="14"/>
      <c r="M1169" s="14"/>
      <c r="N1169" s="14"/>
      <c r="Z1169" s="11"/>
      <c r="AM1169" s="17"/>
      <c r="AX1169" s="15"/>
      <c r="AY1169" s="15"/>
      <c r="AZ1169" s="15"/>
    </row>
    <row r="1170" spans="1:52" ht="12" customHeight="1" x14ac:dyDescent="0.25">
      <c r="A1170" s="3"/>
      <c r="B1170" s="14"/>
      <c r="C1170" s="14"/>
      <c r="D1170" s="14"/>
      <c r="E1170" s="14"/>
      <c r="K1170" s="14"/>
      <c r="M1170" s="14"/>
      <c r="N1170" s="14"/>
      <c r="Z1170" s="11"/>
      <c r="AM1170" s="17"/>
      <c r="AX1170" s="15"/>
      <c r="AY1170" s="15"/>
      <c r="AZ1170" s="15"/>
    </row>
    <row r="1171" spans="1:52" ht="12" customHeight="1" x14ac:dyDescent="0.25">
      <c r="A1171" s="3"/>
      <c r="B1171" s="14"/>
      <c r="C1171" s="14"/>
      <c r="D1171" s="14"/>
      <c r="E1171" s="14"/>
      <c r="K1171" s="14"/>
      <c r="M1171" s="14"/>
      <c r="N1171" s="14"/>
      <c r="Z1171" s="11"/>
      <c r="AM1171" s="17"/>
      <c r="AX1171" s="15"/>
      <c r="AY1171" s="15"/>
      <c r="AZ1171" s="15"/>
    </row>
    <row r="1172" spans="1:52" ht="12" customHeight="1" x14ac:dyDescent="0.25">
      <c r="A1172" s="3"/>
      <c r="B1172" s="14"/>
      <c r="C1172" s="14"/>
      <c r="D1172" s="14"/>
      <c r="E1172" s="14"/>
      <c r="K1172" s="14"/>
      <c r="M1172" s="14"/>
      <c r="N1172" s="14"/>
      <c r="Z1172" s="11"/>
      <c r="AM1172" s="17"/>
      <c r="AX1172" s="15"/>
      <c r="AY1172" s="15"/>
      <c r="AZ1172" s="15"/>
    </row>
    <row r="1173" spans="1:52" ht="12" customHeight="1" x14ac:dyDescent="0.25">
      <c r="A1173" s="3"/>
      <c r="B1173" s="14"/>
      <c r="C1173" s="14"/>
      <c r="D1173" s="14"/>
      <c r="E1173" s="14"/>
      <c r="K1173" s="14"/>
      <c r="M1173" s="14"/>
      <c r="N1173" s="14"/>
      <c r="Z1173" s="11"/>
      <c r="AM1173" s="17"/>
      <c r="AX1173" s="15"/>
      <c r="AY1173" s="15"/>
      <c r="AZ1173" s="15"/>
    </row>
    <row r="1174" spans="1:52" ht="12" customHeight="1" x14ac:dyDescent="0.25">
      <c r="A1174" s="3"/>
      <c r="B1174" s="14"/>
      <c r="C1174" s="14"/>
      <c r="D1174" s="14"/>
      <c r="E1174" s="14"/>
      <c r="K1174" s="14"/>
      <c r="M1174" s="14"/>
      <c r="N1174" s="14"/>
      <c r="Z1174" s="11"/>
      <c r="AM1174" s="17"/>
      <c r="AX1174" s="15"/>
      <c r="AY1174" s="15"/>
      <c r="AZ1174" s="15"/>
    </row>
    <row r="1175" spans="1:52" ht="12" customHeight="1" x14ac:dyDescent="0.25">
      <c r="A1175" s="3"/>
      <c r="B1175" s="14"/>
      <c r="C1175" s="14"/>
      <c r="D1175" s="14"/>
      <c r="E1175" s="14"/>
      <c r="K1175" s="14"/>
      <c r="M1175" s="14"/>
      <c r="N1175" s="14"/>
      <c r="Z1175" s="11"/>
      <c r="AM1175" s="17"/>
      <c r="AX1175" s="15"/>
      <c r="AY1175" s="15"/>
      <c r="AZ1175" s="15"/>
    </row>
    <row r="1176" spans="1:52" ht="12" customHeight="1" x14ac:dyDescent="0.25">
      <c r="A1176" s="3"/>
      <c r="B1176" s="14"/>
      <c r="C1176" s="14"/>
      <c r="D1176" s="14"/>
      <c r="E1176" s="14"/>
      <c r="K1176" s="14"/>
      <c r="M1176" s="14"/>
      <c r="N1176" s="14"/>
      <c r="Z1176" s="11"/>
      <c r="AM1176" s="17"/>
      <c r="AX1176" s="15"/>
      <c r="AY1176" s="15"/>
      <c r="AZ1176" s="15"/>
    </row>
    <row r="1177" spans="1:52" ht="12" customHeight="1" x14ac:dyDescent="0.25">
      <c r="A1177" s="3"/>
      <c r="B1177" s="14"/>
      <c r="C1177" s="14"/>
      <c r="D1177" s="14"/>
      <c r="E1177" s="14"/>
      <c r="K1177" s="14"/>
      <c r="M1177" s="14"/>
      <c r="N1177" s="14"/>
      <c r="Z1177" s="11"/>
      <c r="AM1177" s="17"/>
      <c r="AX1177" s="15"/>
      <c r="AY1177" s="15"/>
      <c r="AZ1177" s="15"/>
    </row>
    <row r="1178" spans="1:52" ht="12" customHeight="1" x14ac:dyDescent="0.25">
      <c r="A1178" s="3"/>
      <c r="B1178" s="14"/>
      <c r="C1178" s="14"/>
      <c r="D1178" s="14"/>
      <c r="E1178" s="14"/>
      <c r="K1178" s="14"/>
      <c r="M1178" s="14"/>
      <c r="N1178" s="14"/>
      <c r="Z1178" s="11"/>
      <c r="AM1178" s="17"/>
      <c r="AX1178" s="15"/>
      <c r="AY1178" s="15"/>
      <c r="AZ1178" s="15"/>
    </row>
    <row r="1179" spans="1:52" ht="12" customHeight="1" x14ac:dyDescent="0.25">
      <c r="A1179" s="3"/>
      <c r="B1179" s="14"/>
      <c r="C1179" s="14"/>
      <c r="D1179" s="14"/>
      <c r="E1179" s="14"/>
      <c r="K1179" s="14"/>
      <c r="M1179" s="14"/>
      <c r="N1179" s="14"/>
      <c r="Z1179" s="11"/>
      <c r="AM1179" s="17"/>
      <c r="AX1179" s="15"/>
      <c r="AY1179" s="15"/>
      <c r="AZ1179" s="15"/>
    </row>
    <row r="1180" spans="1:52" ht="12" customHeight="1" x14ac:dyDescent="0.25">
      <c r="A1180" s="3"/>
      <c r="B1180" s="14"/>
      <c r="C1180" s="14"/>
      <c r="D1180" s="14"/>
      <c r="E1180" s="14"/>
      <c r="K1180" s="14"/>
      <c r="M1180" s="14"/>
      <c r="N1180" s="14"/>
      <c r="Z1180" s="11"/>
      <c r="AM1180" s="17"/>
      <c r="AX1180" s="15"/>
      <c r="AY1180" s="15"/>
      <c r="AZ1180" s="15"/>
    </row>
    <row r="1181" spans="1:52" ht="12" customHeight="1" x14ac:dyDescent="0.25">
      <c r="A1181" s="3"/>
      <c r="B1181" s="14"/>
      <c r="C1181" s="14"/>
      <c r="D1181" s="14"/>
      <c r="E1181" s="14"/>
      <c r="K1181" s="14"/>
      <c r="M1181" s="14"/>
      <c r="N1181" s="14"/>
      <c r="Z1181" s="11"/>
      <c r="AM1181" s="17"/>
      <c r="AX1181" s="15"/>
      <c r="AY1181" s="15"/>
      <c r="AZ1181" s="15"/>
    </row>
    <row r="1182" spans="1:52" ht="12" customHeight="1" x14ac:dyDescent="0.25">
      <c r="A1182" s="3"/>
      <c r="B1182" s="14"/>
      <c r="C1182" s="14"/>
      <c r="D1182" s="14"/>
      <c r="E1182" s="14"/>
      <c r="K1182" s="14"/>
      <c r="M1182" s="14"/>
      <c r="N1182" s="14"/>
      <c r="Z1182" s="11"/>
      <c r="AM1182" s="17"/>
      <c r="AX1182" s="15"/>
      <c r="AY1182" s="15"/>
      <c r="AZ1182" s="15"/>
    </row>
    <row r="1183" spans="1:52" ht="12" customHeight="1" x14ac:dyDescent="0.25">
      <c r="A1183" s="3"/>
      <c r="B1183" s="14"/>
      <c r="C1183" s="14"/>
      <c r="D1183" s="14"/>
      <c r="E1183" s="14"/>
      <c r="K1183" s="14"/>
      <c r="M1183" s="14"/>
      <c r="N1183" s="14"/>
      <c r="Z1183" s="11"/>
      <c r="AM1183" s="17"/>
      <c r="AX1183" s="15"/>
      <c r="AY1183" s="15"/>
      <c r="AZ1183" s="15"/>
    </row>
    <row r="1184" spans="1:52" ht="12" customHeight="1" x14ac:dyDescent="0.25">
      <c r="A1184" s="3"/>
      <c r="B1184" s="14"/>
      <c r="C1184" s="14"/>
      <c r="D1184" s="14"/>
      <c r="E1184" s="14"/>
      <c r="K1184" s="14"/>
      <c r="M1184" s="14"/>
      <c r="N1184" s="14"/>
      <c r="Z1184" s="11"/>
      <c r="AM1184" s="17"/>
      <c r="AX1184" s="15"/>
      <c r="AY1184" s="15"/>
      <c r="AZ1184" s="15"/>
    </row>
    <row r="1185" spans="1:52" ht="12" customHeight="1" x14ac:dyDescent="0.25">
      <c r="A1185" s="3"/>
      <c r="B1185" s="14"/>
      <c r="C1185" s="14"/>
      <c r="D1185" s="14"/>
      <c r="E1185" s="14"/>
      <c r="K1185" s="14"/>
      <c r="M1185" s="14"/>
      <c r="N1185" s="14"/>
      <c r="Z1185" s="11"/>
      <c r="AX1185" s="15"/>
      <c r="AY1185" s="15"/>
      <c r="AZ1185" s="15"/>
    </row>
    <row r="1186" spans="1:52" ht="12" customHeight="1" x14ac:dyDescent="0.25">
      <c r="A1186" s="3"/>
      <c r="B1186" s="14"/>
      <c r="C1186" s="14"/>
      <c r="D1186" s="14"/>
      <c r="E1186" s="14"/>
      <c r="K1186" s="14"/>
      <c r="M1186" s="14"/>
      <c r="N1186" s="14"/>
      <c r="Z1186" s="11"/>
      <c r="AX1186" s="15"/>
      <c r="AY1186" s="15"/>
      <c r="AZ1186" s="15"/>
    </row>
    <row r="1187" spans="1:52" ht="12" customHeight="1" x14ac:dyDescent="0.25">
      <c r="A1187" s="3"/>
      <c r="B1187" s="14"/>
      <c r="C1187" s="14"/>
      <c r="D1187" s="14"/>
      <c r="E1187" s="14"/>
      <c r="K1187" s="14"/>
      <c r="M1187" s="14"/>
      <c r="N1187" s="14"/>
      <c r="Z1187" s="11"/>
      <c r="AX1187" s="15"/>
      <c r="AY1187" s="15"/>
      <c r="AZ1187" s="15"/>
    </row>
    <row r="1188" spans="1:52" ht="12" customHeight="1" x14ac:dyDescent="0.25">
      <c r="A1188" s="3"/>
      <c r="B1188" s="14"/>
      <c r="C1188" s="14"/>
      <c r="D1188" s="14"/>
      <c r="E1188" s="14"/>
      <c r="K1188" s="14"/>
      <c r="M1188" s="14"/>
      <c r="N1188" s="14"/>
      <c r="Z1188" s="11"/>
      <c r="AX1188" s="15"/>
      <c r="AY1188" s="15"/>
      <c r="AZ1188" s="15"/>
    </row>
    <row r="1189" spans="1:52" ht="12" customHeight="1" x14ac:dyDescent="0.25">
      <c r="A1189" s="3"/>
      <c r="B1189" s="14"/>
      <c r="C1189" s="14"/>
      <c r="D1189" s="14"/>
      <c r="E1189" s="14"/>
      <c r="K1189" s="14"/>
      <c r="M1189" s="14"/>
      <c r="N1189" s="14"/>
      <c r="Z1189" s="11"/>
      <c r="AX1189" s="15"/>
      <c r="AY1189" s="15"/>
      <c r="AZ1189" s="15"/>
    </row>
    <row r="1190" spans="1:52" ht="12" customHeight="1" x14ac:dyDescent="0.25">
      <c r="A1190" s="3"/>
      <c r="B1190" s="14"/>
      <c r="C1190" s="14"/>
      <c r="D1190" s="14"/>
      <c r="E1190" s="14"/>
      <c r="K1190" s="14"/>
      <c r="M1190" s="14"/>
      <c r="N1190" s="14"/>
      <c r="Z1190" s="11"/>
      <c r="AX1190" s="15"/>
      <c r="AY1190" s="15"/>
      <c r="AZ1190" s="15"/>
    </row>
    <row r="1191" spans="1:52" ht="12" customHeight="1" x14ac:dyDescent="0.25">
      <c r="A1191" s="3"/>
      <c r="B1191" s="14"/>
      <c r="C1191" s="14"/>
      <c r="D1191" s="14"/>
      <c r="E1191" s="14"/>
      <c r="K1191" s="14"/>
      <c r="M1191" s="14"/>
      <c r="N1191" s="14"/>
      <c r="Z1191" s="11"/>
      <c r="AX1191" s="15"/>
      <c r="AY1191" s="15"/>
      <c r="AZ1191" s="15"/>
    </row>
    <row r="1192" spans="1:52" ht="12" customHeight="1" x14ac:dyDescent="0.25">
      <c r="A1192" s="3"/>
      <c r="B1192" s="14"/>
      <c r="C1192" s="14"/>
      <c r="D1192" s="14"/>
      <c r="E1192" s="14"/>
      <c r="K1192" s="14"/>
      <c r="M1192" s="14"/>
      <c r="N1192" s="14"/>
      <c r="Z1192" s="11"/>
      <c r="AX1192" s="15"/>
      <c r="AY1192" s="15"/>
      <c r="AZ1192" s="15"/>
    </row>
    <row r="1193" spans="1:52" ht="12" customHeight="1" x14ac:dyDescent="0.25">
      <c r="A1193" s="3"/>
      <c r="B1193" s="14"/>
      <c r="C1193" s="14"/>
      <c r="D1193" s="14"/>
      <c r="E1193" s="14"/>
      <c r="K1193" s="14"/>
      <c r="M1193" s="14"/>
      <c r="N1193" s="14"/>
      <c r="Z1193" s="11"/>
      <c r="AX1193" s="15"/>
      <c r="AY1193" s="15"/>
      <c r="AZ1193" s="15"/>
    </row>
    <row r="1194" spans="1:52" ht="12" customHeight="1" x14ac:dyDescent="0.25">
      <c r="A1194" s="3"/>
      <c r="B1194" s="14"/>
      <c r="C1194" s="14"/>
      <c r="D1194" s="14"/>
      <c r="E1194" s="14"/>
      <c r="K1194" s="14"/>
      <c r="M1194" s="14"/>
      <c r="N1194" s="14"/>
      <c r="Z1194" s="11"/>
      <c r="AX1194" s="15"/>
      <c r="AY1194" s="15"/>
      <c r="AZ1194" s="15"/>
    </row>
    <row r="1195" spans="1:52" ht="12" customHeight="1" x14ac:dyDescent="0.25">
      <c r="A1195" s="3"/>
      <c r="B1195" s="14"/>
      <c r="C1195" s="14"/>
      <c r="D1195" s="14"/>
    </row>
    <row r="1196" spans="1:52" ht="12" customHeight="1" x14ac:dyDescent="0.25">
      <c r="A1196" s="3"/>
      <c r="B1196" s="14"/>
      <c r="C1196" s="14"/>
      <c r="D1196" s="14"/>
    </row>
    <row r="1197" spans="1:52" ht="12" customHeight="1" x14ac:dyDescent="0.25">
      <c r="A1197" s="3"/>
    </row>
    <row r="1198" spans="1:52" ht="12" customHeight="1" x14ac:dyDescent="0.25">
      <c r="A1198" s="3"/>
    </row>
    <row r="1199" spans="1:52" ht="12" customHeight="1" x14ac:dyDescent="0.25">
      <c r="A1199" s="3"/>
    </row>
    <row r="1200" spans="1:52" ht="12" customHeight="1" x14ac:dyDescent="0.25">
      <c r="A1200" s="3"/>
    </row>
  </sheetData>
  <conditionalFormatting sqref="B5:C5">
    <cfRule type="dataBar" priority="9">
      <dataBar>
        <cfvo type="min"/>
        <cfvo type="max"/>
        <color rgb="FFFFB628"/>
      </dataBar>
      <extLst>
        <ext xmlns:x14="http://schemas.microsoft.com/office/spreadsheetml/2009/9/main" uri="{B025F937-C7B1-47D3-B67F-A62EFF666E3E}">
          <x14:id>{967D98C3-95D0-42C7-BB3F-A812C5E682DC}</x14:id>
        </ext>
      </extLst>
    </cfRule>
  </conditionalFormatting>
  <conditionalFormatting sqref="L7:L42">
    <cfRule type="cellIs" dxfId="4" priority="18" operator="equal">
      <formula>0</formula>
    </cfRule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{B3579685-9025-49AD-9C06-3DC0042C7DC2}</x14:id>
        </ext>
      </extLst>
    </cfRule>
  </conditionalFormatting>
  <conditionalFormatting sqref="P7:P4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46:P74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7:Y42">
    <cfRule type="dataBar" priority="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{CC017E43-A770-4050-934B-8195C4F612D7}</x14:id>
        </ext>
      </extLst>
    </cfRule>
  </conditionalFormatting>
  <conditionalFormatting sqref="Y8:Y42">
    <cfRule type="dataBar" priority="7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{4A19FC21-97BF-4E0F-AB7E-72FD43FCB863}</x14:id>
        </ext>
      </extLst>
    </cfRule>
  </conditionalFormatting>
  <conditionalFormatting sqref="Z8:Z42">
    <cfRule type="dataBar" priority="1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{5F877836-A1FC-4DDE-AF36-513993E1E44C}</x14:id>
        </ext>
      </extLst>
    </cfRule>
  </conditionalFormatting>
  <conditionalFormatting sqref="AB7:AK15 AB19:AK27">
    <cfRule type="notContainsBlanks" dxfId="3" priority="21">
      <formula>LEN(TRIM(AB7))&gt;0</formula>
    </cfRule>
  </conditionalFormatting>
  <conditionalFormatting sqref="AB29:AK37">
    <cfRule type="notContainsBlanks" dxfId="2" priority="20">
      <formula>LEN(TRIM(AB29))&gt;0</formula>
    </cfRule>
  </conditionalFormatting>
  <conditionalFormatting sqref="AX7:AX42">
    <cfRule type="cellIs" dxfId="1" priority="16" operator="equal">
      <formula>0</formula>
    </cfRule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Y7:AZ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5:BC6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5:BC42">
    <cfRule type="cellIs" dxfId="0" priority="11" operator="equal">
      <formula>0</formula>
    </cfRule>
  </conditionalFormatting>
  <conditionalFormatting sqref="BB7:BC42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D7:BE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E7:BE42 AZ7:AZ42">
    <cfRule type="colorScale" priority="1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G36:BK4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">
      <colorScale>
        <cfvo type="min"/>
        <cfvo type="percentile" val="50"/>
        <cfvo type="max"/>
        <color rgb="FFF8696B"/>
        <color rgb="FFFCFCFF"/>
        <color rgb="FF5A8AC6"/>
      </colorScale>
    </cfRule>
  </conditionalFormatting>
  <conditionalFormatting sqref="BI8:BK13 BI15:BK17 BK14 BI19:BK21 BK18 BI23:BK30 BK22 BI32:BK35 BK31 BI7 BK7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J7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paperSize="9" orientation="portrait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67D98C3-95D0-42C7-BB3F-A812C5E682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B5:C5</xm:sqref>
        </x14:conditionalFormatting>
        <x14:conditionalFormatting xmlns:xm="http://schemas.microsoft.com/office/excel/2006/main">
          <x14:cfRule type="dataBar" id="{B3579685-9025-49AD-9C06-3DC0042C7DC2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L7:L42</xm:sqref>
        </x14:conditionalFormatting>
        <x14:conditionalFormatting xmlns:xm="http://schemas.microsoft.com/office/excel/2006/main">
          <x14:cfRule type="dataBar" id="{CC017E43-A770-4050-934B-8195C4F612D7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Y7:Y42</xm:sqref>
        </x14:conditionalFormatting>
        <x14:conditionalFormatting xmlns:xm="http://schemas.microsoft.com/office/excel/2006/main">
          <x14:cfRule type="dataBar" id="{4A19FC21-97BF-4E0F-AB7E-72FD43FCB863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Y8:Y42</xm:sqref>
        </x14:conditionalFormatting>
        <x14:conditionalFormatting xmlns:xm="http://schemas.microsoft.com/office/excel/2006/main">
          <x14:cfRule type="dataBar" id="{5F877836-A1FC-4DDE-AF36-513993E1E44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Z8:Z42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T1</vt:lpstr>
      <vt:lpstr>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grossi</dc:creator>
  <cp:lastModifiedBy>grossi</cp:lastModifiedBy>
  <dcterms:created xsi:type="dcterms:W3CDTF">2025-11-29T16:21:30Z</dcterms:created>
  <dcterms:modified xsi:type="dcterms:W3CDTF">2025-12-12T18:56:29Z</dcterms:modified>
</cp:coreProperties>
</file>